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28T090000" sheetId="65" r:id="rId2"/>
    <sheet name="20230302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" i="66" l="1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 s="1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 s="1"/>
  <c r="T246" i="66"/>
  <c r="U246" i="66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 s="1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 s="1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 s="1"/>
  <c r="L276" i="66"/>
  <c r="M276" i="66"/>
  <c r="L277" i="66"/>
  <c r="M277" i="66"/>
  <c r="L278" i="66"/>
  <c r="M278" i="66"/>
  <c r="L279" i="66"/>
  <c r="M279" i="66"/>
  <c r="L280" i="66"/>
  <c r="M280" i="66" s="1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/>
  <c r="AL6" i="66"/>
  <c r="AK6" i="66" s="1"/>
  <c r="AG2" i="66" s="1"/>
  <c r="AD6" i="66"/>
  <c r="AC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M3" i="66"/>
  <c r="DO3" i="66" s="1"/>
  <c r="DG3" i="66"/>
  <c r="DE3" i="66"/>
  <c r="DC3" i="66"/>
  <c r="DC6" i="66" s="1"/>
  <c r="A22" i="66" s="1"/>
  <c r="CY3" i="66"/>
  <c r="CU3" i="66"/>
  <c r="CW3" i="66" s="1"/>
  <c r="CO3" i="66"/>
  <c r="CM3" i="66"/>
  <c r="CK3" i="66"/>
  <c r="CK6" i="66" s="1"/>
  <c r="A20" i="66" s="1"/>
  <c r="CG3" i="66"/>
  <c r="CC3" i="66"/>
  <c r="CE3" i="66" s="1"/>
  <c r="BW3" i="66"/>
  <c r="BU3" i="66"/>
  <c r="BS3" i="66"/>
  <c r="BS6" i="66" s="1"/>
  <c r="A18" i="66" s="1"/>
  <c r="BO3" i="66"/>
  <c r="BK3" i="66"/>
  <c r="BM3" i="66" s="1"/>
  <c r="BE3" i="66"/>
  <c r="BC3" i="66"/>
  <c r="BA3" i="66"/>
  <c r="BA6" i="66" s="1"/>
  <c r="A16" i="66" s="1"/>
  <c r="AW3" i="66"/>
  <c r="AS3" i="66"/>
  <c r="AU3" i="66" s="1"/>
  <c r="AM3" i="66"/>
  <c r="AK3" i="66"/>
  <c r="AI3" i="66"/>
  <c r="AI6" i="66" s="1"/>
  <c r="A14" i="66" s="1"/>
  <c r="AE3" i="66"/>
  <c r="AA3" i="66"/>
  <c r="AC3" i="66" s="1"/>
  <c r="Q3" i="66"/>
  <c r="S3" i="66" s="1"/>
  <c r="I3" i="66"/>
  <c r="K3" i="66" s="1"/>
  <c r="AQ2" i="66"/>
  <c r="Y2" i="66"/>
  <c r="A4" i="63" a="1"/>
  <c r="A4" i="63" l="1"/>
  <c r="U9" i="66"/>
  <c r="Q6" i="66"/>
  <c r="A12" i="66" s="1"/>
  <c r="M9" i="66"/>
  <c r="G2" i="66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Y4" i="66"/>
  <c r="AG4" i="66"/>
  <c r="AQ4" i="66"/>
  <c r="AY4" i="66"/>
  <c r="I6" i="66"/>
  <c r="A11" i="66" s="1"/>
  <c r="L9" i="66"/>
  <c r="B11" i="66" s="1"/>
  <c r="AA6" i="66"/>
  <c r="A13" i="66" s="1"/>
  <c r="AD9" i="66"/>
  <c r="B13" i="66" s="1"/>
  <c r="AS6" i="66"/>
  <c r="A15" i="66" s="1"/>
  <c r="AV9" i="66"/>
  <c r="B15" i="66" s="1"/>
  <c r="BK6" i="66"/>
  <c r="A17" i="66" s="1"/>
  <c r="BN9" i="66"/>
  <c r="B17" i="66" s="1"/>
  <c r="CC6" i="66"/>
  <c r="A19" i="66" s="1"/>
  <c r="CF9" i="66"/>
  <c r="B19" i="66" s="1"/>
  <c r="CU6" i="66"/>
  <c r="A21" i="66" s="1"/>
  <c r="CX9" i="66"/>
  <c r="B21" i="66" s="1"/>
  <c r="DM6" i="66"/>
  <c r="DP4" i="66" s="1"/>
  <c r="DP2" i="66" s="1"/>
  <c r="DM9" i="66" s="1"/>
  <c r="E23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 s="1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 s="1"/>
  <c r="T144" i="65"/>
  <c r="U144" i="65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 s="1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 s="1"/>
  <c r="L233" i="65"/>
  <c r="M233" i="65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U7" i="66" l="1"/>
  <c r="U5" i="66"/>
  <c r="U3" i="66"/>
  <c r="M5" i="66"/>
  <c r="M7" i="66"/>
  <c r="M3" i="66"/>
  <c r="DF4" i="66"/>
  <c r="BV4" i="66"/>
  <c r="AL4" i="66"/>
  <c r="CX4" i="66"/>
  <c r="BN4" i="66"/>
  <c r="AD4" i="66"/>
  <c r="CF4" i="66"/>
  <c r="CF2" i="66" s="1"/>
  <c r="AV4" i="66"/>
  <c r="L4" i="66"/>
  <c r="CN4" i="66"/>
  <c r="BD4" i="66"/>
  <c r="T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C12" i="66" l="1"/>
  <c r="T2" i="66"/>
  <c r="D12" i="66" s="1"/>
  <c r="C20" i="66"/>
  <c r="CN2" i="66"/>
  <c r="D20" i="66" s="1"/>
  <c r="C15" i="66"/>
  <c r="AV2" i="66"/>
  <c r="C13" i="66"/>
  <c r="AD2" i="66"/>
  <c r="C21" i="66"/>
  <c r="CX2" i="66"/>
  <c r="C18" i="66"/>
  <c r="BV2" i="66"/>
  <c r="D18" i="66" s="1"/>
  <c r="C16" i="66"/>
  <c r="BD2" i="66"/>
  <c r="D16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1" i="66" l="1"/>
  <c r="I9" i="66"/>
  <c r="E11" i="66" s="1"/>
  <c r="D21" i="66"/>
  <c r="CU9" i="66"/>
  <c r="E21" i="66" s="1"/>
  <c r="D13" i="66"/>
  <c r="AA9" i="66"/>
  <c r="E13" i="66" s="1"/>
  <c r="D15" i="66"/>
  <c r="AS9" i="66"/>
  <c r="E15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D2" i="63"/>
  <c r="H3" i="63"/>
  <c r="G3" i="63"/>
  <c r="G2" i="63"/>
  <c r="D3" i="63"/>
  <c r="B3" i="63"/>
  <c r="C2" i="63"/>
  <c r="L2" i="63"/>
  <c r="I3" i="63"/>
  <c r="I2" i="63"/>
  <c r="H2" i="63"/>
  <c r="L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<sst xmlns="http://schemas.openxmlformats.org/spreadsheetml/2006/main" count="1240" uniqueCount="46">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</sst>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H1" workbookViewId="0">
      <selection activeCell="T11" sqref="T11:U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25187.000000013955</v>
      </c>
      <c r="H2" s="2"/>
      <c r="I2" s="6" t="s">
        <v>12</v>
      </c>
      <c r="J2" s="2"/>
      <c r="K2" s="7" t="s">
        <v>13</v>
      </c>
      <c r="L2" s="3">
        <f>L4*I6*L9/100*100</f>
        <v>17.503258250000005</v>
      </c>
      <c r="M2" s="8" t="s">
        <v>14</v>
      </c>
      <c r="N2" s="9"/>
      <c r="O2" s="2">
        <f>ABS(S7-S6)/ABS(T7-T6)*1000</f>
        <v>831.97918032811185</v>
      </c>
      <c r="P2" s="2"/>
      <c r="Q2" s="6" t="s">
        <v>15</v>
      </c>
      <c r="R2" s="2"/>
      <c r="S2" s="7" t="s">
        <v>13</v>
      </c>
      <c r="T2" s="3">
        <f>T4*Q6*T9/100*100</f>
        <v>17.109543780000003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-0.10534700000000001</v>
      </c>
      <c r="L3" s="31" t="s">
        <v>16</v>
      </c>
      <c r="M3" s="11">
        <f>M9</f>
        <v>17.503258250000002</v>
      </c>
      <c r="N3" s="9"/>
      <c r="O3" s="2" t="s">
        <v>44</v>
      </c>
      <c r="P3" s="2"/>
      <c r="Q3" s="2">
        <f>INDEX(S11:S1056,MATCH(0,T11:T1056,-1))</f>
        <v>1.78284</v>
      </c>
      <c r="R3" s="2"/>
      <c r="S3" s="10">
        <f>INDEX(T11:T1056,MATCH(Q3,S11:S1056,0))</f>
        <v>8.7280300000000012E-3</v>
      </c>
      <c r="T3" s="31" t="s">
        <v>16</v>
      </c>
      <c r="U3" s="11">
        <f>U9</f>
        <v>17.109543780000003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19.349875891164857</v>
      </c>
      <c r="H4" s="2"/>
      <c r="I4" s="2">
        <f>INDEX(K11:K1000,1+MATCH(0,L11:L856,1))</f>
        <v>1.77887</v>
      </c>
      <c r="J4" s="2"/>
      <c r="K4" s="10">
        <f>INDEX(L11:L1056,MATCH(I4,K11:K1056,0))</f>
        <v>0.14685100000000001</v>
      </c>
      <c r="L4" s="30">
        <f>M3/(I6*L9)</f>
        <v>0.62191421503627498</v>
      </c>
      <c r="M4" s="8" t="s">
        <v>17</v>
      </c>
      <c r="N4" s="9"/>
      <c r="O4" s="2">
        <f>ABS(Q3-Q4)/ABS(S3-S4)*1000</f>
        <v>16.653137394312875</v>
      </c>
      <c r="P4" s="2"/>
      <c r="Q4" s="2">
        <f>INDEX(S11:S856,1+MATCH(0,T11:T856,-1))</f>
        <v>1.7867999999999999</v>
      </c>
      <c r="R4" s="2"/>
      <c r="S4" s="10">
        <f>INDEX(T11:T856,MATCH(Q4,S11:S856,0))</f>
        <v>-0.22906499999999999</v>
      </c>
      <c r="T4" s="30">
        <f>U3/(Q6*T9)</f>
        <v>0.60363245134959453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13.714600000000001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13.1622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1.7817115486244934</v>
      </c>
      <c r="J6" s="30"/>
      <c r="K6" s="13">
        <f>INDEX(K11:K1056,MATCH(L6,L11:L1056,0))</f>
        <v>0.14755199999999999</v>
      </c>
      <c r="L6" s="10">
        <f>INDEX(L11:L1056,MATCH(0,K11:K1056,-1))</f>
        <v>15.802</v>
      </c>
      <c r="M6" s="8" t="s">
        <v>22</v>
      </c>
      <c r="N6" s="9"/>
      <c r="O6" s="2"/>
      <c r="P6" s="2"/>
      <c r="Q6" s="34">
        <f>(Q3-Q4)/(S3-S4)*(-S4)+Q4</f>
        <v>1.7829853490827716</v>
      </c>
      <c r="R6" s="34"/>
      <c r="S6" s="13">
        <f>INDEX(S11:S1056,MATCH(T6,T11:T1056,0))</f>
        <v>-4.6539299999999997E-3</v>
      </c>
      <c r="T6" s="10">
        <f>INDEX(T11:T1056,MATCH(0,S11:S1056,1))</f>
        <v>15.902699999999999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7.1990999999999999E-2</v>
      </c>
      <c r="L7" s="10">
        <f>INDEX(L11:L856,1+MATCH(0,K11:K856,-1))</f>
        <v>15.799000000000001</v>
      </c>
      <c r="M7" s="12">
        <f>INDEX(K11:K1056,MATCH(M9,M11:M1056,0))</f>
        <v>1.27563</v>
      </c>
      <c r="N7" s="9"/>
      <c r="O7" s="2"/>
      <c r="P7" s="2"/>
      <c r="Q7" s="2"/>
      <c r="R7" s="2"/>
      <c r="S7" s="13">
        <f>INDEX(S11:S1056,MATCH(T7,T11:T1056,0))</f>
        <v>4.2114300000000002E-4</v>
      </c>
      <c r="T7" s="10">
        <f>INDEX(T11:T1056,1+MATCH(0,S11:S1056,1))</f>
        <v>15.896600000000001</v>
      </c>
      <c r="U7" s="12">
        <f>INDEX(S11:S1056,MATCH(U9,U11:U1056,0))</f>
        <v>1.2985199999999999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2.2493781693474268</v>
      </c>
      <c r="J9" s="2"/>
      <c r="K9" s="2"/>
      <c r="L9" s="3">
        <f>(L6-L7)/(K6-K7)*(-K7)+L7</f>
        <v>15.796141739786401</v>
      </c>
      <c r="M9" s="16">
        <f>MAX(M11:M1056)</f>
        <v>17.503258250000002</v>
      </c>
      <c r="N9" s="9"/>
      <c r="O9" s="2"/>
      <c r="P9" s="2"/>
      <c r="Q9" s="2"/>
      <c r="R9" s="2"/>
      <c r="S9" s="2"/>
      <c r="T9" s="3">
        <f>(T6-T7)/(S6-S7)*(-S7)+T7</f>
        <v>15.897106194157208</v>
      </c>
      <c r="U9" s="16">
        <f>MAX(U11:U1056)</f>
        <v>17.109543780000003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1.7817115486244934</v>
      </c>
      <c r="B11" s="19">
        <f>IFERROR(L9,0)</f>
        <v>15.796141739786401</v>
      </c>
      <c r="C11" s="20">
        <f>IFERROR(L4,0)</f>
        <v>0.62191421503627498</v>
      </c>
      <c r="D11" s="21">
        <f>IFERROR(L2,0)</f>
        <v>17.503258250000005</v>
      </c>
      <c r="E11" s="21">
        <f>IFERROR(I9,0)</f>
        <v>2.2493781693474268</v>
      </c>
      <c r="F11" s="9"/>
      <c r="G11" s="22">
        <v>1.8150299999999999</v>
      </c>
      <c r="H11" s="22">
        <v>4.8153899999999998</v>
      </c>
      <c r="I11" s="22">
        <v>1.72058E-3</v>
      </c>
      <c r="J11" s="22">
        <v>1</v>
      </c>
      <c r="K11" s="22">
        <v>1.81396</v>
      </c>
      <c r="L11">
        <f>-I11/$F$2*1000</f>
        <v>-1.72058</v>
      </c>
      <c r="M11">
        <f>L11*G11</f>
        <v>-3.1229043173999997</v>
      </c>
      <c r="N11" s="9"/>
      <c r="O11" s="22">
        <v>-9.49097E-2</v>
      </c>
      <c r="P11" s="22">
        <v>10.093999999999999</v>
      </c>
      <c r="Q11" s="22">
        <v>-1.5963700000000001E-2</v>
      </c>
      <c r="R11" s="22">
        <v>1</v>
      </c>
      <c r="S11" s="22">
        <v>-9.5519999999999994E-2</v>
      </c>
      <c r="T11">
        <f>-Q11/$F$2*1000</f>
        <v>15.963700000000001</v>
      </c>
      <c r="U11">
        <f>T11*O11</f>
        <v>-1.5151099778900001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1.7829853490827716</v>
      </c>
      <c r="B12" s="19">
        <f>IFERROR(T9,0)</f>
        <v>15.897106194157208</v>
      </c>
      <c r="C12" s="20">
        <f>IFERROR(T4,0)</f>
        <v>0.60363245134959453</v>
      </c>
      <c r="D12" s="21">
        <f>IFERROR(T2,0)</f>
        <v>17.109543780000003</v>
      </c>
      <c r="E12" s="21"/>
      <c r="F12" s="9"/>
      <c r="G12" s="22">
        <v>1.81</v>
      </c>
      <c r="H12" s="22">
        <v>4.8254599999999996</v>
      </c>
      <c r="I12" s="22">
        <v>1.4270000000000001E-3</v>
      </c>
      <c r="J12" s="22">
        <v>2</v>
      </c>
      <c r="K12" s="22">
        <v>1.8087800000000001</v>
      </c>
      <c r="L12">
        <f t="shared" ref="L12:L75" si="0">-I12/$F$2*1000</f>
        <v>-1.427</v>
      </c>
      <c r="M12">
        <f t="shared" ref="M12:M75" si="1">L12*G12</f>
        <v>-2.5828700000000002</v>
      </c>
      <c r="N12" s="9"/>
      <c r="O12" s="22">
        <v>-8.9874300000000004E-2</v>
      </c>
      <c r="P12" s="22">
        <v>10.104100000000001</v>
      </c>
      <c r="Q12" s="22">
        <v>-1.5954599999999999E-2</v>
      </c>
      <c r="R12" s="22">
        <v>2</v>
      </c>
      <c r="S12" s="22">
        <v>-9.0606699999999998E-2</v>
      </c>
      <c r="T12">
        <f t="shared" ref="T12:T75" si="2">-Q12/$F$2*1000</f>
        <v>15.954599999999999</v>
      </c>
      <c r="U12">
        <f t="shared" ref="U12:U75" si="3">T12*O12</f>
        <v>-1.4339085067799999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1.8049599999999999</v>
      </c>
      <c r="H13" s="22">
        <v>4.8355300000000003</v>
      </c>
      <c r="I13" s="22">
        <v>1.14624E-3</v>
      </c>
      <c r="J13" s="22">
        <v>3</v>
      </c>
      <c r="K13" s="22">
        <v>1.8042</v>
      </c>
      <c r="L13">
        <f t="shared" si="0"/>
        <v>-1.1462399999999999</v>
      </c>
      <c r="M13">
        <f t="shared" si="1"/>
        <v>-2.0689173503999996</v>
      </c>
      <c r="N13" s="9"/>
      <c r="O13" s="22">
        <v>-8.4838899999999995E-2</v>
      </c>
      <c r="P13" s="22">
        <v>10.114100000000001</v>
      </c>
      <c r="Q13" s="22">
        <v>-1.5948500000000001E-2</v>
      </c>
      <c r="R13" s="22">
        <v>3</v>
      </c>
      <c r="S13" s="22">
        <v>-8.5449200000000003E-2</v>
      </c>
      <c r="T13">
        <f t="shared" si="2"/>
        <v>15.948500000000001</v>
      </c>
      <c r="U13">
        <f t="shared" si="3"/>
        <v>-1.3530531966499999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4.8456000000000001</v>
      </c>
      <c r="I14" s="22">
        <v>8.7921099999999997E-4</v>
      </c>
      <c r="J14" s="22">
        <v>4</v>
      </c>
      <c r="K14" s="22">
        <v>1.79871</v>
      </c>
      <c r="L14">
        <f t="shared" si="0"/>
        <v>-0.87921099999999996</v>
      </c>
      <c r="M14">
        <f t="shared" si="1"/>
        <v>-1.5825182552299999</v>
      </c>
      <c r="N14" s="9"/>
      <c r="O14" s="22">
        <v>-7.9803499999999999E-2</v>
      </c>
      <c r="P14" s="22">
        <v>10.1242</v>
      </c>
      <c r="Q14" s="22">
        <v>-1.5945399999999998E-2</v>
      </c>
      <c r="R14" s="22">
        <v>4</v>
      </c>
      <c r="S14" s="22">
        <v>-8.0505400000000005E-2</v>
      </c>
      <c r="T14">
        <f t="shared" si="2"/>
        <v>15.945399999999999</v>
      </c>
      <c r="U14">
        <f t="shared" si="3"/>
        <v>-1.2724987289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1.7948900000000001</v>
      </c>
      <c r="H15" s="22">
        <v>4.8556699999999999</v>
      </c>
      <c r="I15" s="22">
        <v>6.1584499999999996E-4</v>
      </c>
      <c r="J15" s="22">
        <v>5</v>
      </c>
      <c r="K15" s="22">
        <v>1.79413</v>
      </c>
      <c r="L15">
        <f t="shared" si="0"/>
        <v>-0.61584499999999998</v>
      </c>
      <c r="M15">
        <f t="shared" si="1"/>
        <v>-1.1053740320500001</v>
      </c>
      <c r="N15" s="9"/>
      <c r="O15" s="22">
        <v>-7.4768100000000004E-2</v>
      </c>
      <c r="P15" s="22">
        <v>10.1343</v>
      </c>
      <c r="Q15" s="22">
        <v>-1.5942399999999999E-2</v>
      </c>
      <c r="R15" s="22">
        <v>5</v>
      </c>
      <c r="S15" s="22">
        <v>-7.5408900000000001E-2</v>
      </c>
      <c r="T15">
        <f t="shared" si="2"/>
        <v>15.942399999999999</v>
      </c>
      <c r="U15">
        <f t="shared" si="3"/>
        <v>-1.19198295744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4.8657399999999997</v>
      </c>
      <c r="I16" s="22">
        <v>3.6099199999999998E-4</v>
      </c>
      <c r="J16" s="22">
        <v>6</v>
      </c>
      <c r="K16" s="22">
        <v>1.78894</v>
      </c>
      <c r="L16">
        <f t="shared" si="0"/>
        <v>-0.36099199999999998</v>
      </c>
      <c r="M16">
        <f t="shared" si="1"/>
        <v>-0.64612514111999997</v>
      </c>
      <c r="N16" s="9"/>
      <c r="O16" s="22">
        <v>-6.9732699999999995E-2</v>
      </c>
      <c r="P16" s="22">
        <v>10.144399999999999</v>
      </c>
      <c r="Q16" s="22">
        <v>-1.5954599999999999E-2</v>
      </c>
      <c r="R16" s="22">
        <v>6</v>
      </c>
      <c r="S16" s="22">
        <v>-7.0373500000000005E-2</v>
      </c>
      <c r="T16">
        <f t="shared" si="2"/>
        <v>15.954599999999999</v>
      </c>
      <c r="U16">
        <f t="shared" si="3"/>
        <v>-1.1125573354199998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4.8758100000000004</v>
      </c>
      <c r="I17" s="22">
        <v>1.0534700000000001E-4</v>
      </c>
      <c r="J17" s="22">
        <v>7</v>
      </c>
      <c r="K17" s="22">
        <v>1.7837499999999999</v>
      </c>
      <c r="L17">
        <f t="shared" si="0"/>
        <v>-0.10534700000000001</v>
      </c>
      <c r="M17">
        <f t="shared" si="1"/>
        <v>-0.18802543254000004</v>
      </c>
      <c r="N17" s="9"/>
      <c r="O17" s="22">
        <v>-6.4697299999999999E-2</v>
      </c>
      <c r="P17" s="22">
        <v>10.154400000000001</v>
      </c>
      <c r="Q17" s="22">
        <v>-1.5948500000000001E-2</v>
      </c>
      <c r="R17" s="22">
        <v>7</v>
      </c>
      <c r="S17" s="22">
        <v>-6.5246600000000002E-2</v>
      </c>
      <c r="T17">
        <f t="shared" si="2"/>
        <v>15.948500000000001</v>
      </c>
      <c r="U17">
        <f t="shared" si="3"/>
        <v>-1.0318248890500001</v>
      </c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4.8858800000000002</v>
      </c>
      <c r="I18" s="22">
        <v>-1.4685100000000001E-4</v>
      </c>
      <c r="J18" s="22">
        <v>8</v>
      </c>
      <c r="K18" s="22">
        <v>1.77887</v>
      </c>
      <c r="L18">
        <f t="shared" si="0"/>
        <v>0.14685100000000001</v>
      </c>
      <c r="M18">
        <f t="shared" si="1"/>
        <v>0.26136394129000001</v>
      </c>
      <c r="N18" s="9"/>
      <c r="O18" s="22">
        <v>-5.9661899999999997E-2</v>
      </c>
      <c r="P18" s="22">
        <v>10.1645</v>
      </c>
      <c r="Q18" s="22">
        <v>-1.59363E-2</v>
      </c>
      <c r="R18" s="22">
        <v>8</v>
      </c>
      <c r="S18" s="22">
        <v>-6.0363800000000002E-2</v>
      </c>
      <c r="T18">
        <f t="shared" si="2"/>
        <v>15.936300000000001</v>
      </c>
      <c r="U18">
        <f t="shared" si="3"/>
        <v>-0.95078993697000003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4.8959599999999996</v>
      </c>
      <c r="I19" s="22">
        <v>-3.95172E-4</v>
      </c>
      <c r="J19" s="22">
        <v>9</v>
      </c>
      <c r="K19" s="22">
        <v>1.7736799999999999</v>
      </c>
      <c r="L19">
        <f t="shared" si="0"/>
        <v>0.39517200000000002</v>
      </c>
      <c r="M19">
        <f t="shared" si="1"/>
        <v>0.70133150700000002</v>
      </c>
      <c r="N19" s="9"/>
      <c r="O19" s="22">
        <v>-5.4626500000000001E-2</v>
      </c>
      <c r="P19" s="22">
        <v>10.1746</v>
      </c>
      <c r="Q19" s="22">
        <v>-1.5933200000000002E-2</v>
      </c>
      <c r="R19" s="22">
        <v>9</v>
      </c>
      <c r="S19" s="22">
        <v>-5.53284E-2</v>
      </c>
      <c r="T19">
        <f t="shared" si="2"/>
        <v>15.933200000000001</v>
      </c>
      <c r="U19">
        <f t="shared" si="3"/>
        <v>-0.87037494980000008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4.9060300000000003</v>
      </c>
      <c r="I20" s="22">
        <v>-6.3751200000000002E-4</v>
      </c>
      <c r="J20" s="22">
        <v>10</v>
      </c>
      <c r="K20" s="22">
        <v>1.7687999999999999</v>
      </c>
      <c r="L20">
        <f t="shared" si="0"/>
        <v>0.63751199999999997</v>
      </c>
      <c r="M20">
        <f t="shared" si="1"/>
        <v>1.1282113615199998</v>
      </c>
      <c r="N20" s="9"/>
      <c r="O20" s="22">
        <v>-4.9591099999999999E-2</v>
      </c>
      <c r="P20" s="22">
        <v>10.1846</v>
      </c>
      <c r="Q20" s="22">
        <v>-1.59241E-2</v>
      </c>
      <c r="R20" s="22">
        <v>10</v>
      </c>
      <c r="S20" s="22">
        <v>-5.0292999999999997E-2</v>
      </c>
      <c r="T20">
        <f t="shared" si="2"/>
        <v>15.924099999999999</v>
      </c>
      <c r="U20">
        <f t="shared" si="3"/>
        <v>-0.78969363550999994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4.9161000000000001</v>
      </c>
      <c r="I21" s="22">
        <v>-8.7921099999999997E-4</v>
      </c>
      <c r="J21" s="22">
        <v>11</v>
      </c>
      <c r="K21" s="22">
        <v>1.7639199999999999</v>
      </c>
      <c r="L21">
        <f t="shared" si="0"/>
        <v>0.87921099999999996</v>
      </c>
      <c r="M21">
        <f t="shared" si="1"/>
        <v>1.55152606748</v>
      </c>
      <c r="N21" s="9"/>
      <c r="O21" s="22">
        <v>-4.4555699999999997E-2</v>
      </c>
      <c r="P21" s="22">
        <v>10.194699999999999</v>
      </c>
      <c r="Q21" s="22">
        <v>-1.5921000000000001E-2</v>
      </c>
      <c r="R21" s="22">
        <v>11</v>
      </c>
      <c r="S21" s="22">
        <v>-4.5046999999999997E-2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4.9261699999999999</v>
      </c>
      <c r="I22" s="22">
        <v>-1.1175499999999999E-3</v>
      </c>
      <c r="J22" s="22">
        <v>12</v>
      </c>
      <c r="K22" s="22">
        <v>1.7593399999999999</v>
      </c>
      <c r="L22">
        <f t="shared" si="0"/>
        <v>1.1175499999999998</v>
      </c>
      <c r="M22">
        <f t="shared" si="1"/>
        <v>1.9664856819999998</v>
      </c>
      <c r="N22" s="9"/>
      <c r="O22" s="22">
        <v>-3.9520300000000001E-2</v>
      </c>
      <c r="P22" s="22">
        <v>10.204800000000001</v>
      </c>
      <c r="Q22" s="22">
        <v>-1.59271E-2</v>
      </c>
      <c r="R22" s="22">
        <v>12</v>
      </c>
      <c r="S22" s="22">
        <v>-4.00024E-2</v>
      </c>
      <c r="T22">
        <f t="shared" si="2"/>
        <v>15.927099999999999</v>
      </c>
      <c r="U22">
        <f t="shared" si="3"/>
        <v>-0.62944377012999997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4.9362399999999997</v>
      </c>
      <c r="I23" s="22">
        <v>-1.3555900000000001E-3</v>
      </c>
      <c r="J23" s="22">
        <v>13</v>
      </c>
      <c r="K23" s="22">
        <v>1.7535400000000001</v>
      </c>
      <c r="L23">
        <f t="shared" si="0"/>
        <v>1.3555900000000001</v>
      </c>
      <c r="M23">
        <f t="shared" si="1"/>
        <v>2.3785317698999999</v>
      </c>
      <c r="N23" s="9"/>
      <c r="O23" s="22">
        <v>-3.4484899999999999E-2</v>
      </c>
      <c r="P23" s="22">
        <v>10.2149</v>
      </c>
      <c r="Q23" s="22">
        <v>-1.59241E-2</v>
      </c>
      <c r="R23" s="22">
        <v>13</v>
      </c>
      <c r="S23" s="22">
        <v>-3.4912100000000001E-2</v>
      </c>
      <c r="T23">
        <f t="shared" si="2"/>
        <v>15.924099999999999</v>
      </c>
      <c r="U23">
        <f t="shared" si="3"/>
        <v>-0.54914099609</v>
      </c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4.9463100000000004</v>
      </c>
      <c r="I24" s="22">
        <v>-1.5893599999999999E-3</v>
      </c>
      <c r="J24" s="22">
        <v>14</v>
      </c>
      <c r="K24" s="22">
        <v>1.7486600000000001</v>
      </c>
      <c r="L24">
        <f t="shared" si="0"/>
        <v>1.5893599999999999</v>
      </c>
      <c r="M24">
        <f t="shared" si="1"/>
        <v>2.7806965751999999</v>
      </c>
      <c r="N24" s="9"/>
      <c r="O24" s="22">
        <v>-2.94495E-2</v>
      </c>
      <c r="P24" s="22">
        <v>10.2249</v>
      </c>
      <c r="Q24" s="22">
        <v>-1.59241E-2</v>
      </c>
      <c r="R24" s="22">
        <v>14</v>
      </c>
      <c r="S24" s="22">
        <v>-2.9910300000000001E-2</v>
      </c>
      <c r="T24">
        <f t="shared" si="2"/>
        <v>15.924099999999999</v>
      </c>
      <c r="U24">
        <f t="shared" si="3"/>
        <v>-0.46895678294999998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4.9563800000000002</v>
      </c>
      <c r="I25" s="22">
        <v>-1.82037E-3</v>
      </c>
      <c r="J25" s="22">
        <v>15</v>
      </c>
      <c r="K25" s="22">
        <v>1.7440800000000001</v>
      </c>
      <c r="L25">
        <f t="shared" si="0"/>
        <v>1.82037</v>
      </c>
      <c r="M25">
        <f t="shared" si="1"/>
        <v>3.1757082798000003</v>
      </c>
      <c r="N25" s="9"/>
      <c r="O25" s="22">
        <v>-2.4414100000000001E-2</v>
      </c>
      <c r="P25" s="22">
        <v>10.234999999999999</v>
      </c>
      <c r="Q25" s="22">
        <v>-1.5918000000000002E-2</v>
      </c>
      <c r="R25" s="22">
        <v>15</v>
      </c>
      <c r="S25" s="22">
        <v>-2.4874899999999998E-2</v>
      </c>
      <c r="T25">
        <f t="shared" si="2"/>
        <v>15.918000000000001</v>
      </c>
      <c r="U25">
        <f t="shared" si="3"/>
        <v>-0.38862364380000003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4.96645</v>
      </c>
      <c r="I26" s="22">
        <v>-2.0471199999999999E-3</v>
      </c>
      <c r="J26" s="22">
        <v>16</v>
      </c>
      <c r="K26" s="22">
        <v>1.7385900000000001</v>
      </c>
      <c r="L26">
        <f t="shared" si="0"/>
        <v>2.0471200000000001</v>
      </c>
      <c r="M26">
        <f t="shared" si="1"/>
        <v>3.5609652400000003</v>
      </c>
      <c r="N26" s="9"/>
      <c r="O26" s="22">
        <v>-1.9378699999999999E-2</v>
      </c>
      <c r="P26" s="22">
        <v>10.245100000000001</v>
      </c>
      <c r="Q26" s="22">
        <v>-1.5914899999999999E-2</v>
      </c>
      <c r="R26" s="22">
        <v>16</v>
      </c>
      <c r="S26" s="22">
        <v>-1.9799799999999999E-2</v>
      </c>
      <c r="T26">
        <f t="shared" si="2"/>
        <v>15.914899999999999</v>
      </c>
      <c r="U26">
        <f t="shared" si="3"/>
        <v>-0.30841007262999998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4.9765199999999998</v>
      </c>
      <c r="I27" s="22">
        <v>-2.2714200000000001E-3</v>
      </c>
      <c r="J27" s="22">
        <v>17</v>
      </c>
      <c r="K27" s="22">
        <v>1.7334000000000001</v>
      </c>
      <c r="L27">
        <f t="shared" si="0"/>
        <v>2.27142</v>
      </c>
      <c r="M27">
        <f t="shared" si="1"/>
        <v>3.9397098474000001</v>
      </c>
      <c r="N27" s="9"/>
      <c r="O27" s="22">
        <v>-1.43433E-2</v>
      </c>
      <c r="P27" s="22">
        <v>10.255100000000001</v>
      </c>
      <c r="Q27" s="22">
        <v>-1.59119E-2</v>
      </c>
      <c r="R27" s="22">
        <v>17</v>
      </c>
      <c r="S27" s="22">
        <v>-1.4770500000000001E-2</v>
      </c>
      <c r="T27">
        <f t="shared" si="2"/>
        <v>15.911899999999999</v>
      </c>
      <c r="U27">
        <f t="shared" si="3"/>
        <v>-0.22822915526999998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4.9865899999999996</v>
      </c>
      <c r="I28" s="22">
        <v>-2.4941999999999998E-3</v>
      </c>
      <c r="J28" s="22">
        <v>18</v>
      </c>
      <c r="K28" s="22">
        <v>1.7285200000000001</v>
      </c>
      <c r="L28">
        <f t="shared" si="0"/>
        <v>2.4941999999999998</v>
      </c>
      <c r="M28">
        <f t="shared" si="1"/>
        <v>4.3135443059999998</v>
      </c>
      <c r="N28" s="9"/>
      <c r="O28" s="22">
        <v>-9.3078599999999994E-3</v>
      </c>
      <c r="P28" s="22">
        <v>10.2652</v>
      </c>
      <c r="Q28" s="22">
        <v>-1.5905800000000001E-2</v>
      </c>
      <c r="R28" s="22">
        <v>18</v>
      </c>
      <c r="S28" s="22">
        <v>-9.7259500000000006E-3</v>
      </c>
      <c r="T28">
        <f t="shared" si="2"/>
        <v>15.905800000000001</v>
      </c>
      <c r="U28">
        <f t="shared" si="3"/>
        <v>-0.14804895958799999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4.9966699999999999</v>
      </c>
      <c r="I29" s="22">
        <v>-2.7163700000000001E-3</v>
      </c>
      <c r="J29" s="22">
        <v>19</v>
      </c>
      <c r="K29" s="22">
        <v>1.72302</v>
      </c>
      <c r="L29">
        <f t="shared" si="0"/>
        <v>2.71637</v>
      </c>
      <c r="M29">
        <f t="shared" si="1"/>
        <v>4.684108428</v>
      </c>
      <c r="N29" s="9"/>
      <c r="O29" s="22">
        <v>-4.2724599999999996E-3</v>
      </c>
      <c r="P29" s="22">
        <v>10.2753</v>
      </c>
      <c r="Q29" s="22">
        <v>-1.5902699999999999E-2</v>
      </c>
      <c r="R29" s="22">
        <v>19</v>
      </c>
      <c r="S29" s="22">
        <v>-4.6539299999999997E-3</v>
      </c>
      <c r="T29">
        <f t="shared" si="2"/>
        <v>15.902699999999999</v>
      </c>
      <c r="U29">
        <f t="shared" si="3"/>
        <v>-6.794364964199999E-2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5.0067399999999997</v>
      </c>
      <c r="I30" s="22">
        <v>-2.93304E-3</v>
      </c>
      <c r="J30" s="22">
        <v>20</v>
      </c>
      <c r="K30" s="22">
        <v>1.71814</v>
      </c>
      <c r="L30">
        <f t="shared" si="0"/>
        <v>2.9330400000000001</v>
      </c>
      <c r="M30">
        <f t="shared" si="1"/>
        <v>5.0429516544000004</v>
      </c>
      <c r="N30" s="9"/>
      <c r="O30" s="22">
        <v>7.6293900000000002E-4</v>
      </c>
      <c r="P30" s="22">
        <v>10.285399999999999</v>
      </c>
      <c r="Q30" s="22">
        <v>-1.58966E-2</v>
      </c>
      <c r="R30" s="22">
        <v>20</v>
      </c>
      <c r="S30" s="22">
        <v>4.2114300000000002E-4</v>
      </c>
      <c r="T30">
        <f t="shared" si="2"/>
        <v>15.896600000000001</v>
      </c>
      <c r="U30">
        <f t="shared" si="3"/>
        <v>1.2128136107400002E-2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5.0168100000000004</v>
      </c>
      <c r="I31" s="22">
        <v>-3.1472800000000001E-3</v>
      </c>
      <c r="J31" s="22">
        <v>21</v>
      </c>
      <c r="K31" s="22">
        <v>1.71265</v>
      </c>
      <c r="L31">
        <f t="shared" si="0"/>
        <v>3.1472800000000003</v>
      </c>
      <c r="M31">
        <f t="shared" si="1"/>
        <v>5.395445049600001</v>
      </c>
      <c r="N31" s="9"/>
      <c r="O31" s="22">
        <v>5.7983399999999999E-3</v>
      </c>
      <c r="P31" s="22">
        <v>10.295400000000001</v>
      </c>
      <c r="Q31" s="22">
        <v>-1.5899699999999999E-2</v>
      </c>
      <c r="R31" s="22">
        <v>21</v>
      </c>
      <c r="S31" s="22">
        <v>5.45044E-3</v>
      </c>
      <c r="T31">
        <f t="shared" si="2"/>
        <v>15.899699999999999</v>
      </c>
      <c r="U31">
        <f t="shared" si="3"/>
        <v>9.2191866498E-2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5.0268800000000002</v>
      </c>
      <c r="I32" s="22">
        <v>-3.3560199999999999E-3</v>
      </c>
      <c r="J32" s="22">
        <v>22</v>
      </c>
      <c r="K32" s="22">
        <v>1.70868</v>
      </c>
      <c r="L32">
        <f t="shared" si="0"/>
        <v>3.35602</v>
      </c>
      <c r="M32">
        <f t="shared" si="1"/>
        <v>5.7364114258000001</v>
      </c>
      <c r="N32" s="9"/>
      <c r="O32" s="22">
        <v>1.08337E-2</v>
      </c>
      <c r="P32" s="22">
        <v>10.3055</v>
      </c>
      <c r="Q32" s="22">
        <v>-1.5890499999999998E-2</v>
      </c>
      <c r="R32" s="22">
        <v>22</v>
      </c>
      <c r="S32" s="22">
        <v>1.04858E-2</v>
      </c>
      <c r="T32">
        <f t="shared" si="2"/>
        <v>15.890499999999998</v>
      </c>
      <c r="U32">
        <f t="shared" si="3"/>
        <v>0.17215290984999998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5.03695</v>
      </c>
      <c r="I33" s="22">
        <v>-3.5662799999999998E-3</v>
      </c>
      <c r="J33" s="22">
        <v>23</v>
      </c>
      <c r="K33" s="22">
        <v>1.70319</v>
      </c>
      <c r="L33">
        <f t="shared" si="0"/>
        <v>3.5662799999999999</v>
      </c>
      <c r="M33">
        <f t="shared" si="1"/>
        <v>6.0778326900000001</v>
      </c>
      <c r="N33" s="9"/>
      <c r="O33" s="22">
        <v>1.5869100000000001E-2</v>
      </c>
      <c r="P33" s="22">
        <v>10.3156</v>
      </c>
      <c r="Q33" s="22">
        <v>-1.58844E-2</v>
      </c>
      <c r="R33" s="22">
        <v>23</v>
      </c>
      <c r="S33" s="22">
        <v>1.5560900000000001E-2</v>
      </c>
      <c r="T33">
        <f t="shared" si="2"/>
        <v>15.884399999999999</v>
      </c>
      <c r="U33">
        <f t="shared" si="3"/>
        <v>0.25207113203999998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5.0470199999999998</v>
      </c>
      <c r="I34" s="22">
        <v>-3.7731900000000001E-3</v>
      </c>
      <c r="J34" s="22">
        <v>24</v>
      </c>
      <c r="K34" s="22">
        <v>1.698</v>
      </c>
      <c r="L34">
        <f t="shared" si="0"/>
        <v>3.77319</v>
      </c>
      <c r="M34">
        <f t="shared" si="1"/>
        <v>6.4114799117999999</v>
      </c>
      <c r="N34" s="9"/>
      <c r="O34" s="22">
        <v>2.0904499999999999E-2</v>
      </c>
      <c r="P34" s="22">
        <v>10.3256</v>
      </c>
      <c r="Q34" s="22">
        <v>-1.5887499999999999E-2</v>
      </c>
      <c r="R34" s="22">
        <v>24</v>
      </c>
      <c r="S34" s="22">
        <v>2.06024E-2</v>
      </c>
      <c r="T34">
        <f t="shared" si="2"/>
        <v>15.887499999999999</v>
      </c>
      <c r="U34">
        <f t="shared" si="3"/>
        <v>0.33212024374999999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5.0570899999999996</v>
      </c>
      <c r="I35" s="22">
        <v>-3.9755199999999997E-3</v>
      </c>
      <c r="J35" s="22">
        <v>25</v>
      </c>
      <c r="K35" s="22">
        <v>1.6928099999999999</v>
      </c>
      <c r="L35">
        <f t="shared" si="0"/>
        <v>3.9755199999999999</v>
      </c>
      <c r="M35">
        <f t="shared" si="1"/>
        <v>6.7352464736000002</v>
      </c>
      <c r="N35" s="9"/>
      <c r="O35" s="22">
        <v>2.5939899999999998E-2</v>
      </c>
      <c r="P35" s="22">
        <v>10.335699999999999</v>
      </c>
      <c r="Q35" s="22">
        <v>-1.5887499999999999E-2</v>
      </c>
      <c r="R35" s="22">
        <v>25</v>
      </c>
      <c r="S35" s="22">
        <v>2.5613400000000001E-2</v>
      </c>
      <c r="T35">
        <f t="shared" si="2"/>
        <v>15.887499999999999</v>
      </c>
      <c r="U35">
        <f t="shared" si="3"/>
        <v>0.41212016124999995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5.0671600000000003</v>
      </c>
      <c r="I36" s="22">
        <v>-4.1793799999999999E-3</v>
      </c>
      <c r="J36" s="22">
        <v>26</v>
      </c>
      <c r="K36" s="22">
        <v>1.6879299999999999</v>
      </c>
      <c r="L36">
        <f t="shared" si="0"/>
        <v>4.1793800000000001</v>
      </c>
      <c r="M36">
        <f t="shared" si="1"/>
        <v>7.0595997270000002</v>
      </c>
      <c r="N36" s="9"/>
      <c r="O36" s="22">
        <v>3.0975300000000001E-2</v>
      </c>
      <c r="P36" s="22">
        <v>10.345800000000001</v>
      </c>
      <c r="Q36" s="22">
        <v>-1.5881300000000001E-2</v>
      </c>
      <c r="R36" s="22">
        <v>26</v>
      </c>
      <c r="S36" s="22">
        <v>3.0688500000000001E-2</v>
      </c>
      <c r="T36">
        <f t="shared" si="2"/>
        <v>15.881300000000001</v>
      </c>
      <c r="U36">
        <f t="shared" si="3"/>
        <v>0.49192803189000006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5.0772300000000001</v>
      </c>
      <c r="I37" s="22">
        <v>-4.3804899999999999E-3</v>
      </c>
      <c r="J37" s="22">
        <v>27</v>
      </c>
      <c r="K37" s="22">
        <v>1.6827399999999999</v>
      </c>
      <c r="L37">
        <f t="shared" si="0"/>
        <v>4.38049</v>
      </c>
      <c r="M37">
        <f t="shared" si="1"/>
        <v>7.3772270138999998</v>
      </c>
      <c r="N37" s="9"/>
      <c r="O37" s="22">
        <v>3.60107E-2</v>
      </c>
      <c r="P37" s="22">
        <v>10.3558</v>
      </c>
      <c r="Q37" s="22">
        <v>-1.5881300000000001E-2</v>
      </c>
      <c r="R37" s="22">
        <v>27</v>
      </c>
      <c r="S37" s="22">
        <v>3.5699500000000002E-2</v>
      </c>
      <c r="T37">
        <f t="shared" si="2"/>
        <v>15.881300000000001</v>
      </c>
      <c r="U37">
        <f t="shared" si="3"/>
        <v>0.57189672991000007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5.0872999999999999</v>
      </c>
      <c r="I38" s="22">
        <v>-4.57794E-3</v>
      </c>
      <c r="J38" s="22">
        <v>28</v>
      </c>
      <c r="K38" s="22">
        <v>1.6784699999999999</v>
      </c>
      <c r="L38">
        <f t="shared" si="0"/>
        <v>4.5779399999999999</v>
      </c>
      <c r="M38">
        <f t="shared" si="1"/>
        <v>7.6867274951999995</v>
      </c>
      <c r="N38" s="9"/>
      <c r="O38" s="22">
        <v>4.1046100000000002E-2</v>
      </c>
      <c r="P38" s="22">
        <v>10.3659</v>
      </c>
      <c r="Q38" s="22">
        <v>-1.5887499999999999E-2</v>
      </c>
      <c r="R38" s="22">
        <v>28</v>
      </c>
      <c r="S38" s="22">
        <v>4.0801999999999998E-2</v>
      </c>
      <c r="T38">
        <f t="shared" si="2"/>
        <v>15.887499999999999</v>
      </c>
      <c r="U38">
        <f t="shared" si="3"/>
        <v>0.65211991375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5.0973800000000002</v>
      </c>
      <c r="I39" s="22">
        <v>-4.7759999999999999E-3</v>
      </c>
      <c r="J39" s="22">
        <v>29</v>
      </c>
      <c r="K39" s="22">
        <v>1.6729700000000001</v>
      </c>
      <c r="L39">
        <f t="shared" si="0"/>
        <v>4.7759999999999998</v>
      </c>
      <c r="M39">
        <f t="shared" si="1"/>
        <v>7.9952150399999997</v>
      </c>
      <c r="N39" s="9"/>
      <c r="O39" s="22">
        <v>4.6081499999999997E-2</v>
      </c>
      <c r="P39" s="22">
        <v>10.375999999999999</v>
      </c>
      <c r="Q39" s="22">
        <v>-1.5890499999999998E-2</v>
      </c>
      <c r="R39" s="22">
        <v>29</v>
      </c>
      <c r="S39" s="22">
        <v>4.5776400000000002E-2</v>
      </c>
      <c r="T39">
        <f t="shared" si="2"/>
        <v>15.890499999999998</v>
      </c>
      <c r="U39">
        <f t="shared" si="3"/>
        <v>0.7322580757499999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5.10745</v>
      </c>
      <c r="I40" s="22">
        <v>-4.9649000000000004E-3</v>
      </c>
      <c r="J40" s="22">
        <v>30</v>
      </c>
      <c r="K40" s="22">
        <v>1.6677900000000001</v>
      </c>
      <c r="L40">
        <f t="shared" si="0"/>
        <v>4.9649000000000001</v>
      </c>
      <c r="M40">
        <f t="shared" si="1"/>
        <v>8.2864677489999998</v>
      </c>
      <c r="N40" s="9"/>
      <c r="O40" s="22">
        <v>5.11169E-2</v>
      </c>
      <c r="P40" s="22">
        <v>10.386100000000001</v>
      </c>
      <c r="Q40" s="22">
        <v>-1.5890499999999998E-2</v>
      </c>
      <c r="R40" s="22">
        <v>30</v>
      </c>
      <c r="S40" s="22">
        <v>5.0891100000000002E-2</v>
      </c>
      <c r="T40">
        <f t="shared" si="2"/>
        <v>15.890499999999998</v>
      </c>
      <c r="U40">
        <f t="shared" si="3"/>
        <v>0.81227309944999992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5.1175199999999998</v>
      </c>
      <c r="I41" s="22">
        <v>-5.1544199999999998E-3</v>
      </c>
      <c r="J41" s="22">
        <v>31</v>
      </c>
      <c r="K41" s="22">
        <v>1.6629</v>
      </c>
      <c r="L41">
        <f t="shared" si="0"/>
        <v>5.15442</v>
      </c>
      <c r="M41">
        <f t="shared" si="1"/>
        <v>8.5768002473999996</v>
      </c>
      <c r="N41" s="9"/>
      <c r="O41" s="22">
        <v>5.6152300000000002E-2</v>
      </c>
      <c r="P41" s="22">
        <v>10.396100000000001</v>
      </c>
      <c r="Q41" s="22">
        <v>-1.5881300000000001E-2</v>
      </c>
      <c r="R41" s="22">
        <v>31</v>
      </c>
      <c r="S41" s="22">
        <v>5.5419900000000001E-2</v>
      </c>
      <c r="T41">
        <f t="shared" si="2"/>
        <v>15.881300000000001</v>
      </c>
      <c r="U41">
        <f t="shared" si="3"/>
        <v>0.89177152199000009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5.1275899999999996</v>
      </c>
      <c r="I42" s="22">
        <v>-5.3375200000000001E-3</v>
      </c>
      <c r="J42" s="22">
        <v>32</v>
      </c>
      <c r="K42" s="22">
        <v>1.65741</v>
      </c>
      <c r="L42">
        <f t="shared" si="0"/>
        <v>5.3375200000000005</v>
      </c>
      <c r="M42">
        <f t="shared" si="1"/>
        <v>8.8546254288000004</v>
      </c>
      <c r="N42" s="9"/>
      <c r="O42" s="22">
        <v>6.1187699999999998E-2</v>
      </c>
      <c r="P42" s="22">
        <v>10.4062</v>
      </c>
      <c r="Q42" s="22">
        <v>-1.58722E-2</v>
      </c>
      <c r="R42" s="22">
        <v>32</v>
      </c>
      <c r="S42" s="22">
        <v>6.0485799999999999E-2</v>
      </c>
      <c r="T42">
        <f t="shared" si="2"/>
        <v>15.872199999999999</v>
      </c>
      <c r="U42">
        <f t="shared" si="3"/>
        <v>0.97118341193999991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5.1376600000000003</v>
      </c>
      <c r="I43" s="22">
        <v>-5.5236800000000004E-3</v>
      </c>
      <c r="J43" s="22">
        <v>33</v>
      </c>
      <c r="K43" s="22">
        <v>1.65344</v>
      </c>
      <c r="L43">
        <f t="shared" si="0"/>
        <v>5.5236800000000006</v>
      </c>
      <c r="M43">
        <f t="shared" si="1"/>
        <v>9.135614352000001</v>
      </c>
      <c r="N43" s="9"/>
      <c r="O43" s="22">
        <v>6.6223099999999993E-2</v>
      </c>
      <c r="P43" s="22">
        <v>10.4163</v>
      </c>
      <c r="Q43" s="22">
        <v>-1.5869100000000001E-2</v>
      </c>
      <c r="R43" s="22">
        <v>33</v>
      </c>
      <c r="S43" s="22">
        <v>6.5521200000000002E-2</v>
      </c>
      <c r="T43">
        <f t="shared" si="2"/>
        <v>15.869100000000001</v>
      </c>
      <c r="U43">
        <f t="shared" si="3"/>
        <v>1.05090099621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5.1477300000000001</v>
      </c>
      <c r="I44" s="22">
        <v>-5.7067899999999998E-3</v>
      </c>
      <c r="J44" s="22">
        <v>34</v>
      </c>
      <c r="K44" s="22">
        <v>1.64734</v>
      </c>
      <c r="L44">
        <f t="shared" si="0"/>
        <v>5.7067899999999998</v>
      </c>
      <c r="M44">
        <f t="shared" si="1"/>
        <v>9.4096977594000002</v>
      </c>
      <c r="N44" s="9"/>
      <c r="O44" s="22">
        <v>7.1258500000000002E-2</v>
      </c>
      <c r="P44" s="22">
        <v>10.426299999999999</v>
      </c>
      <c r="Q44" s="22">
        <v>-1.5853900000000001E-2</v>
      </c>
      <c r="R44" s="22">
        <v>34</v>
      </c>
      <c r="S44" s="22">
        <v>7.0526099999999994E-2</v>
      </c>
      <c r="T44">
        <f t="shared" si="2"/>
        <v>15.853900000000001</v>
      </c>
      <c r="U44">
        <f t="shared" si="3"/>
        <v>1.1297251331500002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5.1577999999999999</v>
      </c>
      <c r="I45" s="22">
        <v>-5.8929400000000002E-3</v>
      </c>
      <c r="J45" s="22">
        <v>35</v>
      </c>
      <c r="K45" s="22">
        <v>1.64246</v>
      </c>
      <c r="L45">
        <f t="shared" si="0"/>
        <v>5.8929400000000003</v>
      </c>
      <c r="M45">
        <f t="shared" si="1"/>
        <v>9.6869915601999992</v>
      </c>
      <c r="N45" s="9"/>
      <c r="O45" s="22">
        <v>7.6293899999999998E-2</v>
      </c>
      <c r="P45" s="22">
        <v>10.436400000000001</v>
      </c>
      <c r="Q45" s="22">
        <v>-1.58447E-2</v>
      </c>
      <c r="R45" s="22">
        <v>35</v>
      </c>
      <c r="S45" s="22">
        <v>7.5561500000000004E-2</v>
      </c>
      <c r="T45">
        <f t="shared" si="2"/>
        <v>15.8447</v>
      </c>
      <c r="U45">
        <f t="shared" si="3"/>
        <v>1.2088539573299999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5.1678699999999997</v>
      </c>
      <c r="I46" s="22">
        <v>-6.0699500000000002E-3</v>
      </c>
      <c r="J46" s="22">
        <v>36</v>
      </c>
      <c r="K46" s="22">
        <v>1.63757</v>
      </c>
      <c r="L46">
        <f t="shared" si="0"/>
        <v>6.0699500000000004</v>
      </c>
      <c r="M46">
        <f t="shared" si="1"/>
        <v>9.9473733605000003</v>
      </c>
      <c r="N46" s="9"/>
      <c r="O46" s="22">
        <v>8.1329299999999993E-2</v>
      </c>
      <c r="P46" s="22">
        <v>10.4465</v>
      </c>
      <c r="Q46" s="22">
        <v>-1.5838600000000001E-2</v>
      </c>
      <c r="R46" s="22">
        <v>36</v>
      </c>
      <c r="S46" s="22">
        <v>8.0718999999999999E-2</v>
      </c>
      <c r="T46">
        <f t="shared" si="2"/>
        <v>15.838600000000001</v>
      </c>
      <c r="U46">
        <f t="shared" si="3"/>
        <v>1.28814225098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5.1779400000000004</v>
      </c>
      <c r="I47" s="22">
        <v>-6.2500000000000003E-3</v>
      </c>
      <c r="J47" s="22">
        <v>37</v>
      </c>
      <c r="K47" s="22">
        <v>1.633</v>
      </c>
      <c r="L47">
        <f t="shared" si="0"/>
        <v>6.25</v>
      </c>
      <c r="M47">
        <f t="shared" si="1"/>
        <v>10.211</v>
      </c>
      <c r="N47" s="9"/>
      <c r="O47" s="22">
        <v>8.6364700000000003E-2</v>
      </c>
      <c r="P47" s="22">
        <v>10.4566</v>
      </c>
      <c r="Q47" s="22">
        <v>-1.5835599999999998E-2</v>
      </c>
      <c r="R47" s="22">
        <v>37</v>
      </c>
      <c r="S47" s="22">
        <v>8.5693400000000003E-2</v>
      </c>
      <c r="T47">
        <f t="shared" si="2"/>
        <v>15.835599999999998</v>
      </c>
      <c r="U47">
        <f t="shared" si="3"/>
        <v>1.3676368433199999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5.1880100000000002</v>
      </c>
      <c r="I48" s="22">
        <v>-6.4178500000000001E-3</v>
      </c>
      <c r="J48" s="22">
        <v>38</v>
      </c>
      <c r="K48" s="22">
        <v>1.6272</v>
      </c>
      <c r="L48">
        <f t="shared" si="0"/>
        <v>6.4178500000000005</v>
      </c>
      <c r="M48">
        <f t="shared" si="1"/>
        <v>10.452880652000001</v>
      </c>
      <c r="N48" s="9"/>
      <c r="O48" s="22">
        <v>9.1400099999999998E-2</v>
      </c>
      <c r="P48" s="22">
        <v>10.4666</v>
      </c>
      <c r="Q48" s="22">
        <v>-1.5832499999999999E-2</v>
      </c>
      <c r="R48" s="22">
        <v>38</v>
      </c>
      <c r="S48" s="22">
        <v>9.0728799999999998E-2</v>
      </c>
      <c r="T48">
        <f t="shared" si="2"/>
        <v>15.8325</v>
      </c>
      <c r="U48">
        <f t="shared" si="3"/>
        <v>1.4470920832499998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5.1980899999999997</v>
      </c>
      <c r="I49" s="22">
        <v>-6.58875E-3</v>
      </c>
      <c r="J49" s="22">
        <v>39</v>
      </c>
      <c r="K49" s="22">
        <v>1.62262</v>
      </c>
      <c r="L49">
        <f t="shared" si="0"/>
        <v>6.5887500000000001</v>
      </c>
      <c r="M49">
        <f t="shared" si="1"/>
        <v>10.6980874875</v>
      </c>
      <c r="N49" s="9"/>
      <c r="O49" s="22">
        <v>9.6435499999999993E-2</v>
      </c>
      <c r="P49" s="22">
        <v>10.476699999999999</v>
      </c>
      <c r="Q49" s="22">
        <v>-1.5832499999999999E-2</v>
      </c>
      <c r="R49" s="22">
        <v>39</v>
      </c>
      <c r="S49" s="22">
        <v>9.5733600000000002E-2</v>
      </c>
      <c r="T49">
        <f t="shared" si="2"/>
        <v>15.8325</v>
      </c>
      <c r="U49">
        <f t="shared" si="3"/>
        <v>1.5268150537499998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5.2081600000000003</v>
      </c>
      <c r="I50" s="22">
        <v>-6.7535399999999997E-3</v>
      </c>
      <c r="J50" s="22">
        <v>40</v>
      </c>
      <c r="K50" s="22">
        <v>1.6180399999999999</v>
      </c>
      <c r="L50">
        <f t="shared" si="0"/>
        <v>6.7535400000000001</v>
      </c>
      <c r="M50">
        <f t="shared" si="1"/>
        <v>10.931617521</v>
      </c>
      <c r="N50" s="9"/>
      <c r="O50" s="22">
        <v>0.10147100000000001</v>
      </c>
      <c r="P50" s="22">
        <v>10.486800000000001</v>
      </c>
      <c r="Q50" s="22">
        <v>-1.5820299999999999E-2</v>
      </c>
      <c r="R50" s="22">
        <v>40</v>
      </c>
      <c r="S50" s="22">
        <v>0.1008</v>
      </c>
      <c r="T50">
        <f t="shared" si="2"/>
        <v>15.8203</v>
      </c>
      <c r="U50">
        <f t="shared" si="3"/>
        <v>1.6053016613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5.2182300000000001</v>
      </c>
      <c r="I51" s="22">
        <v>-6.9213900000000004E-3</v>
      </c>
      <c r="J51" s="22">
        <v>41</v>
      </c>
      <c r="K51" s="22">
        <v>1.6122399999999999</v>
      </c>
      <c r="L51">
        <f t="shared" si="0"/>
        <v>6.9213900000000006</v>
      </c>
      <c r="M51">
        <f t="shared" si="1"/>
        <v>11.168493331800001</v>
      </c>
      <c r="N51" s="9"/>
      <c r="O51" s="22">
        <v>0.106506</v>
      </c>
      <c r="P51" s="22">
        <v>10.4968</v>
      </c>
      <c r="Q51" s="22">
        <v>-1.5805099999999999E-2</v>
      </c>
      <c r="R51" s="22">
        <v>41</v>
      </c>
      <c r="S51" s="22">
        <v>0.105743</v>
      </c>
      <c r="T51">
        <f t="shared" si="2"/>
        <v>15.805099999999999</v>
      </c>
      <c r="U51">
        <f t="shared" si="3"/>
        <v>1.6833379806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5.2282999999999999</v>
      </c>
      <c r="I52" s="22">
        <v>-7.08313E-3</v>
      </c>
      <c r="J52" s="22">
        <v>42</v>
      </c>
      <c r="K52" s="22">
        <v>1.6076699999999999</v>
      </c>
      <c r="L52">
        <f t="shared" si="0"/>
        <v>7.0831299999999997</v>
      </c>
      <c r="M52">
        <f t="shared" si="1"/>
        <v>11.393781255399999</v>
      </c>
      <c r="N52" s="9"/>
      <c r="O52" s="22">
        <v>0.111542</v>
      </c>
      <c r="P52" s="22">
        <v>10.5069</v>
      </c>
      <c r="Q52" s="22">
        <v>-1.5799000000000001E-2</v>
      </c>
      <c r="R52" s="22">
        <v>42</v>
      </c>
      <c r="S52" s="22">
        <v>0.11083999999999999</v>
      </c>
      <c r="T52">
        <f t="shared" si="2"/>
        <v>15.799000000000001</v>
      </c>
      <c r="U52">
        <f t="shared" si="3"/>
        <v>1.7622520580000003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5.2383699999999997</v>
      </c>
      <c r="I53" s="22">
        <v>-7.2479199999999997E-3</v>
      </c>
      <c r="J53" s="22">
        <v>43</v>
      </c>
      <c r="K53" s="22">
        <v>1.6024799999999999</v>
      </c>
      <c r="L53">
        <f t="shared" si="0"/>
        <v>7.2479199999999997</v>
      </c>
      <c r="M53">
        <f t="shared" si="1"/>
        <v>11.622402116</v>
      </c>
      <c r="N53" s="9"/>
      <c r="O53" s="22">
        <v>0.116577</v>
      </c>
      <c r="P53" s="22">
        <v>10.516999999999999</v>
      </c>
      <c r="Q53" s="22">
        <v>-1.5786700000000001E-2</v>
      </c>
      <c r="R53" s="22">
        <v>43</v>
      </c>
      <c r="S53" s="22">
        <v>0.115814</v>
      </c>
      <c r="T53">
        <f t="shared" si="2"/>
        <v>15.786700000000002</v>
      </c>
      <c r="U53">
        <f t="shared" si="3"/>
        <v>1.8403661259000001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5.2484400000000004</v>
      </c>
      <c r="I54" s="22">
        <v>-7.40662E-3</v>
      </c>
      <c r="J54" s="22">
        <v>44</v>
      </c>
      <c r="K54" s="22">
        <v>1.5975999999999999</v>
      </c>
      <c r="L54">
        <f t="shared" si="0"/>
        <v>7.4066200000000002</v>
      </c>
      <c r="M54">
        <f t="shared" si="1"/>
        <v>11.839556136200001</v>
      </c>
      <c r="N54" s="9"/>
      <c r="O54" s="22">
        <v>0.121613</v>
      </c>
      <c r="P54" s="22">
        <v>10.527100000000001</v>
      </c>
      <c r="Q54" s="22">
        <v>-1.5786700000000001E-2</v>
      </c>
      <c r="R54" s="22">
        <v>44</v>
      </c>
      <c r="S54" s="22">
        <v>0.12094100000000001</v>
      </c>
      <c r="T54">
        <f t="shared" si="2"/>
        <v>15.786700000000002</v>
      </c>
      <c r="U54">
        <f t="shared" si="3"/>
        <v>1.9198679471000002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5.2585100000000002</v>
      </c>
      <c r="I55" s="22">
        <v>-7.5653099999999996E-3</v>
      </c>
      <c r="J55" s="22">
        <v>45</v>
      </c>
      <c r="K55" s="22">
        <v>1.5921000000000001</v>
      </c>
      <c r="L55">
        <f t="shared" si="0"/>
        <v>7.5653099999999993</v>
      </c>
      <c r="M55">
        <f t="shared" si="1"/>
        <v>12.055170178799999</v>
      </c>
      <c r="N55" s="9"/>
      <c r="O55" s="22">
        <v>0.12664800000000001</v>
      </c>
      <c r="P55" s="22">
        <v>10.537100000000001</v>
      </c>
      <c r="Q55" s="22">
        <v>-1.5792799999999999E-2</v>
      </c>
      <c r="R55" s="22">
        <v>45</v>
      </c>
      <c r="S55" s="22">
        <v>0.125916</v>
      </c>
      <c r="T55">
        <f t="shared" si="2"/>
        <v>15.7928</v>
      </c>
      <c r="U55">
        <f t="shared" si="3"/>
        <v>2.0001265344000001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5.26858</v>
      </c>
      <c r="I56" s="22">
        <v>-7.7209499999999999E-3</v>
      </c>
      <c r="J56" s="22">
        <v>46</v>
      </c>
      <c r="K56" s="22">
        <v>1.5872200000000001</v>
      </c>
      <c r="L56">
        <f t="shared" si="0"/>
        <v>7.7209500000000002</v>
      </c>
      <c r="M56">
        <f t="shared" si="1"/>
        <v>12.264265818</v>
      </c>
      <c r="N56" s="9"/>
      <c r="O56" s="22">
        <v>0.13168299999999999</v>
      </c>
      <c r="P56" s="22">
        <v>10.5472</v>
      </c>
      <c r="Q56" s="22">
        <v>-1.5786700000000001E-2</v>
      </c>
      <c r="R56" s="22">
        <v>46</v>
      </c>
      <c r="S56" s="22">
        <v>0.13092000000000001</v>
      </c>
      <c r="T56">
        <f t="shared" si="2"/>
        <v>15.786700000000002</v>
      </c>
      <c r="U56">
        <f t="shared" si="3"/>
        <v>2.0788400161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5.2786499999999998</v>
      </c>
      <c r="I57" s="22">
        <v>-7.8735400000000001E-3</v>
      </c>
      <c r="J57" s="22">
        <v>47</v>
      </c>
      <c r="K57" s="22">
        <v>1.58203</v>
      </c>
      <c r="L57">
        <f t="shared" si="0"/>
        <v>7.8735400000000002</v>
      </c>
      <c r="M57">
        <f t="shared" si="1"/>
        <v>12.466963236</v>
      </c>
      <c r="N57" s="9"/>
      <c r="O57" s="22">
        <v>0.13671900000000001</v>
      </c>
      <c r="P57" s="22">
        <v>10.5573</v>
      </c>
      <c r="Q57" s="22">
        <v>-1.5786700000000001E-2</v>
      </c>
      <c r="R57" s="22">
        <v>47</v>
      </c>
      <c r="S57" s="22">
        <v>0.13595599999999999</v>
      </c>
      <c r="T57">
        <f t="shared" si="2"/>
        <v>15.786700000000002</v>
      </c>
      <c r="U57">
        <f t="shared" si="3"/>
        <v>2.1583418373000005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5.2887199999999996</v>
      </c>
      <c r="I58" s="22">
        <v>-8.0291700000000004E-3</v>
      </c>
      <c r="J58" s="22">
        <v>48</v>
      </c>
      <c r="K58" s="22">
        <v>1.57684</v>
      </c>
      <c r="L58">
        <f t="shared" si="0"/>
        <v>8.0291700000000006</v>
      </c>
      <c r="M58">
        <f t="shared" si="1"/>
        <v>12.673001052900002</v>
      </c>
      <c r="N58" s="9"/>
      <c r="O58" s="22">
        <v>0.14175399999999999</v>
      </c>
      <c r="P58" s="22">
        <v>10.567299999999999</v>
      </c>
      <c r="Q58" s="22">
        <v>-1.5786700000000001E-2</v>
      </c>
      <c r="R58" s="22">
        <v>48</v>
      </c>
      <c r="S58" s="22">
        <v>0.14105200000000001</v>
      </c>
      <c r="T58">
        <f t="shared" si="2"/>
        <v>15.786700000000002</v>
      </c>
      <c r="U58">
        <f t="shared" si="3"/>
        <v>2.2378278718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5.2988</v>
      </c>
      <c r="I59" s="22">
        <v>-8.1726100000000003E-3</v>
      </c>
      <c r="J59" s="22">
        <v>49</v>
      </c>
      <c r="K59" s="22">
        <v>1.57196</v>
      </c>
      <c r="L59">
        <f t="shared" si="0"/>
        <v>8.1726100000000006</v>
      </c>
      <c r="M59">
        <f t="shared" si="1"/>
        <v>12.8582124913</v>
      </c>
      <c r="N59" s="9"/>
      <c r="O59" s="22">
        <v>0.14679</v>
      </c>
      <c r="P59" s="22">
        <v>10.577400000000001</v>
      </c>
      <c r="Q59" s="22">
        <v>-1.5786700000000001E-2</v>
      </c>
      <c r="R59" s="22">
        <v>49</v>
      </c>
      <c r="S59" s="22">
        <v>0.14599599999999999</v>
      </c>
      <c r="T59">
        <f t="shared" si="2"/>
        <v>15.786700000000002</v>
      </c>
      <c r="U59">
        <f t="shared" si="3"/>
        <v>2.3173296930000005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5.3088699999999998</v>
      </c>
      <c r="I60" s="22">
        <v>-8.3221400000000004E-3</v>
      </c>
      <c r="J60" s="22">
        <v>50</v>
      </c>
      <c r="K60" s="22">
        <v>1.56738</v>
      </c>
      <c r="L60">
        <f t="shared" si="0"/>
        <v>8.322140000000001</v>
      </c>
      <c r="M60">
        <f t="shared" si="1"/>
        <v>13.051612162000001</v>
      </c>
      <c r="N60" s="9"/>
      <c r="O60" s="22">
        <v>0.15182499999999999</v>
      </c>
      <c r="P60" s="22">
        <v>10.5875</v>
      </c>
      <c r="Q60" s="22">
        <v>-1.5786700000000001E-2</v>
      </c>
      <c r="R60" s="22">
        <v>50</v>
      </c>
      <c r="S60" s="22">
        <v>0.151062</v>
      </c>
      <c r="T60">
        <f t="shared" si="2"/>
        <v>15.786700000000002</v>
      </c>
      <c r="U60">
        <f t="shared" si="3"/>
        <v>2.3968157274999999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5.3189399999999996</v>
      </c>
      <c r="I61" s="22">
        <v>-8.4655800000000003E-3</v>
      </c>
      <c r="J61" s="22">
        <v>51</v>
      </c>
      <c r="K61" s="22">
        <v>1.56219</v>
      </c>
      <c r="L61">
        <f t="shared" si="0"/>
        <v>8.465580000000001</v>
      </c>
      <c r="M61">
        <f t="shared" si="1"/>
        <v>13.233902590800003</v>
      </c>
      <c r="N61" s="9"/>
      <c r="O61" s="22">
        <v>0.15686</v>
      </c>
      <c r="P61" s="22">
        <v>10.5976</v>
      </c>
      <c r="Q61" s="22">
        <v>-1.5780599999999999E-2</v>
      </c>
      <c r="R61" s="22">
        <v>51</v>
      </c>
      <c r="S61" s="22">
        <v>0.15615799999999999</v>
      </c>
      <c r="T61">
        <f t="shared" si="2"/>
        <v>15.780599999999998</v>
      </c>
      <c r="U61">
        <f t="shared" si="3"/>
        <v>2.4753449159999996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5.3290100000000002</v>
      </c>
      <c r="I62" s="22">
        <v>-8.6090100000000003E-3</v>
      </c>
      <c r="J62" s="22">
        <v>52</v>
      </c>
      <c r="K62" s="22">
        <v>1.55701</v>
      </c>
      <c r="L62">
        <f t="shared" si="0"/>
        <v>8.6090099999999996</v>
      </c>
      <c r="M62">
        <f t="shared" si="1"/>
        <v>13.4148176523</v>
      </c>
      <c r="N62" s="9"/>
      <c r="O62" s="22">
        <v>0.16189600000000001</v>
      </c>
      <c r="P62" s="22">
        <v>10.6076</v>
      </c>
      <c r="Q62" s="22">
        <v>-1.5786700000000001E-2</v>
      </c>
      <c r="R62" s="22">
        <v>52</v>
      </c>
      <c r="S62" s="22">
        <v>0.161133</v>
      </c>
      <c r="T62">
        <f t="shared" si="2"/>
        <v>15.786700000000002</v>
      </c>
      <c r="U62">
        <f t="shared" si="3"/>
        <v>2.5558035832000003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5.33908</v>
      </c>
      <c r="I63" s="22">
        <v>-8.7493899999999993E-3</v>
      </c>
      <c r="J63" s="22">
        <v>53</v>
      </c>
      <c r="K63" s="22">
        <v>1.5521199999999999</v>
      </c>
      <c r="L63">
        <f t="shared" si="0"/>
        <v>8.74939</v>
      </c>
      <c r="M63">
        <f t="shared" si="1"/>
        <v>13.589465054100001</v>
      </c>
      <c r="N63" s="9"/>
      <c r="O63" s="22">
        <v>0.166931</v>
      </c>
      <c r="P63" s="22">
        <v>10.617699999999999</v>
      </c>
      <c r="Q63" s="22">
        <v>-1.5786700000000001E-2</v>
      </c>
      <c r="R63" s="22">
        <v>53</v>
      </c>
      <c r="S63" s="22">
        <v>0.16619900000000001</v>
      </c>
      <c r="T63">
        <f t="shared" si="2"/>
        <v>15.786700000000002</v>
      </c>
      <c r="U63">
        <f t="shared" si="3"/>
        <v>2.6352896177000003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5.3491499999999998</v>
      </c>
      <c r="I64" s="22">
        <v>-8.88977E-3</v>
      </c>
      <c r="J64" s="22">
        <v>54</v>
      </c>
      <c r="K64" s="22">
        <v>1.5472399999999999</v>
      </c>
      <c r="L64">
        <f t="shared" si="0"/>
        <v>8.8897700000000004</v>
      </c>
      <c r="M64">
        <f t="shared" si="1"/>
        <v>13.7627863232</v>
      </c>
      <c r="N64" s="9"/>
      <c r="O64" s="22">
        <v>0.17196700000000001</v>
      </c>
      <c r="P64" s="22">
        <v>10.627800000000001</v>
      </c>
      <c r="Q64" s="22">
        <v>-1.5795900000000002E-2</v>
      </c>
      <c r="R64" s="22">
        <v>54</v>
      </c>
      <c r="S64" s="22">
        <v>0.171234</v>
      </c>
      <c r="T64">
        <f t="shared" si="2"/>
        <v>15.795900000000001</v>
      </c>
      <c r="U64">
        <f t="shared" si="3"/>
        <v>2.7163735353000003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5.3592199999999997</v>
      </c>
      <c r="I65" s="22">
        <v>-9.0209999999999995E-3</v>
      </c>
      <c r="J65" s="22">
        <v>55</v>
      </c>
      <c r="K65" s="22">
        <v>1.5420499999999999</v>
      </c>
      <c r="L65">
        <f t="shared" si="0"/>
        <v>9.020999999999999</v>
      </c>
      <c r="M65">
        <f t="shared" si="1"/>
        <v>13.92048552</v>
      </c>
      <c r="N65" s="9"/>
      <c r="O65" s="22">
        <v>0.17700199999999999</v>
      </c>
      <c r="P65" s="22">
        <v>10.6378</v>
      </c>
      <c r="Q65" s="22">
        <v>-1.5792799999999999E-2</v>
      </c>
      <c r="R65" s="22">
        <v>55</v>
      </c>
      <c r="S65" s="22">
        <v>0.176208</v>
      </c>
      <c r="T65">
        <f t="shared" si="2"/>
        <v>15.7928</v>
      </c>
      <c r="U65">
        <f t="shared" si="3"/>
        <v>2.7953571855999999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5.3692900000000003</v>
      </c>
      <c r="I66" s="22">
        <v>-9.1522200000000008E-3</v>
      </c>
      <c r="J66" s="22">
        <v>56</v>
      </c>
      <c r="K66" s="22">
        <v>1.53687</v>
      </c>
      <c r="L66">
        <f t="shared" si="0"/>
        <v>9.1522200000000016</v>
      </c>
      <c r="M66">
        <f t="shared" si="1"/>
        <v>14.076938059800002</v>
      </c>
      <c r="N66" s="9"/>
      <c r="O66" s="22">
        <v>0.182037</v>
      </c>
      <c r="P66" s="22">
        <v>10.6479</v>
      </c>
      <c r="Q66" s="22">
        <v>-1.5786700000000001E-2</v>
      </c>
      <c r="R66" s="22">
        <v>56</v>
      </c>
      <c r="S66" s="22">
        <v>0.18124399999999999</v>
      </c>
      <c r="T66">
        <f t="shared" si="2"/>
        <v>15.786700000000002</v>
      </c>
      <c r="U66">
        <f t="shared" si="3"/>
        <v>2.8737635079000001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5.3793600000000001</v>
      </c>
      <c r="I67" s="22">
        <v>-9.2864999999999996E-3</v>
      </c>
      <c r="J67" s="22">
        <v>57</v>
      </c>
      <c r="K67" s="22">
        <v>1.5316799999999999</v>
      </c>
      <c r="L67">
        <f t="shared" si="0"/>
        <v>9.2865000000000002</v>
      </c>
      <c r="M67">
        <f t="shared" si="1"/>
        <v>14.236668825000001</v>
      </c>
      <c r="N67" s="9"/>
      <c r="O67" s="22">
        <v>0.18707299999999999</v>
      </c>
      <c r="P67" s="22">
        <v>10.657999999999999</v>
      </c>
      <c r="Q67" s="22">
        <v>-1.5777599999999999E-2</v>
      </c>
      <c r="R67" s="22">
        <v>57</v>
      </c>
      <c r="S67" s="22">
        <v>0.18634000000000001</v>
      </c>
      <c r="T67">
        <f t="shared" si="2"/>
        <v>15.7776</v>
      </c>
      <c r="U67">
        <f t="shared" si="3"/>
        <v>2.9515629647999999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5.3894299999999999</v>
      </c>
      <c r="I68" s="22">
        <v>-9.4177199999999992E-3</v>
      </c>
      <c r="J68" s="22">
        <v>58</v>
      </c>
      <c r="K68" s="22">
        <v>1.5270999999999999</v>
      </c>
      <c r="L68">
        <f t="shared" si="0"/>
        <v>9.4177199999999992</v>
      </c>
      <c r="M68">
        <f t="shared" si="1"/>
        <v>14.390464514399998</v>
      </c>
      <c r="N68" s="9"/>
      <c r="O68" s="22">
        <v>0.192108</v>
      </c>
      <c r="P68" s="22">
        <v>10.667999999999999</v>
      </c>
      <c r="Q68" s="22">
        <v>-1.5765399999999999E-2</v>
      </c>
      <c r="R68" s="22">
        <v>58</v>
      </c>
      <c r="S68" s="22">
        <v>0.19131500000000001</v>
      </c>
      <c r="T68">
        <f t="shared" si="2"/>
        <v>15.7654</v>
      </c>
      <c r="U68">
        <f t="shared" si="3"/>
        <v>3.0286594631999999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5.3995100000000003</v>
      </c>
      <c r="I69" s="22">
        <v>-9.5489500000000005E-3</v>
      </c>
      <c r="J69" s="22">
        <v>59</v>
      </c>
      <c r="K69" s="22">
        <v>1.5222199999999999</v>
      </c>
      <c r="L69">
        <f t="shared" si="0"/>
        <v>9.5489500000000014</v>
      </c>
      <c r="M69">
        <f t="shared" si="1"/>
        <v>14.542859871000003</v>
      </c>
      <c r="N69" s="9"/>
      <c r="O69" s="22">
        <v>0.19714400000000001</v>
      </c>
      <c r="P69" s="22">
        <v>10.678100000000001</v>
      </c>
      <c r="Q69" s="22">
        <v>-1.57593E-2</v>
      </c>
      <c r="R69" s="22">
        <v>59</v>
      </c>
      <c r="S69" s="22">
        <v>0.19644200000000001</v>
      </c>
      <c r="T69">
        <f t="shared" si="2"/>
        <v>15.7593</v>
      </c>
      <c r="U69">
        <f t="shared" si="3"/>
        <v>3.1068514392000002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5.4095800000000001</v>
      </c>
      <c r="I70" s="22">
        <v>-9.6771200000000009E-3</v>
      </c>
      <c r="J70" s="22">
        <v>60</v>
      </c>
      <c r="K70" s="22">
        <v>1.5167200000000001</v>
      </c>
      <c r="L70">
        <f t="shared" si="0"/>
        <v>9.6771200000000004</v>
      </c>
      <c r="M70">
        <f t="shared" si="1"/>
        <v>14.689287532800002</v>
      </c>
      <c r="N70" s="9"/>
      <c r="O70" s="22">
        <v>0.202179</v>
      </c>
      <c r="P70" s="22">
        <v>10.6882</v>
      </c>
      <c r="Q70" s="22">
        <v>-1.57471E-2</v>
      </c>
      <c r="R70" s="22">
        <v>60</v>
      </c>
      <c r="S70" s="22">
        <v>0.20141600000000001</v>
      </c>
      <c r="T70">
        <f t="shared" si="2"/>
        <v>15.7471</v>
      </c>
      <c r="U70">
        <f t="shared" si="3"/>
        <v>3.1837329308999998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5.4196499999999999</v>
      </c>
      <c r="I71" s="22">
        <v>-9.8052999999999994E-3</v>
      </c>
      <c r="J71" s="22">
        <v>61</v>
      </c>
      <c r="K71" s="22">
        <v>1.5112300000000001</v>
      </c>
      <c r="L71">
        <f t="shared" si="0"/>
        <v>9.805299999999999</v>
      </c>
      <c r="M71">
        <f t="shared" si="1"/>
        <v>14.834536422999998</v>
      </c>
      <c r="N71" s="9"/>
      <c r="O71" s="22">
        <v>0.20721400000000001</v>
      </c>
      <c r="P71" s="22">
        <v>10.6983</v>
      </c>
      <c r="Q71" s="22">
        <v>-1.57349E-2</v>
      </c>
      <c r="R71" s="22">
        <v>61</v>
      </c>
      <c r="S71" s="22">
        <v>0.206451</v>
      </c>
      <c r="T71">
        <f t="shared" si="2"/>
        <v>15.7349</v>
      </c>
      <c r="U71">
        <f t="shared" si="3"/>
        <v>3.2604915686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5.4297199999999997</v>
      </c>
      <c r="I72" s="22">
        <v>-9.9334699999999998E-3</v>
      </c>
      <c r="J72" s="22">
        <v>62</v>
      </c>
      <c r="K72" s="22">
        <v>1.5069600000000001</v>
      </c>
      <c r="L72">
        <f t="shared" si="0"/>
        <v>9.9334699999999998</v>
      </c>
      <c r="M72">
        <f t="shared" si="1"/>
        <v>14.978381408900001</v>
      </c>
      <c r="N72" s="9"/>
      <c r="O72" s="22">
        <v>0.21224999999999999</v>
      </c>
      <c r="P72" s="22">
        <v>10.708299999999999</v>
      </c>
      <c r="Q72" s="22">
        <v>-1.5737899999999999E-2</v>
      </c>
      <c r="R72" s="22">
        <v>62</v>
      </c>
      <c r="S72" s="22">
        <v>0.21151700000000001</v>
      </c>
      <c r="T72">
        <f t="shared" si="2"/>
        <v>15.7379</v>
      </c>
      <c r="U72">
        <f t="shared" si="3"/>
        <v>3.340369275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5.4397900000000003</v>
      </c>
      <c r="I73" s="22">
        <v>-1.00494E-2</v>
      </c>
      <c r="J73" s="22">
        <v>63</v>
      </c>
      <c r="K73" s="22">
        <v>1.50146</v>
      </c>
      <c r="L73">
        <f t="shared" si="0"/>
        <v>10.0494</v>
      </c>
      <c r="M73">
        <f t="shared" si="1"/>
        <v>15.102640296000001</v>
      </c>
      <c r="N73" s="9"/>
      <c r="O73" s="22">
        <v>0.21728500000000001</v>
      </c>
      <c r="P73" s="22">
        <v>10.718400000000001</v>
      </c>
      <c r="Q73" s="22">
        <v>-1.57471E-2</v>
      </c>
      <c r="R73" s="22">
        <v>63</v>
      </c>
      <c r="S73" s="22">
        <v>0.216553</v>
      </c>
      <c r="T73">
        <f t="shared" si="2"/>
        <v>15.7471</v>
      </c>
      <c r="U73">
        <f t="shared" si="3"/>
        <v>3.4216086235000001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5.4498600000000001</v>
      </c>
      <c r="I74" s="22">
        <v>-1.01685E-2</v>
      </c>
      <c r="J74" s="22">
        <v>64</v>
      </c>
      <c r="K74" s="22">
        <v>1.4968900000000001</v>
      </c>
      <c r="L74">
        <f t="shared" si="0"/>
        <v>10.1685</v>
      </c>
      <c r="M74">
        <f t="shared" si="1"/>
        <v>15.230379299999999</v>
      </c>
      <c r="N74" s="9"/>
      <c r="O74" s="22">
        <v>0.22232099999999999</v>
      </c>
      <c r="P74" s="22">
        <v>10.7285</v>
      </c>
      <c r="Q74" s="22">
        <v>-1.5753199999999998E-2</v>
      </c>
      <c r="R74" s="22">
        <v>64</v>
      </c>
      <c r="S74" s="22">
        <v>0.221527</v>
      </c>
      <c r="T74">
        <f t="shared" si="2"/>
        <v>15.753199999999998</v>
      </c>
      <c r="U74">
        <f t="shared" si="3"/>
        <v>3.5022671771999994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5.4599299999999999</v>
      </c>
      <c r="I75" s="22">
        <v>-1.0284400000000001E-2</v>
      </c>
      <c r="J75" s="22">
        <v>65</v>
      </c>
      <c r="K75" s="22">
        <v>1.49139</v>
      </c>
      <c r="L75">
        <f t="shared" si="0"/>
        <v>10.284400000000002</v>
      </c>
      <c r="M75">
        <f t="shared" si="1"/>
        <v>15.352243788000001</v>
      </c>
      <c r="N75" s="9"/>
      <c r="O75" s="22">
        <v>0.227356</v>
      </c>
      <c r="P75" s="22">
        <v>10.7385</v>
      </c>
      <c r="Q75" s="22">
        <v>-1.57501E-2</v>
      </c>
      <c r="R75" s="22">
        <v>65</v>
      </c>
      <c r="S75" s="22">
        <v>0.22656299999999999</v>
      </c>
      <c r="T75">
        <f t="shared" si="2"/>
        <v>15.7501</v>
      </c>
      <c r="U75">
        <f t="shared" si="3"/>
        <v>3.5808797355999999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5.47</v>
      </c>
      <c r="I76" s="22">
        <v>-1.03943E-2</v>
      </c>
      <c r="J76" s="22">
        <v>66</v>
      </c>
      <c r="K76" s="22">
        <v>1.48712</v>
      </c>
      <c r="L76">
        <f t="shared" ref="L76:L139" si="4">-I76/$F$2*1000</f>
        <v>10.394300000000001</v>
      </c>
      <c r="M76">
        <f t="shared" ref="M76:M139" si="5">L76*G76</f>
        <v>15.463911939000003</v>
      </c>
      <c r="N76" s="9"/>
      <c r="O76" s="22">
        <v>0.23239099999999999</v>
      </c>
      <c r="P76" s="22">
        <v>10.7486</v>
      </c>
      <c r="Q76" s="22">
        <v>-1.57501E-2</v>
      </c>
      <c r="R76" s="22">
        <v>66</v>
      </c>
      <c r="S76" s="22">
        <v>0.231659</v>
      </c>
      <c r="T76">
        <f t="shared" ref="T76:T139" si="6">-Q76/$F$2*1000</f>
        <v>15.7501</v>
      </c>
      <c r="U76">
        <f t="shared" ref="U76:U139" si="7">T76*O76</f>
        <v>3.6601814890999997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5.4800700000000004</v>
      </c>
      <c r="I77" s="22">
        <v>-1.05042E-2</v>
      </c>
      <c r="J77" s="22">
        <v>67</v>
      </c>
      <c r="K77" s="22">
        <v>1.48163</v>
      </c>
      <c r="L77">
        <f t="shared" si="4"/>
        <v>10.504200000000001</v>
      </c>
      <c r="M77">
        <f t="shared" si="5"/>
        <v>15.574577340000001</v>
      </c>
      <c r="N77" s="9"/>
      <c r="O77" s="22">
        <v>0.237427</v>
      </c>
      <c r="P77" s="22">
        <v>10.758699999999999</v>
      </c>
      <c r="Q77" s="22">
        <v>-1.5744000000000001E-2</v>
      </c>
      <c r="R77" s="22">
        <v>67</v>
      </c>
      <c r="S77" s="22">
        <v>0.23669399999999999</v>
      </c>
      <c r="T77">
        <f t="shared" si="6"/>
        <v>15.744000000000002</v>
      </c>
      <c r="U77">
        <f t="shared" si="7"/>
        <v>3.7380506880000004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5.4901400000000002</v>
      </c>
      <c r="I78" s="22">
        <v>-1.0614E-2</v>
      </c>
      <c r="J78" s="22">
        <v>68</v>
      </c>
      <c r="K78" s="22">
        <v>1.47675</v>
      </c>
      <c r="L78">
        <f t="shared" si="4"/>
        <v>10.614000000000001</v>
      </c>
      <c r="M78">
        <f t="shared" si="5"/>
        <v>15.68388324</v>
      </c>
      <c r="N78" s="9"/>
      <c r="O78" s="22">
        <v>0.24246200000000001</v>
      </c>
      <c r="P78" s="22">
        <v>10.768800000000001</v>
      </c>
      <c r="Q78" s="22">
        <v>-1.5741000000000002E-2</v>
      </c>
      <c r="R78" s="22">
        <v>68</v>
      </c>
      <c r="S78" s="22">
        <v>0.241699</v>
      </c>
      <c r="T78">
        <f t="shared" si="6"/>
        <v>15.741000000000001</v>
      </c>
      <c r="U78">
        <f t="shared" si="7"/>
        <v>3.8165943420000006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5.5002199999999997</v>
      </c>
      <c r="I79" s="22">
        <v>-1.0720800000000001E-2</v>
      </c>
      <c r="J79" s="22">
        <v>69</v>
      </c>
      <c r="K79" s="22">
        <v>1.4712499999999999</v>
      </c>
      <c r="L79">
        <f t="shared" si="4"/>
        <v>10.720800000000001</v>
      </c>
      <c r="M79">
        <f t="shared" si="5"/>
        <v>15.787771704000003</v>
      </c>
      <c r="N79" s="9"/>
      <c r="O79" s="22">
        <v>0.247498</v>
      </c>
      <c r="P79" s="22">
        <v>10.7788</v>
      </c>
      <c r="Q79" s="22">
        <v>-1.5741000000000002E-2</v>
      </c>
      <c r="R79" s="22">
        <v>69</v>
      </c>
      <c r="S79" s="22">
        <v>0.24679599999999999</v>
      </c>
      <c r="T79">
        <f t="shared" si="6"/>
        <v>15.741000000000001</v>
      </c>
      <c r="U79">
        <f t="shared" si="7"/>
        <v>3.8958660180000004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5.5102900000000004</v>
      </c>
      <c r="I80" s="22">
        <v>-1.08307E-2</v>
      </c>
      <c r="J80" s="22">
        <v>70</v>
      </c>
      <c r="K80" s="22">
        <v>1.4666699999999999</v>
      </c>
      <c r="L80">
        <f t="shared" si="4"/>
        <v>10.8307</v>
      </c>
      <c r="M80">
        <f t="shared" si="5"/>
        <v>15.895027013</v>
      </c>
      <c r="N80" s="9"/>
      <c r="O80" s="22">
        <v>0.25253300000000001</v>
      </c>
      <c r="P80" s="22">
        <v>10.7889</v>
      </c>
      <c r="Q80" s="22">
        <v>-1.57349E-2</v>
      </c>
      <c r="R80" s="22">
        <v>70</v>
      </c>
      <c r="S80" s="22">
        <v>0.25170900000000002</v>
      </c>
      <c r="T80">
        <f t="shared" si="6"/>
        <v>15.7349</v>
      </c>
      <c r="U80">
        <f t="shared" si="7"/>
        <v>3.9735815017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5.5203600000000002</v>
      </c>
      <c r="I81" s="22">
        <v>-1.0937499999999999E-2</v>
      </c>
      <c r="J81" s="22">
        <v>71</v>
      </c>
      <c r="K81" s="22">
        <v>1.46149</v>
      </c>
      <c r="L81">
        <f t="shared" si="4"/>
        <v>10.9375</v>
      </c>
      <c r="M81">
        <f t="shared" si="5"/>
        <v>15.996640625</v>
      </c>
      <c r="N81" s="9"/>
      <c r="O81" s="22">
        <v>0.25756800000000002</v>
      </c>
      <c r="P81" s="22">
        <v>10.798999999999999</v>
      </c>
      <c r="Q81" s="22">
        <v>-1.5728800000000001E-2</v>
      </c>
      <c r="R81" s="22">
        <v>71</v>
      </c>
      <c r="S81" s="22">
        <v>0.25677499999999998</v>
      </c>
      <c r="T81">
        <f t="shared" si="6"/>
        <v>15.728800000000001</v>
      </c>
      <c r="U81">
        <f t="shared" si="7"/>
        <v>4.051235558400001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5.53043</v>
      </c>
      <c r="I82" s="22">
        <v>-1.1047400000000001E-2</v>
      </c>
      <c r="J82" s="22">
        <v>72</v>
      </c>
      <c r="K82" s="22">
        <v>1.4565999999999999</v>
      </c>
      <c r="L82">
        <f t="shared" si="4"/>
        <v>11.047400000000001</v>
      </c>
      <c r="M82">
        <f t="shared" si="5"/>
        <v>16.101806448000001</v>
      </c>
      <c r="N82" s="9"/>
      <c r="O82" s="22">
        <v>0.262604</v>
      </c>
      <c r="P82" s="22">
        <v>10.808999999999999</v>
      </c>
      <c r="Q82" s="22">
        <v>-1.5722699999999999E-2</v>
      </c>
      <c r="R82" s="22">
        <v>72</v>
      </c>
      <c r="S82" s="22">
        <v>0.26184099999999999</v>
      </c>
      <c r="T82">
        <f t="shared" si="6"/>
        <v>15.7227</v>
      </c>
      <c r="U82">
        <f t="shared" si="7"/>
        <v>4.1288439107999997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5.5404999999999998</v>
      </c>
      <c r="I83" s="22">
        <v>-1.1145E-2</v>
      </c>
      <c r="J83" s="22">
        <v>73</v>
      </c>
      <c r="K83" s="22">
        <v>1.4514199999999999</v>
      </c>
      <c r="L83">
        <f t="shared" si="4"/>
        <v>11.145</v>
      </c>
      <c r="M83">
        <f t="shared" si="5"/>
        <v>16.187889599999998</v>
      </c>
      <c r="N83" s="9"/>
      <c r="O83" s="22">
        <v>0.26763900000000002</v>
      </c>
      <c r="P83" s="22">
        <v>10.819100000000001</v>
      </c>
      <c r="Q83" s="22">
        <v>-1.5716600000000001E-2</v>
      </c>
      <c r="R83" s="22">
        <v>73</v>
      </c>
      <c r="S83" s="22">
        <v>0.266876</v>
      </c>
      <c r="T83">
        <f t="shared" si="6"/>
        <v>15.716600000000001</v>
      </c>
      <c r="U83">
        <f t="shared" si="7"/>
        <v>4.2063751074000004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5.5505699999999996</v>
      </c>
      <c r="I84" s="22">
        <v>-1.1239600000000001E-2</v>
      </c>
      <c r="J84" s="22">
        <v>74</v>
      </c>
      <c r="K84" s="22">
        <v>1.4459200000000001</v>
      </c>
      <c r="L84">
        <f t="shared" si="4"/>
        <v>11.239600000000001</v>
      </c>
      <c r="M84">
        <f t="shared" si="5"/>
        <v>16.268759020000001</v>
      </c>
      <c r="N84" s="9"/>
      <c r="O84" s="22">
        <v>0.272675</v>
      </c>
      <c r="P84" s="22">
        <v>10.8292</v>
      </c>
      <c r="Q84" s="22">
        <v>-1.5713499999999998E-2</v>
      </c>
      <c r="R84" s="22">
        <v>74</v>
      </c>
      <c r="S84" s="22">
        <v>0.27188099999999998</v>
      </c>
      <c r="T84">
        <f t="shared" si="6"/>
        <v>15.713499999999998</v>
      </c>
      <c r="U84">
        <f t="shared" si="7"/>
        <v>4.2846786124999996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5.5606400000000002</v>
      </c>
      <c r="I85" s="22">
        <v>-1.13312E-2</v>
      </c>
      <c r="J85" s="22">
        <v>75</v>
      </c>
      <c r="K85" s="22">
        <v>1.4407300000000001</v>
      </c>
      <c r="L85">
        <f t="shared" si="4"/>
        <v>11.331199999999999</v>
      </c>
      <c r="M85">
        <f t="shared" si="5"/>
        <v>16.344236191999997</v>
      </c>
      <c r="N85" s="9"/>
      <c r="O85" s="22">
        <v>0.27771000000000001</v>
      </c>
      <c r="P85" s="22">
        <v>10.8393</v>
      </c>
      <c r="Q85" s="22">
        <v>-1.57074E-2</v>
      </c>
      <c r="R85" s="22">
        <v>75</v>
      </c>
      <c r="S85" s="22">
        <v>0.27691700000000002</v>
      </c>
      <c r="T85">
        <f t="shared" si="6"/>
        <v>15.7074</v>
      </c>
      <c r="U85">
        <f t="shared" si="7"/>
        <v>4.3621020540000002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5.5707100000000001</v>
      </c>
      <c r="I86" s="22">
        <v>-1.1428799999999999E-2</v>
      </c>
      <c r="J86" s="22">
        <v>76</v>
      </c>
      <c r="K86" s="22">
        <v>1.4364600000000001</v>
      </c>
      <c r="L86">
        <f t="shared" si="4"/>
        <v>11.428799999999999</v>
      </c>
      <c r="M86">
        <f t="shared" si="5"/>
        <v>16.427528544000001</v>
      </c>
      <c r="N86" s="9"/>
      <c r="O86" s="22">
        <v>0.28274500000000002</v>
      </c>
      <c r="P86" s="22">
        <v>10.849299999999999</v>
      </c>
      <c r="Q86" s="22">
        <v>-1.5701300000000001E-2</v>
      </c>
      <c r="R86" s="22">
        <v>76</v>
      </c>
      <c r="S86" s="22">
        <v>0.28192099999999998</v>
      </c>
      <c r="T86">
        <f t="shared" si="6"/>
        <v>15.701300000000002</v>
      </c>
      <c r="U86">
        <f t="shared" si="7"/>
        <v>4.4394640685000004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5.5807799999999999</v>
      </c>
      <c r="I87" s="22">
        <v>-1.1517299999999999E-2</v>
      </c>
      <c r="J87" s="22">
        <v>77</v>
      </c>
      <c r="K87" s="22">
        <v>1.4315800000000001</v>
      </c>
      <c r="L87">
        <f t="shared" si="4"/>
        <v>11.517299999999999</v>
      </c>
      <c r="M87">
        <f t="shared" si="5"/>
        <v>16.496689481999997</v>
      </c>
      <c r="N87" s="9"/>
      <c r="O87" s="22">
        <v>0.28778100000000001</v>
      </c>
      <c r="P87" s="22">
        <v>10.859400000000001</v>
      </c>
      <c r="Q87" s="22">
        <v>-1.5689100000000001E-2</v>
      </c>
      <c r="R87" s="22">
        <v>77</v>
      </c>
      <c r="S87" s="22">
        <v>0.28698699999999999</v>
      </c>
      <c r="T87">
        <f t="shared" si="6"/>
        <v>15.689100000000002</v>
      </c>
      <c r="U87">
        <f t="shared" si="7"/>
        <v>4.5150248871000009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5.5908499999999997</v>
      </c>
      <c r="I88" s="22">
        <v>-1.16089E-2</v>
      </c>
      <c r="J88" s="22">
        <v>78</v>
      </c>
      <c r="K88" s="22">
        <v>1.42578</v>
      </c>
      <c r="L88">
        <f t="shared" si="4"/>
        <v>11.6089</v>
      </c>
      <c r="M88">
        <f t="shared" si="5"/>
        <v>16.569499059000002</v>
      </c>
      <c r="N88" s="9"/>
      <c r="O88" s="22">
        <v>0.29281600000000002</v>
      </c>
      <c r="P88" s="22">
        <v>10.8695</v>
      </c>
      <c r="Q88" s="22">
        <v>-1.56799E-2</v>
      </c>
      <c r="R88" s="22">
        <v>78</v>
      </c>
      <c r="S88" s="22">
        <v>0.29202299999999998</v>
      </c>
      <c r="T88">
        <f t="shared" si="6"/>
        <v>15.6799</v>
      </c>
      <c r="U88">
        <f t="shared" si="7"/>
        <v>4.5913255984000001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5.60093</v>
      </c>
      <c r="I89" s="22">
        <v>-1.16974E-2</v>
      </c>
      <c r="J89" s="22">
        <v>79</v>
      </c>
      <c r="K89" s="22">
        <v>1.42181</v>
      </c>
      <c r="L89">
        <f t="shared" si="4"/>
        <v>11.6974</v>
      </c>
      <c r="M89">
        <f t="shared" si="5"/>
        <v>16.636861098000001</v>
      </c>
      <c r="N89" s="9"/>
      <c r="O89" s="22">
        <v>0.29785200000000001</v>
      </c>
      <c r="P89" s="22">
        <v>10.8795</v>
      </c>
      <c r="Q89" s="22">
        <v>-1.5676900000000001E-2</v>
      </c>
      <c r="R89" s="22">
        <v>79</v>
      </c>
      <c r="S89" s="22">
        <v>0.29702800000000001</v>
      </c>
      <c r="T89">
        <f t="shared" si="6"/>
        <v>15.6769</v>
      </c>
      <c r="U89">
        <f t="shared" si="7"/>
        <v>4.6693960187999997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5.6109999999999998</v>
      </c>
      <c r="I90" s="22">
        <v>-1.1795E-2</v>
      </c>
      <c r="J90" s="22">
        <v>80</v>
      </c>
      <c r="K90" s="22">
        <v>1.41632</v>
      </c>
      <c r="L90">
        <f t="shared" si="4"/>
        <v>11.795</v>
      </c>
      <c r="M90">
        <f t="shared" si="5"/>
        <v>16.716345799999999</v>
      </c>
      <c r="N90" s="9"/>
      <c r="O90" s="22">
        <v>0.30288700000000002</v>
      </c>
      <c r="P90" s="22">
        <v>10.8896</v>
      </c>
      <c r="Q90" s="22">
        <v>-1.56799E-2</v>
      </c>
      <c r="R90" s="22">
        <v>80</v>
      </c>
      <c r="S90" s="22">
        <v>0.30209399999999997</v>
      </c>
      <c r="T90">
        <f t="shared" si="6"/>
        <v>15.6799</v>
      </c>
      <c r="U90">
        <f t="shared" si="7"/>
        <v>4.7492378713000001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5.6210699999999996</v>
      </c>
      <c r="I91" s="22">
        <v>-1.1892700000000001E-2</v>
      </c>
      <c r="J91" s="22">
        <v>81</v>
      </c>
      <c r="K91" s="22">
        <v>1.41113</v>
      </c>
      <c r="L91">
        <f t="shared" si="4"/>
        <v>11.892700000000001</v>
      </c>
      <c r="M91">
        <f t="shared" si="5"/>
        <v>16.794870939999999</v>
      </c>
      <c r="N91" s="9"/>
      <c r="O91" s="22">
        <v>0.30792199999999997</v>
      </c>
      <c r="P91" s="22">
        <v>10.899699999999999</v>
      </c>
      <c r="Q91" s="22">
        <v>-1.56799E-2</v>
      </c>
      <c r="R91" s="22">
        <v>81</v>
      </c>
      <c r="S91" s="22">
        <v>0.30712899999999999</v>
      </c>
      <c r="T91">
        <f t="shared" si="6"/>
        <v>15.6799</v>
      </c>
      <c r="U91">
        <f t="shared" si="7"/>
        <v>4.8281861677999993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5.6311400000000003</v>
      </c>
      <c r="I92" s="22">
        <v>-1.1981199999999999E-2</v>
      </c>
      <c r="J92" s="22">
        <v>82</v>
      </c>
      <c r="K92" s="22">
        <v>1.40625</v>
      </c>
      <c r="L92">
        <f t="shared" si="4"/>
        <v>11.981199999999999</v>
      </c>
      <c r="M92">
        <f t="shared" si="5"/>
        <v>16.859585203999998</v>
      </c>
      <c r="N92" s="9"/>
      <c r="O92" s="22">
        <v>0.31295800000000001</v>
      </c>
      <c r="P92" s="22">
        <v>10.909800000000001</v>
      </c>
      <c r="Q92" s="22">
        <v>-1.5670799999999999E-2</v>
      </c>
      <c r="R92" s="22">
        <v>82</v>
      </c>
      <c r="S92" s="22">
        <v>0.31213400000000002</v>
      </c>
      <c r="T92">
        <f t="shared" si="6"/>
        <v>15.670799999999998</v>
      </c>
      <c r="U92">
        <f t="shared" si="7"/>
        <v>4.9043022263999996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5.6412100000000001</v>
      </c>
      <c r="I93" s="22">
        <v>-1.2063600000000001E-2</v>
      </c>
      <c r="J93" s="22">
        <v>83</v>
      </c>
      <c r="K93" s="22">
        <v>1.40045</v>
      </c>
      <c r="L93">
        <f t="shared" si="4"/>
        <v>12.063600000000001</v>
      </c>
      <c r="M93">
        <f t="shared" si="5"/>
        <v>16.914735468000003</v>
      </c>
      <c r="N93" s="9"/>
      <c r="O93" s="22">
        <v>0.31799300000000003</v>
      </c>
      <c r="P93" s="22">
        <v>10.9198</v>
      </c>
      <c r="Q93" s="22">
        <v>-1.5670799999999999E-2</v>
      </c>
      <c r="R93" s="22">
        <v>83</v>
      </c>
      <c r="S93" s="22">
        <v>0.31716899999999998</v>
      </c>
      <c r="T93">
        <f t="shared" si="6"/>
        <v>15.670799999999998</v>
      </c>
      <c r="U93">
        <f t="shared" si="7"/>
        <v>4.9832047043999994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5.6512799999999999</v>
      </c>
      <c r="I94" s="22">
        <v>-1.21399E-2</v>
      </c>
      <c r="J94" s="22">
        <v>84</v>
      </c>
      <c r="K94" s="22">
        <v>1.3958699999999999</v>
      </c>
      <c r="L94">
        <f t="shared" si="4"/>
        <v>12.139900000000001</v>
      </c>
      <c r="M94">
        <f t="shared" si="5"/>
        <v>16.960532891</v>
      </c>
      <c r="N94" s="9"/>
      <c r="O94" s="22">
        <v>0.32302900000000001</v>
      </c>
      <c r="P94" s="22">
        <v>10.9299</v>
      </c>
      <c r="Q94" s="22">
        <v>-1.56677E-2</v>
      </c>
      <c r="R94" s="22">
        <v>84</v>
      </c>
      <c r="S94" s="22">
        <v>0.32220500000000002</v>
      </c>
      <c r="T94">
        <f t="shared" si="6"/>
        <v>15.6677</v>
      </c>
      <c r="U94">
        <f t="shared" si="7"/>
        <v>5.0611214633000001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5.6613499999999997</v>
      </c>
      <c r="I95" s="22">
        <v>-1.22162E-2</v>
      </c>
      <c r="J95" s="22">
        <v>85</v>
      </c>
      <c r="K95" s="22">
        <v>1.3913</v>
      </c>
      <c r="L95">
        <f t="shared" si="4"/>
        <v>12.216200000000001</v>
      </c>
      <c r="M95">
        <f t="shared" si="5"/>
        <v>17.005683372</v>
      </c>
      <c r="N95" s="9"/>
      <c r="O95" s="22">
        <v>0.32806400000000002</v>
      </c>
      <c r="P95" s="22">
        <v>10.94</v>
      </c>
      <c r="Q95" s="22">
        <v>-1.56647E-2</v>
      </c>
      <c r="R95" s="22">
        <v>85</v>
      </c>
      <c r="S95" s="22">
        <v>0.32723999999999998</v>
      </c>
      <c r="T95">
        <f t="shared" si="6"/>
        <v>15.6647</v>
      </c>
      <c r="U95">
        <f t="shared" si="7"/>
        <v>5.1390241408000001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5.6714200000000003</v>
      </c>
      <c r="I96" s="22">
        <v>-1.2301599999999999E-2</v>
      </c>
      <c r="J96" s="22">
        <v>86</v>
      </c>
      <c r="K96" s="22">
        <v>1.38611</v>
      </c>
      <c r="L96">
        <f t="shared" si="4"/>
        <v>12.301599999999999</v>
      </c>
      <c r="M96">
        <f t="shared" si="5"/>
        <v>17.062565231999997</v>
      </c>
      <c r="N96" s="9"/>
      <c r="O96" s="22">
        <v>0.33309899999999998</v>
      </c>
      <c r="P96" s="22">
        <v>10.95</v>
      </c>
      <c r="Q96" s="22">
        <v>-1.56677E-2</v>
      </c>
      <c r="R96" s="22">
        <v>86</v>
      </c>
      <c r="S96" s="22">
        <v>0.33227499999999999</v>
      </c>
      <c r="T96">
        <f t="shared" si="6"/>
        <v>15.6677</v>
      </c>
      <c r="U96">
        <f t="shared" si="7"/>
        <v>5.2188952022999997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5.6814900000000002</v>
      </c>
      <c r="I97" s="22">
        <v>-1.2381E-2</v>
      </c>
      <c r="J97" s="22">
        <v>87</v>
      </c>
      <c r="K97" s="22">
        <v>1.3809199999999999</v>
      </c>
      <c r="L97">
        <f t="shared" si="4"/>
        <v>12.381</v>
      </c>
      <c r="M97">
        <f t="shared" si="5"/>
        <v>17.110418190000001</v>
      </c>
      <c r="N97" s="9"/>
      <c r="O97" s="22">
        <v>0.33813500000000002</v>
      </c>
      <c r="P97" s="22">
        <v>10.960100000000001</v>
      </c>
      <c r="Q97" s="22">
        <v>-1.5670799999999999E-2</v>
      </c>
      <c r="R97" s="22">
        <v>87</v>
      </c>
      <c r="S97" s="22">
        <v>0.33724999999999999</v>
      </c>
      <c r="T97">
        <f t="shared" si="6"/>
        <v>15.670799999999998</v>
      </c>
      <c r="U97">
        <f t="shared" si="7"/>
        <v>5.2988459579999994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5.69156</v>
      </c>
      <c r="I98" s="22">
        <v>-1.2457299999999999E-2</v>
      </c>
      <c r="J98" s="22">
        <v>88</v>
      </c>
      <c r="K98" s="22">
        <v>1.3760399999999999</v>
      </c>
      <c r="L98">
        <f t="shared" si="4"/>
        <v>12.4573</v>
      </c>
      <c r="M98">
        <f t="shared" si="5"/>
        <v>17.153079235</v>
      </c>
      <c r="N98" s="9"/>
      <c r="O98" s="22">
        <v>0.34316999999999998</v>
      </c>
      <c r="P98" s="22">
        <v>10.9702</v>
      </c>
      <c r="Q98" s="22">
        <v>-1.56647E-2</v>
      </c>
      <c r="R98" s="22">
        <v>88</v>
      </c>
      <c r="S98" s="22">
        <v>0.34225499999999998</v>
      </c>
      <c r="T98">
        <f t="shared" si="6"/>
        <v>15.6647</v>
      </c>
      <c r="U98">
        <f t="shared" si="7"/>
        <v>5.3756550989999994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5.7016400000000003</v>
      </c>
      <c r="I99" s="22">
        <v>-1.25366E-2</v>
      </c>
      <c r="J99" s="22">
        <v>89</v>
      </c>
      <c r="K99" s="22">
        <v>1.3711500000000001</v>
      </c>
      <c r="L99">
        <f t="shared" si="4"/>
        <v>12.5366</v>
      </c>
      <c r="M99">
        <f t="shared" si="5"/>
        <v>17.199212272</v>
      </c>
      <c r="N99" s="9"/>
      <c r="O99" s="22">
        <v>0.34820600000000002</v>
      </c>
      <c r="P99" s="22">
        <v>10.9802</v>
      </c>
      <c r="Q99" s="22">
        <v>-1.5658600000000002E-2</v>
      </c>
      <c r="R99" s="22">
        <v>89</v>
      </c>
      <c r="S99" s="22">
        <v>0.347412</v>
      </c>
      <c r="T99">
        <f t="shared" si="6"/>
        <v>15.658600000000002</v>
      </c>
      <c r="U99">
        <f t="shared" si="7"/>
        <v>5.4524184716000006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5.7117100000000001</v>
      </c>
      <c r="I100" s="22">
        <v>-1.26099E-2</v>
      </c>
      <c r="J100" s="22">
        <v>90</v>
      </c>
      <c r="K100" s="22">
        <v>1.3659699999999999</v>
      </c>
      <c r="L100">
        <f t="shared" si="4"/>
        <v>12.6099</v>
      </c>
      <c r="M100">
        <f t="shared" si="5"/>
        <v>17.236220112000002</v>
      </c>
      <c r="N100" s="9"/>
      <c r="O100" s="22">
        <v>0.35324100000000003</v>
      </c>
      <c r="P100" s="22">
        <v>10.9903</v>
      </c>
      <c r="Q100" s="22">
        <v>-1.56647E-2</v>
      </c>
      <c r="R100" s="22">
        <v>90</v>
      </c>
      <c r="S100" s="22">
        <v>0.352356</v>
      </c>
      <c r="T100">
        <f t="shared" si="6"/>
        <v>15.6647</v>
      </c>
      <c r="U100">
        <f t="shared" si="7"/>
        <v>5.5334142927000007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5.7217799999999999</v>
      </c>
      <c r="I101" s="22">
        <v>-1.2683099999999999E-2</v>
      </c>
      <c r="J101" s="22">
        <v>91</v>
      </c>
      <c r="K101" s="22">
        <v>1.3610800000000001</v>
      </c>
      <c r="L101">
        <f t="shared" si="4"/>
        <v>12.6831</v>
      </c>
      <c r="M101">
        <f t="shared" si="5"/>
        <v>17.272479735000001</v>
      </c>
      <c r="N101" s="9"/>
      <c r="O101" s="22">
        <v>0.35827599999999998</v>
      </c>
      <c r="P101" s="22">
        <v>11.000400000000001</v>
      </c>
      <c r="Q101" s="22">
        <v>-1.56647E-2</v>
      </c>
      <c r="R101" s="22">
        <v>91</v>
      </c>
      <c r="S101" s="22">
        <v>0.35742200000000002</v>
      </c>
      <c r="T101">
        <f t="shared" si="6"/>
        <v>15.6647</v>
      </c>
      <c r="U101">
        <f t="shared" si="7"/>
        <v>5.6122860571999995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5.7318499999999997</v>
      </c>
      <c r="I102" s="22">
        <v>-1.27533E-2</v>
      </c>
      <c r="J102" s="22">
        <v>92</v>
      </c>
      <c r="K102" s="22">
        <v>1.3555900000000001</v>
      </c>
      <c r="L102">
        <f t="shared" si="4"/>
        <v>12.753300000000001</v>
      </c>
      <c r="M102">
        <f t="shared" si="5"/>
        <v>17.303804973000002</v>
      </c>
      <c r="N102" s="9"/>
      <c r="O102" s="22">
        <v>0.36331200000000002</v>
      </c>
      <c r="P102" s="22">
        <v>11.0105</v>
      </c>
      <c r="Q102" s="22">
        <v>-1.56677E-2</v>
      </c>
      <c r="R102" s="22">
        <v>92</v>
      </c>
      <c r="S102" s="22">
        <v>0.36245699999999997</v>
      </c>
      <c r="T102">
        <f t="shared" si="6"/>
        <v>15.6677</v>
      </c>
      <c r="U102">
        <f t="shared" si="7"/>
        <v>5.6922634223999999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5.7419200000000004</v>
      </c>
      <c r="I103" s="22">
        <v>-1.2814300000000001E-2</v>
      </c>
      <c r="J103" s="22">
        <v>93</v>
      </c>
      <c r="K103" s="22">
        <v>1.35101</v>
      </c>
      <c r="L103">
        <f t="shared" si="4"/>
        <v>12.814300000000001</v>
      </c>
      <c r="M103">
        <f t="shared" si="5"/>
        <v>17.322114454000001</v>
      </c>
      <c r="N103" s="9"/>
      <c r="O103" s="22">
        <v>0.36834699999999998</v>
      </c>
      <c r="P103" s="22">
        <v>11.0205</v>
      </c>
      <c r="Q103" s="22">
        <v>-1.5670799999999999E-2</v>
      </c>
      <c r="R103" s="22">
        <v>93</v>
      </c>
      <c r="S103" s="22">
        <v>0.36752299999999999</v>
      </c>
      <c r="T103">
        <f t="shared" si="6"/>
        <v>15.670799999999998</v>
      </c>
      <c r="U103">
        <f t="shared" si="7"/>
        <v>5.772292167599999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5.7519900000000002</v>
      </c>
      <c r="I104" s="22">
        <v>-1.2881500000000001E-2</v>
      </c>
      <c r="J104" s="22">
        <v>94</v>
      </c>
      <c r="K104" s="22">
        <v>1.3458300000000001</v>
      </c>
      <c r="L104">
        <f t="shared" si="4"/>
        <v>12.881500000000001</v>
      </c>
      <c r="M104">
        <f t="shared" si="5"/>
        <v>17.348031310000003</v>
      </c>
      <c r="N104" s="9"/>
      <c r="O104" s="22">
        <v>0.37338300000000002</v>
      </c>
      <c r="P104" s="22">
        <v>11.0306</v>
      </c>
      <c r="Q104" s="22">
        <v>-1.5658600000000002E-2</v>
      </c>
      <c r="R104" s="22">
        <v>94</v>
      </c>
      <c r="S104" s="22">
        <v>0.37246699999999999</v>
      </c>
      <c r="T104">
        <f t="shared" si="6"/>
        <v>15.658600000000002</v>
      </c>
      <c r="U104">
        <f t="shared" si="7"/>
        <v>5.8466550438000011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5.76206</v>
      </c>
      <c r="I105" s="22">
        <v>-1.2948599999999999E-2</v>
      </c>
      <c r="J105" s="22">
        <v>95</v>
      </c>
      <c r="K105" s="22">
        <v>1.34094</v>
      </c>
      <c r="L105">
        <f t="shared" si="4"/>
        <v>12.948599999999999</v>
      </c>
      <c r="M105">
        <f t="shared" si="5"/>
        <v>17.373266105999999</v>
      </c>
      <c r="N105" s="9"/>
      <c r="O105" s="22">
        <v>0.37841799999999998</v>
      </c>
      <c r="P105" s="22">
        <v>11.040699999999999</v>
      </c>
      <c r="Q105" s="22">
        <v>-1.5649400000000001E-2</v>
      </c>
      <c r="R105" s="22">
        <v>95</v>
      </c>
      <c r="S105" s="22">
        <v>0.37756299999999998</v>
      </c>
      <c r="T105">
        <f t="shared" si="6"/>
        <v>15.6494</v>
      </c>
      <c r="U105">
        <f t="shared" si="7"/>
        <v>5.9220146491999994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5.7721299999999998</v>
      </c>
      <c r="I106" s="22">
        <v>-1.3021899999999999E-2</v>
      </c>
      <c r="J106" s="22">
        <v>96</v>
      </c>
      <c r="K106" s="22">
        <v>1.33575</v>
      </c>
      <c r="L106">
        <f t="shared" si="4"/>
        <v>13.021899999999999</v>
      </c>
      <c r="M106">
        <f t="shared" si="5"/>
        <v>17.405983072999998</v>
      </c>
      <c r="N106" s="9"/>
      <c r="O106" s="22">
        <v>0.38345299999999999</v>
      </c>
      <c r="P106" s="22">
        <v>11.050700000000001</v>
      </c>
      <c r="Q106" s="22">
        <v>-1.5640299999999999E-2</v>
      </c>
      <c r="R106" s="22">
        <v>96</v>
      </c>
      <c r="S106" s="22">
        <v>0.38266</v>
      </c>
      <c r="T106">
        <f t="shared" si="6"/>
        <v>15.6403</v>
      </c>
      <c r="U106">
        <f t="shared" si="7"/>
        <v>5.9973199559000001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5.7821999999999996</v>
      </c>
      <c r="I107" s="22">
        <v>-1.3085899999999999E-2</v>
      </c>
      <c r="J107" s="22">
        <v>97</v>
      </c>
      <c r="K107" s="22">
        <v>1.33057</v>
      </c>
      <c r="L107">
        <f t="shared" si="4"/>
        <v>13.085899999999999</v>
      </c>
      <c r="M107">
        <f t="shared" si="5"/>
        <v>17.425577016999998</v>
      </c>
      <c r="N107" s="9"/>
      <c r="O107" s="22">
        <v>0.38848899999999997</v>
      </c>
      <c r="P107" s="22">
        <v>11.0608</v>
      </c>
      <c r="Q107" s="22">
        <v>-1.56372E-2</v>
      </c>
      <c r="R107" s="22">
        <v>97</v>
      </c>
      <c r="S107" s="22">
        <v>0.38763399999999998</v>
      </c>
      <c r="T107">
        <f t="shared" si="6"/>
        <v>15.6372</v>
      </c>
      <c r="U107">
        <f t="shared" si="7"/>
        <v>6.0748801907999992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5.7922700000000003</v>
      </c>
      <c r="I108" s="22">
        <v>-1.3153099999999999E-2</v>
      </c>
      <c r="J108" s="22">
        <v>98</v>
      </c>
      <c r="K108" s="22">
        <v>1.32538</v>
      </c>
      <c r="L108">
        <f t="shared" si="4"/>
        <v>13.153099999999998</v>
      </c>
      <c r="M108">
        <f t="shared" si="5"/>
        <v>17.448902459999999</v>
      </c>
      <c r="N108" s="9"/>
      <c r="O108" s="22">
        <v>0.39352399999999998</v>
      </c>
      <c r="P108" s="22">
        <v>11.0709</v>
      </c>
      <c r="Q108" s="22">
        <v>-1.5631099999999998E-2</v>
      </c>
      <c r="R108" s="22">
        <v>98</v>
      </c>
      <c r="S108" s="22">
        <v>0.39269999999999999</v>
      </c>
      <c r="T108">
        <f t="shared" si="6"/>
        <v>15.631099999999998</v>
      </c>
      <c r="U108">
        <f t="shared" si="7"/>
        <v>6.1512129963999991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5.8023499999999997</v>
      </c>
      <c r="I109" s="22">
        <v>-1.3214099999999999E-2</v>
      </c>
      <c r="J109" s="22">
        <v>99</v>
      </c>
      <c r="K109" s="22">
        <v>1.3205</v>
      </c>
      <c r="L109">
        <f t="shared" si="4"/>
        <v>13.2141</v>
      </c>
      <c r="M109">
        <f t="shared" si="5"/>
        <v>17.463225996000002</v>
      </c>
      <c r="N109" s="9"/>
      <c r="O109" s="22">
        <v>0.39856000000000003</v>
      </c>
      <c r="P109" s="22">
        <v>11.081</v>
      </c>
      <c r="Q109" s="22">
        <v>-1.5625E-2</v>
      </c>
      <c r="R109" s="22">
        <v>99</v>
      </c>
      <c r="S109" s="22">
        <v>0.397644</v>
      </c>
      <c r="T109">
        <f t="shared" si="6"/>
        <v>15.625</v>
      </c>
      <c r="U109">
        <f t="shared" si="7"/>
        <v>6.2275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5.8124200000000004</v>
      </c>
      <c r="I110" s="22">
        <v>-1.32721E-2</v>
      </c>
      <c r="J110" s="22">
        <v>100</v>
      </c>
      <c r="K110" s="22">
        <v>1.3156099999999999</v>
      </c>
      <c r="L110">
        <f t="shared" si="4"/>
        <v>13.2721</v>
      </c>
      <c r="M110">
        <f t="shared" si="5"/>
        <v>17.473117812999998</v>
      </c>
      <c r="N110" s="9"/>
      <c r="O110" s="22">
        <v>0.40359499999999998</v>
      </c>
      <c r="P110" s="22">
        <v>11.090999999999999</v>
      </c>
      <c r="Q110" s="22">
        <v>-1.56189E-2</v>
      </c>
      <c r="R110" s="22">
        <v>100</v>
      </c>
      <c r="S110" s="22">
        <v>0.40283200000000002</v>
      </c>
      <c r="T110">
        <f t="shared" si="6"/>
        <v>15.6189</v>
      </c>
      <c r="U110">
        <f t="shared" si="7"/>
        <v>6.3037099454999996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5.8224900000000002</v>
      </c>
      <c r="I111" s="22">
        <v>-1.3333100000000001E-2</v>
      </c>
      <c r="J111" s="22">
        <v>101</v>
      </c>
      <c r="K111" s="22">
        <v>1.31012</v>
      </c>
      <c r="L111">
        <f t="shared" si="4"/>
        <v>13.3331</v>
      </c>
      <c r="M111">
        <f t="shared" si="5"/>
        <v>17.486227319000001</v>
      </c>
      <c r="N111" s="9"/>
      <c r="O111" s="22">
        <v>0.40862999999999999</v>
      </c>
      <c r="P111" s="22">
        <v>11.101100000000001</v>
      </c>
      <c r="Q111" s="22">
        <v>-1.56036E-2</v>
      </c>
      <c r="R111" s="22">
        <v>101</v>
      </c>
      <c r="S111" s="22">
        <v>0.40783700000000001</v>
      </c>
      <c r="T111">
        <f t="shared" si="6"/>
        <v>15.6036</v>
      </c>
      <c r="U111">
        <f t="shared" si="7"/>
        <v>6.3760990680000003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5.83256</v>
      </c>
      <c r="I112" s="22">
        <v>-1.33942E-2</v>
      </c>
      <c r="J112" s="22">
        <v>102</v>
      </c>
      <c r="K112" s="22">
        <v>1.3055399999999999</v>
      </c>
      <c r="L112">
        <f t="shared" si="4"/>
        <v>13.3942</v>
      </c>
      <c r="M112">
        <f t="shared" si="5"/>
        <v>17.498986532</v>
      </c>
      <c r="N112" s="9"/>
      <c r="O112" s="22">
        <v>0.41366599999999998</v>
      </c>
      <c r="P112" s="22">
        <v>11.1112</v>
      </c>
      <c r="Q112" s="22">
        <v>-1.56036E-2</v>
      </c>
      <c r="R112" s="22">
        <v>102</v>
      </c>
      <c r="S112" s="22">
        <v>0.41284199999999999</v>
      </c>
      <c r="T112">
        <f t="shared" si="6"/>
        <v>15.6036</v>
      </c>
      <c r="U112">
        <f t="shared" si="7"/>
        <v>6.4546787975999997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5.8426299999999998</v>
      </c>
      <c r="I113" s="22">
        <v>-1.3446E-2</v>
      </c>
      <c r="J113" s="22">
        <v>103</v>
      </c>
      <c r="K113" s="22">
        <v>1.3000499999999999</v>
      </c>
      <c r="L113">
        <f t="shared" si="4"/>
        <v>13.446</v>
      </c>
      <c r="M113">
        <f t="shared" si="5"/>
        <v>17.498893320000001</v>
      </c>
      <c r="N113" s="9"/>
      <c r="O113" s="22">
        <v>0.41870099999999999</v>
      </c>
      <c r="P113" s="22">
        <v>11.1212</v>
      </c>
      <c r="Q113" s="22">
        <v>-1.56036E-2</v>
      </c>
      <c r="R113" s="22">
        <v>103</v>
      </c>
      <c r="S113" s="22">
        <v>0.41784700000000002</v>
      </c>
      <c r="T113">
        <f t="shared" si="6"/>
        <v>15.6036</v>
      </c>
      <c r="U113">
        <f t="shared" si="7"/>
        <v>6.5332429235999996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5.8526999999999996</v>
      </c>
      <c r="I114" s="22">
        <v>-1.34979E-2</v>
      </c>
      <c r="J114" s="22">
        <v>104</v>
      </c>
      <c r="K114" s="22">
        <v>1.2954699999999999</v>
      </c>
      <c r="L114">
        <f t="shared" si="4"/>
        <v>13.4979</v>
      </c>
      <c r="M114">
        <f t="shared" si="5"/>
        <v>17.498542580999999</v>
      </c>
      <c r="N114" s="9"/>
      <c r="O114" s="22">
        <v>0.42373699999999997</v>
      </c>
      <c r="P114" s="22">
        <v>11.1313</v>
      </c>
      <c r="Q114" s="22">
        <v>-1.5606699999999999E-2</v>
      </c>
      <c r="R114" s="22">
        <v>104</v>
      </c>
      <c r="S114" s="22">
        <v>0.42285200000000001</v>
      </c>
      <c r="T114">
        <f t="shared" si="6"/>
        <v>15.6067</v>
      </c>
      <c r="U114">
        <f t="shared" si="7"/>
        <v>6.6131362379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5.8627700000000003</v>
      </c>
      <c r="I115" s="22">
        <v>-1.35529E-2</v>
      </c>
      <c r="J115" s="22">
        <v>105</v>
      </c>
      <c r="K115" s="22">
        <v>1.2899799999999999</v>
      </c>
      <c r="L115">
        <f t="shared" si="4"/>
        <v>13.552899999999999</v>
      </c>
      <c r="M115">
        <f t="shared" si="5"/>
        <v>17.501537414999998</v>
      </c>
      <c r="N115" s="9"/>
      <c r="O115" s="22">
        <v>0.42877199999999999</v>
      </c>
      <c r="P115" s="22">
        <v>11.141400000000001</v>
      </c>
      <c r="Q115" s="22">
        <v>-1.5609700000000001E-2</v>
      </c>
      <c r="R115" s="22">
        <v>105</v>
      </c>
      <c r="S115" s="22">
        <v>0.427948</v>
      </c>
      <c r="T115">
        <f t="shared" si="6"/>
        <v>15.6097</v>
      </c>
      <c r="U115">
        <f t="shared" si="7"/>
        <v>6.6930022883999998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5.8728400000000001</v>
      </c>
      <c r="I116" s="22">
        <v>-1.36017E-2</v>
      </c>
      <c r="J116" s="22">
        <v>106</v>
      </c>
      <c r="K116" s="22">
        <v>1.2850999999999999</v>
      </c>
      <c r="L116">
        <f t="shared" si="4"/>
        <v>13.601699999999999</v>
      </c>
      <c r="M116">
        <f t="shared" si="5"/>
        <v>17.496138743999996</v>
      </c>
      <c r="N116" s="9"/>
      <c r="O116" s="22">
        <v>0.433807</v>
      </c>
      <c r="P116" s="22">
        <v>11.1515</v>
      </c>
      <c r="Q116" s="22">
        <v>-1.5600599999999999E-2</v>
      </c>
      <c r="R116" s="22">
        <v>106</v>
      </c>
      <c r="S116" s="22">
        <v>0.43295299999999998</v>
      </c>
      <c r="T116">
        <f t="shared" si="6"/>
        <v>15.6006</v>
      </c>
      <c r="U116">
        <f t="shared" si="7"/>
        <v>6.7676494841999997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5.8829099999999999</v>
      </c>
      <c r="I117" s="22">
        <v>-1.36566E-2</v>
      </c>
      <c r="J117" s="22">
        <v>107</v>
      </c>
      <c r="K117" s="22">
        <v>1.2799100000000001</v>
      </c>
      <c r="L117">
        <f t="shared" si="4"/>
        <v>13.656599999999999</v>
      </c>
      <c r="M117">
        <f t="shared" si="5"/>
        <v>17.497928448</v>
      </c>
      <c r="N117" s="9"/>
      <c r="O117" s="22">
        <v>0.43884299999999998</v>
      </c>
      <c r="P117" s="22">
        <v>11.1615</v>
      </c>
      <c r="Q117" s="22">
        <v>-1.5594500000000001E-2</v>
      </c>
      <c r="R117" s="22">
        <v>107</v>
      </c>
      <c r="S117" s="22">
        <v>0.43795800000000001</v>
      </c>
      <c r="T117">
        <f t="shared" si="6"/>
        <v>15.5945</v>
      </c>
      <c r="U117">
        <f t="shared" si="7"/>
        <v>6.8435371634999997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5.8929799999999997</v>
      </c>
      <c r="I118" s="22">
        <v>-1.37146E-2</v>
      </c>
      <c r="J118" s="22">
        <v>108</v>
      </c>
      <c r="K118" s="22">
        <v>1.27563</v>
      </c>
      <c r="L118">
        <f t="shared" si="4"/>
        <v>13.714600000000001</v>
      </c>
      <c r="M118">
        <f t="shared" si="5"/>
        <v>17.503258250000002</v>
      </c>
      <c r="N118" s="9"/>
      <c r="O118" s="22">
        <v>0.44387799999999999</v>
      </c>
      <c r="P118" s="22">
        <v>11.1716</v>
      </c>
      <c r="Q118" s="22">
        <v>-1.55823E-2</v>
      </c>
      <c r="R118" s="22">
        <v>108</v>
      </c>
      <c r="S118" s="22">
        <v>0.44308500000000001</v>
      </c>
      <c r="T118">
        <f t="shared" si="6"/>
        <v>15.5823</v>
      </c>
      <c r="U118">
        <f t="shared" si="7"/>
        <v>6.9166401594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5.90306</v>
      </c>
      <c r="I119" s="22">
        <v>-1.37634E-2</v>
      </c>
      <c r="J119" s="22">
        <v>109</v>
      </c>
      <c r="K119" s="22">
        <v>1.2704500000000001</v>
      </c>
      <c r="L119">
        <f t="shared" si="4"/>
        <v>13.763400000000001</v>
      </c>
      <c r="M119">
        <f t="shared" si="5"/>
        <v>17.496171713999999</v>
      </c>
      <c r="N119" s="9"/>
      <c r="O119" s="22">
        <v>0.44891399999999998</v>
      </c>
      <c r="P119" s="22">
        <v>11.181699999999999</v>
      </c>
      <c r="Q119" s="22">
        <v>-1.55762E-2</v>
      </c>
      <c r="R119" s="22">
        <v>109</v>
      </c>
      <c r="S119" s="22">
        <v>0.44799800000000001</v>
      </c>
      <c r="T119">
        <f t="shared" si="6"/>
        <v>15.5762</v>
      </c>
      <c r="U119">
        <f t="shared" si="7"/>
        <v>6.9923742467999999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5.9131299999999998</v>
      </c>
      <c r="I120" s="22">
        <v>-1.38123E-2</v>
      </c>
      <c r="J120" s="22">
        <v>110</v>
      </c>
      <c r="K120" s="22">
        <v>1.26495</v>
      </c>
      <c r="L120">
        <f t="shared" si="4"/>
        <v>13.8123</v>
      </c>
      <c r="M120">
        <f t="shared" si="5"/>
        <v>17.488719891000002</v>
      </c>
      <c r="N120" s="9"/>
      <c r="O120" s="22">
        <v>0.45394899999999999</v>
      </c>
      <c r="P120" s="22">
        <v>11.191700000000001</v>
      </c>
      <c r="Q120" s="22">
        <v>-1.55762E-2</v>
      </c>
      <c r="R120" s="22">
        <v>110</v>
      </c>
      <c r="S120" s="22">
        <v>0.45318599999999998</v>
      </c>
      <c r="T120">
        <f t="shared" si="6"/>
        <v>15.5762</v>
      </c>
      <c r="U120">
        <f t="shared" si="7"/>
        <v>7.0708004137999998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5.9231999999999996</v>
      </c>
      <c r="I121" s="22">
        <v>-1.3858000000000001E-2</v>
      </c>
      <c r="J121" s="22">
        <v>111</v>
      </c>
      <c r="K121" s="22">
        <v>1.26007</v>
      </c>
      <c r="L121">
        <f t="shared" si="4"/>
        <v>13.858000000000001</v>
      </c>
      <c r="M121">
        <f t="shared" si="5"/>
        <v>17.476878119999999</v>
      </c>
      <c r="N121" s="9"/>
      <c r="O121" s="22">
        <v>0.458984</v>
      </c>
      <c r="P121" s="22">
        <v>11.2018</v>
      </c>
      <c r="Q121" s="22">
        <v>-1.5566999999999999E-2</v>
      </c>
      <c r="R121" s="22">
        <v>111</v>
      </c>
      <c r="S121" s="22">
        <v>0.45809899999999998</v>
      </c>
      <c r="T121">
        <f t="shared" si="6"/>
        <v>15.566999999999998</v>
      </c>
      <c r="U121">
        <f t="shared" si="7"/>
        <v>7.1450039279999995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5.9332700000000003</v>
      </c>
      <c r="I122" s="22">
        <v>-1.39008E-2</v>
      </c>
      <c r="J122" s="22">
        <v>112</v>
      </c>
      <c r="K122" s="22">
        <v>1.25488</v>
      </c>
      <c r="L122">
        <f t="shared" si="4"/>
        <v>13.9008</v>
      </c>
      <c r="M122">
        <f t="shared" si="5"/>
        <v>17.460794880000002</v>
      </c>
      <c r="N122" s="9"/>
      <c r="O122" s="22">
        <v>0.46401999999999999</v>
      </c>
      <c r="P122" s="22">
        <v>11.2119</v>
      </c>
      <c r="Q122" s="22">
        <v>-1.5564E-2</v>
      </c>
      <c r="R122" s="22">
        <v>112</v>
      </c>
      <c r="S122" s="22">
        <v>0.463196</v>
      </c>
      <c r="T122">
        <f t="shared" si="6"/>
        <v>15.564</v>
      </c>
      <c r="U122">
        <f t="shared" si="7"/>
        <v>7.2220072799999997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5.9433400000000001</v>
      </c>
      <c r="I123" s="22">
        <v>-1.39343E-2</v>
      </c>
      <c r="J123" s="22">
        <v>113</v>
      </c>
      <c r="K123" s="22">
        <v>1.25031</v>
      </c>
      <c r="L123">
        <f t="shared" si="4"/>
        <v>13.9343</v>
      </c>
      <c r="M123">
        <f t="shared" si="5"/>
        <v>17.432784700999999</v>
      </c>
      <c r="N123" s="9"/>
      <c r="O123" s="22">
        <v>0.469055</v>
      </c>
      <c r="P123" s="22">
        <v>11.222</v>
      </c>
      <c r="Q123" s="22">
        <v>-1.5564E-2</v>
      </c>
      <c r="R123" s="22">
        <v>113</v>
      </c>
      <c r="S123" s="22">
        <v>0.46823100000000001</v>
      </c>
      <c r="T123">
        <f t="shared" si="6"/>
        <v>15.564</v>
      </c>
      <c r="U123">
        <f t="shared" si="7"/>
        <v>7.3003720200000002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5.9534099999999999</v>
      </c>
      <c r="I124" s="22">
        <v>-1.39709E-2</v>
      </c>
      <c r="J124" s="22">
        <v>114</v>
      </c>
      <c r="K124" s="22">
        <v>1.24512</v>
      </c>
      <c r="L124">
        <f t="shared" si="4"/>
        <v>13.9709</v>
      </c>
      <c r="M124">
        <f t="shared" si="5"/>
        <v>17.408160527</v>
      </c>
      <c r="N124" s="9"/>
      <c r="O124" s="22">
        <v>0.47409099999999998</v>
      </c>
      <c r="P124" s="22">
        <v>11.231999999999999</v>
      </c>
      <c r="Q124" s="22">
        <v>-1.5560900000000001E-2</v>
      </c>
      <c r="R124" s="22">
        <v>114</v>
      </c>
      <c r="S124" s="22">
        <v>0.47320600000000002</v>
      </c>
      <c r="T124">
        <f t="shared" si="6"/>
        <v>15.5609</v>
      </c>
      <c r="U124">
        <f t="shared" si="7"/>
        <v>7.3772826418999999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5.9634799999999997</v>
      </c>
      <c r="I125" s="22">
        <v>-1.40106E-2</v>
      </c>
      <c r="J125" s="22">
        <v>115</v>
      </c>
      <c r="K125" s="22">
        <v>1.2396199999999999</v>
      </c>
      <c r="L125">
        <f t="shared" si="4"/>
        <v>14.0106</v>
      </c>
      <c r="M125">
        <f t="shared" si="5"/>
        <v>17.387154600000002</v>
      </c>
      <c r="N125" s="9"/>
      <c r="O125" s="22">
        <v>0.479126</v>
      </c>
      <c r="P125" s="22">
        <v>11.242100000000001</v>
      </c>
      <c r="Q125" s="22">
        <v>-1.5560900000000001E-2</v>
      </c>
      <c r="R125" s="22">
        <v>115</v>
      </c>
      <c r="S125" s="22">
        <v>0.47824100000000003</v>
      </c>
      <c r="T125">
        <f t="shared" si="6"/>
        <v>15.5609</v>
      </c>
      <c r="U125">
        <f t="shared" si="7"/>
        <v>7.4556317734000004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5.9735500000000004</v>
      </c>
      <c r="I126" s="22">
        <v>-1.4041100000000001E-2</v>
      </c>
      <c r="J126" s="22">
        <v>116</v>
      </c>
      <c r="K126" s="22">
        <v>1.23566</v>
      </c>
      <c r="L126">
        <f t="shared" si="4"/>
        <v>14.0411</v>
      </c>
      <c r="M126">
        <f t="shared" si="5"/>
        <v>17.354237955999999</v>
      </c>
      <c r="N126" s="9"/>
      <c r="O126" s="22">
        <v>0.48416100000000001</v>
      </c>
      <c r="P126" s="22">
        <v>11.2522</v>
      </c>
      <c r="Q126" s="22">
        <v>-1.55579E-2</v>
      </c>
      <c r="R126" s="22">
        <v>116</v>
      </c>
      <c r="S126" s="22">
        <v>0.48327599999999998</v>
      </c>
      <c r="T126">
        <f t="shared" si="6"/>
        <v>15.5579</v>
      </c>
      <c r="U126">
        <f t="shared" si="7"/>
        <v>7.5325284219000004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5.9836200000000002</v>
      </c>
      <c r="I127" s="22">
        <v>-1.4074700000000001E-2</v>
      </c>
      <c r="J127" s="22">
        <v>117</v>
      </c>
      <c r="K127" s="22">
        <v>1.2295499999999999</v>
      </c>
      <c r="L127">
        <f t="shared" si="4"/>
        <v>14.0747</v>
      </c>
      <c r="M127">
        <f t="shared" si="5"/>
        <v>17.324970471</v>
      </c>
      <c r="N127" s="9"/>
      <c r="O127" s="22">
        <v>0.48919699999999999</v>
      </c>
      <c r="P127" s="22">
        <v>11.2622</v>
      </c>
      <c r="Q127" s="22">
        <v>-1.5560900000000001E-2</v>
      </c>
      <c r="R127" s="22">
        <v>117</v>
      </c>
      <c r="S127" s="22">
        <v>0.48840299999999998</v>
      </c>
      <c r="T127">
        <f t="shared" si="6"/>
        <v>15.5609</v>
      </c>
      <c r="U127">
        <f t="shared" si="7"/>
        <v>7.6123455973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5.99369</v>
      </c>
      <c r="I128" s="22">
        <v>-1.4114399999999999E-2</v>
      </c>
      <c r="J128" s="22">
        <v>118</v>
      </c>
      <c r="K128" s="22">
        <v>1.2246699999999999</v>
      </c>
      <c r="L128">
        <f t="shared" si="4"/>
        <v>14.1144</v>
      </c>
      <c r="M128">
        <f t="shared" si="5"/>
        <v>17.302701815999999</v>
      </c>
      <c r="N128" s="9"/>
      <c r="O128" s="22">
        <v>0.494232</v>
      </c>
      <c r="P128" s="22">
        <v>11.2723</v>
      </c>
      <c r="Q128" s="22">
        <v>-1.55579E-2</v>
      </c>
      <c r="R128" s="22">
        <v>118</v>
      </c>
      <c r="S128" s="22">
        <v>0.49343900000000002</v>
      </c>
      <c r="T128">
        <f t="shared" si="6"/>
        <v>15.5579</v>
      </c>
      <c r="U128">
        <f t="shared" si="7"/>
        <v>7.6892120328000004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6.0037700000000003</v>
      </c>
      <c r="I129" s="22">
        <v>-1.41479E-2</v>
      </c>
      <c r="J129" s="22">
        <v>119</v>
      </c>
      <c r="K129" s="22">
        <v>1.2200899999999999</v>
      </c>
      <c r="L129">
        <f t="shared" si="4"/>
        <v>14.1479</v>
      </c>
      <c r="M129">
        <f t="shared" si="5"/>
        <v>17.272605194</v>
      </c>
      <c r="N129" s="9"/>
      <c r="O129" s="22">
        <v>0.49926799999999999</v>
      </c>
      <c r="P129" s="22">
        <v>11.282400000000001</v>
      </c>
      <c r="Q129" s="22">
        <v>-1.5554800000000001E-2</v>
      </c>
      <c r="R129" s="22">
        <v>119</v>
      </c>
      <c r="S129" s="22">
        <v>0.49841299999999999</v>
      </c>
      <c r="T129">
        <f t="shared" si="6"/>
        <v>15.5548</v>
      </c>
      <c r="U129">
        <f t="shared" si="7"/>
        <v>7.7660138863999997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6.0138400000000001</v>
      </c>
      <c r="I130" s="22">
        <v>-1.41846E-2</v>
      </c>
      <c r="J130" s="22">
        <v>120</v>
      </c>
      <c r="K130" s="22">
        <v>1.2149000000000001</v>
      </c>
      <c r="L130">
        <f t="shared" si="4"/>
        <v>14.1846</v>
      </c>
      <c r="M130">
        <f t="shared" si="5"/>
        <v>17.245920371999997</v>
      </c>
      <c r="N130" s="9"/>
      <c r="O130" s="22">
        <v>0.50430299999999995</v>
      </c>
      <c r="P130" s="22">
        <v>11.2925</v>
      </c>
      <c r="Q130" s="22">
        <v>-1.55487E-2</v>
      </c>
      <c r="R130" s="22">
        <v>120</v>
      </c>
      <c r="S130" s="22">
        <v>0.50344800000000001</v>
      </c>
      <c r="T130">
        <f t="shared" si="6"/>
        <v>15.5487</v>
      </c>
      <c r="U130">
        <f t="shared" si="7"/>
        <v>7.8412560560999989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6.0239099999999999</v>
      </c>
      <c r="I131" s="22">
        <v>-1.42151E-2</v>
      </c>
      <c r="J131" s="22">
        <v>121</v>
      </c>
      <c r="K131" s="22">
        <v>1.2094100000000001</v>
      </c>
      <c r="L131">
        <f t="shared" si="4"/>
        <v>14.2151</v>
      </c>
      <c r="M131">
        <f t="shared" si="5"/>
        <v>17.211358777999997</v>
      </c>
      <c r="N131" s="9"/>
      <c r="O131" s="22">
        <v>0.50933799999999996</v>
      </c>
      <c r="P131" s="22">
        <v>11.3025</v>
      </c>
      <c r="Q131" s="22">
        <v>-1.5545700000000001E-2</v>
      </c>
      <c r="R131" s="22">
        <v>121</v>
      </c>
      <c r="S131" s="22">
        <v>0.50848400000000005</v>
      </c>
      <c r="T131">
        <f t="shared" si="6"/>
        <v>15.5457</v>
      </c>
      <c r="U131">
        <f t="shared" si="7"/>
        <v>7.9180157465999992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6.0339799999999997</v>
      </c>
      <c r="I132" s="22">
        <v>-1.4251700000000001E-2</v>
      </c>
      <c r="J132" s="22">
        <v>122</v>
      </c>
      <c r="K132" s="22">
        <v>1.2042200000000001</v>
      </c>
      <c r="L132">
        <f t="shared" si="4"/>
        <v>14.251700000000001</v>
      </c>
      <c r="M132">
        <f t="shared" si="5"/>
        <v>17.183987275000003</v>
      </c>
      <c r="N132" s="9"/>
      <c r="O132" s="22">
        <v>0.514374</v>
      </c>
      <c r="P132" s="22">
        <v>11.3126</v>
      </c>
      <c r="Q132" s="22">
        <v>-1.55487E-2</v>
      </c>
      <c r="R132" s="22">
        <v>122</v>
      </c>
      <c r="S132" s="22">
        <v>0.51351899999999995</v>
      </c>
      <c r="T132">
        <f t="shared" si="6"/>
        <v>15.5487</v>
      </c>
      <c r="U132">
        <f t="shared" si="7"/>
        <v>7.9978470138000004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6.0440500000000004</v>
      </c>
      <c r="I133" s="22">
        <v>-1.42883E-2</v>
      </c>
      <c r="J133" s="22">
        <v>123</v>
      </c>
      <c r="K133" s="22">
        <v>1.1996500000000001</v>
      </c>
      <c r="L133">
        <f t="shared" si="4"/>
        <v>14.2883</v>
      </c>
      <c r="M133">
        <f t="shared" si="5"/>
        <v>17.156104693</v>
      </c>
      <c r="N133" s="9"/>
      <c r="O133" s="22">
        <v>0.51940900000000001</v>
      </c>
      <c r="P133" s="22">
        <v>11.322699999999999</v>
      </c>
      <c r="Q133" s="22">
        <v>-1.5551799999999999E-2</v>
      </c>
      <c r="R133" s="22">
        <v>123</v>
      </c>
      <c r="S133" s="22">
        <v>0.51852399999999998</v>
      </c>
      <c r="T133">
        <f t="shared" si="6"/>
        <v>15.5518</v>
      </c>
      <c r="U133">
        <f t="shared" si="7"/>
        <v>8.0777448861999996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6.0541200000000002</v>
      </c>
      <c r="I134" s="22">
        <v>-1.4324999999999999E-2</v>
      </c>
      <c r="J134" s="22">
        <v>124</v>
      </c>
      <c r="K134" s="22">
        <v>1.19415</v>
      </c>
      <c r="L134">
        <f t="shared" si="4"/>
        <v>14.324999999999999</v>
      </c>
      <c r="M134">
        <f t="shared" si="5"/>
        <v>17.128115999999999</v>
      </c>
      <c r="N134" s="9"/>
      <c r="O134" s="22">
        <v>0.52444500000000005</v>
      </c>
      <c r="P134" s="22">
        <v>11.332700000000001</v>
      </c>
      <c r="Q134" s="22">
        <v>-1.5551799999999999E-2</v>
      </c>
      <c r="R134" s="22">
        <v>124</v>
      </c>
      <c r="S134" s="22">
        <v>0.52352900000000002</v>
      </c>
      <c r="T134">
        <f t="shared" si="6"/>
        <v>15.5518</v>
      </c>
      <c r="U134">
        <f t="shared" si="7"/>
        <v>8.1560637510000014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6.06419</v>
      </c>
      <c r="I135" s="22">
        <v>-1.43585E-2</v>
      </c>
      <c r="J135" s="22">
        <v>125</v>
      </c>
      <c r="K135" s="22">
        <v>1.1895800000000001</v>
      </c>
      <c r="L135">
        <f t="shared" si="4"/>
        <v>14.358499999999999</v>
      </c>
      <c r="M135">
        <f t="shared" si="5"/>
        <v>17.095804439999998</v>
      </c>
      <c r="N135" s="9"/>
      <c r="O135" s="22">
        <v>0.52947999999999995</v>
      </c>
      <c r="P135" s="22">
        <v>11.3428</v>
      </c>
      <c r="Q135" s="22">
        <v>-1.5551799999999999E-2</v>
      </c>
      <c r="R135" s="22">
        <v>125</v>
      </c>
      <c r="S135" s="22">
        <v>0.52859500000000004</v>
      </c>
      <c r="T135">
        <f t="shared" si="6"/>
        <v>15.5518</v>
      </c>
      <c r="U135">
        <f t="shared" si="7"/>
        <v>8.2343670639999988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6.0742599999999998</v>
      </c>
      <c r="I136" s="22">
        <v>-1.4379899999999999E-2</v>
      </c>
      <c r="J136" s="22">
        <v>126</v>
      </c>
      <c r="K136" s="22">
        <v>1.1837800000000001</v>
      </c>
      <c r="L136">
        <f t="shared" si="4"/>
        <v>14.379899999999999</v>
      </c>
      <c r="M136">
        <f t="shared" si="5"/>
        <v>17.048953238999999</v>
      </c>
      <c r="N136" s="9"/>
      <c r="O136" s="22">
        <v>0.53451499999999996</v>
      </c>
      <c r="P136" s="22">
        <v>11.3529</v>
      </c>
      <c r="Q136" s="22">
        <v>-1.5551799999999999E-2</v>
      </c>
      <c r="R136" s="22">
        <v>126</v>
      </c>
      <c r="S136" s="22">
        <v>0.53356899999999996</v>
      </c>
      <c r="T136">
        <f t="shared" si="6"/>
        <v>15.5518</v>
      </c>
      <c r="U136">
        <f t="shared" si="7"/>
        <v>8.3126703769999999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6.0843299999999996</v>
      </c>
      <c r="I137" s="22">
        <v>-1.44073E-2</v>
      </c>
      <c r="J137" s="22">
        <v>127</v>
      </c>
      <c r="K137" s="22">
        <v>1.1795</v>
      </c>
      <c r="L137">
        <f t="shared" si="4"/>
        <v>14.407299999999999</v>
      </c>
      <c r="M137">
        <f t="shared" si="5"/>
        <v>17.008826160999998</v>
      </c>
      <c r="N137" s="9"/>
      <c r="O137" s="22">
        <v>0.539551</v>
      </c>
      <c r="P137" s="22">
        <v>11.3629</v>
      </c>
      <c r="Q137" s="22">
        <v>-1.5545700000000001E-2</v>
      </c>
      <c r="R137" s="22">
        <v>127</v>
      </c>
      <c r="S137" s="22">
        <v>0.53863499999999997</v>
      </c>
      <c r="T137">
        <f t="shared" si="6"/>
        <v>15.5457</v>
      </c>
      <c r="U137">
        <f t="shared" si="7"/>
        <v>8.3876979807000005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6.0944000000000003</v>
      </c>
      <c r="I138" s="22">
        <v>-1.44257E-2</v>
      </c>
      <c r="J138" s="22">
        <v>128</v>
      </c>
      <c r="K138" s="22">
        <v>1.17462</v>
      </c>
      <c r="L138">
        <f t="shared" si="4"/>
        <v>14.425699999999999</v>
      </c>
      <c r="M138">
        <f t="shared" si="5"/>
        <v>16.957987377999999</v>
      </c>
      <c r="N138" s="9"/>
      <c r="O138" s="22">
        <v>0.54458600000000001</v>
      </c>
      <c r="P138" s="22">
        <v>11.372999999999999</v>
      </c>
      <c r="Q138" s="22">
        <v>-1.5533399999999999E-2</v>
      </c>
      <c r="R138" s="22">
        <v>128</v>
      </c>
      <c r="S138" s="22">
        <v>0.54370099999999999</v>
      </c>
      <c r="T138">
        <f t="shared" si="6"/>
        <v>15.533399999999999</v>
      </c>
      <c r="U138">
        <f t="shared" si="7"/>
        <v>8.4592721723999986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6.1044799999999997</v>
      </c>
      <c r="I139" s="22">
        <v>-1.44501E-2</v>
      </c>
      <c r="J139" s="22">
        <v>129</v>
      </c>
      <c r="K139" s="22">
        <v>1.16913</v>
      </c>
      <c r="L139">
        <f t="shared" si="4"/>
        <v>14.450100000000001</v>
      </c>
      <c r="M139">
        <f t="shared" si="5"/>
        <v>16.913842050000003</v>
      </c>
      <c r="N139" s="9"/>
      <c r="O139" s="22">
        <v>0.54962200000000005</v>
      </c>
      <c r="P139" s="22">
        <v>11.383100000000001</v>
      </c>
      <c r="Q139" s="22">
        <v>-1.5521200000000001E-2</v>
      </c>
      <c r="R139" s="22">
        <v>129</v>
      </c>
      <c r="S139" s="22">
        <v>0.54873700000000003</v>
      </c>
      <c r="T139">
        <f t="shared" si="6"/>
        <v>15.5212</v>
      </c>
      <c r="U139">
        <f t="shared" si="7"/>
        <v>8.5307929864000016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6.1145500000000004</v>
      </c>
      <c r="I140" s="22">
        <v>-1.44745E-2</v>
      </c>
      <c r="J140" s="22">
        <v>130</v>
      </c>
      <c r="K140" s="22">
        <v>1.16486</v>
      </c>
      <c r="L140">
        <f t="shared" ref="L140:L203" si="8">-I140/$F$2*1000</f>
        <v>14.474499999999999</v>
      </c>
      <c r="M140">
        <f t="shared" ref="M140:M203" si="9">L140*G140</f>
        <v>16.869595515</v>
      </c>
      <c r="N140" s="9"/>
      <c r="O140" s="22">
        <v>0.55465699999999996</v>
      </c>
      <c r="P140" s="22">
        <v>11.3932</v>
      </c>
      <c r="Q140" s="22">
        <v>-1.5518199999999999E-2</v>
      </c>
      <c r="R140" s="22">
        <v>130</v>
      </c>
      <c r="S140" s="22">
        <v>0.55374100000000004</v>
      </c>
      <c r="T140">
        <f t="shared" ref="T140:T203" si="10">-Q140/$F$2*1000</f>
        <v>15.5182</v>
      </c>
      <c r="U140">
        <f t="shared" ref="U140:U203" si="11">T140*O140</f>
        <v>8.6072782573999991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6.1246200000000002</v>
      </c>
      <c r="I141" s="22">
        <v>-1.4501999999999999E-2</v>
      </c>
      <c r="J141" s="22">
        <v>131</v>
      </c>
      <c r="K141" s="22">
        <v>1.1593599999999999</v>
      </c>
      <c r="L141">
        <f t="shared" si="8"/>
        <v>14.501999999999999</v>
      </c>
      <c r="M141">
        <f t="shared" si="9"/>
        <v>16.828555859999998</v>
      </c>
      <c r="N141" s="9"/>
      <c r="O141" s="22">
        <v>0.55969199999999997</v>
      </c>
      <c r="P141" s="22">
        <v>11.4032</v>
      </c>
      <c r="Q141" s="22">
        <v>-1.5527300000000001E-2</v>
      </c>
      <c r="R141" s="22">
        <v>131</v>
      </c>
      <c r="S141" s="22">
        <v>0.55886800000000003</v>
      </c>
      <c r="T141">
        <f t="shared" si="10"/>
        <v>15.5273</v>
      </c>
      <c r="U141">
        <f t="shared" si="11"/>
        <v>8.6905055915999991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6.13469</v>
      </c>
      <c r="I142" s="22">
        <v>-1.45294E-2</v>
      </c>
      <c r="J142" s="22">
        <v>132</v>
      </c>
      <c r="K142" s="22">
        <v>1.1541699999999999</v>
      </c>
      <c r="L142">
        <f t="shared" si="8"/>
        <v>14.529399999999999</v>
      </c>
      <c r="M142">
        <f t="shared" si="9"/>
        <v>16.78726876</v>
      </c>
      <c r="N142" s="9"/>
      <c r="O142" s="22">
        <v>0.56472800000000001</v>
      </c>
      <c r="P142" s="22">
        <v>11.4133</v>
      </c>
      <c r="Q142" s="22">
        <v>-1.5527300000000001E-2</v>
      </c>
      <c r="R142" s="22">
        <v>132</v>
      </c>
      <c r="S142" s="22">
        <v>0.56381199999999998</v>
      </c>
      <c r="T142">
        <f t="shared" si="10"/>
        <v>15.5273</v>
      </c>
      <c r="U142">
        <f t="shared" si="11"/>
        <v>8.7687010744000009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6.1447599999999998</v>
      </c>
      <c r="I143" s="22">
        <v>-1.4544700000000001E-2</v>
      </c>
      <c r="J143" s="22">
        <v>133</v>
      </c>
      <c r="K143" s="22">
        <v>1.1496</v>
      </c>
      <c r="L143">
        <f t="shared" si="8"/>
        <v>14.544700000000001</v>
      </c>
      <c r="M143">
        <f t="shared" si="9"/>
        <v>16.731641092</v>
      </c>
      <c r="N143" s="9"/>
      <c r="O143" s="22">
        <v>0.56976300000000002</v>
      </c>
      <c r="P143" s="22">
        <v>11.423400000000001</v>
      </c>
      <c r="Q143" s="22">
        <v>-1.55243E-2</v>
      </c>
      <c r="R143" s="22">
        <v>133</v>
      </c>
      <c r="S143" s="22">
        <v>0.56887799999999999</v>
      </c>
      <c r="T143">
        <f t="shared" si="10"/>
        <v>15.5243</v>
      </c>
      <c r="U143">
        <f t="shared" si="11"/>
        <v>8.8451717408999997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6.1548299999999996</v>
      </c>
      <c r="I144" s="22">
        <v>-1.45691E-2</v>
      </c>
      <c r="J144" s="22">
        <v>134</v>
      </c>
      <c r="K144" s="22">
        <v>1.1440999999999999</v>
      </c>
      <c r="L144">
        <f t="shared" si="8"/>
        <v>14.569100000000001</v>
      </c>
      <c r="M144">
        <f t="shared" si="9"/>
        <v>16.686281611999998</v>
      </c>
      <c r="N144" s="9"/>
      <c r="O144" s="22">
        <v>0.57479899999999995</v>
      </c>
      <c r="P144" s="22">
        <v>11.433400000000001</v>
      </c>
      <c r="Q144" s="22">
        <v>-1.5518199999999999E-2</v>
      </c>
      <c r="R144" s="22">
        <v>134</v>
      </c>
      <c r="S144" s="22">
        <v>0.57388300000000003</v>
      </c>
      <c r="T144">
        <f t="shared" si="10"/>
        <v>15.5182</v>
      </c>
      <c r="U144">
        <f t="shared" si="11"/>
        <v>8.9198458417999991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6.1649000000000003</v>
      </c>
      <c r="I145" s="22">
        <v>-1.4599600000000001E-2</v>
      </c>
      <c r="J145" s="22">
        <v>135</v>
      </c>
      <c r="K145" s="22">
        <v>1.1392199999999999</v>
      </c>
      <c r="L145">
        <f t="shared" si="8"/>
        <v>14.599600000000001</v>
      </c>
      <c r="M145">
        <f t="shared" si="9"/>
        <v>16.647777884</v>
      </c>
      <c r="N145" s="9"/>
      <c r="O145" s="22">
        <v>0.57983399999999996</v>
      </c>
      <c r="P145" s="22">
        <v>11.4435</v>
      </c>
      <c r="Q145" s="22">
        <v>-1.5506000000000001E-2</v>
      </c>
      <c r="R145" s="22">
        <v>135</v>
      </c>
      <c r="S145" s="22">
        <v>0.57894900000000005</v>
      </c>
      <c r="T145">
        <f t="shared" si="10"/>
        <v>15.506</v>
      </c>
      <c r="U145">
        <f t="shared" si="11"/>
        <v>8.9909060039999993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6.1749700000000001</v>
      </c>
      <c r="I146" s="22">
        <v>-1.4624E-2</v>
      </c>
      <c r="J146" s="22">
        <v>136</v>
      </c>
      <c r="K146" s="22">
        <v>1.1340300000000001</v>
      </c>
      <c r="L146">
        <f t="shared" si="8"/>
        <v>14.624000000000001</v>
      </c>
      <c r="M146">
        <f t="shared" si="9"/>
        <v>16.601896000000004</v>
      </c>
      <c r="N146" s="9"/>
      <c r="O146" s="22">
        <v>0.58486899999999997</v>
      </c>
      <c r="P146" s="22">
        <v>11.4536</v>
      </c>
      <c r="Q146" s="22">
        <v>-1.54968E-2</v>
      </c>
      <c r="R146" s="22">
        <v>136</v>
      </c>
      <c r="S146" s="22">
        <v>0.58395399999999997</v>
      </c>
      <c r="T146">
        <f t="shared" si="10"/>
        <v>15.4968</v>
      </c>
      <c r="U146">
        <f t="shared" si="11"/>
        <v>9.0635979191999994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6.1850399999999999</v>
      </c>
      <c r="I147" s="22">
        <v>-1.46423E-2</v>
      </c>
      <c r="J147" s="22">
        <v>137</v>
      </c>
      <c r="K147" s="22">
        <v>1.1288499999999999</v>
      </c>
      <c r="L147">
        <f t="shared" si="8"/>
        <v>14.642300000000001</v>
      </c>
      <c r="M147">
        <f t="shared" si="9"/>
        <v>16.549020305999999</v>
      </c>
      <c r="N147" s="9"/>
      <c r="O147" s="22">
        <v>0.58990500000000001</v>
      </c>
      <c r="P147" s="22">
        <v>11.463699999999999</v>
      </c>
      <c r="Q147" s="22">
        <v>-1.54877E-2</v>
      </c>
      <c r="R147" s="22">
        <v>137</v>
      </c>
      <c r="S147" s="22">
        <v>0.58904999999999996</v>
      </c>
      <c r="T147">
        <f t="shared" si="10"/>
        <v>15.4877</v>
      </c>
      <c r="U147">
        <f t="shared" si="11"/>
        <v>9.1362716685000009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6.1951099999999997</v>
      </c>
      <c r="I148" s="22">
        <v>-1.46637E-2</v>
      </c>
      <c r="J148" s="22">
        <v>138</v>
      </c>
      <c r="K148" s="22">
        <v>1.1242700000000001</v>
      </c>
      <c r="L148">
        <f t="shared" si="8"/>
        <v>14.6637</v>
      </c>
      <c r="M148">
        <f t="shared" si="9"/>
        <v>16.499301966000001</v>
      </c>
      <c r="N148" s="9"/>
      <c r="O148" s="22">
        <v>0.59494000000000002</v>
      </c>
      <c r="P148" s="22">
        <v>11.473699999999999</v>
      </c>
      <c r="Q148" s="22">
        <v>-1.54877E-2</v>
      </c>
      <c r="R148" s="22">
        <v>138</v>
      </c>
      <c r="S148" s="22">
        <v>0.59399400000000002</v>
      </c>
      <c r="T148">
        <f t="shared" si="10"/>
        <v>15.4877</v>
      </c>
      <c r="U148">
        <f t="shared" si="11"/>
        <v>9.2142522380000003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6.20519</v>
      </c>
      <c r="I149" s="22">
        <v>-1.46912E-2</v>
      </c>
      <c r="J149" s="22">
        <v>139</v>
      </c>
      <c r="K149" s="22">
        <v>1.1196900000000001</v>
      </c>
      <c r="L149">
        <f t="shared" si="8"/>
        <v>14.6912</v>
      </c>
      <c r="M149">
        <f t="shared" si="9"/>
        <v>16.45634768</v>
      </c>
      <c r="N149" s="9"/>
      <c r="O149" s="22">
        <v>0.59997599999999995</v>
      </c>
      <c r="P149" s="22">
        <v>11.4838</v>
      </c>
      <c r="Q149" s="22">
        <v>-1.54816E-2</v>
      </c>
      <c r="R149" s="22">
        <v>139</v>
      </c>
      <c r="S149" s="22">
        <v>0.59915200000000002</v>
      </c>
      <c r="T149">
        <f t="shared" si="10"/>
        <v>15.4816</v>
      </c>
      <c r="U149">
        <f t="shared" si="11"/>
        <v>9.2885884416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6.2152599999999998</v>
      </c>
      <c r="I150" s="22">
        <v>-1.47095E-2</v>
      </c>
      <c r="J150" s="22">
        <v>140</v>
      </c>
      <c r="K150" s="22">
        <v>1.1145</v>
      </c>
      <c r="L150">
        <f t="shared" si="8"/>
        <v>14.7095</v>
      </c>
      <c r="M150">
        <f t="shared" si="9"/>
        <v>16.402710545000001</v>
      </c>
      <c r="N150" s="9"/>
      <c r="O150" s="22">
        <v>0.60501099999999997</v>
      </c>
      <c r="P150" s="22">
        <v>11.4939</v>
      </c>
      <c r="Q150" s="22">
        <v>-1.5469399999999999E-2</v>
      </c>
      <c r="R150" s="22">
        <v>140</v>
      </c>
      <c r="S150" s="22">
        <v>0.60412600000000005</v>
      </c>
      <c r="T150">
        <f t="shared" si="10"/>
        <v>15.4694</v>
      </c>
      <c r="U150">
        <f t="shared" si="11"/>
        <v>9.359157163399999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6.2253299999999996</v>
      </c>
      <c r="I151" s="22">
        <v>-1.47308E-2</v>
      </c>
      <c r="J151" s="22">
        <v>141</v>
      </c>
      <c r="K151" s="22">
        <v>1.1084000000000001</v>
      </c>
      <c r="L151">
        <f t="shared" si="8"/>
        <v>14.7308</v>
      </c>
      <c r="M151">
        <f t="shared" si="9"/>
        <v>16.352366463999999</v>
      </c>
      <c r="N151" s="9"/>
      <c r="O151" s="22">
        <v>0.61004599999999998</v>
      </c>
      <c r="P151" s="22">
        <v>11.5039</v>
      </c>
      <c r="Q151" s="22">
        <v>-1.5457200000000001E-2</v>
      </c>
      <c r="R151" s="22">
        <v>141</v>
      </c>
      <c r="S151" s="22">
        <v>0.60922200000000004</v>
      </c>
      <c r="T151">
        <f t="shared" si="10"/>
        <v>15.4572</v>
      </c>
      <c r="U151">
        <f t="shared" si="11"/>
        <v>9.4296030311999992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6.2354000000000003</v>
      </c>
      <c r="I152" s="22">
        <v>-1.47461E-2</v>
      </c>
      <c r="J152" s="22">
        <v>142</v>
      </c>
      <c r="K152" s="22">
        <v>1.10382</v>
      </c>
      <c r="L152">
        <f t="shared" si="8"/>
        <v>14.7461</v>
      </c>
      <c r="M152">
        <f t="shared" si="9"/>
        <v>16.295030344000001</v>
      </c>
      <c r="N152" s="9"/>
      <c r="O152" s="22">
        <v>0.61508200000000002</v>
      </c>
      <c r="P152" s="22">
        <v>11.513999999999999</v>
      </c>
      <c r="Q152" s="22">
        <v>-1.5448E-2</v>
      </c>
      <c r="R152" s="22">
        <v>142</v>
      </c>
      <c r="S152" s="22">
        <v>0.61419699999999999</v>
      </c>
      <c r="T152">
        <f t="shared" si="10"/>
        <v>15.448</v>
      </c>
      <c r="U152">
        <f t="shared" si="11"/>
        <v>9.5017867359999997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6.2454700000000001</v>
      </c>
      <c r="I153" s="22">
        <v>-1.47644E-2</v>
      </c>
      <c r="J153" s="22">
        <v>143</v>
      </c>
      <c r="K153" s="22">
        <v>1.09924</v>
      </c>
      <c r="L153">
        <f t="shared" si="8"/>
        <v>14.7644</v>
      </c>
      <c r="M153">
        <f t="shared" si="9"/>
        <v>16.240987644000001</v>
      </c>
      <c r="N153" s="9"/>
      <c r="O153" s="22">
        <v>0.62011700000000003</v>
      </c>
      <c r="P153" s="22">
        <v>11.524100000000001</v>
      </c>
      <c r="Q153" s="22">
        <v>-1.54419E-2</v>
      </c>
      <c r="R153" s="22">
        <v>143</v>
      </c>
      <c r="S153" s="22">
        <v>0.61920200000000003</v>
      </c>
      <c r="T153">
        <f t="shared" si="10"/>
        <v>15.4419</v>
      </c>
      <c r="U153">
        <f t="shared" si="11"/>
        <v>9.5757847023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6.2555399999999999</v>
      </c>
      <c r="I154" s="22">
        <v>-1.47888E-2</v>
      </c>
      <c r="J154" s="22">
        <v>144</v>
      </c>
      <c r="K154" s="22">
        <v>1.09375</v>
      </c>
      <c r="L154">
        <f t="shared" si="8"/>
        <v>14.7888</v>
      </c>
      <c r="M154">
        <f t="shared" si="9"/>
        <v>16.193292335999999</v>
      </c>
      <c r="N154" s="9"/>
      <c r="O154" s="22">
        <v>0.62515299999999996</v>
      </c>
      <c r="P154" s="22">
        <v>11.5342</v>
      </c>
      <c r="Q154" s="22">
        <v>-1.54419E-2</v>
      </c>
      <c r="R154" s="22">
        <v>144</v>
      </c>
      <c r="S154" s="22">
        <v>0.624359</v>
      </c>
      <c r="T154">
        <f t="shared" si="10"/>
        <v>15.4419</v>
      </c>
      <c r="U154">
        <f t="shared" si="11"/>
        <v>9.6535501106999995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6.2656099999999997</v>
      </c>
      <c r="I155" s="22">
        <v>-1.48132E-2</v>
      </c>
      <c r="J155" s="22">
        <v>145</v>
      </c>
      <c r="K155" s="22">
        <v>1.08917</v>
      </c>
      <c r="L155">
        <f t="shared" si="8"/>
        <v>14.8132</v>
      </c>
      <c r="M155">
        <f t="shared" si="9"/>
        <v>16.145499208</v>
      </c>
      <c r="N155" s="9"/>
      <c r="O155" s="22">
        <v>0.63018799999999997</v>
      </c>
      <c r="P155" s="22">
        <v>11.5442</v>
      </c>
      <c r="Q155" s="22">
        <v>-1.5438800000000001E-2</v>
      </c>
      <c r="R155" s="22">
        <v>145</v>
      </c>
      <c r="S155" s="22">
        <v>0.62930299999999995</v>
      </c>
      <c r="T155">
        <f t="shared" si="10"/>
        <v>15.438800000000001</v>
      </c>
      <c r="U155">
        <f t="shared" si="11"/>
        <v>9.7293464943999997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6.2756800000000004</v>
      </c>
      <c r="I156" s="22">
        <v>-1.4822399999999999E-2</v>
      </c>
      <c r="J156" s="22">
        <v>146</v>
      </c>
      <c r="K156" s="22">
        <v>1.08368</v>
      </c>
      <c r="L156">
        <f t="shared" si="8"/>
        <v>14.8224</v>
      </c>
      <c r="M156">
        <f t="shared" si="9"/>
        <v>16.080821759999999</v>
      </c>
      <c r="N156" s="9"/>
      <c r="O156" s="22">
        <v>0.63522299999999998</v>
      </c>
      <c r="P156" s="22">
        <v>11.5543</v>
      </c>
      <c r="Q156" s="22">
        <v>-1.54358E-2</v>
      </c>
      <c r="R156" s="22">
        <v>146</v>
      </c>
      <c r="S156" s="22">
        <v>0.634216</v>
      </c>
      <c r="T156">
        <f t="shared" si="10"/>
        <v>15.4358</v>
      </c>
      <c r="U156">
        <f t="shared" si="11"/>
        <v>9.8051751833999994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6.2857500000000002</v>
      </c>
      <c r="I157" s="22">
        <v>-1.48346E-2</v>
      </c>
      <c r="J157" s="22">
        <v>147</v>
      </c>
      <c r="K157" s="22">
        <v>1.0790999999999999</v>
      </c>
      <c r="L157">
        <f t="shared" si="8"/>
        <v>14.8346</v>
      </c>
      <c r="M157">
        <f t="shared" si="9"/>
        <v>16.019291156000001</v>
      </c>
      <c r="N157" s="9"/>
      <c r="O157" s="22">
        <v>0.64025900000000002</v>
      </c>
      <c r="P157" s="22">
        <v>11.564399999999999</v>
      </c>
      <c r="Q157" s="22">
        <v>-1.5432700000000001E-2</v>
      </c>
      <c r="R157" s="22">
        <v>147</v>
      </c>
      <c r="S157" s="22">
        <v>0.639374</v>
      </c>
      <c r="T157">
        <f t="shared" si="10"/>
        <v>15.432700000000001</v>
      </c>
      <c r="U157">
        <f t="shared" si="11"/>
        <v>9.8809250692999999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6.29582</v>
      </c>
      <c r="I158" s="22">
        <v>-1.48468E-2</v>
      </c>
      <c r="J158" s="22">
        <v>148</v>
      </c>
      <c r="K158" s="22">
        <v>1.07361</v>
      </c>
      <c r="L158">
        <f t="shared" si="8"/>
        <v>14.8468</v>
      </c>
      <c r="M158">
        <f t="shared" si="9"/>
        <v>15.957786043999999</v>
      </c>
      <c r="N158" s="9"/>
      <c r="O158" s="22">
        <v>0.64529400000000003</v>
      </c>
      <c r="P158" s="22">
        <v>11.574400000000001</v>
      </c>
      <c r="Q158" s="22">
        <v>-1.5438800000000001E-2</v>
      </c>
      <c r="R158" s="22">
        <v>148</v>
      </c>
      <c r="S158" s="22">
        <v>0.64437900000000004</v>
      </c>
      <c r="T158">
        <f t="shared" si="10"/>
        <v>15.438800000000001</v>
      </c>
      <c r="U158">
        <f t="shared" si="11"/>
        <v>9.9625650072000003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6.3059000000000003</v>
      </c>
      <c r="I159" s="22">
        <v>-1.4865099999999999E-2</v>
      </c>
      <c r="J159" s="22">
        <v>149</v>
      </c>
      <c r="K159" s="22">
        <v>1.06873</v>
      </c>
      <c r="L159">
        <f t="shared" si="8"/>
        <v>14.8651</v>
      </c>
      <c r="M159">
        <f t="shared" si="9"/>
        <v>15.902535329000001</v>
      </c>
      <c r="N159" s="9"/>
      <c r="O159" s="22">
        <v>0.65032999999999996</v>
      </c>
      <c r="P159" s="22">
        <v>11.5845</v>
      </c>
      <c r="Q159" s="22">
        <v>-1.54358E-2</v>
      </c>
      <c r="R159" s="22">
        <v>149</v>
      </c>
      <c r="S159" s="22">
        <v>0.64938399999999996</v>
      </c>
      <c r="T159">
        <f t="shared" si="10"/>
        <v>15.4358</v>
      </c>
      <c r="U159">
        <f t="shared" si="11"/>
        <v>10.038363814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6.3159700000000001</v>
      </c>
      <c r="I160" s="22">
        <v>-1.48804E-2</v>
      </c>
      <c r="J160" s="22">
        <v>150</v>
      </c>
      <c r="K160" s="22">
        <v>1.0635399999999999</v>
      </c>
      <c r="L160">
        <f t="shared" si="8"/>
        <v>14.8804</v>
      </c>
      <c r="M160">
        <f t="shared" si="9"/>
        <v>15.844054703999999</v>
      </c>
      <c r="N160" s="9"/>
      <c r="O160" s="22">
        <v>0.65536499999999998</v>
      </c>
      <c r="P160" s="22">
        <v>11.5946</v>
      </c>
      <c r="Q160" s="22">
        <v>-1.5432700000000001E-2</v>
      </c>
      <c r="R160" s="22">
        <v>150</v>
      </c>
      <c r="S160" s="22">
        <v>0.65451000000000004</v>
      </c>
      <c r="T160">
        <f t="shared" si="10"/>
        <v>15.432700000000001</v>
      </c>
      <c r="U160">
        <f t="shared" si="11"/>
        <v>10.1140514355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6.3260399999999999</v>
      </c>
      <c r="I161" s="22">
        <v>-1.4898700000000001E-2</v>
      </c>
      <c r="J161" s="22">
        <v>151</v>
      </c>
      <c r="K161" s="22">
        <v>1.0586500000000001</v>
      </c>
      <c r="L161">
        <f t="shared" si="8"/>
        <v>14.898700000000002</v>
      </c>
      <c r="M161">
        <f t="shared" si="9"/>
        <v>15.788450364000001</v>
      </c>
      <c r="N161" s="9"/>
      <c r="O161" s="22">
        <v>0.66039999999999999</v>
      </c>
      <c r="P161" s="22">
        <v>11.604699999999999</v>
      </c>
      <c r="Q161" s="22">
        <v>-1.5438800000000001E-2</v>
      </c>
      <c r="R161" s="22">
        <v>151</v>
      </c>
      <c r="S161" s="22">
        <v>0.65954599999999997</v>
      </c>
      <c r="T161">
        <f t="shared" si="10"/>
        <v>15.438800000000001</v>
      </c>
      <c r="U161">
        <f t="shared" si="11"/>
        <v>10.195783520000001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6.3361099999999997</v>
      </c>
      <c r="I162" s="22">
        <v>-1.49109E-2</v>
      </c>
      <c r="J162" s="22">
        <v>152</v>
      </c>
      <c r="K162" s="22">
        <v>1.0537700000000001</v>
      </c>
      <c r="L162">
        <f t="shared" si="8"/>
        <v>14.9109</v>
      </c>
      <c r="M162">
        <f t="shared" si="9"/>
        <v>15.726377120999999</v>
      </c>
      <c r="N162" s="9"/>
      <c r="O162" s="22">
        <v>0.66543600000000003</v>
      </c>
      <c r="P162" s="22">
        <v>11.614699999999999</v>
      </c>
      <c r="Q162" s="22">
        <v>-1.54358E-2</v>
      </c>
      <c r="R162" s="22">
        <v>152</v>
      </c>
      <c r="S162" s="22">
        <v>0.66452</v>
      </c>
      <c r="T162">
        <f t="shared" si="10"/>
        <v>15.4358</v>
      </c>
      <c r="U162">
        <f t="shared" si="11"/>
        <v>10.271537008800001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6.3461800000000004</v>
      </c>
      <c r="I163" s="22">
        <v>-1.49231E-2</v>
      </c>
      <c r="J163" s="22">
        <v>153</v>
      </c>
      <c r="K163" s="22">
        <v>1.0476700000000001</v>
      </c>
      <c r="L163">
        <f t="shared" si="8"/>
        <v>14.9231</v>
      </c>
      <c r="M163">
        <f t="shared" si="9"/>
        <v>15.664031914999999</v>
      </c>
      <c r="N163" s="9"/>
      <c r="O163" s="22">
        <v>0.67047100000000004</v>
      </c>
      <c r="P163" s="22">
        <v>11.6248</v>
      </c>
      <c r="Q163" s="22">
        <v>-1.5432700000000001E-2</v>
      </c>
      <c r="R163" s="22">
        <v>153</v>
      </c>
      <c r="S163" s="22">
        <v>0.66958600000000001</v>
      </c>
      <c r="T163">
        <f t="shared" si="10"/>
        <v>15.432700000000001</v>
      </c>
      <c r="U163">
        <f t="shared" si="11"/>
        <v>10.347177801700001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6.3562500000000002</v>
      </c>
      <c r="I164" s="22">
        <v>-1.49353E-2</v>
      </c>
      <c r="J164" s="22">
        <v>154</v>
      </c>
      <c r="K164" s="22">
        <v>1.0430900000000001</v>
      </c>
      <c r="L164">
        <f t="shared" si="8"/>
        <v>14.9353</v>
      </c>
      <c r="M164">
        <f t="shared" si="9"/>
        <v>15.601713086000002</v>
      </c>
      <c r="N164" s="9"/>
      <c r="O164" s="22">
        <v>0.67550699999999997</v>
      </c>
      <c r="P164" s="22">
        <v>11.6349</v>
      </c>
      <c r="Q164" s="22">
        <v>-1.54266E-2</v>
      </c>
      <c r="R164" s="22">
        <v>154</v>
      </c>
      <c r="S164" s="22">
        <v>0.67462200000000005</v>
      </c>
      <c r="T164">
        <f t="shared" si="10"/>
        <v>15.426600000000001</v>
      </c>
      <c r="U164">
        <f t="shared" si="11"/>
        <v>10.420776286200001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6.36632</v>
      </c>
      <c r="I165" s="22">
        <v>-1.4944499999999999E-2</v>
      </c>
      <c r="J165" s="22">
        <v>155</v>
      </c>
      <c r="K165" s="22">
        <v>1.0382100000000001</v>
      </c>
      <c r="L165">
        <f t="shared" si="8"/>
        <v>14.9445</v>
      </c>
      <c r="M165">
        <f t="shared" si="9"/>
        <v>15.536003309999998</v>
      </c>
      <c r="N165" s="9"/>
      <c r="O165" s="22">
        <v>0.68054199999999998</v>
      </c>
      <c r="P165" s="22">
        <v>11.6449</v>
      </c>
      <c r="Q165" s="22">
        <v>-1.5423600000000001E-2</v>
      </c>
      <c r="R165" s="22">
        <v>155</v>
      </c>
      <c r="S165" s="22">
        <v>0.67965699999999996</v>
      </c>
      <c r="T165">
        <f t="shared" si="10"/>
        <v>15.4236</v>
      </c>
      <c r="U165">
        <f t="shared" si="11"/>
        <v>10.496407591200001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6.3763899999999998</v>
      </c>
      <c r="I166" s="22">
        <v>-1.49506E-2</v>
      </c>
      <c r="J166" s="22">
        <v>156</v>
      </c>
      <c r="K166" s="22">
        <v>1.03363</v>
      </c>
      <c r="L166">
        <f t="shared" si="8"/>
        <v>14.9506</v>
      </c>
      <c r="M166">
        <f t="shared" si="9"/>
        <v>15.467143230000001</v>
      </c>
      <c r="N166" s="9"/>
      <c r="O166" s="22">
        <v>0.68557699999999999</v>
      </c>
      <c r="P166" s="22">
        <v>11.654999999999999</v>
      </c>
      <c r="Q166" s="22">
        <v>-1.54205E-2</v>
      </c>
      <c r="R166" s="22">
        <v>156</v>
      </c>
      <c r="S166" s="22">
        <v>0.68475299999999995</v>
      </c>
      <c r="T166">
        <f t="shared" si="10"/>
        <v>15.420500000000001</v>
      </c>
      <c r="U166">
        <f t="shared" si="11"/>
        <v>10.5719401285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6.3864599999999996</v>
      </c>
      <c r="I167" s="22">
        <v>-1.49567E-2</v>
      </c>
      <c r="J167" s="22">
        <v>157</v>
      </c>
      <c r="K167" s="22">
        <v>1.0287500000000001</v>
      </c>
      <c r="L167">
        <f t="shared" si="8"/>
        <v>14.9567</v>
      </c>
      <c r="M167">
        <f t="shared" si="9"/>
        <v>15.398072216999999</v>
      </c>
      <c r="N167" s="9"/>
      <c r="O167" s="22">
        <v>0.69061300000000003</v>
      </c>
      <c r="P167" s="22">
        <v>11.665100000000001</v>
      </c>
      <c r="Q167" s="22">
        <v>-1.5417500000000001E-2</v>
      </c>
      <c r="R167" s="22">
        <v>157</v>
      </c>
      <c r="S167" s="22">
        <v>0.68966700000000003</v>
      </c>
      <c r="T167">
        <f t="shared" si="10"/>
        <v>15.4175</v>
      </c>
      <c r="U167">
        <f t="shared" si="11"/>
        <v>10.6475259275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6.3965300000000003</v>
      </c>
      <c r="I168" s="22">
        <v>-1.49628E-2</v>
      </c>
      <c r="J168" s="22">
        <v>158</v>
      </c>
      <c r="K168" s="22">
        <v>1.02264</v>
      </c>
      <c r="L168">
        <f t="shared" si="8"/>
        <v>14.9628</v>
      </c>
      <c r="M168">
        <f t="shared" si="9"/>
        <v>15.329089344</v>
      </c>
      <c r="N168" s="9"/>
      <c r="O168" s="22">
        <v>0.69564800000000004</v>
      </c>
      <c r="P168" s="22">
        <v>11.6751</v>
      </c>
      <c r="Q168" s="22">
        <v>-1.54144E-2</v>
      </c>
      <c r="R168" s="22">
        <v>158</v>
      </c>
      <c r="S168" s="22">
        <v>0.69473300000000004</v>
      </c>
      <c r="T168">
        <f t="shared" si="10"/>
        <v>15.414400000000001</v>
      </c>
      <c r="U168">
        <f t="shared" si="11"/>
        <v>10.722996531200002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6.4066099999999997</v>
      </c>
      <c r="I169" s="22">
        <v>-1.4978E-2</v>
      </c>
      <c r="J169" s="22">
        <v>159</v>
      </c>
      <c r="K169" s="22">
        <v>1.01776</v>
      </c>
      <c r="L169">
        <f t="shared" si="8"/>
        <v>14.978</v>
      </c>
      <c r="M169">
        <f t="shared" si="9"/>
        <v>15.269172319999999</v>
      </c>
      <c r="N169" s="9"/>
      <c r="O169" s="22">
        <v>0.70068399999999997</v>
      </c>
      <c r="P169" s="22">
        <v>11.6852</v>
      </c>
      <c r="Q169" s="22">
        <v>-1.53992E-2</v>
      </c>
      <c r="R169" s="22">
        <v>159</v>
      </c>
      <c r="S169" s="22">
        <v>0.69976799999999995</v>
      </c>
      <c r="T169">
        <f t="shared" si="10"/>
        <v>15.3992</v>
      </c>
      <c r="U169">
        <f t="shared" si="11"/>
        <v>10.789973052800001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6.4166800000000004</v>
      </c>
      <c r="I170" s="22">
        <v>-1.4993299999999999E-2</v>
      </c>
      <c r="J170" s="22">
        <v>160</v>
      </c>
      <c r="K170" s="22">
        <v>1.01318</v>
      </c>
      <c r="L170">
        <f t="shared" si="8"/>
        <v>14.9933</v>
      </c>
      <c r="M170">
        <f t="shared" si="9"/>
        <v>15.209203519999999</v>
      </c>
      <c r="N170" s="9"/>
      <c r="O170" s="22">
        <v>0.70571899999999999</v>
      </c>
      <c r="P170" s="22">
        <v>11.6953</v>
      </c>
      <c r="Q170" s="22">
        <v>-1.5389999999999999E-2</v>
      </c>
      <c r="R170" s="22">
        <v>160</v>
      </c>
      <c r="S170" s="22">
        <v>0.70483399999999996</v>
      </c>
      <c r="T170">
        <f t="shared" si="10"/>
        <v>15.389999999999999</v>
      </c>
      <c r="U170">
        <f t="shared" si="11"/>
        <v>10.861015409999998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6.4267500000000002</v>
      </c>
      <c r="I171" s="22">
        <v>-1.50055E-2</v>
      </c>
      <c r="J171" s="22">
        <v>161</v>
      </c>
      <c r="K171" s="22">
        <v>1.008</v>
      </c>
      <c r="L171">
        <f t="shared" si="8"/>
        <v>15.0055</v>
      </c>
      <c r="M171">
        <f t="shared" si="9"/>
        <v>15.146101535000001</v>
      </c>
      <c r="N171" s="9"/>
      <c r="O171" s="22">
        <v>0.710754</v>
      </c>
      <c r="P171" s="22">
        <v>11.705399999999999</v>
      </c>
      <c r="Q171" s="22">
        <v>-1.5383900000000001E-2</v>
      </c>
      <c r="R171" s="22">
        <v>161</v>
      </c>
      <c r="S171" s="22">
        <v>0.70992999999999995</v>
      </c>
      <c r="T171">
        <f t="shared" si="10"/>
        <v>15.383900000000001</v>
      </c>
      <c r="U171">
        <f t="shared" si="11"/>
        <v>10.9341684606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6.43682</v>
      </c>
      <c r="I172" s="22">
        <v>-1.5020800000000001E-2</v>
      </c>
      <c r="J172" s="22">
        <v>162</v>
      </c>
      <c r="K172" s="22">
        <v>1.0031099999999999</v>
      </c>
      <c r="L172">
        <f t="shared" si="8"/>
        <v>15.020800000000001</v>
      </c>
      <c r="M172">
        <f t="shared" si="9"/>
        <v>15.085840064000001</v>
      </c>
      <c r="N172" s="9"/>
      <c r="O172" s="22">
        <v>0.71579000000000004</v>
      </c>
      <c r="P172" s="22">
        <v>11.715400000000001</v>
      </c>
      <c r="Q172" s="22">
        <v>-1.5387E-2</v>
      </c>
      <c r="R172" s="22">
        <v>162</v>
      </c>
      <c r="S172" s="22">
        <v>0.71493499999999999</v>
      </c>
      <c r="T172">
        <f t="shared" si="10"/>
        <v>15.387</v>
      </c>
      <c r="U172">
        <f t="shared" si="11"/>
        <v>11.013860730000001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6.4468899999999998</v>
      </c>
      <c r="I173" s="22">
        <v>-1.5036000000000001E-2</v>
      </c>
      <c r="J173" s="22">
        <v>163</v>
      </c>
      <c r="K173" s="22">
        <v>0.99853499999999995</v>
      </c>
      <c r="L173">
        <f t="shared" si="8"/>
        <v>15.036000000000001</v>
      </c>
      <c r="M173">
        <f t="shared" si="9"/>
        <v>15.025444728000002</v>
      </c>
      <c r="N173" s="9"/>
      <c r="O173" s="22">
        <v>0.72082500000000005</v>
      </c>
      <c r="P173" s="22">
        <v>11.7255</v>
      </c>
      <c r="Q173" s="22">
        <v>-1.5383900000000001E-2</v>
      </c>
      <c r="R173" s="22">
        <v>163</v>
      </c>
      <c r="S173" s="22">
        <v>0.71994000000000002</v>
      </c>
      <c r="T173">
        <f t="shared" si="10"/>
        <v>15.383900000000001</v>
      </c>
      <c r="U173">
        <f t="shared" si="11"/>
        <v>11.089099717500002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6.4569599999999996</v>
      </c>
      <c r="I174" s="22">
        <v>-1.5048199999999999E-2</v>
      </c>
      <c r="J174" s="22">
        <v>164</v>
      </c>
      <c r="K174" s="22">
        <v>0.99304199999999998</v>
      </c>
      <c r="L174">
        <f t="shared" si="8"/>
        <v>15.0482</v>
      </c>
      <c r="M174">
        <f t="shared" si="9"/>
        <v>14.961868476599999</v>
      </c>
      <c r="N174" s="9"/>
      <c r="O174" s="22">
        <v>0.72586099999999998</v>
      </c>
      <c r="P174" s="22">
        <v>11.7356</v>
      </c>
      <c r="Q174" s="22">
        <v>-1.5374799999999999E-2</v>
      </c>
      <c r="R174" s="22">
        <v>164</v>
      </c>
      <c r="S174" s="22">
        <v>0.72500600000000004</v>
      </c>
      <c r="T174">
        <f t="shared" si="10"/>
        <v>15.374799999999999</v>
      </c>
      <c r="U174">
        <f t="shared" si="11"/>
        <v>11.1599677028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6.4670300000000003</v>
      </c>
      <c r="I175" s="22">
        <v>-1.50574E-2</v>
      </c>
      <c r="J175" s="22">
        <v>165</v>
      </c>
      <c r="K175" s="22">
        <v>0.98815900000000001</v>
      </c>
      <c r="L175">
        <f t="shared" si="8"/>
        <v>15.057399999999999</v>
      </c>
      <c r="M175">
        <f t="shared" si="9"/>
        <v>14.8951866298</v>
      </c>
      <c r="N175" s="9"/>
      <c r="O175" s="22">
        <v>0.73089599999999999</v>
      </c>
      <c r="P175" s="22">
        <v>11.7456</v>
      </c>
      <c r="Q175" s="22">
        <v>-1.5368700000000001E-2</v>
      </c>
      <c r="R175" s="22">
        <v>165</v>
      </c>
      <c r="S175" s="22">
        <v>0.73001099999999997</v>
      </c>
      <c r="T175">
        <f t="shared" si="10"/>
        <v>15.3687</v>
      </c>
      <c r="U175">
        <f t="shared" si="11"/>
        <v>11.2329213552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6.4771000000000001</v>
      </c>
      <c r="I176" s="22">
        <v>-1.50604E-2</v>
      </c>
      <c r="J176" s="22">
        <v>166</v>
      </c>
      <c r="K176" s="22">
        <v>0.98297100000000004</v>
      </c>
      <c r="L176">
        <f t="shared" si="8"/>
        <v>15.0604</v>
      </c>
      <c r="M176">
        <f t="shared" si="9"/>
        <v>14.8223251968</v>
      </c>
      <c r="N176" s="9"/>
      <c r="O176" s="22">
        <v>0.735931</v>
      </c>
      <c r="P176" s="22">
        <v>11.755699999999999</v>
      </c>
      <c r="Q176" s="22">
        <v>-1.5356399999999999E-2</v>
      </c>
      <c r="R176" s="22">
        <v>166</v>
      </c>
      <c r="S176" s="22">
        <v>0.735016</v>
      </c>
      <c r="T176">
        <f t="shared" si="10"/>
        <v>15.356399999999999</v>
      </c>
      <c r="U176">
        <f t="shared" si="11"/>
        <v>11.301250808399999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6.4871699999999999</v>
      </c>
      <c r="I177" s="22">
        <v>-1.5063500000000001E-2</v>
      </c>
      <c r="J177" s="22">
        <v>167</v>
      </c>
      <c r="K177" s="22">
        <v>0.97839399999999999</v>
      </c>
      <c r="L177">
        <f t="shared" si="8"/>
        <v>15.063500000000001</v>
      </c>
      <c r="M177">
        <f t="shared" si="9"/>
        <v>14.749516406000001</v>
      </c>
      <c r="N177" s="9"/>
      <c r="O177" s="22">
        <v>0.74096700000000004</v>
      </c>
      <c r="P177" s="22">
        <v>11.7658</v>
      </c>
      <c r="Q177" s="22">
        <v>-1.5347299999999999E-2</v>
      </c>
      <c r="R177" s="22">
        <v>167</v>
      </c>
      <c r="S177" s="22">
        <v>0.74011199999999999</v>
      </c>
      <c r="T177">
        <f t="shared" si="10"/>
        <v>15.347299999999999</v>
      </c>
      <c r="U177">
        <f t="shared" si="11"/>
        <v>11.371842839099999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6.4972399999999997</v>
      </c>
      <c r="I178" s="22">
        <v>-1.5069600000000001E-2</v>
      </c>
      <c r="J178" s="22">
        <v>168</v>
      </c>
      <c r="K178" s="22">
        <v>0.97289999999999999</v>
      </c>
      <c r="L178">
        <f t="shared" si="8"/>
        <v>15.069600000000001</v>
      </c>
      <c r="M178">
        <f t="shared" si="9"/>
        <v>14.679613821600002</v>
      </c>
      <c r="N178" s="9"/>
      <c r="O178" s="22">
        <v>0.74600200000000005</v>
      </c>
      <c r="P178" s="22">
        <v>11.7759</v>
      </c>
      <c r="Q178" s="22">
        <v>-1.5341199999999999E-2</v>
      </c>
      <c r="R178" s="22">
        <v>168</v>
      </c>
      <c r="S178" s="22">
        <v>0.74514800000000003</v>
      </c>
      <c r="T178">
        <f t="shared" si="10"/>
        <v>15.341199999999999</v>
      </c>
      <c r="U178">
        <f t="shared" si="11"/>
        <v>11.444565882399999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6.50732</v>
      </c>
      <c r="I179" s="22">
        <v>-1.5075699999999999E-2</v>
      </c>
      <c r="J179" s="22">
        <v>169</v>
      </c>
      <c r="K179" s="22">
        <v>0.96771200000000002</v>
      </c>
      <c r="L179">
        <f t="shared" si="8"/>
        <v>15.075699999999999</v>
      </c>
      <c r="M179">
        <f t="shared" si="9"/>
        <v>14.609649810199999</v>
      </c>
      <c r="N179" s="9"/>
      <c r="O179" s="22">
        <v>0.75103799999999998</v>
      </c>
      <c r="P179" s="22">
        <v>11.7859</v>
      </c>
      <c r="Q179" s="22">
        <v>-1.53381E-2</v>
      </c>
      <c r="R179" s="22">
        <v>169</v>
      </c>
      <c r="S179" s="22">
        <v>0.75006099999999998</v>
      </c>
      <c r="T179">
        <f t="shared" si="10"/>
        <v>15.338100000000001</v>
      </c>
      <c r="U179">
        <f t="shared" si="11"/>
        <v>11.519495947799999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6.5173899999999998</v>
      </c>
      <c r="I180" s="22">
        <v>-1.5084800000000001E-2</v>
      </c>
      <c r="J180" s="22">
        <v>170</v>
      </c>
      <c r="K180" s="22">
        <v>0.96282999999999996</v>
      </c>
      <c r="L180">
        <f t="shared" si="8"/>
        <v>15.084800000000001</v>
      </c>
      <c r="M180">
        <f t="shared" si="9"/>
        <v>14.542501440000001</v>
      </c>
      <c r="N180" s="9"/>
      <c r="O180" s="22">
        <v>0.756073</v>
      </c>
      <c r="P180" s="22">
        <v>11.795999999999999</v>
      </c>
      <c r="Q180" s="22">
        <v>-1.53381E-2</v>
      </c>
      <c r="R180" s="22">
        <v>170</v>
      </c>
      <c r="S180" s="22">
        <v>0.75500500000000004</v>
      </c>
      <c r="T180">
        <f t="shared" si="10"/>
        <v>15.338100000000001</v>
      </c>
      <c r="U180">
        <f t="shared" si="11"/>
        <v>11.596723281300001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6.5274599999999996</v>
      </c>
      <c r="I181" s="22">
        <v>-1.5096999999999999E-2</v>
      </c>
      <c r="J181" s="22">
        <v>171</v>
      </c>
      <c r="K181" s="22">
        <v>0.95794699999999999</v>
      </c>
      <c r="L181">
        <f t="shared" si="8"/>
        <v>15.097</v>
      </c>
      <c r="M181">
        <f t="shared" si="9"/>
        <v>14.478249454999998</v>
      </c>
      <c r="N181" s="9"/>
      <c r="O181" s="22">
        <v>0.76110800000000001</v>
      </c>
      <c r="P181" s="22">
        <v>11.806100000000001</v>
      </c>
      <c r="Q181" s="22">
        <v>-1.5332E-2</v>
      </c>
      <c r="R181" s="22">
        <v>171</v>
      </c>
      <c r="S181" s="22">
        <v>0.75988800000000001</v>
      </c>
      <c r="T181">
        <f t="shared" si="10"/>
        <v>15.332000000000001</v>
      </c>
      <c r="U181">
        <f t="shared" si="11"/>
        <v>11.669307856000001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6.5375300000000003</v>
      </c>
      <c r="I182" s="22">
        <v>-1.51123E-2</v>
      </c>
      <c r="J182" s="22">
        <v>172</v>
      </c>
      <c r="K182" s="22">
        <v>0.95306400000000002</v>
      </c>
      <c r="L182">
        <f t="shared" si="8"/>
        <v>15.112300000000001</v>
      </c>
      <c r="M182">
        <f t="shared" si="9"/>
        <v>14.416816841700001</v>
      </c>
      <c r="N182" s="9"/>
      <c r="O182" s="22">
        <v>0.76614400000000005</v>
      </c>
      <c r="P182" s="22">
        <v>11.8161</v>
      </c>
      <c r="Q182" s="22">
        <v>-1.5332E-2</v>
      </c>
      <c r="R182" s="22">
        <v>172</v>
      </c>
      <c r="S182" s="22">
        <v>0.76507599999999998</v>
      </c>
      <c r="T182">
        <f t="shared" si="10"/>
        <v>15.332000000000001</v>
      </c>
      <c r="U182">
        <f t="shared" si="11"/>
        <v>11.746519808000002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6.5476000000000001</v>
      </c>
      <c r="I183" s="22">
        <v>-1.5130599999999999E-2</v>
      </c>
      <c r="J183" s="22">
        <v>173</v>
      </c>
      <c r="K183" s="22">
        <v>0.94757100000000005</v>
      </c>
      <c r="L183">
        <f t="shared" si="8"/>
        <v>15.130599999999999</v>
      </c>
      <c r="M183">
        <f t="shared" si="9"/>
        <v>14.358092086399999</v>
      </c>
      <c r="N183" s="9"/>
      <c r="O183" s="22">
        <v>0.77117899999999995</v>
      </c>
      <c r="P183" s="22">
        <v>11.8262</v>
      </c>
      <c r="Q183" s="22">
        <v>-1.53198E-2</v>
      </c>
      <c r="R183" s="22">
        <v>173</v>
      </c>
      <c r="S183" s="22">
        <v>0.77026399999999995</v>
      </c>
      <c r="T183">
        <f t="shared" si="10"/>
        <v>15.319799999999999</v>
      </c>
      <c r="U183">
        <f t="shared" si="11"/>
        <v>11.814308044199999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6.5576699999999999</v>
      </c>
      <c r="I184" s="22">
        <v>-1.51428E-2</v>
      </c>
      <c r="J184" s="22">
        <v>174</v>
      </c>
      <c r="K184" s="22">
        <v>0.94268799999999997</v>
      </c>
      <c r="L184">
        <f t="shared" si="8"/>
        <v>15.142799999999999</v>
      </c>
      <c r="M184">
        <f t="shared" si="9"/>
        <v>14.2934252052</v>
      </c>
      <c r="N184" s="9"/>
      <c r="O184" s="22">
        <v>0.77621499999999999</v>
      </c>
      <c r="P184" s="22">
        <v>11.8363</v>
      </c>
      <c r="Q184" s="22">
        <v>-1.53046E-2</v>
      </c>
      <c r="R184" s="22">
        <v>174</v>
      </c>
      <c r="S184" s="22">
        <v>0.775146</v>
      </c>
      <c r="T184">
        <f t="shared" si="10"/>
        <v>15.304600000000001</v>
      </c>
      <c r="U184">
        <f t="shared" si="11"/>
        <v>11.879660089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6.5677399999999997</v>
      </c>
      <c r="I185" s="22">
        <v>-1.51489E-2</v>
      </c>
      <c r="J185" s="22">
        <v>175</v>
      </c>
      <c r="K185" s="22">
        <v>0.937805</v>
      </c>
      <c r="L185">
        <f t="shared" si="8"/>
        <v>15.148899999999999</v>
      </c>
      <c r="M185">
        <f t="shared" si="9"/>
        <v>14.222893189699999</v>
      </c>
      <c r="N185" s="9"/>
      <c r="O185" s="22">
        <v>0.78125</v>
      </c>
      <c r="P185" s="22">
        <v>11.846399999999999</v>
      </c>
      <c r="Q185" s="22">
        <v>-1.5301500000000001E-2</v>
      </c>
      <c r="R185" s="22">
        <v>175</v>
      </c>
      <c r="S185" s="22">
        <v>0.78064</v>
      </c>
      <c r="T185">
        <f t="shared" si="10"/>
        <v>15.301500000000001</v>
      </c>
      <c r="U185">
        <f t="shared" si="11"/>
        <v>11.954296875000001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6.5778100000000004</v>
      </c>
      <c r="I186" s="22">
        <v>-1.5152000000000001E-2</v>
      </c>
      <c r="J186" s="22">
        <v>176</v>
      </c>
      <c r="K186" s="22">
        <v>0.93261700000000003</v>
      </c>
      <c r="L186">
        <f t="shared" si="8"/>
        <v>15.152000000000001</v>
      </c>
      <c r="M186">
        <f t="shared" si="9"/>
        <v>14.149513376</v>
      </c>
      <c r="N186" s="9"/>
      <c r="O186" s="22">
        <v>0.78628500000000001</v>
      </c>
      <c r="P186" s="22">
        <v>11.856400000000001</v>
      </c>
      <c r="Q186" s="22">
        <v>-1.5295400000000001E-2</v>
      </c>
      <c r="R186" s="22">
        <v>176</v>
      </c>
      <c r="S186" s="22">
        <v>0.78521700000000005</v>
      </c>
      <c r="T186">
        <f t="shared" si="10"/>
        <v>15.295400000000001</v>
      </c>
      <c r="U186">
        <f t="shared" si="11"/>
        <v>12.026543589000001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6.5878800000000002</v>
      </c>
      <c r="I187" s="22">
        <v>-1.5155E-2</v>
      </c>
      <c r="J187" s="22">
        <v>177</v>
      </c>
      <c r="K187" s="22">
        <v>0.92803999999999998</v>
      </c>
      <c r="L187">
        <f t="shared" si="8"/>
        <v>15.154999999999999</v>
      </c>
      <c r="M187">
        <f t="shared" si="9"/>
        <v>14.07599431</v>
      </c>
      <c r="N187" s="9"/>
      <c r="O187" s="22">
        <v>0.79132100000000005</v>
      </c>
      <c r="P187" s="22">
        <v>11.8665</v>
      </c>
      <c r="Q187" s="22">
        <v>-1.5295400000000001E-2</v>
      </c>
      <c r="R187" s="22">
        <v>177</v>
      </c>
      <c r="S187" s="22">
        <v>0.78979500000000002</v>
      </c>
      <c r="T187">
        <f t="shared" si="10"/>
        <v>15.295400000000001</v>
      </c>
      <c r="U187">
        <f t="shared" si="11"/>
        <v>12.103571223400001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6.59795</v>
      </c>
      <c r="I188" s="22">
        <v>-1.51611E-2</v>
      </c>
      <c r="J188" s="22">
        <v>178</v>
      </c>
      <c r="K188" s="22">
        <v>0.92224099999999998</v>
      </c>
      <c r="L188">
        <f t="shared" si="8"/>
        <v>15.161100000000001</v>
      </c>
      <c r="M188">
        <f t="shared" si="9"/>
        <v>14.005323863700001</v>
      </c>
      <c r="N188" s="9"/>
      <c r="O188" s="22">
        <v>0.79635599999999995</v>
      </c>
      <c r="P188" s="22">
        <v>11.8766</v>
      </c>
      <c r="Q188" s="22">
        <v>-1.5286299999999999E-2</v>
      </c>
      <c r="R188" s="22">
        <v>178</v>
      </c>
      <c r="S188" s="22">
        <v>0.79589799999999999</v>
      </c>
      <c r="T188">
        <f t="shared" si="10"/>
        <v>15.286299999999999</v>
      </c>
      <c r="U188">
        <f t="shared" si="11"/>
        <v>12.173336722799998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6.6080300000000003</v>
      </c>
      <c r="I189" s="22">
        <v>-1.5170299999999999E-2</v>
      </c>
      <c r="J189" s="22">
        <v>179</v>
      </c>
      <c r="K189" s="22">
        <v>0.91735800000000001</v>
      </c>
      <c r="L189">
        <f t="shared" si="8"/>
        <v>15.170299999999999</v>
      </c>
      <c r="M189">
        <f t="shared" si="9"/>
        <v>13.937440059599998</v>
      </c>
      <c r="N189" s="9"/>
      <c r="O189" s="22">
        <v>0.80139199999999999</v>
      </c>
      <c r="P189" s="22">
        <v>11.8866</v>
      </c>
      <c r="Q189" s="22">
        <v>-1.5286299999999999E-2</v>
      </c>
      <c r="R189" s="22">
        <v>179</v>
      </c>
      <c r="S189" s="22">
        <v>0.79986599999999997</v>
      </c>
      <c r="T189">
        <f t="shared" si="10"/>
        <v>15.286299999999999</v>
      </c>
      <c r="U189">
        <f t="shared" si="11"/>
        <v>12.250318529599999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6.6181000000000001</v>
      </c>
      <c r="I190" s="22">
        <v>-1.51764E-2</v>
      </c>
      <c r="J190" s="22">
        <v>180</v>
      </c>
      <c r="K190" s="22">
        <v>0.91308599999999995</v>
      </c>
      <c r="L190">
        <f t="shared" si="8"/>
        <v>15.176399999999999</v>
      </c>
      <c r="M190">
        <f t="shared" si="9"/>
        <v>13.866615974399998</v>
      </c>
      <c r="N190" s="9"/>
      <c r="O190" s="22">
        <v>0.806427</v>
      </c>
      <c r="P190" s="22">
        <v>11.896699999999999</v>
      </c>
      <c r="Q190" s="22">
        <v>-1.52771E-2</v>
      </c>
      <c r="R190" s="22">
        <v>180</v>
      </c>
      <c r="S190" s="22">
        <v>0.80535900000000005</v>
      </c>
      <c r="T190">
        <f t="shared" si="10"/>
        <v>15.277100000000001</v>
      </c>
      <c r="U190">
        <f t="shared" si="11"/>
        <v>12.3198659217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6.6281699999999999</v>
      </c>
      <c r="I191" s="22">
        <v>-1.51764E-2</v>
      </c>
      <c r="J191" s="22">
        <v>181</v>
      </c>
      <c r="K191" s="22">
        <v>0.90759299999999998</v>
      </c>
      <c r="L191">
        <f t="shared" si="8"/>
        <v>15.176399999999999</v>
      </c>
      <c r="M191">
        <f t="shared" si="9"/>
        <v>13.790202800399999</v>
      </c>
      <c r="N191" s="9"/>
      <c r="O191" s="22">
        <v>0.81146200000000002</v>
      </c>
      <c r="P191" s="22">
        <v>11.9068</v>
      </c>
      <c r="Q191" s="22">
        <v>-1.5267899999999999E-2</v>
      </c>
      <c r="R191" s="22">
        <v>181</v>
      </c>
      <c r="S191" s="22">
        <v>0.81054700000000002</v>
      </c>
      <c r="T191">
        <f t="shared" si="10"/>
        <v>15.267899999999999</v>
      </c>
      <c r="U191">
        <f t="shared" si="11"/>
        <v>12.3893206698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6.6382399999999997</v>
      </c>
      <c r="I192" s="22">
        <v>-1.5179399999999999E-2</v>
      </c>
      <c r="J192" s="22">
        <v>182</v>
      </c>
      <c r="K192" s="22">
        <v>0.90240500000000001</v>
      </c>
      <c r="L192">
        <f t="shared" si="8"/>
        <v>15.179399999999999</v>
      </c>
      <c r="M192">
        <f t="shared" si="9"/>
        <v>13.716485324999999</v>
      </c>
      <c r="N192" s="9"/>
      <c r="O192" s="22">
        <v>0.81649799999999995</v>
      </c>
      <c r="P192" s="22">
        <v>11.9169</v>
      </c>
      <c r="Q192" s="22">
        <v>-1.5261800000000001E-2</v>
      </c>
      <c r="R192" s="22">
        <v>182</v>
      </c>
      <c r="S192" s="22">
        <v>0.81542999999999999</v>
      </c>
      <c r="T192">
        <f t="shared" si="10"/>
        <v>15.261800000000001</v>
      </c>
      <c r="U192">
        <f t="shared" si="11"/>
        <v>12.4612291764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6.6483100000000004</v>
      </c>
      <c r="I193" s="22">
        <v>-1.5197799999999999E-2</v>
      </c>
      <c r="J193" s="22">
        <v>183</v>
      </c>
      <c r="K193" s="22">
        <v>0.89752200000000004</v>
      </c>
      <c r="L193">
        <f t="shared" si="8"/>
        <v>15.197799999999999</v>
      </c>
      <c r="M193">
        <f t="shared" si="9"/>
        <v>13.656591101999998</v>
      </c>
      <c r="N193" s="9"/>
      <c r="O193" s="22">
        <v>0.82153299999999996</v>
      </c>
      <c r="P193" s="22">
        <v>11.9269</v>
      </c>
      <c r="Q193" s="22">
        <v>-1.5252699999999999E-2</v>
      </c>
      <c r="R193" s="22">
        <v>183</v>
      </c>
      <c r="S193" s="22">
        <v>0.82031299999999996</v>
      </c>
      <c r="T193">
        <f t="shared" si="10"/>
        <v>15.252699999999999</v>
      </c>
      <c r="U193">
        <f t="shared" si="11"/>
        <v>12.530596389099999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6.6583800000000002</v>
      </c>
      <c r="I194" s="22">
        <v>-1.5213000000000001E-2</v>
      </c>
      <c r="J194" s="22">
        <v>184</v>
      </c>
      <c r="K194" s="22">
        <v>0.89233399999999996</v>
      </c>
      <c r="L194">
        <f t="shared" si="8"/>
        <v>15.213000000000001</v>
      </c>
      <c r="M194">
        <f t="shared" si="9"/>
        <v>13.593652215000001</v>
      </c>
      <c r="N194" s="9"/>
      <c r="O194" s="22">
        <v>0.826569</v>
      </c>
      <c r="P194" s="22">
        <v>11.936999999999999</v>
      </c>
      <c r="Q194" s="22">
        <v>-1.52374E-2</v>
      </c>
      <c r="R194" s="22">
        <v>184</v>
      </c>
      <c r="S194" s="22">
        <v>0.82519500000000001</v>
      </c>
      <c r="T194">
        <f t="shared" si="10"/>
        <v>15.237399999999999</v>
      </c>
      <c r="U194">
        <f t="shared" si="11"/>
        <v>12.5947624806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6.66845</v>
      </c>
      <c r="I195" s="22">
        <v>-1.5225199999999999E-2</v>
      </c>
      <c r="J195" s="22">
        <v>185</v>
      </c>
      <c r="K195" s="22">
        <v>0.88714599999999999</v>
      </c>
      <c r="L195">
        <f t="shared" si="8"/>
        <v>15.225199999999999</v>
      </c>
      <c r="M195">
        <f t="shared" si="9"/>
        <v>13.527879478799999</v>
      </c>
      <c r="N195" s="9"/>
      <c r="O195" s="22">
        <v>0.83160400000000001</v>
      </c>
      <c r="P195" s="22">
        <v>11.947100000000001</v>
      </c>
      <c r="Q195" s="22">
        <v>-1.52283E-2</v>
      </c>
      <c r="R195" s="22">
        <v>185</v>
      </c>
      <c r="S195" s="22">
        <v>0.83068799999999998</v>
      </c>
      <c r="T195">
        <f t="shared" si="10"/>
        <v>15.228300000000001</v>
      </c>
      <c r="U195">
        <f t="shared" si="11"/>
        <v>12.663915193200001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6.6785199999999998</v>
      </c>
      <c r="I196" s="22">
        <v>-1.5225199999999999E-2</v>
      </c>
      <c r="J196" s="22">
        <v>186</v>
      </c>
      <c r="K196" s="22">
        <v>0.88226300000000002</v>
      </c>
      <c r="L196">
        <f t="shared" si="8"/>
        <v>15.225199999999999</v>
      </c>
      <c r="M196">
        <f t="shared" si="9"/>
        <v>13.451220596800001</v>
      </c>
      <c r="N196" s="9"/>
      <c r="O196" s="22">
        <v>0.83663900000000002</v>
      </c>
      <c r="P196" s="22">
        <v>11.957100000000001</v>
      </c>
      <c r="Q196" s="22">
        <v>-1.52222E-2</v>
      </c>
      <c r="R196" s="22">
        <v>186</v>
      </c>
      <c r="S196" s="22">
        <v>0.83496099999999995</v>
      </c>
      <c r="T196">
        <f t="shared" si="10"/>
        <v>15.222200000000001</v>
      </c>
      <c r="U196">
        <f t="shared" si="11"/>
        <v>12.735486185800001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6.6885899999999996</v>
      </c>
      <c r="I197" s="22">
        <v>-1.5225199999999999E-2</v>
      </c>
      <c r="J197" s="22">
        <v>187</v>
      </c>
      <c r="K197" s="22">
        <v>0.87738000000000005</v>
      </c>
      <c r="L197">
        <f t="shared" si="8"/>
        <v>15.225199999999999</v>
      </c>
      <c r="M197">
        <f t="shared" si="9"/>
        <v>13.3745464896</v>
      </c>
      <c r="N197" s="9"/>
      <c r="O197" s="22">
        <v>0.84167499999999995</v>
      </c>
      <c r="P197" s="22">
        <v>11.9672</v>
      </c>
      <c r="Q197" s="22">
        <v>-1.5213000000000001E-2</v>
      </c>
      <c r="R197" s="22">
        <v>187</v>
      </c>
      <c r="S197" s="22">
        <v>0.84045400000000003</v>
      </c>
      <c r="T197">
        <f t="shared" si="10"/>
        <v>15.213000000000001</v>
      </c>
      <c r="U197">
        <f t="shared" si="11"/>
        <v>12.804401775000001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6.6986600000000003</v>
      </c>
      <c r="I198" s="22">
        <v>-1.52283E-2</v>
      </c>
      <c r="J198" s="22">
        <v>188</v>
      </c>
      <c r="K198" s="22">
        <v>0.87219199999999997</v>
      </c>
      <c r="L198">
        <f t="shared" si="8"/>
        <v>15.228300000000001</v>
      </c>
      <c r="M198">
        <f t="shared" si="9"/>
        <v>13.300595187900001</v>
      </c>
      <c r="N198" s="9"/>
      <c r="O198" s="22">
        <v>0.84670999999999996</v>
      </c>
      <c r="P198" s="22">
        <v>11.9773</v>
      </c>
      <c r="Q198" s="22">
        <v>-1.5213000000000001E-2</v>
      </c>
      <c r="R198" s="22">
        <v>188</v>
      </c>
      <c r="S198" s="22">
        <v>0.84503200000000001</v>
      </c>
      <c r="T198">
        <f t="shared" si="10"/>
        <v>15.213000000000001</v>
      </c>
      <c r="U198">
        <f t="shared" si="11"/>
        <v>12.88099923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6.7087399999999997</v>
      </c>
      <c r="I199" s="22">
        <v>-1.52283E-2</v>
      </c>
      <c r="J199" s="22">
        <v>189</v>
      </c>
      <c r="K199" s="22">
        <v>0.866699</v>
      </c>
      <c r="L199">
        <f t="shared" si="8"/>
        <v>15.228300000000001</v>
      </c>
      <c r="M199">
        <f t="shared" si="9"/>
        <v>13.223920697400001</v>
      </c>
      <c r="N199" s="9"/>
      <c r="O199" s="22">
        <v>0.851746</v>
      </c>
      <c r="P199" s="22">
        <v>11.987299999999999</v>
      </c>
      <c r="Q199" s="22">
        <v>-1.5206900000000001E-2</v>
      </c>
      <c r="R199" s="22">
        <v>189</v>
      </c>
      <c r="S199" s="22">
        <v>0.85021999999999998</v>
      </c>
      <c r="T199">
        <f t="shared" si="10"/>
        <v>15.206900000000001</v>
      </c>
      <c r="U199">
        <f t="shared" si="11"/>
        <v>12.9524162474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6.7188100000000004</v>
      </c>
      <c r="I200" s="22">
        <v>-1.5240500000000001E-2</v>
      </c>
      <c r="J200" s="22">
        <v>190</v>
      </c>
      <c r="K200" s="22">
        <v>0.86242700000000005</v>
      </c>
      <c r="L200">
        <f t="shared" si="8"/>
        <v>15.240500000000001</v>
      </c>
      <c r="M200">
        <f t="shared" si="9"/>
        <v>13.157763751000001</v>
      </c>
      <c r="N200" s="9"/>
      <c r="O200" s="22">
        <v>0.85678100000000001</v>
      </c>
      <c r="P200" s="22">
        <v>11.997400000000001</v>
      </c>
      <c r="Q200" s="22">
        <v>-1.51947E-2</v>
      </c>
      <c r="R200" s="22">
        <v>190</v>
      </c>
      <c r="S200" s="22">
        <v>0.85540799999999995</v>
      </c>
      <c r="T200">
        <f t="shared" si="10"/>
        <v>15.194700000000001</v>
      </c>
      <c r="U200">
        <f t="shared" si="11"/>
        <v>13.0185302607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6.7288800000000002</v>
      </c>
      <c r="I201" s="22">
        <v>-1.52435E-2</v>
      </c>
      <c r="J201" s="22">
        <v>191</v>
      </c>
      <c r="K201" s="22">
        <v>0.85754399999999997</v>
      </c>
      <c r="L201">
        <f t="shared" si="8"/>
        <v>15.243500000000001</v>
      </c>
      <c r="M201">
        <f t="shared" si="9"/>
        <v>13.083602754500001</v>
      </c>
      <c r="N201" s="9"/>
      <c r="O201" s="22">
        <v>0.86181600000000003</v>
      </c>
      <c r="P201" s="22">
        <v>12.0075</v>
      </c>
      <c r="Q201" s="22">
        <v>-1.5185499999999999E-2</v>
      </c>
      <c r="R201" s="22">
        <v>191</v>
      </c>
      <c r="S201" s="22">
        <v>0.86059600000000003</v>
      </c>
      <c r="T201">
        <f t="shared" si="10"/>
        <v>15.185499999999999</v>
      </c>
      <c r="U201">
        <f t="shared" si="11"/>
        <v>13.087106867999999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6.73895</v>
      </c>
      <c r="I202" s="22">
        <v>-1.5255700000000001E-2</v>
      </c>
      <c r="J202" s="22">
        <v>192</v>
      </c>
      <c r="K202" s="22">
        <v>0.851746</v>
      </c>
      <c r="L202">
        <f t="shared" si="8"/>
        <v>15.255700000000001</v>
      </c>
      <c r="M202">
        <f t="shared" si="9"/>
        <v>13.017246394700001</v>
      </c>
      <c r="N202" s="9"/>
      <c r="O202" s="22">
        <v>0.86685199999999996</v>
      </c>
      <c r="P202" s="22">
        <v>12.0176</v>
      </c>
      <c r="Q202" s="22">
        <v>-1.51825E-2</v>
      </c>
      <c r="R202" s="22">
        <v>192</v>
      </c>
      <c r="S202" s="22">
        <v>0.865479</v>
      </c>
      <c r="T202">
        <f t="shared" si="10"/>
        <v>15.182499999999999</v>
      </c>
      <c r="U202">
        <f t="shared" si="11"/>
        <v>13.160980489999998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6.7490199999999998</v>
      </c>
      <c r="I203" s="22">
        <v>-1.5261800000000001E-2</v>
      </c>
      <c r="J203" s="22">
        <v>193</v>
      </c>
      <c r="K203" s="22">
        <v>0.84686300000000003</v>
      </c>
      <c r="L203">
        <f t="shared" si="8"/>
        <v>15.261800000000001</v>
      </c>
      <c r="M203">
        <f t="shared" si="9"/>
        <v>12.945608184800001</v>
      </c>
      <c r="N203" s="9"/>
      <c r="O203" s="22">
        <v>0.87188699999999997</v>
      </c>
      <c r="P203" s="22">
        <v>12.0276</v>
      </c>
      <c r="Q203" s="22">
        <v>-1.5170299999999999E-2</v>
      </c>
      <c r="R203" s="22">
        <v>193</v>
      </c>
      <c r="S203" s="22">
        <v>0.87036100000000005</v>
      </c>
      <c r="T203">
        <f t="shared" si="10"/>
        <v>15.170299999999999</v>
      </c>
      <c r="U203">
        <f t="shared" si="11"/>
        <v>13.226787356099999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6.7590899999999996</v>
      </c>
      <c r="I204" s="22">
        <v>-1.5273999999999999E-2</v>
      </c>
      <c r="J204" s="22">
        <v>194</v>
      </c>
      <c r="K204" s="22">
        <v>0.84167499999999995</v>
      </c>
      <c r="L204">
        <f t="shared" ref="L204:L267" si="12">-I204/$F$2*1000</f>
        <v>15.273999999999999</v>
      </c>
      <c r="M204">
        <f t="shared" ref="M204:M267" si="13">L204*G204</f>
        <v>12.879052073999999</v>
      </c>
      <c r="N204" s="9"/>
      <c r="O204" s="22">
        <v>0.87692300000000001</v>
      </c>
      <c r="P204" s="22">
        <v>12.037699999999999</v>
      </c>
      <c r="Q204" s="22">
        <v>-1.5164199999999999E-2</v>
      </c>
      <c r="R204" s="22">
        <v>194</v>
      </c>
      <c r="S204" s="22">
        <v>0.87585400000000002</v>
      </c>
      <c r="T204">
        <f t="shared" ref="T204:T267" si="14">-Q204/$F$2*1000</f>
        <v>15.164199999999999</v>
      </c>
      <c r="U204">
        <f t="shared" ref="U204:U267" si="15">T204*O204</f>
        <v>13.2978357566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6.7691600000000003</v>
      </c>
      <c r="I205" s="22">
        <v>-1.5280200000000001E-2</v>
      </c>
      <c r="J205" s="22">
        <v>195</v>
      </c>
      <c r="K205" s="22">
        <v>0.83740199999999998</v>
      </c>
      <c r="L205">
        <f t="shared" si="12"/>
        <v>15.280200000000001</v>
      </c>
      <c r="M205">
        <f t="shared" si="13"/>
        <v>12.807328833000001</v>
      </c>
      <c r="N205" s="9"/>
      <c r="O205" s="22">
        <v>0.88195800000000002</v>
      </c>
      <c r="P205" s="22">
        <v>12.047800000000001</v>
      </c>
      <c r="Q205" s="22">
        <v>-1.5158100000000001E-2</v>
      </c>
      <c r="R205" s="22">
        <v>195</v>
      </c>
      <c r="S205" s="22">
        <v>0.88043199999999999</v>
      </c>
      <c r="T205">
        <f t="shared" si="14"/>
        <v>15.158100000000001</v>
      </c>
      <c r="U205">
        <f t="shared" si="15"/>
        <v>13.3688075598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6.7792300000000001</v>
      </c>
      <c r="I206" s="22">
        <v>-1.52832E-2</v>
      </c>
      <c r="J206" s="22">
        <v>196</v>
      </c>
      <c r="K206" s="22">
        <v>0.83190900000000001</v>
      </c>
      <c r="L206">
        <f t="shared" si="12"/>
        <v>15.283200000000001</v>
      </c>
      <c r="M206">
        <f t="shared" si="13"/>
        <v>12.732892416000002</v>
      </c>
      <c r="N206" s="9"/>
      <c r="O206" s="22">
        <v>0.88699300000000003</v>
      </c>
      <c r="P206" s="22">
        <v>12.0578</v>
      </c>
      <c r="Q206" s="22">
        <v>-1.5158100000000001E-2</v>
      </c>
      <c r="R206" s="22">
        <v>196</v>
      </c>
      <c r="S206" s="22">
        <v>0.88592499999999996</v>
      </c>
      <c r="T206">
        <f t="shared" si="14"/>
        <v>15.158100000000001</v>
      </c>
      <c r="U206">
        <f t="shared" si="15"/>
        <v>13.445128593300002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6.7892999999999999</v>
      </c>
      <c r="I207" s="22">
        <v>-1.5292399999999999E-2</v>
      </c>
      <c r="J207" s="22">
        <v>197</v>
      </c>
      <c r="K207" s="22">
        <v>0.82672100000000004</v>
      </c>
      <c r="L207">
        <f t="shared" si="12"/>
        <v>15.292399999999999</v>
      </c>
      <c r="M207">
        <f t="shared" si="13"/>
        <v>12.6635446856</v>
      </c>
      <c r="N207" s="9"/>
      <c r="O207" s="22">
        <v>0.89202899999999996</v>
      </c>
      <c r="P207" s="22">
        <v>12.0679</v>
      </c>
      <c r="Q207" s="22">
        <v>-1.51489E-2</v>
      </c>
      <c r="R207" s="22">
        <v>197</v>
      </c>
      <c r="S207" s="22">
        <v>0.89111300000000004</v>
      </c>
      <c r="T207">
        <f t="shared" si="14"/>
        <v>15.148899999999999</v>
      </c>
      <c r="U207">
        <f t="shared" si="15"/>
        <v>13.5132581181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6.7993699999999997</v>
      </c>
      <c r="I208" s="22">
        <v>-1.5295400000000001E-2</v>
      </c>
      <c r="J208" s="22">
        <v>198</v>
      </c>
      <c r="K208" s="22">
        <v>0.82244899999999999</v>
      </c>
      <c r="L208">
        <f t="shared" si="12"/>
        <v>15.295400000000001</v>
      </c>
      <c r="M208">
        <f t="shared" si="13"/>
        <v>12.5890166286</v>
      </c>
      <c r="N208" s="9"/>
      <c r="O208" s="22">
        <v>0.89706399999999997</v>
      </c>
      <c r="P208" s="22">
        <v>12.077999999999999</v>
      </c>
      <c r="Q208" s="22">
        <v>-1.51398E-2</v>
      </c>
      <c r="R208" s="22">
        <v>198</v>
      </c>
      <c r="S208" s="22">
        <v>0.89569100000000001</v>
      </c>
      <c r="T208">
        <f t="shared" si="14"/>
        <v>15.139799999999999</v>
      </c>
      <c r="U208">
        <f t="shared" si="15"/>
        <v>13.5813695472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6.80945</v>
      </c>
      <c r="I209" s="22">
        <v>-1.5307599999999999E-2</v>
      </c>
      <c r="J209" s="22">
        <v>199</v>
      </c>
      <c r="K209" s="22">
        <v>0.81634499999999999</v>
      </c>
      <c r="L209">
        <f t="shared" si="12"/>
        <v>15.307599999999999</v>
      </c>
      <c r="M209">
        <f t="shared" si="13"/>
        <v>12.521984182399999</v>
      </c>
      <c r="N209" s="9"/>
      <c r="O209" s="22">
        <v>0.90210000000000001</v>
      </c>
      <c r="P209" s="22">
        <v>12.088100000000001</v>
      </c>
      <c r="Q209" s="22">
        <v>-1.5136699999999999E-2</v>
      </c>
      <c r="R209" s="22">
        <v>199</v>
      </c>
      <c r="S209" s="22">
        <v>0.90026899999999999</v>
      </c>
      <c r="T209">
        <f t="shared" si="14"/>
        <v>15.136699999999999</v>
      </c>
      <c r="U209">
        <f t="shared" si="15"/>
        <v>13.65481707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6.8195199999999998</v>
      </c>
      <c r="I210" s="22">
        <v>-1.53107E-2</v>
      </c>
      <c r="J210" s="22">
        <v>200</v>
      </c>
      <c r="K210" s="22">
        <v>0.81207300000000004</v>
      </c>
      <c r="L210">
        <f t="shared" si="12"/>
        <v>15.310700000000001</v>
      </c>
      <c r="M210">
        <f t="shared" si="13"/>
        <v>12.447415371600002</v>
      </c>
      <c r="N210" s="9"/>
      <c r="O210" s="22">
        <v>0.90713500000000002</v>
      </c>
      <c r="P210" s="22">
        <v>12.098100000000001</v>
      </c>
      <c r="Q210" s="22">
        <v>-1.5130599999999999E-2</v>
      </c>
      <c r="R210" s="22">
        <v>200</v>
      </c>
      <c r="S210" s="22">
        <v>0.90606699999999996</v>
      </c>
      <c r="T210">
        <f t="shared" si="14"/>
        <v>15.130599999999999</v>
      </c>
      <c r="U210">
        <f t="shared" si="15"/>
        <v>13.725496830999999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6.8295899999999996</v>
      </c>
      <c r="I211" s="22">
        <v>-1.53198E-2</v>
      </c>
      <c r="J211" s="22">
        <v>201</v>
      </c>
      <c r="K211" s="22">
        <v>0.80688499999999996</v>
      </c>
      <c r="L211">
        <f t="shared" si="12"/>
        <v>15.319799999999999</v>
      </c>
      <c r="M211">
        <f t="shared" si="13"/>
        <v>12.3776783694</v>
      </c>
      <c r="N211" s="9"/>
      <c r="O211" s="22">
        <v>0.91217000000000004</v>
      </c>
      <c r="P211" s="22">
        <v>12.1082</v>
      </c>
      <c r="Q211" s="22">
        <v>-1.5124500000000001E-2</v>
      </c>
      <c r="R211" s="22">
        <v>201</v>
      </c>
      <c r="S211" s="22">
        <v>0.91064500000000004</v>
      </c>
      <c r="T211">
        <f t="shared" si="14"/>
        <v>15.124500000000001</v>
      </c>
      <c r="U211">
        <f t="shared" si="15"/>
        <v>13.796115165000002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6.8396600000000003</v>
      </c>
      <c r="I212" s="22">
        <v>-1.53259E-2</v>
      </c>
      <c r="J212" s="22">
        <v>202</v>
      </c>
      <c r="K212" s="22">
        <v>0.80169699999999999</v>
      </c>
      <c r="L212">
        <f t="shared" si="12"/>
        <v>15.325900000000001</v>
      </c>
      <c r="M212">
        <f t="shared" si="13"/>
        <v>12.3054256503</v>
      </c>
      <c r="N212" s="9"/>
      <c r="O212" s="22">
        <v>0.91720599999999997</v>
      </c>
      <c r="P212" s="22">
        <v>12.1183</v>
      </c>
      <c r="Q212" s="22">
        <v>-1.51123E-2</v>
      </c>
      <c r="R212" s="22">
        <v>202</v>
      </c>
      <c r="S212" s="22">
        <v>0.91644300000000001</v>
      </c>
      <c r="T212">
        <f t="shared" si="14"/>
        <v>15.112300000000001</v>
      </c>
      <c r="U212">
        <f t="shared" si="15"/>
        <v>13.861092233800001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6.8497300000000001</v>
      </c>
      <c r="I213" s="22">
        <v>-1.5332E-2</v>
      </c>
      <c r="J213" s="22">
        <v>203</v>
      </c>
      <c r="K213" s="22">
        <v>0.79681400000000002</v>
      </c>
      <c r="L213">
        <f t="shared" si="12"/>
        <v>15.332000000000001</v>
      </c>
      <c r="M213">
        <f t="shared" si="13"/>
        <v>12.233126824000001</v>
      </c>
      <c r="N213" s="9"/>
      <c r="O213" s="22">
        <v>0.92224099999999998</v>
      </c>
      <c r="P213" s="22">
        <v>12.128299999999999</v>
      </c>
      <c r="Q213" s="22">
        <v>-1.51062E-2</v>
      </c>
      <c r="R213" s="22">
        <v>203</v>
      </c>
      <c r="S213" s="22">
        <v>0.92102099999999998</v>
      </c>
      <c r="T213">
        <f t="shared" si="14"/>
        <v>15.106199999999999</v>
      </c>
      <c r="U213">
        <f t="shared" si="15"/>
        <v>13.931556994199999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6.8597999999999999</v>
      </c>
      <c r="I214" s="22">
        <v>-1.5344200000000001E-2</v>
      </c>
      <c r="J214" s="22">
        <v>204</v>
      </c>
      <c r="K214" s="22">
        <v>0.79162600000000005</v>
      </c>
      <c r="L214">
        <f t="shared" si="12"/>
        <v>15.344200000000001</v>
      </c>
      <c r="M214">
        <f t="shared" si="13"/>
        <v>12.165602937399999</v>
      </c>
      <c r="N214" s="9"/>
      <c r="O214" s="22">
        <v>0.92727700000000002</v>
      </c>
      <c r="P214" s="22">
        <v>12.138400000000001</v>
      </c>
      <c r="Q214" s="22">
        <v>-1.51031E-2</v>
      </c>
      <c r="R214" s="22">
        <v>204</v>
      </c>
      <c r="S214" s="22">
        <v>0.92651399999999995</v>
      </c>
      <c r="T214">
        <f t="shared" si="14"/>
        <v>15.1031</v>
      </c>
      <c r="U214">
        <f t="shared" si="15"/>
        <v>14.0047572587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6.8698699999999997</v>
      </c>
      <c r="I215" s="22">
        <v>-1.5347299999999999E-2</v>
      </c>
      <c r="J215" s="22">
        <v>205</v>
      </c>
      <c r="K215" s="22">
        <v>0.78674299999999997</v>
      </c>
      <c r="L215">
        <f t="shared" si="12"/>
        <v>15.347299999999999</v>
      </c>
      <c r="M215">
        <f t="shared" si="13"/>
        <v>12.090771760299999</v>
      </c>
      <c r="N215" s="9"/>
      <c r="O215" s="22">
        <v>0.93231200000000003</v>
      </c>
      <c r="P215" s="22">
        <v>12.1485</v>
      </c>
      <c r="Q215" s="22">
        <v>-1.5094E-2</v>
      </c>
      <c r="R215" s="22">
        <v>205</v>
      </c>
      <c r="S215" s="22">
        <v>0.931091</v>
      </c>
      <c r="T215">
        <f t="shared" si="14"/>
        <v>15.093999999999999</v>
      </c>
      <c r="U215">
        <f t="shared" si="15"/>
        <v>14.072317328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6.8799400000000004</v>
      </c>
      <c r="I216" s="22">
        <v>-1.53595E-2</v>
      </c>
      <c r="J216" s="22">
        <v>206</v>
      </c>
      <c r="K216" s="22">
        <v>0.781555</v>
      </c>
      <c r="L216">
        <f t="shared" si="12"/>
        <v>15.359500000000001</v>
      </c>
      <c r="M216">
        <f t="shared" si="13"/>
        <v>12.023047972000001</v>
      </c>
      <c r="N216" s="9"/>
      <c r="O216" s="22">
        <v>0.93734700000000004</v>
      </c>
      <c r="P216" s="22">
        <v>12.1586</v>
      </c>
      <c r="Q216" s="22">
        <v>-1.50879E-2</v>
      </c>
      <c r="R216" s="22">
        <v>206</v>
      </c>
      <c r="S216" s="22">
        <v>0.93627899999999997</v>
      </c>
      <c r="T216">
        <f t="shared" si="14"/>
        <v>15.087899999999999</v>
      </c>
      <c r="U216">
        <f t="shared" si="15"/>
        <v>14.142597801300001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6.8900100000000002</v>
      </c>
      <c r="I217" s="22">
        <v>-1.53656E-2</v>
      </c>
      <c r="J217" s="22">
        <v>207</v>
      </c>
      <c r="K217" s="22">
        <v>0.77667200000000003</v>
      </c>
      <c r="L217">
        <f t="shared" si="12"/>
        <v>15.365600000000001</v>
      </c>
      <c r="M217">
        <f t="shared" si="13"/>
        <v>11.950441744000001</v>
      </c>
      <c r="N217" s="9"/>
      <c r="O217" s="22">
        <v>0.94238299999999997</v>
      </c>
      <c r="P217" s="22">
        <v>12.1686</v>
      </c>
      <c r="Q217" s="22">
        <v>-1.5081799999999999E-2</v>
      </c>
      <c r="R217" s="22">
        <v>207</v>
      </c>
      <c r="S217" s="22">
        <v>0.94146700000000005</v>
      </c>
      <c r="T217">
        <f t="shared" si="14"/>
        <v>15.081799999999999</v>
      </c>
      <c r="U217">
        <f t="shared" si="15"/>
        <v>14.212831929399998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6.90008</v>
      </c>
      <c r="I218" s="22">
        <v>-1.5368700000000001E-2</v>
      </c>
      <c r="J218" s="22">
        <v>208</v>
      </c>
      <c r="K218" s="22">
        <v>0.77087399999999995</v>
      </c>
      <c r="L218">
        <f t="shared" si="12"/>
        <v>15.3687</v>
      </c>
      <c r="M218">
        <f t="shared" si="13"/>
        <v>11.8754713335</v>
      </c>
      <c r="N218" s="9"/>
      <c r="O218" s="22">
        <v>0.94741799999999998</v>
      </c>
      <c r="P218" s="22">
        <v>12.178699999999999</v>
      </c>
      <c r="Q218" s="22">
        <v>-1.50787E-2</v>
      </c>
      <c r="R218" s="22">
        <v>208</v>
      </c>
      <c r="S218" s="22">
        <v>0.94604500000000002</v>
      </c>
      <c r="T218">
        <f t="shared" si="14"/>
        <v>15.078700000000001</v>
      </c>
      <c r="U218">
        <f t="shared" si="15"/>
        <v>14.2858317966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6.9101600000000003</v>
      </c>
      <c r="I219" s="22">
        <v>-1.5374799999999999E-2</v>
      </c>
      <c r="J219" s="22">
        <v>209</v>
      </c>
      <c r="K219" s="22">
        <v>0.76660200000000001</v>
      </c>
      <c r="L219">
        <f t="shared" si="12"/>
        <v>15.374799999999999</v>
      </c>
      <c r="M219">
        <f t="shared" si="13"/>
        <v>11.802772715999998</v>
      </c>
      <c r="N219" s="9"/>
      <c r="O219" s="22">
        <v>0.95245400000000002</v>
      </c>
      <c r="P219" s="22">
        <v>12.188800000000001</v>
      </c>
      <c r="Q219" s="22">
        <v>-1.5063500000000001E-2</v>
      </c>
      <c r="R219" s="22">
        <v>209</v>
      </c>
      <c r="S219" s="22">
        <v>0.95153799999999999</v>
      </c>
      <c r="T219">
        <f t="shared" si="14"/>
        <v>15.063500000000001</v>
      </c>
      <c r="U219">
        <f t="shared" si="15"/>
        <v>14.347290829000002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6.9202300000000001</v>
      </c>
      <c r="I220" s="22">
        <v>-1.5374799999999999E-2</v>
      </c>
      <c r="J220" s="22">
        <v>210</v>
      </c>
      <c r="K220" s="22">
        <v>0.76202400000000003</v>
      </c>
      <c r="L220">
        <f t="shared" si="12"/>
        <v>15.374799999999999</v>
      </c>
      <c r="M220">
        <f t="shared" si="13"/>
        <v>11.7253452232</v>
      </c>
      <c r="N220" s="9"/>
      <c r="O220" s="22">
        <v>0.95748900000000003</v>
      </c>
      <c r="P220" s="22">
        <v>12.1988</v>
      </c>
      <c r="Q220" s="22">
        <v>-1.50513E-2</v>
      </c>
      <c r="R220" s="22">
        <v>210</v>
      </c>
      <c r="S220" s="22">
        <v>0.95642099999999997</v>
      </c>
      <c r="T220">
        <f t="shared" si="14"/>
        <v>15.051299999999999</v>
      </c>
      <c r="U220">
        <f t="shared" si="15"/>
        <v>14.4114541857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6.9302999999999999</v>
      </c>
      <c r="I221" s="22">
        <v>-1.5383900000000001E-2</v>
      </c>
      <c r="J221" s="22">
        <v>211</v>
      </c>
      <c r="K221" s="22">
        <v>0.75622599999999995</v>
      </c>
      <c r="L221">
        <f t="shared" si="12"/>
        <v>15.383900000000001</v>
      </c>
      <c r="M221">
        <f t="shared" si="13"/>
        <v>11.654827256100001</v>
      </c>
      <c r="N221" s="9"/>
      <c r="O221" s="22">
        <v>0.96252400000000005</v>
      </c>
      <c r="P221" s="22">
        <v>12.2089</v>
      </c>
      <c r="Q221" s="22">
        <v>-1.5036000000000001E-2</v>
      </c>
      <c r="R221" s="22">
        <v>211</v>
      </c>
      <c r="S221" s="22">
        <v>0.96099900000000005</v>
      </c>
      <c r="T221">
        <f t="shared" si="14"/>
        <v>15.036000000000001</v>
      </c>
      <c r="U221">
        <f t="shared" si="15"/>
        <v>14.472510864000002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6.9403699999999997</v>
      </c>
      <c r="I222" s="22">
        <v>-1.5387E-2</v>
      </c>
      <c r="J222" s="22">
        <v>212</v>
      </c>
      <c r="K222" s="22">
        <v>0.75164799999999998</v>
      </c>
      <c r="L222">
        <f t="shared" si="12"/>
        <v>15.387</v>
      </c>
      <c r="M222">
        <f t="shared" si="13"/>
        <v>11.579686881000001</v>
      </c>
      <c r="N222" s="9"/>
      <c r="O222" s="22">
        <v>0.96755999999999998</v>
      </c>
      <c r="P222" s="22">
        <v>12.218999999999999</v>
      </c>
      <c r="Q222" s="22">
        <v>-1.5026899999999999E-2</v>
      </c>
      <c r="R222" s="22">
        <v>212</v>
      </c>
      <c r="S222" s="22">
        <v>0.96649200000000002</v>
      </c>
      <c r="T222">
        <f t="shared" si="14"/>
        <v>15.026899999999999</v>
      </c>
      <c r="U222">
        <f t="shared" si="15"/>
        <v>14.539427364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6.9504400000000004</v>
      </c>
      <c r="I223" s="22">
        <v>-1.5387E-2</v>
      </c>
      <c r="J223" s="22">
        <v>213</v>
      </c>
      <c r="K223" s="22">
        <v>0.74661299999999997</v>
      </c>
      <c r="L223">
        <f t="shared" si="12"/>
        <v>15.387</v>
      </c>
      <c r="M223">
        <f t="shared" si="13"/>
        <v>11.502213336000001</v>
      </c>
      <c r="N223" s="9"/>
      <c r="O223" s="22">
        <v>0.97259499999999999</v>
      </c>
      <c r="P223" s="22">
        <v>12.229100000000001</v>
      </c>
      <c r="Q223" s="22">
        <v>-1.50238E-2</v>
      </c>
      <c r="R223" s="22">
        <v>213</v>
      </c>
      <c r="S223" s="22">
        <v>0.97167999999999999</v>
      </c>
      <c r="T223">
        <f t="shared" si="14"/>
        <v>15.0238</v>
      </c>
      <c r="U223">
        <f t="shared" si="15"/>
        <v>14.612072761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6.9605100000000002</v>
      </c>
      <c r="I224" s="22">
        <v>-1.5389999999999999E-2</v>
      </c>
      <c r="J224" s="22">
        <v>214</v>
      </c>
      <c r="K224" s="22">
        <v>0.74154699999999996</v>
      </c>
      <c r="L224">
        <f t="shared" si="12"/>
        <v>15.389999999999999</v>
      </c>
      <c r="M224">
        <f t="shared" si="13"/>
        <v>11.426967269999999</v>
      </c>
      <c r="N224" s="9"/>
      <c r="O224" s="22">
        <v>0.97763100000000003</v>
      </c>
      <c r="P224" s="22">
        <v>12.239100000000001</v>
      </c>
      <c r="Q224" s="22">
        <v>-1.5014599999999999E-2</v>
      </c>
      <c r="R224" s="22">
        <v>214</v>
      </c>
      <c r="S224" s="22">
        <v>0.97625700000000004</v>
      </c>
      <c r="T224">
        <f t="shared" si="14"/>
        <v>15.0146</v>
      </c>
      <c r="U224">
        <f t="shared" si="15"/>
        <v>14.6787384126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6.97058</v>
      </c>
      <c r="I225" s="22">
        <v>-1.5389999999999999E-2</v>
      </c>
      <c r="J225" s="22">
        <v>215</v>
      </c>
      <c r="K225" s="22">
        <v>0.73651100000000003</v>
      </c>
      <c r="L225">
        <f t="shared" si="12"/>
        <v>15.389999999999999</v>
      </c>
      <c r="M225">
        <f t="shared" si="13"/>
        <v>11.34946323</v>
      </c>
      <c r="N225" s="9"/>
      <c r="O225" s="22">
        <v>0.98266600000000004</v>
      </c>
      <c r="P225" s="22">
        <v>12.2492</v>
      </c>
      <c r="Q225" s="22">
        <v>-1.5008499999999999E-2</v>
      </c>
      <c r="R225" s="22">
        <v>215</v>
      </c>
      <c r="S225" s="22">
        <v>0.98205600000000004</v>
      </c>
      <c r="T225">
        <f t="shared" si="14"/>
        <v>15.0085</v>
      </c>
      <c r="U225">
        <f t="shared" si="15"/>
        <v>14.748342661000001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6.9806499999999998</v>
      </c>
      <c r="I226" s="22">
        <v>-1.53931E-2</v>
      </c>
      <c r="J226" s="22">
        <v>216</v>
      </c>
      <c r="K226" s="22">
        <v>0.73153699999999999</v>
      </c>
      <c r="L226">
        <f t="shared" si="12"/>
        <v>15.3931</v>
      </c>
      <c r="M226">
        <f t="shared" si="13"/>
        <v>11.274245088200001</v>
      </c>
      <c r="N226" s="9"/>
      <c r="O226" s="22">
        <v>0.98770100000000005</v>
      </c>
      <c r="P226" s="22">
        <v>12.2593</v>
      </c>
      <c r="Q226" s="22">
        <v>-1.4996300000000001E-2</v>
      </c>
      <c r="R226" s="22">
        <v>216</v>
      </c>
      <c r="S226" s="22">
        <v>0.98632799999999998</v>
      </c>
      <c r="T226">
        <f t="shared" si="14"/>
        <v>14.9963</v>
      </c>
      <c r="U226">
        <f t="shared" si="15"/>
        <v>14.8118605063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6.9907199999999996</v>
      </c>
      <c r="I227" s="22">
        <v>-1.53992E-2</v>
      </c>
      <c r="J227" s="22">
        <v>217</v>
      </c>
      <c r="K227" s="22">
        <v>0.72647099999999998</v>
      </c>
      <c r="L227">
        <f t="shared" si="12"/>
        <v>15.3992</v>
      </c>
      <c r="M227">
        <f t="shared" si="13"/>
        <v>11.2011624912</v>
      </c>
      <c r="N227" s="9"/>
      <c r="O227" s="22">
        <v>0.99273699999999998</v>
      </c>
      <c r="P227" s="22">
        <v>12.269299999999999</v>
      </c>
      <c r="Q227" s="22">
        <v>-1.4987199999999999E-2</v>
      </c>
      <c r="R227" s="22">
        <v>217</v>
      </c>
      <c r="S227" s="22">
        <v>0.99151599999999995</v>
      </c>
      <c r="T227">
        <f t="shared" si="14"/>
        <v>14.9872</v>
      </c>
      <c r="U227">
        <f t="shared" si="15"/>
        <v>14.8783479664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7.0007900000000003</v>
      </c>
      <c r="I228" s="22">
        <v>-1.54114E-2</v>
      </c>
      <c r="J228" s="22">
        <v>218</v>
      </c>
      <c r="K228" s="22">
        <v>0.72143599999999997</v>
      </c>
      <c r="L228">
        <f t="shared" si="12"/>
        <v>15.4114</v>
      </c>
      <c r="M228">
        <f t="shared" si="13"/>
        <v>11.1324402014</v>
      </c>
      <c r="N228" s="9"/>
      <c r="O228" s="22">
        <v>0.99777199999999999</v>
      </c>
      <c r="P228" s="22">
        <v>12.279400000000001</v>
      </c>
      <c r="Q228" s="22">
        <v>-1.49841E-2</v>
      </c>
      <c r="R228" s="22">
        <v>218</v>
      </c>
      <c r="S228" s="22">
        <v>0.99609400000000003</v>
      </c>
      <c r="T228">
        <f t="shared" si="14"/>
        <v>14.9841</v>
      </c>
      <c r="U228">
        <f t="shared" si="15"/>
        <v>14.9507154252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7.0108699999999997</v>
      </c>
      <c r="I229" s="22">
        <v>-1.5417500000000001E-2</v>
      </c>
      <c r="J229" s="22">
        <v>219</v>
      </c>
      <c r="K229" s="22">
        <v>0.71643100000000004</v>
      </c>
      <c r="L229">
        <f t="shared" si="12"/>
        <v>15.4175</v>
      </c>
      <c r="M229">
        <f t="shared" si="13"/>
        <v>11.059219429999999</v>
      </c>
      <c r="N229" s="9"/>
      <c r="O229" s="22">
        <v>1.00281</v>
      </c>
      <c r="P229" s="22">
        <v>12.2895</v>
      </c>
      <c r="Q229" s="22">
        <v>-1.4978E-2</v>
      </c>
      <c r="R229" s="22">
        <v>219</v>
      </c>
      <c r="S229" s="22">
        <v>1.0012799999999999</v>
      </c>
      <c r="T229">
        <f t="shared" si="14"/>
        <v>14.978</v>
      </c>
      <c r="U229">
        <f t="shared" si="15"/>
        <v>15.02008818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7.0209400000000004</v>
      </c>
      <c r="I230" s="22">
        <v>-1.54144E-2</v>
      </c>
      <c r="J230" s="22">
        <v>220</v>
      </c>
      <c r="K230" s="22">
        <v>0.71136500000000003</v>
      </c>
      <c r="L230">
        <f t="shared" si="12"/>
        <v>15.414400000000001</v>
      </c>
      <c r="M230">
        <f t="shared" si="13"/>
        <v>10.979368832</v>
      </c>
      <c r="N230" s="9"/>
      <c r="O230" s="22">
        <v>1.0078400000000001</v>
      </c>
      <c r="P230" s="22">
        <v>12.2996</v>
      </c>
      <c r="Q230" s="22">
        <v>-1.49719E-2</v>
      </c>
      <c r="R230" s="22">
        <v>220</v>
      </c>
      <c r="S230" s="22">
        <v>1.00647</v>
      </c>
      <c r="T230">
        <f t="shared" si="14"/>
        <v>14.9719</v>
      </c>
      <c r="U230">
        <f t="shared" si="15"/>
        <v>15.089279696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7.0310100000000002</v>
      </c>
      <c r="I231" s="22">
        <v>-1.54144E-2</v>
      </c>
      <c r="J231" s="22">
        <v>221</v>
      </c>
      <c r="K231" s="22">
        <v>0.70638999999999996</v>
      </c>
      <c r="L231">
        <f t="shared" si="12"/>
        <v>15.414400000000001</v>
      </c>
      <c r="M231">
        <f t="shared" si="13"/>
        <v>10.901757328</v>
      </c>
      <c r="N231" s="9"/>
      <c r="O231" s="22">
        <v>1.01288</v>
      </c>
      <c r="P231" s="22">
        <v>12.3096</v>
      </c>
      <c r="Q231" s="22">
        <v>-1.4959699999999999E-2</v>
      </c>
      <c r="R231" s="22">
        <v>221</v>
      </c>
      <c r="S231" s="22">
        <v>1.01166</v>
      </c>
      <c r="T231">
        <f t="shared" si="14"/>
        <v>14.9597</v>
      </c>
      <c r="U231">
        <f t="shared" si="15"/>
        <v>15.152380936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7.04108</v>
      </c>
      <c r="I232" s="22">
        <v>-1.5417500000000001E-2</v>
      </c>
      <c r="J232" s="22">
        <v>222</v>
      </c>
      <c r="K232" s="22">
        <v>0.70126299999999997</v>
      </c>
      <c r="L232">
        <f t="shared" si="12"/>
        <v>15.4175</v>
      </c>
      <c r="M232">
        <f t="shared" si="13"/>
        <v>10.8263072575</v>
      </c>
      <c r="N232" s="9"/>
      <c r="O232" s="22">
        <v>1.0179100000000001</v>
      </c>
      <c r="P232" s="22">
        <v>12.319699999999999</v>
      </c>
      <c r="Q232" s="22">
        <v>-1.4947500000000001E-2</v>
      </c>
      <c r="R232" s="22">
        <v>222</v>
      </c>
      <c r="S232" s="22">
        <v>1.01654</v>
      </c>
      <c r="T232">
        <f t="shared" si="14"/>
        <v>14.947500000000002</v>
      </c>
      <c r="U232">
        <f t="shared" si="15"/>
        <v>15.215209725000003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7.0511499999999998</v>
      </c>
      <c r="I233" s="22">
        <v>-1.5417500000000001E-2</v>
      </c>
      <c r="J233" s="22">
        <v>223</v>
      </c>
      <c r="K233" s="22">
        <v>0.69622799999999996</v>
      </c>
      <c r="L233">
        <f t="shared" si="12"/>
        <v>15.4175</v>
      </c>
      <c r="M233">
        <f t="shared" si="13"/>
        <v>10.748680145</v>
      </c>
      <c r="N233" s="9"/>
      <c r="O233" s="22">
        <v>1.02295</v>
      </c>
      <c r="P233" s="22">
        <v>12.329800000000001</v>
      </c>
      <c r="Q233" s="22">
        <v>-1.4932300000000001E-2</v>
      </c>
      <c r="R233" s="22">
        <v>223</v>
      </c>
      <c r="S233" s="22">
        <v>1.02142</v>
      </c>
      <c r="T233">
        <f t="shared" si="14"/>
        <v>14.932300000000001</v>
      </c>
      <c r="U233">
        <f t="shared" si="15"/>
        <v>15.274996285000002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7.0612199999999996</v>
      </c>
      <c r="I234" s="22">
        <v>-1.5423600000000001E-2</v>
      </c>
      <c r="J234" s="22">
        <v>224</v>
      </c>
      <c r="K234" s="22">
        <v>0.69122300000000003</v>
      </c>
      <c r="L234">
        <f t="shared" si="12"/>
        <v>15.4236</v>
      </c>
      <c r="M234">
        <f t="shared" si="13"/>
        <v>10.675275080399999</v>
      </c>
      <c r="N234" s="9"/>
      <c r="O234" s="22">
        <v>1.0279799999999999</v>
      </c>
      <c r="P234" s="22">
        <v>12.3398</v>
      </c>
      <c r="Q234" s="22">
        <v>-1.4917E-2</v>
      </c>
      <c r="R234" s="22">
        <v>224</v>
      </c>
      <c r="S234" s="22">
        <v>1.0263100000000001</v>
      </c>
      <c r="T234">
        <f t="shared" si="14"/>
        <v>14.917</v>
      </c>
      <c r="U234">
        <f t="shared" si="15"/>
        <v>15.334377659999998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7.0712900000000003</v>
      </c>
      <c r="I235" s="22">
        <v>-1.5429699999999999E-2</v>
      </c>
      <c r="J235" s="22">
        <v>225</v>
      </c>
      <c r="K235" s="22">
        <v>0.68618800000000002</v>
      </c>
      <c r="L235">
        <f t="shared" si="12"/>
        <v>15.429699999999999</v>
      </c>
      <c r="M235">
        <f t="shared" si="13"/>
        <v>10.6017931591</v>
      </c>
      <c r="N235" s="9"/>
      <c r="O235" s="22">
        <v>1.03302</v>
      </c>
      <c r="P235" s="22">
        <v>12.3499</v>
      </c>
      <c r="Q235" s="22">
        <v>-1.4892600000000001E-2</v>
      </c>
      <c r="R235" s="22">
        <v>225</v>
      </c>
      <c r="S235" s="22">
        <v>1.03149</v>
      </c>
      <c r="T235">
        <f t="shared" si="14"/>
        <v>14.8926</v>
      </c>
      <c r="U235">
        <f t="shared" si="15"/>
        <v>15.384353652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7.0813600000000001</v>
      </c>
      <c r="I236" s="22">
        <v>-1.5438800000000001E-2</v>
      </c>
      <c r="J236" s="22">
        <v>226</v>
      </c>
      <c r="K236" s="22">
        <v>0.681091</v>
      </c>
      <c r="L236">
        <f t="shared" si="12"/>
        <v>15.438800000000001</v>
      </c>
      <c r="M236">
        <f t="shared" si="13"/>
        <v>10.5303114384</v>
      </c>
      <c r="N236" s="9"/>
      <c r="O236" s="22">
        <v>1.03806</v>
      </c>
      <c r="P236" s="22">
        <v>12.36</v>
      </c>
      <c r="Q236" s="22">
        <v>-1.4871199999999999E-2</v>
      </c>
      <c r="R236" s="22">
        <v>226</v>
      </c>
      <c r="S236" s="22">
        <v>1.03729</v>
      </c>
      <c r="T236">
        <f t="shared" si="14"/>
        <v>14.8712</v>
      </c>
      <c r="U236">
        <f t="shared" si="15"/>
        <v>15.437197872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7.0914299999999999</v>
      </c>
      <c r="I237" s="22">
        <v>-1.5448E-2</v>
      </c>
      <c r="J237" s="22">
        <v>227</v>
      </c>
      <c r="K237" s="22">
        <v>0.67617799999999995</v>
      </c>
      <c r="L237">
        <f t="shared" si="12"/>
        <v>15.448</v>
      </c>
      <c r="M237">
        <f t="shared" si="13"/>
        <v>10.458790336</v>
      </c>
      <c r="N237" s="9"/>
      <c r="O237" s="22">
        <v>1.0430900000000001</v>
      </c>
      <c r="P237" s="22">
        <v>12.37</v>
      </c>
      <c r="Q237" s="22">
        <v>-1.4859000000000001E-2</v>
      </c>
      <c r="R237" s="22">
        <v>227</v>
      </c>
      <c r="S237" s="22">
        <v>1.0418700000000001</v>
      </c>
      <c r="T237">
        <f t="shared" si="14"/>
        <v>14.859</v>
      </c>
      <c r="U237">
        <f t="shared" si="15"/>
        <v>15.499274310000001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7.1014999999999997</v>
      </c>
      <c r="I238" s="22">
        <v>-1.5457200000000001E-2</v>
      </c>
      <c r="J238" s="22">
        <v>228</v>
      </c>
      <c r="K238" s="22">
        <v>0.67111200000000004</v>
      </c>
      <c r="L238">
        <f t="shared" si="12"/>
        <v>15.4572</v>
      </c>
      <c r="M238">
        <f t="shared" si="13"/>
        <v>10.387192028399999</v>
      </c>
      <c r="N238" s="9"/>
      <c r="O238" s="22">
        <v>1.04813</v>
      </c>
      <c r="P238" s="22">
        <v>12.380100000000001</v>
      </c>
      <c r="Q238" s="22">
        <v>-1.4849899999999999E-2</v>
      </c>
      <c r="R238" s="22">
        <v>228</v>
      </c>
      <c r="S238" s="22">
        <v>1.0467500000000001</v>
      </c>
      <c r="T238">
        <f t="shared" si="14"/>
        <v>14.8499</v>
      </c>
      <c r="U238">
        <f t="shared" si="15"/>
        <v>15.564625686999999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7.11158</v>
      </c>
      <c r="I239" s="22">
        <v>-1.5466300000000001E-2</v>
      </c>
      <c r="J239" s="22">
        <v>229</v>
      </c>
      <c r="K239" s="22">
        <v>0.66613800000000001</v>
      </c>
      <c r="L239">
        <f t="shared" si="12"/>
        <v>15.4663</v>
      </c>
      <c r="M239">
        <f t="shared" si="13"/>
        <v>10.315434380600001</v>
      </c>
      <c r="N239" s="9"/>
      <c r="O239" s="22">
        <v>1.0531600000000001</v>
      </c>
      <c r="P239" s="22">
        <v>12.3902</v>
      </c>
      <c r="Q239" s="22">
        <v>-1.48407E-2</v>
      </c>
      <c r="R239" s="22">
        <v>229</v>
      </c>
      <c r="S239" s="22">
        <v>1.0516399999999999</v>
      </c>
      <c r="T239">
        <f t="shared" si="14"/>
        <v>14.8407</v>
      </c>
      <c r="U239">
        <f t="shared" si="15"/>
        <v>15.629631612000001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7.1216499999999998</v>
      </c>
      <c r="I240" s="22">
        <v>-1.5472400000000001E-2</v>
      </c>
      <c r="J240" s="22">
        <v>230</v>
      </c>
      <c r="K240" s="22">
        <v>0.66095000000000004</v>
      </c>
      <c r="L240">
        <f t="shared" si="12"/>
        <v>15.4724</v>
      </c>
      <c r="M240">
        <f t="shared" si="13"/>
        <v>10.241583842400001</v>
      </c>
      <c r="N240" s="9"/>
      <c r="O240" s="22">
        <v>1.0582</v>
      </c>
      <c r="P240" s="22">
        <v>12.4003</v>
      </c>
      <c r="Q240" s="22">
        <v>-1.4822399999999999E-2</v>
      </c>
      <c r="R240" s="22">
        <v>230</v>
      </c>
      <c r="S240" s="22">
        <v>1.0565199999999999</v>
      </c>
      <c r="T240">
        <f t="shared" si="14"/>
        <v>14.8224</v>
      </c>
      <c r="U240">
        <f t="shared" si="15"/>
        <v>15.685063680000001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7.1317199999999996</v>
      </c>
      <c r="I241" s="22">
        <v>-1.54755E-2</v>
      </c>
      <c r="J241" s="22">
        <v>231</v>
      </c>
      <c r="K241" s="22">
        <v>0.65603599999999995</v>
      </c>
      <c r="L241">
        <f t="shared" si="12"/>
        <v>15.4755</v>
      </c>
      <c r="M241">
        <f t="shared" si="13"/>
        <v>10.1657166705</v>
      </c>
      <c r="N241" s="9"/>
      <c r="O241" s="22">
        <v>1.0632299999999999</v>
      </c>
      <c r="P241" s="22">
        <v>12.410299999999999</v>
      </c>
      <c r="Q241" s="22">
        <v>-1.4798E-2</v>
      </c>
      <c r="R241" s="22">
        <v>231</v>
      </c>
      <c r="S241" s="22">
        <v>1.0617099999999999</v>
      </c>
      <c r="T241">
        <f t="shared" si="14"/>
        <v>14.798</v>
      </c>
      <c r="U241">
        <f t="shared" si="15"/>
        <v>15.733677539999999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7.1417900000000003</v>
      </c>
      <c r="I242" s="22">
        <v>-1.5478499999999999E-2</v>
      </c>
      <c r="J242" s="22">
        <v>232</v>
      </c>
      <c r="K242" s="22">
        <v>0.65100100000000005</v>
      </c>
      <c r="L242">
        <f t="shared" si="12"/>
        <v>15.478499999999999</v>
      </c>
      <c r="M242">
        <f t="shared" si="13"/>
        <v>10.089737617499999</v>
      </c>
      <c r="N242" s="9"/>
      <c r="O242" s="22">
        <v>1.0682700000000001</v>
      </c>
      <c r="P242" s="22">
        <v>12.420400000000001</v>
      </c>
      <c r="Q242" s="22">
        <v>-1.4776600000000001E-2</v>
      </c>
      <c r="R242" s="22">
        <v>232</v>
      </c>
      <c r="S242" s="22">
        <v>1.0674999999999999</v>
      </c>
      <c r="T242">
        <f t="shared" si="14"/>
        <v>14.7766</v>
      </c>
      <c r="U242">
        <f t="shared" si="15"/>
        <v>15.785398482000002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7.1518600000000001</v>
      </c>
      <c r="I243" s="22">
        <v>-1.54877E-2</v>
      </c>
      <c r="J243" s="22">
        <v>233</v>
      </c>
      <c r="K243" s="22">
        <v>0.64593500000000004</v>
      </c>
      <c r="L243">
        <f t="shared" si="12"/>
        <v>15.4877</v>
      </c>
      <c r="M243">
        <f t="shared" si="13"/>
        <v>10.017754113999999</v>
      </c>
      <c r="N243" s="9"/>
      <c r="O243" s="22">
        <v>1.0732999999999999</v>
      </c>
      <c r="P243" s="22">
        <v>12.4305</v>
      </c>
      <c r="Q243" s="22">
        <v>-1.4742999999999999E-2</v>
      </c>
      <c r="R243" s="22">
        <v>233</v>
      </c>
      <c r="S243" s="22">
        <v>1.07178</v>
      </c>
      <c r="T243">
        <f t="shared" si="14"/>
        <v>14.742999999999999</v>
      </c>
      <c r="U243">
        <f t="shared" si="15"/>
        <v>15.823661899999998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7.1619299999999999</v>
      </c>
      <c r="I244" s="22">
        <v>-1.54968E-2</v>
      </c>
      <c r="J244" s="22">
        <v>234</v>
      </c>
      <c r="K244" s="22">
        <v>0.64086900000000002</v>
      </c>
      <c r="L244">
        <f t="shared" si="12"/>
        <v>15.4968</v>
      </c>
      <c r="M244">
        <f t="shared" si="13"/>
        <v>9.9456137880000011</v>
      </c>
      <c r="N244" s="9"/>
      <c r="O244" s="22">
        <v>1.0783400000000001</v>
      </c>
      <c r="P244" s="22">
        <v>12.4405</v>
      </c>
      <c r="Q244" s="22">
        <v>-1.47247E-2</v>
      </c>
      <c r="R244" s="22">
        <v>234</v>
      </c>
      <c r="S244" s="22">
        <v>1.0772699999999999</v>
      </c>
      <c r="T244">
        <f t="shared" si="14"/>
        <v>14.7247</v>
      </c>
      <c r="U244">
        <f t="shared" si="15"/>
        <v>15.878232998000001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7.1719999999999997</v>
      </c>
      <c r="I245" s="22">
        <v>-1.5506000000000001E-2</v>
      </c>
      <c r="J245" s="22">
        <v>235</v>
      </c>
      <c r="K245" s="22">
        <v>0.63583400000000001</v>
      </c>
      <c r="L245">
        <f t="shared" si="12"/>
        <v>15.506</v>
      </c>
      <c r="M245">
        <f t="shared" si="13"/>
        <v>9.8734299940000003</v>
      </c>
      <c r="N245" s="9"/>
      <c r="O245" s="22">
        <v>1.0833699999999999</v>
      </c>
      <c r="P245" s="22">
        <v>12.4506</v>
      </c>
      <c r="Q245" s="22">
        <v>-1.47125E-2</v>
      </c>
      <c r="R245" s="22">
        <v>235</v>
      </c>
      <c r="S245" s="22">
        <v>1.0821499999999999</v>
      </c>
      <c r="T245">
        <f t="shared" si="14"/>
        <v>14.7125</v>
      </c>
      <c r="U245">
        <f t="shared" si="15"/>
        <v>15.939081125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7.1820700000000004</v>
      </c>
      <c r="I246" s="22">
        <v>-1.5512099999999999E-2</v>
      </c>
      <c r="J246" s="22">
        <v>236</v>
      </c>
      <c r="K246" s="22">
        <v>0.63079799999999997</v>
      </c>
      <c r="L246">
        <f t="shared" si="12"/>
        <v>15.512099999999998</v>
      </c>
      <c r="M246">
        <f t="shared" si="13"/>
        <v>9.7992107393999994</v>
      </c>
      <c r="N246" s="9"/>
      <c r="O246" s="22">
        <v>1.0884100000000001</v>
      </c>
      <c r="P246" s="22">
        <v>12.460699999999999</v>
      </c>
      <c r="Q246" s="22">
        <v>-1.4694199999999999E-2</v>
      </c>
      <c r="R246" s="22">
        <v>236</v>
      </c>
      <c r="S246" s="22">
        <v>1.08673</v>
      </c>
      <c r="T246">
        <f t="shared" si="14"/>
        <v>14.694199999999999</v>
      </c>
      <c r="U246">
        <f t="shared" si="15"/>
        <v>15.993314222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7.1921400000000002</v>
      </c>
      <c r="I247" s="22">
        <v>-1.55151E-2</v>
      </c>
      <c r="J247" s="22">
        <v>237</v>
      </c>
      <c r="K247" s="22">
        <v>0.62585400000000002</v>
      </c>
      <c r="L247">
        <f t="shared" si="12"/>
        <v>15.5151</v>
      </c>
      <c r="M247">
        <f t="shared" si="13"/>
        <v>9.7229718377999994</v>
      </c>
      <c r="N247" s="9"/>
      <c r="O247" s="22">
        <v>1.09344</v>
      </c>
      <c r="P247" s="22">
        <v>12.470800000000001</v>
      </c>
      <c r="Q247" s="22">
        <v>-1.4672899999999999E-2</v>
      </c>
      <c r="R247" s="22">
        <v>237</v>
      </c>
      <c r="S247" s="22">
        <v>1.09192</v>
      </c>
      <c r="T247">
        <f t="shared" si="14"/>
        <v>14.672899999999998</v>
      </c>
      <c r="U247">
        <f t="shared" si="15"/>
        <v>16.043935775999998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7.20221</v>
      </c>
      <c r="I248" s="22">
        <v>-1.5518199999999999E-2</v>
      </c>
      <c r="J248" s="22">
        <v>238</v>
      </c>
      <c r="K248" s="22">
        <v>0.62072799999999995</v>
      </c>
      <c r="L248">
        <f t="shared" si="12"/>
        <v>15.5182</v>
      </c>
      <c r="M248">
        <f t="shared" si="13"/>
        <v>9.6467804025999992</v>
      </c>
      <c r="N248" s="9"/>
      <c r="O248" s="22">
        <v>1.0984799999999999</v>
      </c>
      <c r="P248" s="22">
        <v>12.4808</v>
      </c>
      <c r="Q248" s="22">
        <v>-1.46576E-2</v>
      </c>
      <c r="R248" s="22">
        <v>238</v>
      </c>
      <c r="S248" s="22">
        <v>1.09711</v>
      </c>
      <c r="T248">
        <f t="shared" si="14"/>
        <v>14.6576</v>
      </c>
      <c r="U248">
        <f t="shared" si="15"/>
        <v>16.101080447999998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7.2122900000000003</v>
      </c>
      <c r="I249" s="22">
        <v>-1.55151E-2</v>
      </c>
      <c r="J249" s="22">
        <v>239</v>
      </c>
      <c r="K249" s="22">
        <v>0.61566200000000004</v>
      </c>
      <c r="L249">
        <f t="shared" si="12"/>
        <v>15.5151</v>
      </c>
      <c r="M249">
        <f t="shared" si="13"/>
        <v>9.5667347808000009</v>
      </c>
      <c r="N249" s="9"/>
      <c r="O249" s="22">
        <v>1.1035200000000001</v>
      </c>
      <c r="P249" s="22">
        <v>12.4909</v>
      </c>
      <c r="Q249" s="22">
        <v>-1.46423E-2</v>
      </c>
      <c r="R249" s="22">
        <v>239</v>
      </c>
      <c r="S249" s="22">
        <v>1.10229</v>
      </c>
      <c r="T249">
        <f t="shared" si="14"/>
        <v>14.642300000000001</v>
      </c>
      <c r="U249">
        <f t="shared" si="15"/>
        <v>16.158070896000002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7.2223600000000001</v>
      </c>
      <c r="I250" s="22">
        <v>-1.5512099999999999E-2</v>
      </c>
      <c r="J250" s="22">
        <v>240</v>
      </c>
      <c r="K250" s="22">
        <v>0.61074799999999996</v>
      </c>
      <c r="L250">
        <f t="shared" si="12"/>
        <v>15.512099999999998</v>
      </c>
      <c r="M250">
        <f t="shared" si="13"/>
        <v>9.4867660211999993</v>
      </c>
      <c r="N250" s="9"/>
      <c r="O250" s="22">
        <v>1.1085499999999999</v>
      </c>
      <c r="P250" s="22">
        <v>12.500999999999999</v>
      </c>
      <c r="Q250" s="22">
        <v>-1.4624E-2</v>
      </c>
      <c r="R250" s="22">
        <v>240</v>
      </c>
      <c r="S250" s="22">
        <v>1.1077900000000001</v>
      </c>
      <c r="T250">
        <f t="shared" si="14"/>
        <v>14.624000000000001</v>
      </c>
      <c r="U250">
        <f t="shared" si="15"/>
        <v>16.2114352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7.2324299999999999</v>
      </c>
      <c r="I251" s="22">
        <v>-1.55029E-2</v>
      </c>
      <c r="J251" s="22">
        <v>241</v>
      </c>
      <c r="K251" s="22">
        <v>0.60571299999999995</v>
      </c>
      <c r="L251">
        <f t="shared" si="12"/>
        <v>15.5029</v>
      </c>
      <c r="M251">
        <f t="shared" si="13"/>
        <v>9.4030824573</v>
      </c>
      <c r="N251" s="9"/>
      <c r="O251" s="22">
        <v>1.1135900000000001</v>
      </c>
      <c r="P251" s="22">
        <v>12.510999999999999</v>
      </c>
      <c r="Q251" s="22">
        <v>-1.4605699999999999E-2</v>
      </c>
      <c r="R251" s="22">
        <v>241</v>
      </c>
      <c r="S251" s="22">
        <v>1.1123700000000001</v>
      </c>
      <c r="T251">
        <f t="shared" si="14"/>
        <v>14.605699999999999</v>
      </c>
      <c r="U251">
        <f t="shared" si="15"/>
        <v>16.264761462999999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7.2424999999999997</v>
      </c>
      <c r="I252" s="22">
        <v>-1.55029E-2</v>
      </c>
      <c r="J252" s="22">
        <v>242</v>
      </c>
      <c r="K252" s="22">
        <v>0.60061600000000004</v>
      </c>
      <c r="L252">
        <f t="shared" si="12"/>
        <v>15.5029</v>
      </c>
      <c r="M252">
        <f t="shared" si="13"/>
        <v>9.3250098528999992</v>
      </c>
      <c r="N252" s="9"/>
      <c r="O252" s="22">
        <v>1.1186199999999999</v>
      </c>
      <c r="P252" s="22">
        <v>12.521100000000001</v>
      </c>
      <c r="Q252" s="22">
        <v>-1.4590499999999999E-2</v>
      </c>
      <c r="R252" s="22">
        <v>242</v>
      </c>
      <c r="S252" s="22">
        <v>1.1172500000000001</v>
      </c>
      <c r="T252">
        <f t="shared" si="14"/>
        <v>14.590499999999999</v>
      </c>
      <c r="U252">
        <f t="shared" si="15"/>
        <v>16.321225109999997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7.2525700000000004</v>
      </c>
      <c r="I253" s="22">
        <v>-1.5509E-2</v>
      </c>
      <c r="J253" s="22">
        <v>243</v>
      </c>
      <c r="K253" s="22">
        <v>0.59555100000000005</v>
      </c>
      <c r="L253">
        <f t="shared" si="12"/>
        <v>15.509</v>
      </c>
      <c r="M253">
        <f t="shared" si="13"/>
        <v>9.2505911940000018</v>
      </c>
      <c r="N253" s="9"/>
      <c r="O253" s="22">
        <v>1.1236600000000001</v>
      </c>
      <c r="P253" s="22">
        <v>12.5312</v>
      </c>
      <c r="Q253" s="22">
        <v>-1.4556899999999999E-2</v>
      </c>
      <c r="R253" s="22">
        <v>243</v>
      </c>
      <c r="S253" s="22">
        <v>1.1224400000000001</v>
      </c>
      <c r="T253">
        <f t="shared" si="14"/>
        <v>14.556899999999999</v>
      </c>
      <c r="U253">
        <f t="shared" si="15"/>
        <v>16.357006254000002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7.2626400000000002</v>
      </c>
      <c r="I254" s="22">
        <v>-1.5512099999999999E-2</v>
      </c>
      <c r="J254" s="22">
        <v>244</v>
      </c>
      <c r="K254" s="22">
        <v>0.59054600000000002</v>
      </c>
      <c r="L254">
        <f t="shared" si="12"/>
        <v>15.512099999999998</v>
      </c>
      <c r="M254">
        <f t="shared" si="13"/>
        <v>9.1743368151000002</v>
      </c>
      <c r="N254" s="9"/>
      <c r="O254" s="22">
        <v>1.12869</v>
      </c>
      <c r="P254" s="22">
        <v>12.5413</v>
      </c>
      <c r="Q254" s="22">
        <v>-1.45386E-2</v>
      </c>
      <c r="R254" s="22">
        <v>244</v>
      </c>
      <c r="S254" s="22">
        <v>1.1273200000000001</v>
      </c>
      <c r="T254">
        <f t="shared" si="14"/>
        <v>14.538600000000001</v>
      </c>
      <c r="U254">
        <f t="shared" si="15"/>
        <v>16.409572434000001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7.27271</v>
      </c>
      <c r="I255" s="22">
        <v>-1.5521200000000001E-2</v>
      </c>
      <c r="J255" s="22">
        <v>245</v>
      </c>
      <c r="K255" s="22">
        <v>0.58557099999999995</v>
      </c>
      <c r="L255">
        <f t="shared" si="12"/>
        <v>15.5212</v>
      </c>
      <c r="M255">
        <f t="shared" si="13"/>
        <v>9.1015540740000009</v>
      </c>
      <c r="N255" s="9"/>
      <c r="O255" s="22">
        <v>1.1337299999999999</v>
      </c>
      <c r="P255" s="22">
        <v>12.551299999999999</v>
      </c>
      <c r="Q255" s="22">
        <v>-1.4511100000000001E-2</v>
      </c>
      <c r="R255" s="22">
        <v>245</v>
      </c>
      <c r="S255" s="22">
        <v>1.1325099999999999</v>
      </c>
      <c r="T255">
        <f t="shared" si="14"/>
        <v>14.511100000000001</v>
      </c>
      <c r="U255">
        <f t="shared" si="15"/>
        <v>16.451669403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7.2827799999999998</v>
      </c>
      <c r="I256" s="22">
        <v>-1.5527300000000001E-2</v>
      </c>
      <c r="J256" s="22">
        <v>246</v>
      </c>
      <c r="K256" s="22">
        <v>0.58047499999999996</v>
      </c>
      <c r="L256">
        <f t="shared" si="12"/>
        <v>15.5273</v>
      </c>
      <c r="M256">
        <f t="shared" si="13"/>
        <v>9.0269511280000003</v>
      </c>
      <c r="N256" s="9"/>
      <c r="O256" s="22">
        <v>1.13876</v>
      </c>
      <c r="P256" s="22">
        <v>12.561400000000001</v>
      </c>
      <c r="Q256" s="22">
        <v>-1.44806E-2</v>
      </c>
      <c r="R256" s="22">
        <v>246</v>
      </c>
      <c r="S256" s="22">
        <v>1.1376999999999999</v>
      </c>
      <c r="T256">
        <f t="shared" si="14"/>
        <v>14.480599999999999</v>
      </c>
      <c r="U256">
        <f t="shared" si="15"/>
        <v>16.489928056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7.2928499999999996</v>
      </c>
      <c r="I257" s="22">
        <v>-1.5539600000000001E-2</v>
      </c>
      <c r="J257" s="22">
        <v>247</v>
      </c>
      <c r="K257" s="22">
        <v>0.57543900000000003</v>
      </c>
      <c r="L257">
        <f t="shared" si="12"/>
        <v>15.5396</v>
      </c>
      <c r="M257">
        <f t="shared" si="13"/>
        <v>8.9558444303999991</v>
      </c>
      <c r="N257" s="9"/>
      <c r="O257" s="22">
        <v>1.1437999999999999</v>
      </c>
      <c r="P257" s="22">
        <v>12.5715</v>
      </c>
      <c r="Q257" s="22">
        <v>-1.4447E-2</v>
      </c>
      <c r="R257" s="22">
        <v>247</v>
      </c>
      <c r="S257" s="22">
        <v>1.1425799999999999</v>
      </c>
      <c r="T257">
        <f t="shared" si="14"/>
        <v>14.446999999999999</v>
      </c>
      <c r="U257">
        <f t="shared" si="15"/>
        <v>16.524478599999998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7.3029200000000003</v>
      </c>
      <c r="I258" s="22">
        <v>-1.5545700000000001E-2</v>
      </c>
      <c r="J258" s="22">
        <v>248</v>
      </c>
      <c r="K258" s="22">
        <v>0.57037400000000005</v>
      </c>
      <c r="L258">
        <f t="shared" si="12"/>
        <v>15.5457</v>
      </c>
      <c r="M258">
        <f t="shared" si="13"/>
        <v>8.8810874073000008</v>
      </c>
      <c r="N258" s="9"/>
      <c r="O258" s="22">
        <v>1.14883</v>
      </c>
      <c r="P258" s="22">
        <v>12.5815</v>
      </c>
      <c r="Q258" s="22">
        <v>-1.44104E-2</v>
      </c>
      <c r="R258" s="22">
        <v>248</v>
      </c>
      <c r="S258" s="22">
        <v>1.1480699999999999</v>
      </c>
      <c r="T258">
        <f t="shared" si="14"/>
        <v>14.410400000000001</v>
      </c>
      <c r="U258">
        <f t="shared" si="15"/>
        <v>16.555099832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7.3129999999999997</v>
      </c>
      <c r="I259" s="22">
        <v>-1.55487E-2</v>
      </c>
      <c r="J259" s="22">
        <v>249</v>
      </c>
      <c r="K259" s="22">
        <v>0.56536900000000001</v>
      </c>
      <c r="L259">
        <f t="shared" si="12"/>
        <v>15.5487</v>
      </c>
      <c r="M259">
        <f t="shared" si="13"/>
        <v>8.804513569800001</v>
      </c>
      <c r="N259" s="9"/>
      <c r="O259" s="22">
        <v>1.15387</v>
      </c>
      <c r="P259" s="22">
        <v>12.5916</v>
      </c>
      <c r="Q259" s="22">
        <v>-1.43768E-2</v>
      </c>
      <c r="R259" s="22">
        <v>249</v>
      </c>
      <c r="S259" s="22">
        <v>1.15265</v>
      </c>
      <c r="T259">
        <f t="shared" si="14"/>
        <v>14.376800000000001</v>
      </c>
      <c r="U259">
        <f t="shared" si="15"/>
        <v>16.588958216000002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7.3230700000000004</v>
      </c>
      <c r="I260" s="22">
        <v>-1.5554800000000001E-2</v>
      </c>
      <c r="J260" s="22">
        <v>250</v>
      </c>
      <c r="K260" s="22">
        <v>0.56024200000000002</v>
      </c>
      <c r="L260">
        <f t="shared" si="12"/>
        <v>15.5548</v>
      </c>
      <c r="M260">
        <f t="shared" si="13"/>
        <v>8.7296337463999993</v>
      </c>
      <c r="N260" s="9"/>
      <c r="O260" s="22">
        <v>1.1589100000000001</v>
      </c>
      <c r="P260" s="22">
        <v>12.601699999999999</v>
      </c>
      <c r="Q260" s="22">
        <v>-1.4340200000000001E-2</v>
      </c>
      <c r="R260" s="22">
        <v>250</v>
      </c>
      <c r="S260" s="22">
        <v>1.15784</v>
      </c>
      <c r="T260">
        <f t="shared" si="14"/>
        <v>14.340200000000001</v>
      </c>
      <c r="U260">
        <f t="shared" si="15"/>
        <v>16.619001182000002</v>
      </c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7.3331400000000002</v>
      </c>
      <c r="I261" s="22">
        <v>-1.55579E-2</v>
      </c>
      <c r="J261" s="22">
        <v>251</v>
      </c>
      <c r="K261" s="22">
        <v>0.55523699999999998</v>
      </c>
      <c r="L261">
        <f t="shared" si="12"/>
        <v>15.5579</v>
      </c>
      <c r="M261">
        <f t="shared" si="13"/>
        <v>8.6530394956999999</v>
      </c>
      <c r="N261" s="9"/>
      <c r="O261" s="22">
        <v>1.16394</v>
      </c>
      <c r="P261" s="22">
        <v>12.611800000000001</v>
      </c>
      <c r="Q261" s="22">
        <v>-1.4306599999999999E-2</v>
      </c>
      <c r="R261" s="22">
        <v>251</v>
      </c>
      <c r="S261" s="22">
        <v>1.1630199999999999</v>
      </c>
      <c r="T261">
        <f t="shared" si="14"/>
        <v>14.3066</v>
      </c>
      <c r="U261">
        <f t="shared" si="15"/>
        <v>16.652024003999998</v>
      </c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7.34321</v>
      </c>
      <c r="I262" s="22">
        <v>-1.5564E-2</v>
      </c>
      <c r="J262" s="22">
        <v>252</v>
      </c>
      <c r="K262" s="22">
        <v>0.55029300000000003</v>
      </c>
      <c r="L262">
        <f t="shared" si="12"/>
        <v>15.564</v>
      </c>
      <c r="M262">
        <f t="shared" si="13"/>
        <v>8.5780519080000008</v>
      </c>
      <c r="N262" s="9"/>
      <c r="O262" s="22">
        <v>1.1689799999999999</v>
      </c>
      <c r="P262" s="22">
        <v>12.6218</v>
      </c>
      <c r="Q262" s="22">
        <v>-1.42761E-2</v>
      </c>
      <c r="R262" s="22">
        <v>252</v>
      </c>
      <c r="S262" s="22">
        <v>1.16791</v>
      </c>
      <c r="T262">
        <f t="shared" si="14"/>
        <v>14.2761</v>
      </c>
      <c r="U262">
        <f t="shared" si="15"/>
        <v>16.688475378</v>
      </c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7.3532799999999998</v>
      </c>
      <c r="I263" s="22">
        <v>-1.5564E-2</v>
      </c>
      <c r="J263" s="22">
        <v>253</v>
      </c>
      <c r="K263" s="22">
        <v>0.54525800000000002</v>
      </c>
      <c r="L263">
        <f t="shared" si="12"/>
        <v>15.564</v>
      </c>
      <c r="M263">
        <f t="shared" si="13"/>
        <v>8.4996871680000012</v>
      </c>
      <c r="N263" s="9"/>
      <c r="O263" s="22">
        <v>1.17401</v>
      </c>
      <c r="P263" s="22">
        <v>12.6319</v>
      </c>
      <c r="Q263" s="22">
        <v>-1.42395E-2</v>
      </c>
      <c r="R263" s="22">
        <v>253</v>
      </c>
      <c r="S263" s="22">
        <v>1.1731</v>
      </c>
      <c r="T263">
        <f t="shared" si="14"/>
        <v>14.2395</v>
      </c>
      <c r="U263">
        <f t="shared" si="15"/>
        <v>16.717315395</v>
      </c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7.3633499999999996</v>
      </c>
      <c r="I264" s="22">
        <v>-1.5566999999999999E-2</v>
      </c>
      <c r="J264" s="22">
        <v>254</v>
      </c>
      <c r="K264" s="22">
        <v>0.54019200000000001</v>
      </c>
      <c r="L264">
        <f t="shared" si="12"/>
        <v>15.566999999999998</v>
      </c>
      <c r="M264">
        <f t="shared" si="13"/>
        <v>8.4229456589999998</v>
      </c>
      <c r="N264" s="9"/>
      <c r="O264" s="22">
        <v>1.1790499999999999</v>
      </c>
      <c r="P264" s="22">
        <v>12.641999999999999</v>
      </c>
      <c r="Q264" s="22">
        <v>-1.41998E-2</v>
      </c>
      <c r="R264" s="22">
        <v>254</v>
      </c>
      <c r="S264" s="22">
        <v>1.17767</v>
      </c>
      <c r="T264">
        <f t="shared" si="14"/>
        <v>14.1998</v>
      </c>
      <c r="U264">
        <f t="shared" si="15"/>
        <v>16.74227419</v>
      </c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7.3734200000000003</v>
      </c>
      <c r="I265" s="22">
        <v>-1.5564E-2</v>
      </c>
      <c r="J265" s="22">
        <v>255</v>
      </c>
      <c r="K265" s="22">
        <v>0.53512599999999999</v>
      </c>
      <c r="L265">
        <f t="shared" si="12"/>
        <v>15.564</v>
      </c>
      <c r="M265">
        <f t="shared" si="13"/>
        <v>8.3429421240000003</v>
      </c>
      <c r="N265" s="9"/>
      <c r="O265" s="22">
        <v>1.18408</v>
      </c>
      <c r="P265" s="22">
        <v>12.651999999999999</v>
      </c>
      <c r="Q265" s="22">
        <v>-1.4169299999999999E-2</v>
      </c>
      <c r="R265" s="22">
        <v>255</v>
      </c>
      <c r="S265" s="22">
        <v>1.1831700000000001</v>
      </c>
      <c r="T265">
        <f t="shared" si="14"/>
        <v>14.1693</v>
      </c>
      <c r="U265">
        <f t="shared" si="15"/>
        <v>16.777584743999999</v>
      </c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7.3834900000000001</v>
      </c>
      <c r="I266" s="22">
        <v>-1.5573099999999999E-2</v>
      </c>
      <c r="J266" s="22">
        <v>256</v>
      </c>
      <c r="K266" s="22">
        <v>0.53005999999999998</v>
      </c>
      <c r="L266">
        <f t="shared" si="12"/>
        <v>15.5731</v>
      </c>
      <c r="M266">
        <f t="shared" si="13"/>
        <v>8.2694095385999997</v>
      </c>
      <c r="N266" s="9"/>
      <c r="O266" s="22">
        <v>1.18912</v>
      </c>
      <c r="P266" s="22">
        <v>12.662100000000001</v>
      </c>
      <c r="Q266" s="22">
        <v>-1.41449E-2</v>
      </c>
      <c r="R266" s="22">
        <v>256</v>
      </c>
      <c r="S266" s="22">
        <v>1.1880500000000001</v>
      </c>
      <c r="T266">
        <f t="shared" si="14"/>
        <v>14.1449</v>
      </c>
      <c r="U266">
        <f t="shared" si="15"/>
        <v>16.819983487999998</v>
      </c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7.3935599999999999</v>
      </c>
      <c r="I267" s="22">
        <v>-1.55792E-2</v>
      </c>
      <c r="J267" s="22">
        <v>257</v>
      </c>
      <c r="K267" s="22">
        <v>0.52508500000000002</v>
      </c>
      <c r="L267">
        <f t="shared" si="12"/>
        <v>15.5792</v>
      </c>
      <c r="M267">
        <f t="shared" si="13"/>
        <v>8.1941918240000007</v>
      </c>
      <c r="N267" s="9"/>
      <c r="O267" s="22">
        <v>1.19415</v>
      </c>
      <c r="P267" s="22">
        <v>12.6722</v>
      </c>
      <c r="Q267" s="22">
        <v>-1.41174E-2</v>
      </c>
      <c r="R267" s="22">
        <v>257</v>
      </c>
      <c r="S267" s="22">
        <v>1.1932400000000001</v>
      </c>
      <c r="T267">
        <f t="shared" si="14"/>
        <v>14.1174</v>
      </c>
      <c r="U267">
        <f t="shared" si="15"/>
        <v>16.858293209999999</v>
      </c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7.4036299999999997</v>
      </c>
      <c r="I268" s="22">
        <v>-1.5588400000000001E-2</v>
      </c>
      <c r="J268" s="22">
        <v>258</v>
      </c>
      <c r="K268" s="22">
        <v>0.52005000000000001</v>
      </c>
      <c r="L268">
        <f t="shared" ref="L268:L331" si="16">-I268/$F$2*1000</f>
        <v>15.5884</v>
      </c>
      <c r="M268">
        <f t="shared" ref="M268:M331" si="17">L268*G268</f>
        <v>8.1205431539999999</v>
      </c>
      <c r="N268" s="9"/>
      <c r="O268" s="22">
        <v>1.19919</v>
      </c>
      <c r="P268" s="22">
        <v>12.6822</v>
      </c>
      <c r="Q268" s="22">
        <v>-1.40778E-2</v>
      </c>
      <c r="R268" s="22">
        <v>258</v>
      </c>
      <c r="S268" s="22">
        <v>1.1984300000000001</v>
      </c>
      <c r="T268">
        <f t="shared" ref="T268:T331" si="18">-Q268/$F$2*1000</f>
        <v>14.0778</v>
      </c>
      <c r="U268">
        <f t="shared" ref="U268:U331" si="19">T268*O268</f>
        <v>16.881956981999998</v>
      </c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7.41371</v>
      </c>
      <c r="I269" s="22">
        <v>-1.5588400000000001E-2</v>
      </c>
      <c r="J269" s="22">
        <v>259</v>
      </c>
      <c r="K269" s="22">
        <v>0.515015</v>
      </c>
      <c r="L269">
        <f t="shared" si="16"/>
        <v>15.5884</v>
      </c>
      <c r="M269">
        <f t="shared" si="17"/>
        <v>8.0420555599999997</v>
      </c>
      <c r="N269" s="9"/>
      <c r="O269" s="22">
        <v>1.2042200000000001</v>
      </c>
      <c r="P269" s="22">
        <v>12.692299999999999</v>
      </c>
      <c r="Q269" s="22">
        <v>-1.40442E-2</v>
      </c>
      <c r="R269" s="22">
        <v>259</v>
      </c>
      <c r="S269" s="22">
        <v>1.2027000000000001</v>
      </c>
      <c r="T269">
        <f t="shared" si="18"/>
        <v>14.0442</v>
      </c>
      <c r="U269">
        <f t="shared" si="19"/>
        <v>16.912306524000002</v>
      </c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7.4237799999999998</v>
      </c>
      <c r="I270" s="22">
        <v>-1.5594500000000001E-2</v>
      </c>
      <c r="J270" s="22">
        <v>260</v>
      </c>
      <c r="K270" s="22">
        <v>0.51004000000000005</v>
      </c>
      <c r="L270">
        <f t="shared" si="16"/>
        <v>15.5945</v>
      </c>
      <c r="M270">
        <f t="shared" si="17"/>
        <v>7.9666686479999997</v>
      </c>
      <c r="N270" s="9"/>
      <c r="O270" s="22">
        <v>1.20926</v>
      </c>
      <c r="P270" s="22">
        <v>12.702400000000001</v>
      </c>
      <c r="Q270" s="22">
        <v>-1.3998399999999999E-2</v>
      </c>
      <c r="R270" s="22">
        <v>260</v>
      </c>
      <c r="S270" s="22">
        <v>1.2081900000000001</v>
      </c>
      <c r="T270">
        <f t="shared" si="18"/>
        <v>13.9984</v>
      </c>
      <c r="U270">
        <f t="shared" si="19"/>
        <v>16.927705184000001</v>
      </c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7.4338499999999996</v>
      </c>
      <c r="I271" s="22">
        <v>-1.5594500000000001E-2</v>
      </c>
      <c r="J271" s="22">
        <v>261</v>
      </c>
      <c r="K271" s="22">
        <v>0.50494399999999995</v>
      </c>
      <c r="L271">
        <f t="shared" si="16"/>
        <v>15.5945</v>
      </c>
      <c r="M271">
        <f t="shared" si="17"/>
        <v>7.8881503404999993</v>
      </c>
      <c r="N271" s="9"/>
      <c r="O271" s="22">
        <v>1.2142900000000001</v>
      </c>
      <c r="P271" s="22">
        <v>12.7125</v>
      </c>
      <c r="Q271" s="22">
        <v>-1.39618E-2</v>
      </c>
      <c r="R271" s="22">
        <v>261</v>
      </c>
      <c r="S271" s="22">
        <v>1.2124600000000001</v>
      </c>
      <c r="T271">
        <f t="shared" si="18"/>
        <v>13.9618</v>
      </c>
      <c r="U271">
        <f t="shared" si="19"/>
        <v>16.953674122000002</v>
      </c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7.4439200000000003</v>
      </c>
      <c r="I272" s="22">
        <v>-1.55975E-2</v>
      </c>
      <c r="J272" s="22">
        <v>262</v>
      </c>
      <c r="K272" s="22">
        <v>0.49993900000000002</v>
      </c>
      <c r="L272">
        <f t="shared" si="16"/>
        <v>15.5975</v>
      </c>
      <c r="M272">
        <f t="shared" si="17"/>
        <v>7.8111188175000006</v>
      </c>
      <c r="N272" s="9"/>
      <c r="O272" s="22">
        <v>1.21933</v>
      </c>
      <c r="P272" s="22">
        <v>12.7225</v>
      </c>
      <c r="Q272" s="22">
        <v>-1.3931300000000001E-2</v>
      </c>
      <c r="R272" s="22">
        <v>262</v>
      </c>
      <c r="S272" s="22">
        <v>1.2182599999999999</v>
      </c>
      <c r="T272">
        <f t="shared" si="18"/>
        <v>13.9313</v>
      </c>
      <c r="U272">
        <f t="shared" si="19"/>
        <v>16.986852029000001</v>
      </c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7.4539900000000001</v>
      </c>
      <c r="I273" s="22">
        <v>-1.5594500000000001E-2</v>
      </c>
      <c r="J273" s="22">
        <v>263</v>
      </c>
      <c r="K273" s="22">
        <v>0.49487300000000001</v>
      </c>
      <c r="L273">
        <f t="shared" si="16"/>
        <v>15.5945</v>
      </c>
      <c r="M273">
        <f t="shared" si="17"/>
        <v>7.7310981309999995</v>
      </c>
      <c r="N273" s="9"/>
      <c r="O273" s="22">
        <v>1.22437</v>
      </c>
      <c r="P273" s="22">
        <v>12.7326</v>
      </c>
      <c r="Q273" s="22">
        <v>-1.38916E-2</v>
      </c>
      <c r="R273" s="22">
        <v>263</v>
      </c>
      <c r="S273" s="22">
        <v>1.2237499999999999</v>
      </c>
      <c r="T273">
        <f t="shared" si="18"/>
        <v>13.8916</v>
      </c>
      <c r="U273">
        <f t="shared" si="19"/>
        <v>17.008458292</v>
      </c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7.4640599999999999</v>
      </c>
      <c r="I274" s="22">
        <v>-1.55975E-2</v>
      </c>
      <c r="J274" s="22">
        <v>264</v>
      </c>
      <c r="K274" s="22">
        <v>0.48989899999999997</v>
      </c>
      <c r="L274">
        <f t="shared" si="16"/>
        <v>15.5975</v>
      </c>
      <c r="M274">
        <f t="shared" si="17"/>
        <v>7.6540519925000003</v>
      </c>
      <c r="N274" s="9"/>
      <c r="O274" s="22">
        <v>1.2294</v>
      </c>
      <c r="P274" s="22">
        <v>12.742699999999999</v>
      </c>
      <c r="Q274" s="22">
        <v>-1.38458E-2</v>
      </c>
      <c r="R274" s="22">
        <v>264</v>
      </c>
      <c r="S274" s="22">
        <v>1.2283299999999999</v>
      </c>
      <c r="T274">
        <f t="shared" si="18"/>
        <v>13.845800000000001</v>
      </c>
      <c r="U274">
        <f t="shared" si="19"/>
        <v>17.022026520000001</v>
      </c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>
        <v>0.48568699999999998</v>
      </c>
      <c r="H275" s="22">
        <v>7.4741299999999997</v>
      </c>
      <c r="I275" s="22">
        <v>-1.56036E-2</v>
      </c>
      <c r="J275" s="22">
        <v>265</v>
      </c>
      <c r="K275" s="22">
        <v>0.48480200000000001</v>
      </c>
      <c r="L275">
        <f t="shared" si="16"/>
        <v>15.6036</v>
      </c>
      <c r="M275">
        <f t="shared" si="17"/>
        <v>7.5784656731999993</v>
      </c>
      <c r="N275" s="9"/>
      <c r="O275" s="22">
        <v>1.23444</v>
      </c>
      <c r="P275" s="22">
        <v>12.752700000000001</v>
      </c>
      <c r="Q275" s="22">
        <v>-1.37939E-2</v>
      </c>
      <c r="R275" s="22">
        <v>265</v>
      </c>
      <c r="S275" s="22">
        <v>1.2335199999999999</v>
      </c>
      <c r="T275">
        <f t="shared" si="18"/>
        <v>13.793899999999999</v>
      </c>
      <c r="U275">
        <f t="shared" si="19"/>
        <v>17.027741916</v>
      </c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>
        <v>0.48065200000000002</v>
      </c>
      <c r="H276" s="22">
        <v>7.4842000000000004</v>
      </c>
      <c r="I276" s="22">
        <v>-1.5606699999999999E-2</v>
      </c>
      <c r="J276" s="22">
        <v>266</v>
      </c>
      <c r="K276" s="22">
        <v>0.479767</v>
      </c>
      <c r="L276">
        <f t="shared" si="16"/>
        <v>15.6067</v>
      </c>
      <c r="M276">
        <f t="shared" si="17"/>
        <v>7.5013915684000008</v>
      </c>
      <c r="N276" s="9"/>
      <c r="O276" s="22">
        <v>1.2394700000000001</v>
      </c>
      <c r="P276" s="22">
        <v>12.7628</v>
      </c>
      <c r="Q276" s="22">
        <v>-1.37451E-2</v>
      </c>
      <c r="R276" s="22">
        <v>266</v>
      </c>
      <c r="S276" s="22">
        <v>1.2381</v>
      </c>
      <c r="T276">
        <f t="shared" si="18"/>
        <v>13.745099999999999</v>
      </c>
      <c r="U276">
        <f t="shared" si="19"/>
        <v>17.036639096999998</v>
      </c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>
        <v>0.47561599999999998</v>
      </c>
      <c r="H277" s="22">
        <v>7.4942700000000002</v>
      </c>
      <c r="I277" s="22">
        <v>-1.56128E-2</v>
      </c>
      <c r="J277" s="22">
        <v>267</v>
      </c>
      <c r="K277" s="22">
        <v>0.47479199999999999</v>
      </c>
      <c r="L277">
        <f t="shared" si="16"/>
        <v>15.6128</v>
      </c>
      <c r="M277">
        <f t="shared" si="17"/>
        <v>7.4256974847999997</v>
      </c>
      <c r="N277" s="9"/>
      <c r="O277" s="22">
        <v>1.24451</v>
      </c>
      <c r="P277" s="22">
        <v>12.7729</v>
      </c>
      <c r="Q277" s="22">
        <v>-1.36963E-2</v>
      </c>
      <c r="R277" s="22">
        <v>267</v>
      </c>
      <c r="S277" s="22">
        <v>1.24268</v>
      </c>
      <c r="T277">
        <f t="shared" si="18"/>
        <v>13.696299999999999</v>
      </c>
      <c r="U277">
        <f t="shared" si="19"/>
        <v>17.045182312999998</v>
      </c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>
        <v>0.47058100000000003</v>
      </c>
      <c r="H278" s="22">
        <v>7.50434</v>
      </c>
      <c r="I278" s="22">
        <v>-1.5621899999999999E-2</v>
      </c>
      <c r="J278" s="22">
        <v>268</v>
      </c>
      <c r="K278" s="22">
        <v>0.46975699999999998</v>
      </c>
      <c r="L278">
        <f t="shared" si="16"/>
        <v>15.6219</v>
      </c>
      <c r="M278">
        <f t="shared" si="17"/>
        <v>7.3513693239000002</v>
      </c>
      <c r="N278" s="9"/>
      <c r="O278" s="22">
        <v>1.2495400000000001</v>
      </c>
      <c r="P278" s="22">
        <v>12.782999999999999</v>
      </c>
      <c r="Q278" s="22">
        <v>-1.36475E-2</v>
      </c>
      <c r="R278" s="22">
        <v>268</v>
      </c>
      <c r="S278" s="22">
        <v>1.24847</v>
      </c>
      <c r="T278">
        <f t="shared" si="18"/>
        <v>13.647499999999999</v>
      </c>
      <c r="U278">
        <f t="shared" si="19"/>
        <v>17.053097149999999</v>
      </c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>
        <v>0.46554600000000002</v>
      </c>
      <c r="H279" s="22">
        <v>7.5144200000000003</v>
      </c>
      <c r="I279" s="22">
        <v>-1.5625E-2</v>
      </c>
      <c r="J279" s="22">
        <v>269</v>
      </c>
      <c r="K279" s="22">
        <v>0.46472200000000002</v>
      </c>
      <c r="L279">
        <f t="shared" si="16"/>
        <v>15.625</v>
      </c>
      <c r="M279">
        <f t="shared" si="17"/>
        <v>7.2741562499999999</v>
      </c>
      <c r="N279" s="9"/>
      <c r="O279" s="22">
        <v>1.25458</v>
      </c>
      <c r="P279" s="22">
        <v>12.792999999999999</v>
      </c>
      <c r="Q279" s="22">
        <v>-1.36017E-2</v>
      </c>
      <c r="R279" s="22">
        <v>269</v>
      </c>
      <c r="S279" s="22">
        <v>1.25366</v>
      </c>
      <c r="T279">
        <f t="shared" si="18"/>
        <v>13.601699999999999</v>
      </c>
      <c r="U279">
        <f t="shared" si="19"/>
        <v>17.064420785999999</v>
      </c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>
        <v>0.46050999999999997</v>
      </c>
      <c r="H280" s="22">
        <v>7.5244900000000001</v>
      </c>
      <c r="I280" s="22">
        <v>-1.5625E-2</v>
      </c>
      <c r="J280" s="22">
        <v>270</v>
      </c>
      <c r="K280" s="22">
        <v>0.45965600000000001</v>
      </c>
      <c r="L280">
        <f t="shared" si="16"/>
        <v>15.625</v>
      </c>
      <c r="M280">
        <f t="shared" si="17"/>
        <v>7.1954687499999999</v>
      </c>
      <c r="N280" s="9"/>
      <c r="O280" s="22">
        <v>1.2596099999999999</v>
      </c>
      <c r="P280" s="22">
        <v>12.803100000000001</v>
      </c>
      <c r="Q280" s="22">
        <v>-1.3555899999999999E-2</v>
      </c>
      <c r="R280" s="22">
        <v>270</v>
      </c>
      <c r="S280" s="22">
        <v>1.25824</v>
      </c>
      <c r="T280">
        <f t="shared" si="18"/>
        <v>13.555899999999999</v>
      </c>
      <c r="U280">
        <f t="shared" si="19"/>
        <v>17.075147198999996</v>
      </c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>
        <v>0.45547500000000002</v>
      </c>
      <c r="H281" s="22">
        <v>7.5345599999999999</v>
      </c>
      <c r="I281" s="22">
        <v>-1.5625E-2</v>
      </c>
      <c r="J281" s="22">
        <v>271</v>
      </c>
      <c r="K281" s="22">
        <v>0.45462000000000002</v>
      </c>
      <c r="L281">
        <f t="shared" si="16"/>
        <v>15.625</v>
      </c>
      <c r="M281">
        <f t="shared" si="17"/>
        <v>7.1167968750000004</v>
      </c>
      <c r="N281" s="9"/>
      <c r="O281" s="22">
        <v>1.2646500000000001</v>
      </c>
      <c r="P281" s="22">
        <v>12.8132</v>
      </c>
      <c r="Q281" s="22">
        <v>-1.3507099999999999E-2</v>
      </c>
      <c r="R281" s="22">
        <v>271</v>
      </c>
      <c r="S281" s="22">
        <v>1.2640400000000001</v>
      </c>
      <c r="T281">
        <f t="shared" si="18"/>
        <v>13.507099999999999</v>
      </c>
      <c r="U281">
        <f t="shared" si="19"/>
        <v>17.081754015000001</v>
      </c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>
        <v>0.45043899999999998</v>
      </c>
      <c r="H282" s="22">
        <v>7.5446299999999997</v>
      </c>
      <c r="I282" s="22">
        <v>-1.5625E-2</v>
      </c>
      <c r="J282" s="22">
        <v>272</v>
      </c>
      <c r="K282" s="22">
        <v>0.44964599999999999</v>
      </c>
      <c r="L282">
        <f t="shared" si="16"/>
        <v>15.625</v>
      </c>
      <c r="M282">
        <f t="shared" si="17"/>
        <v>7.0381093749999994</v>
      </c>
      <c r="N282" s="9"/>
      <c r="O282" s="22">
        <v>1.2696799999999999</v>
      </c>
      <c r="P282" s="22">
        <v>12.8232</v>
      </c>
      <c r="Q282" s="22">
        <v>-1.34491E-2</v>
      </c>
      <c r="R282" s="22">
        <v>272</v>
      </c>
      <c r="S282" s="22">
        <v>1.2686200000000001</v>
      </c>
      <c r="T282">
        <f t="shared" si="18"/>
        <v>13.4491</v>
      </c>
      <c r="U282">
        <f t="shared" si="19"/>
        <v>17.076053287999997</v>
      </c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>
        <v>0.44540400000000002</v>
      </c>
      <c r="H283" s="22">
        <v>7.5547000000000004</v>
      </c>
      <c r="I283" s="22">
        <v>-1.5631099999999998E-2</v>
      </c>
      <c r="J283" s="22">
        <v>273</v>
      </c>
      <c r="K283" s="22">
        <v>0.44455</v>
      </c>
      <c r="L283">
        <f t="shared" si="16"/>
        <v>15.631099999999998</v>
      </c>
      <c r="M283">
        <f t="shared" si="17"/>
        <v>6.9621544643999993</v>
      </c>
      <c r="N283" s="9"/>
      <c r="O283" s="22">
        <v>1.2747200000000001</v>
      </c>
      <c r="P283" s="22">
        <v>12.833299999999999</v>
      </c>
      <c r="Q283" s="22">
        <v>-1.34003E-2</v>
      </c>
      <c r="R283" s="22">
        <v>273</v>
      </c>
      <c r="S283" s="22">
        <v>1.2741100000000001</v>
      </c>
      <c r="T283">
        <f t="shared" si="18"/>
        <v>13.4003</v>
      </c>
      <c r="U283">
        <f t="shared" si="19"/>
        <v>17.081630415999999</v>
      </c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>
        <v>0.44036900000000001</v>
      </c>
      <c r="H284" s="22">
        <v>7.5647700000000002</v>
      </c>
      <c r="I284" s="22">
        <v>-1.56372E-2</v>
      </c>
      <c r="J284" s="22">
        <v>274</v>
      </c>
      <c r="K284" s="22">
        <v>0.43951400000000002</v>
      </c>
      <c r="L284">
        <f t="shared" si="16"/>
        <v>15.6372</v>
      </c>
      <c r="M284">
        <f t="shared" si="17"/>
        <v>6.8861381268000006</v>
      </c>
      <c r="N284" s="9"/>
      <c r="O284" s="22">
        <v>1.2797499999999999</v>
      </c>
      <c r="P284" s="22">
        <v>12.843400000000001</v>
      </c>
      <c r="Q284" s="22">
        <v>-1.33484E-2</v>
      </c>
      <c r="R284" s="22">
        <v>274</v>
      </c>
      <c r="S284" s="22">
        <v>1.2783800000000001</v>
      </c>
      <c r="T284">
        <f t="shared" si="18"/>
        <v>13.3484</v>
      </c>
      <c r="U284">
        <f t="shared" si="19"/>
        <v>17.082614899999999</v>
      </c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>
        <v>0.43533300000000003</v>
      </c>
      <c r="H285" s="22">
        <v>7.57484</v>
      </c>
      <c r="I285" s="22">
        <v>-1.5640299999999999E-2</v>
      </c>
      <c r="J285" s="22">
        <v>275</v>
      </c>
      <c r="K285" s="22">
        <v>0.434448</v>
      </c>
      <c r="L285">
        <f t="shared" si="16"/>
        <v>15.6403</v>
      </c>
      <c r="M285">
        <f t="shared" si="17"/>
        <v>6.8087387199</v>
      </c>
      <c r="N285" s="9"/>
      <c r="O285" s="22">
        <v>1.2847900000000001</v>
      </c>
      <c r="P285" s="22">
        <v>12.8535</v>
      </c>
      <c r="Q285" s="22">
        <v>-1.3302599999999999E-2</v>
      </c>
      <c r="R285" s="22">
        <v>275</v>
      </c>
      <c r="S285" s="22">
        <v>1.2829600000000001</v>
      </c>
      <c r="T285">
        <f t="shared" si="18"/>
        <v>13.3026</v>
      </c>
      <c r="U285">
        <f t="shared" si="19"/>
        <v>17.091047454000002</v>
      </c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>
        <v>0.43029800000000001</v>
      </c>
      <c r="H286" s="22">
        <v>7.5849099999999998</v>
      </c>
      <c r="I286" s="22">
        <v>-1.5649400000000001E-2</v>
      </c>
      <c r="J286" s="22">
        <v>276</v>
      </c>
      <c r="K286" s="22">
        <v>0.429504</v>
      </c>
      <c r="L286">
        <f t="shared" si="16"/>
        <v>15.6494</v>
      </c>
      <c r="M286">
        <f t="shared" si="17"/>
        <v>6.7339055212000005</v>
      </c>
      <c r="N286" s="9"/>
      <c r="O286" s="22">
        <v>1.28983</v>
      </c>
      <c r="P286" s="22">
        <v>12.8635</v>
      </c>
      <c r="Q286" s="22">
        <v>-1.32538E-2</v>
      </c>
      <c r="R286" s="22">
        <v>276</v>
      </c>
      <c r="S286" s="22">
        <v>1.2884500000000001</v>
      </c>
      <c r="T286">
        <f t="shared" si="18"/>
        <v>13.2538</v>
      </c>
      <c r="U286">
        <f t="shared" si="19"/>
        <v>17.095148854000001</v>
      </c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>
        <v>0.42526199999999997</v>
      </c>
      <c r="H287" s="22">
        <v>7.5949799999999996</v>
      </c>
      <c r="I287" s="22">
        <v>-1.5649400000000001E-2</v>
      </c>
      <c r="J287" s="22">
        <v>277</v>
      </c>
      <c r="K287" s="22">
        <v>0.42443799999999998</v>
      </c>
      <c r="L287">
        <f t="shared" si="16"/>
        <v>15.6494</v>
      </c>
      <c r="M287">
        <f t="shared" si="17"/>
        <v>6.6550951427999996</v>
      </c>
      <c r="N287" s="9"/>
      <c r="O287" s="22">
        <v>1.2948599999999999</v>
      </c>
      <c r="P287" s="22">
        <v>12.8736</v>
      </c>
      <c r="Q287" s="22">
        <v>-1.32111E-2</v>
      </c>
      <c r="R287" s="22">
        <v>277</v>
      </c>
      <c r="S287" s="22">
        <v>1.2936399999999999</v>
      </c>
      <c r="T287">
        <f t="shared" si="18"/>
        <v>13.2111</v>
      </c>
      <c r="U287">
        <f t="shared" si="19"/>
        <v>17.106524946</v>
      </c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>
        <v>0.42022700000000002</v>
      </c>
      <c r="H288" s="22">
        <v>7.6050500000000003</v>
      </c>
      <c r="I288" s="22">
        <v>-1.5658600000000002E-2</v>
      </c>
      <c r="J288" s="22">
        <v>278</v>
      </c>
      <c r="K288" s="22">
        <v>0.41940300000000003</v>
      </c>
      <c r="L288">
        <f t="shared" si="16"/>
        <v>15.658600000000002</v>
      </c>
      <c r="M288">
        <f t="shared" si="17"/>
        <v>6.5801665022000009</v>
      </c>
      <c r="N288" s="9"/>
      <c r="O288" s="22">
        <v>1.2999000000000001</v>
      </c>
      <c r="P288" s="22">
        <v>12.883699999999999</v>
      </c>
      <c r="Q288" s="22">
        <v>-1.3162200000000001E-2</v>
      </c>
      <c r="R288" s="22">
        <v>278</v>
      </c>
      <c r="S288" s="22">
        <v>1.2985199999999999</v>
      </c>
      <c r="T288">
        <f t="shared" si="18"/>
        <v>13.1622</v>
      </c>
      <c r="U288">
        <f t="shared" si="19"/>
        <v>17.109543780000003</v>
      </c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>
        <v>0.41519200000000001</v>
      </c>
      <c r="H289" s="22">
        <v>7.6151299999999997</v>
      </c>
      <c r="I289" s="22">
        <v>-1.5670799999999999E-2</v>
      </c>
      <c r="J289" s="22">
        <v>279</v>
      </c>
      <c r="K289" s="22">
        <v>0.41433700000000001</v>
      </c>
      <c r="L289">
        <f t="shared" si="16"/>
        <v>15.670799999999998</v>
      </c>
      <c r="M289">
        <f t="shared" si="17"/>
        <v>6.5063907935999996</v>
      </c>
      <c r="N289" s="9"/>
      <c r="O289" s="22">
        <v>1.3049299999999999</v>
      </c>
      <c r="P289" s="22">
        <v>12.893700000000001</v>
      </c>
      <c r="Q289" s="22">
        <v>-1.30981E-2</v>
      </c>
      <c r="R289" s="22">
        <v>279</v>
      </c>
      <c r="S289" s="22">
        <v>1.3043199999999999</v>
      </c>
      <c r="T289">
        <f t="shared" si="18"/>
        <v>13.098100000000001</v>
      </c>
      <c r="U289">
        <f t="shared" si="19"/>
        <v>17.092103633000001</v>
      </c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>
        <v>0.41015600000000002</v>
      </c>
      <c r="H290" s="22">
        <v>7.6252000000000004</v>
      </c>
      <c r="I290" s="22">
        <v>-1.5673800000000002E-2</v>
      </c>
      <c r="J290" s="22">
        <v>280</v>
      </c>
      <c r="K290" s="22">
        <v>0.409302</v>
      </c>
      <c r="L290">
        <f t="shared" si="16"/>
        <v>15.673800000000002</v>
      </c>
      <c r="M290">
        <f t="shared" si="17"/>
        <v>6.428703112800001</v>
      </c>
      <c r="N290" s="9"/>
      <c r="O290" s="22">
        <v>1.3099700000000001</v>
      </c>
      <c r="P290" s="22">
        <v>12.9038</v>
      </c>
      <c r="Q290" s="22">
        <v>-1.3030999999999999E-2</v>
      </c>
      <c r="R290" s="22">
        <v>280</v>
      </c>
      <c r="S290" s="22">
        <v>1.3089</v>
      </c>
      <c r="T290">
        <f t="shared" si="18"/>
        <v>13.030999999999999</v>
      </c>
      <c r="U290">
        <f t="shared" si="19"/>
        <v>17.07021907</v>
      </c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>
        <v>0.40512100000000001</v>
      </c>
      <c r="H291" s="22">
        <v>7.6352700000000002</v>
      </c>
      <c r="I291" s="22">
        <v>-1.56799E-2</v>
      </c>
      <c r="J291" s="22">
        <v>281</v>
      </c>
      <c r="K291" s="22">
        <v>0.40432699999999999</v>
      </c>
      <c r="L291">
        <f t="shared" si="16"/>
        <v>15.6799</v>
      </c>
      <c r="M291">
        <f t="shared" si="17"/>
        <v>6.3522567679000002</v>
      </c>
      <c r="N291" s="9"/>
      <c r="O291" s="22">
        <v>1.3149999999999999</v>
      </c>
      <c r="P291" s="22">
        <v>12.9139</v>
      </c>
      <c r="Q291" s="22">
        <v>-1.29669E-2</v>
      </c>
      <c r="R291" s="22">
        <v>281</v>
      </c>
      <c r="S291" s="22">
        <v>1.31409</v>
      </c>
      <c r="T291">
        <f t="shared" si="18"/>
        <v>12.966900000000001</v>
      </c>
      <c r="U291">
        <f t="shared" si="19"/>
        <v>17.0514735</v>
      </c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>
        <v>0.40008500000000002</v>
      </c>
      <c r="H292" s="22">
        <v>7.64534</v>
      </c>
      <c r="I292" s="22">
        <v>-1.5676900000000001E-2</v>
      </c>
      <c r="J292" s="22">
        <v>282</v>
      </c>
      <c r="K292" s="22">
        <v>0.39917000000000002</v>
      </c>
      <c r="L292">
        <f t="shared" si="16"/>
        <v>15.6769</v>
      </c>
      <c r="M292">
        <f t="shared" si="17"/>
        <v>6.2720925365000006</v>
      </c>
      <c r="N292" s="9"/>
      <c r="O292" s="22">
        <v>1.3200400000000001</v>
      </c>
      <c r="P292" s="22">
        <v>12.923999999999999</v>
      </c>
      <c r="Q292" s="22">
        <v>-1.2896700000000001E-2</v>
      </c>
      <c r="R292" s="22">
        <v>282</v>
      </c>
      <c r="S292" s="22">
        <v>1.3186599999999999</v>
      </c>
      <c r="T292">
        <f t="shared" si="18"/>
        <v>12.896700000000001</v>
      </c>
      <c r="U292">
        <f t="shared" si="19"/>
        <v>17.024159868000002</v>
      </c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>
        <v>0.39505000000000001</v>
      </c>
      <c r="H293" s="22">
        <v>7.6554099999999998</v>
      </c>
      <c r="I293" s="22">
        <v>-1.5670799999999999E-2</v>
      </c>
      <c r="J293" s="22">
        <v>283</v>
      </c>
      <c r="K293" s="22">
        <v>0.39425700000000002</v>
      </c>
      <c r="L293">
        <f t="shared" si="16"/>
        <v>15.670799999999998</v>
      </c>
      <c r="M293">
        <f t="shared" si="17"/>
        <v>6.1907495399999997</v>
      </c>
      <c r="N293" s="9"/>
      <c r="O293" s="22">
        <v>1.32507</v>
      </c>
      <c r="P293" s="22">
        <v>12.933999999999999</v>
      </c>
      <c r="Q293" s="22">
        <v>-1.2826499999999999E-2</v>
      </c>
      <c r="R293" s="22">
        <v>283</v>
      </c>
      <c r="S293" s="22">
        <v>1.32385</v>
      </c>
      <c r="T293">
        <f t="shared" si="18"/>
        <v>12.826499999999999</v>
      </c>
      <c r="U293">
        <f t="shared" si="19"/>
        <v>16.996010354999999</v>
      </c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>
        <v>0.390015</v>
      </c>
      <c r="H294" s="22">
        <v>7.6654799999999996</v>
      </c>
      <c r="I294" s="22">
        <v>-1.56677E-2</v>
      </c>
      <c r="J294" s="22">
        <v>284</v>
      </c>
      <c r="K294" s="22">
        <v>0.38919100000000001</v>
      </c>
      <c r="L294">
        <f t="shared" si="16"/>
        <v>15.6677</v>
      </c>
      <c r="M294">
        <f t="shared" si="17"/>
        <v>6.1106380155000002</v>
      </c>
      <c r="N294" s="9"/>
      <c r="O294" s="22">
        <v>1.3301099999999999</v>
      </c>
      <c r="P294" s="22">
        <v>12.944100000000001</v>
      </c>
      <c r="Q294" s="22">
        <v>-1.27563E-2</v>
      </c>
      <c r="R294" s="22">
        <v>284</v>
      </c>
      <c r="S294" s="22">
        <v>1.32935</v>
      </c>
      <c r="T294">
        <f t="shared" si="18"/>
        <v>12.7563</v>
      </c>
      <c r="U294">
        <f t="shared" si="19"/>
        <v>16.967282192999999</v>
      </c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>
        <v>0.38497900000000002</v>
      </c>
      <c r="H295" s="22">
        <v>7.6755500000000003</v>
      </c>
      <c r="I295" s="22">
        <v>-1.5670799999999999E-2</v>
      </c>
      <c r="J295" s="22">
        <v>285</v>
      </c>
      <c r="K295" s="22">
        <v>0.38412499999999999</v>
      </c>
      <c r="L295">
        <f t="shared" si="16"/>
        <v>15.670799999999998</v>
      </c>
      <c r="M295">
        <f t="shared" si="17"/>
        <v>6.0329289131999992</v>
      </c>
      <c r="N295" s="9"/>
      <c r="O295" s="22">
        <v>1.33514</v>
      </c>
      <c r="P295" s="22">
        <v>12.9542</v>
      </c>
      <c r="Q295" s="22">
        <v>-1.26923E-2</v>
      </c>
      <c r="R295" s="22">
        <v>285</v>
      </c>
      <c r="S295" s="22">
        <v>1.33362</v>
      </c>
      <c r="T295">
        <f t="shared" si="18"/>
        <v>12.692299999999999</v>
      </c>
      <c r="U295">
        <f t="shared" si="19"/>
        <v>16.945997421999998</v>
      </c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>
        <v>0.379944</v>
      </c>
      <c r="H296" s="22">
        <v>7.6856200000000001</v>
      </c>
      <c r="I296" s="22">
        <v>-1.5673800000000002E-2</v>
      </c>
      <c r="J296" s="22">
        <v>286</v>
      </c>
      <c r="K296" s="22">
        <v>0.37912000000000001</v>
      </c>
      <c r="L296">
        <f t="shared" si="16"/>
        <v>15.673800000000002</v>
      </c>
      <c r="M296">
        <f t="shared" si="17"/>
        <v>5.955166267200001</v>
      </c>
      <c r="N296" s="9"/>
      <c r="O296" s="22">
        <v>1.3401799999999999</v>
      </c>
      <c r="P296" s="22">
        <v>12.9642</v>
      </c>
      <c r="Q296" s="22">
        <v>-1.26312E-2</v>
      </c>
      <c r="R296" s="22">
        <v>286</v>
      </c>
      <c r="S296" s="22">
        <v>1.3394200000000001</v>
      </c>
      <c r="T296">
        <f t="shared" si="18"/>
        <v>12.6312</v>
      </c>
      <c r="U296">
        <f t="shared" si="19"/>
        <v>16.928081616</v>
      </c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>
        <v>0.37490800000000002</v>
      </c>
      <c r="H297" s="22">
        <v>7.6956899999999999</v>
      </c>
      <c r="I297" s="22">
        <v>-1.56799E-2</v>
      </c>
      <c r="J297" s="22">
        <v>287</v>
      </c>
      <c r="K297" s="22">
        <v>0.37402299999999999</v>
      </c>
      <c r="L297">
        <f t="shared" si="16"/>
        <v>15.6799</v>
      </c>
      <c r="M297">
        <f t="shared" si="17"/>
        <v>5.8785199492000002</v>
      </c>
      <c r="N297" s="9"/>
      <c r="O297" s="22">
        <v>1.34521</v>
      </c>
      <c r="P297" s="22">
        <v>12.974299999999999</v>
      </c>
      <c r="Q297" s="22">
        <v>-1.25702E-2</v>
      </c>
      <c r="R297" s="22">
        <v>287</v>
      </c>
      <c r="S297" s="22">
        <v>1.3436900000000001</v>
      </c>
      <c r="T297">
        <f t="shared" si="18"/>
        <v>12.5702</v>
      </c>
      <c r="U297">
        <f t="shared" si="19"/>
        <v>16.909558742000002</v>
      </c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>
        <v>0.36987300000000001</v>
      </c>
      <c r="H298" s="22">
        <v>7.7057599999999997</v>
      </c>
      <c r="I298" s="22">
        <v>-1.56799E-2</v>
      </c>
      <c r="J298" s="22">
        <v>288</v>
      </c>
      <c r="K298" s="22">
        <v>0.36901899999999999</v>
      </c>
      <c r="L298">
        <f t="shared" si="16"/>
        <v>15.6799</v>
      </c>
      <c r="M298">
        <f t="shared" si="17"/>
        <v>5.7995716527000001</v>
      </c>
      <c r="N298" s="9"/>
      <c r="O298" s="22">
        <v>1.35025</v>
      </c>
      <c r="P298" s="22">
        <v>12.984400000000001</v>
      </c>
      <c r="Q298" s="22">
        <v>-1.25031E-2</v>
      </c>
      <c r="R298" s="22">
        <v>288</v>
      </c>
      <c r="S298" s="22">
        <v>1.3494900000000001</v>
      </c>
      <c r="T298">
        <f t="shared" si="18"/>
        <v>12.5031</v>
      </c>
      <c r="U298">
        <f t="shared" si="19"/>
        <v>16.882310775000001</v>
      </c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>
        <v>0.364838</v>
      </c>
      <c r="H299" s="22">
        <v>7.71584</v>
      </c>
      <c r="I299" s="22">
        <v>-1.56799E-2</v>
      </c>
      <c r="J299" s="22">
        <v>289</v>
      </c>
      <c r="K299" s="22">
        <v>0.36404399999999998</v>
      </c>
      <c r="L299">
        <f t="shared" si="16"/>
        <v>15.6799</v>
      </c>
      <c r="M299">
        <f t="shared" si="17"/>
        <v>5.7206233562</v>
      </c>
      <c r="N299" s="9"/>
      <c r="O299" s="22">
        <v>1.3552900000000001</v>
      </c>
      <c r="P299" s="22">
        <v>12.994400000000001</v>
      </c>
      <c r="Q299" s="22">
        <v>-1.2439E-2</v>
      </c>
      <c r="R299" s="22">
        <v>289</v>
      </c>
      <c r="S299" s="22">
        <v>1.35406</v>
      </c>
      <c r="T299">
        <f t="shared" si="18"/>
        <v>12.439</v>
      </c>
      <c r="U299">
        <f t="shared" si="19"/>
        <v>16.858452310000001</v>
      </c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>
        <v>0.35980200000000001</v>
      </c>
      <c r="H300" s="22">
        <v>7.7259099999999998</v>
      </c>
      <c r="I300" s="22">
        <v>-1.5685999999999999E-2</v>
      </c>
      <c r="J300" s="22">
        <v>290</v>
      </c>
      <c r="K300" s="22">
        <v>0.35894799999999999</v>
      </c>
      <c r="L300">
        <f t="shared" si="16"/>
        <v>15.685999999999998</v>
      </c>
      <c r="M300">
        <f t="shared" si="17"/>
        <v>5.6438541719999993</v>
      </c>
      <c r="N300" s="9"/>
      <c r="O300" s="22">
        <v>1.36032</v>
      </c>
      <c r="P300" s="22">
        <v>13.0045</v>
      </c>
      <c r="Q300" s="22">
        <v>-1.2362700000000001E-2</v>
      </c>
      <c r="R300" s="22">
        <v>290</v>
      </c>
      <c r="S300" s="22">
        <v>1.3592500000000001</v>
      </c>
      <c r="T300">
        <f t="shared" si="18"/>
        <v>12.3627</v>
      </c>
      <c r="U300">
        <f t="shared" si="19"/>
        <v>16.817228063999998</v>
      </c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>
        <v>0.354767</v>
      </c>
      <c r="H301" s="22">
        <v>7.7359799999999996</v>
      </c>
      <c r="I301" s="22">
        <v>-1.5682999999999999E-2</v>
      </c>
      <c r="J301" s="22">
        <v>291</v>
      </c>
      <c r="K301" s="22">
        <v>0.35397299999999998</v>
      </c>
      <c r="L301">
        <f t="shared" si="16"/>
        <v>15.683</v>
      </c>
      <c r="M301">
        <f t="shared" si="17"/>
        <v>5.5638108610000003</v>
      </c>
      <c r="N301" s="9"/>
      <c r="O301" s="22">
        <v>1.3653599999999999</v>
      </c>
      <c r="P301" s="22">
        <v>13.0146</v>
      </c>
      <c r="Q301" s="22">
        <v>-1.2286399999999999E-2</v>
      </c>
      <c r="R301" s="22">
        <v>291</v>
      </c>
      <c r="S301" s="22">
        <v>1.3641399999999999</v>
      </c>
      <c r="T301">
        <f t="shared" si="18"/>
        <v>12.286399999999999</v>
      </c>
      <c r="U301">
        <f t="shared" si="19"/>
        <v>16.775359103999996</v>
      </c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>
        <v>0.34973100000000001</v>
      </c>
      <c r="H302" s="22">
        <v>7.7460500000000003</v>
      </c>
      <c r="I302" s="22">
        <v>-1.5673800000000002E-2</v>
      </c>
      <c r="J302" s="22">
        <v>292</v>
      </c>
      <c r="K302" s="22">
        <v>0.34887699999999999</v>
      </c>
      <c r="L302">
        <f t="shared" si="16"/>
        <v>15.673800000000002</v>
      </c>
      <c r="M302">
        <f t="shared" si="17"/>
        <v>5.4816137478000009</v>
      </c>
      <c r="N302" s="9"/>
      <c r="O302" s="22">
        <v>1.37039</v>
      </c>
      <c r="P302" s="22">
        <v>13.024699999999999</v>
      </c>
      <c r="Q302" s="22">
        <v>-1.2207000000000001E-2</v>
      </c>
      <c r="R302" s="22">
        <v>292</v>
      </c>
      <c r="S302" s="22">
        <v>1.3690199999999999</v>
      </c>
      <c r="T302">
        <f t="shared" si="18"/>
        <v>12.207000000000001</v>
      </c>
      <c r="U302">
        <f t="shared" si="19"/>
        <v>16.728350730000002</v>
      </c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>
        <v>0.344696</v>
      </c>
      <c r="H303" s="22">
        <v>7.7561200000000001</v>
      </c>
      <c r="I303" s="22">
        <v>-1.5673800000000002E-2</v>
      </c>
      <c r="J303" s="22">
        <v>293</v>
      </c>
      <c r="K303" s="22">
        <v>0.34387200000000001</v>
      </c>
      <c r="L303">
        <f t="shared" si="16"/>
        <v>15.673800000000002</v>
      </c>
      <c r="M303">
        <f t="shared" si="17"/>
        <v>5.4026961648000009</v>
      </c>
      <c r="N303" s="9"/>
      <c r="O303" s="22">
        <v>1.3754299999999999</v>
      </c>
      <c r="P303" s="22">
        <v>13.034700000000001</v>
      </c>
      <c r="Q303" s="22">
        <v>-1.2130699999999999E-2</v>
      </c>
      <c r="R303" s="22">
        <v>293</v>
      </c>
      <c r="S303" s="22">
        <v>1.3745099999999999</v>
      </c>
      <c r="T303">
        <f t="shared" si="18"/>
        <v>12.130699999999999</v>
      </c>
      <c r="U303">
        <f t="shared" si="19"/>
        <v>16.684928700999997</v>
      </c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>
        <v>0.33966099999999999</v>
      </c>
      <c r="H304" s="22">
        <v>7.7661899999999999</v>
      </c>
      <c r="I304" s="22">
        <v>-1.5676900000000001E-2</v>
      </c>
      <c r="J304" s="22">
        <v>294</v>
      </c>
      <c r="K304" s="22">
        <v>0.338837</v>
      </c>
      <c r="L304">
        <f t="shared" si="16"/>
        <v>15.6769</v>
      </c>
      <c r="M304">
        <f t="shared" si="17"/>
        <v>5.3248315309000001</v>
      </c>
      <c r="N304" s="9"/>
      <c r="O304" s="22">
        <v>1.38046</v>
      </c>
      <c r="P304" s="22">
        <v>13.0448</v>
      </c>
      <c r="Q304" s="22">
        <v>-1.20544E-2</v>
      </c>
      <c r="R304" s="22">
        <v>294</v>
      </c>
      <c r="S304" s="22">
        <v>1.3793899999999999</v>
      </c>
      <c r="T304">
        <f t="shared" si="18"/>
        <v>12.054399999999999</v>
      </c>
      <c r="U304">
        <f t="shared" si="19"/>
        <v>16.640617024000001</v>
      </c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>
        <v>0.33462500000000001</v>
      </c>
      <c r="H305" s="22">
        <v>7.7762599999999997</v>
      </c>
      <c r="I305" s="22">
        <v>-1.56799E-2</v>
      </c>
      <c r="J305" s="22">
        <v>295</v>
      </c>
      <c r="K305" s="22">
        <v>0.33380100000000001</v>
      </c>
      <c r="L305">
        <f t="shared" si="16"/>
        <v>15.6799</v>
      </c>
      <c r="M305">
        <f t="shared" si="17"/>
        <v>5.2468865375</v>
      </c>
      <c r="N305" s="9"/>
      <c r="O305" s="22">
        <v>1.3855</v>
      </c>
      <c r="P305" s="22">
        <v>13.0549</v>
      </c>
      <c r="Q305" s="22">
        <v>-1.19781E-2</v>
      </c>
      <c r="R305" s="22">
        <v>295</v>
      </c>
      <c r="S305" s="22">
        <v>1.38428</v>
      </c>
      <c r="T305">
        <f t="shared" si="18"/>
        <v>11.9781</v>
      </c>
      <c r="U305">
        <f t="shared" si="19"/>
        <v>16.595657549999999</v>
      </c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>
        <v>0.32958999999999999</v>
      </c>
      <c r="H306" s="22">
        <v>7.7863300000000004</v>
      </c>
      <c r="I306" s="22">
        <v>-1.5676900000000001E-2</v>
      </c>
      <c r="J306" s="22">
        <v>296</v>
      </c>
      <c r="K306" s="22">
        <v>0.328766</v>
      </c>
      <c r="L306">
        <f t="shared" si="16"/>
        <v>15.6769</v>
      </c>
      <c r="M306">
        <f t="shared" si="17"/>
        <v>5.1669494709999997</v>
      </c>
      <c r="N306" s="9"/>
      <c r="O306" s="22">
        <v>1.39053</v>
      </c>
      <c r="P306" s="22">
        <v>13.0649</v>
      </c>
      <c r="Q306" s="22">
        <v>-1.1892700000000001E-2</v>
      </c>
      <c r="R306" s="22">
        <v>296</v>
      </c>
      <c r="S306" s="22">
        <v>1.38947</v>
      </c>
      <c r="T306">
        <f t="shared" si="18"/>
        <v>11.892700000000001</v>
      </c>
      <c r="U306">
        <f t="shared" si="19"/>
        <v>16.537156131000003</v>
      </c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>
        <v>0.32455400000000001</v>
      </c>
      <c r="H307" s="22">
        <v>7.7964000000000002</v>
      </c>
      <c r="I307" s="22">
        <v>-1.56647E-2</v>
      </c>
      <c r="J307" s="22">
        <v>297</v>
      </c>
      <c r="K307" s="22">
        <v>0.32376100000000002</v>
      </c>
      <c r="L307">
        <f t="shared" si="16"/>
        <v>15.6647</v>
      </c>
      <c r="M307">
        <f t="shared" si="17"/>
        <v>5.0840410438000001</v>
      </c>
      <c r="N307" s="9"/>
      <c r="O307" s="22">
        <v>1.39557</v>
      </c>
      <c r="P307" s="22">
        <v>13.074999999999999</v>
      </c>
      <c r="Q307" s="22">
        <v>-1.1810299999999999E-2</v>
      </c>
      <c r="R307" s="22">
        <v>297</v>
      </c>
      <c r="S307" s="22">
        <v>1.3940399999999999</v>
      </c>
      <c r="T307">
        <f t="shared" si="18"/>
        <v>11.8103</v>
      </c>
      <c r="U307">
        <f t="shared" si="19"/>
        <v>16.482100370999998</v>
      </c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>
        <v>0.319519</v>
      </c>
      <c r="H308" s="22">
        <v>7.80647</v>
      </c>
      <c r="I308" s="22">
        <v>-1.5673800000000002E-2</v>
      </c>
      <c r="J308" s="22">
        <v>298</v>
      </c>
      <c r="K308" s="22">
        <v>0.31866499999999998</v>
      </c>
      <c r="L308">
        <f t="shared" si="16"/>
        <v>15.673800000000002</v>
      </c>
      <c r="M308">
        <f t="shared" si="17"/>
        <v>5.0080769022000009</v>
      </c>
      <c r="N308" s="9"/>
      <c r="O308" s="22">
        <v>1.4006000000000001</v>
      </c>
      <c r="P308" s="22">
        <v>13.085100000000001</v>
      </c>
      <c r="Q308" s="22">
        <v>-1.17249E-2</v>
      </c>
      <c r="R308" s="22">
        <v>298</v>
      </c>
      <c r="S308" s="22">
        <v>1.39954</v>
      </c>
      <c r="T308">
        <f t="shared" si="18"/>
        <v>11.7249</v>
      </c>
      <c r="U308">
        <f t="shared" si="19"/>
        <v>16.421894940000001</v>
      </c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>
        <v>0.31448399999999999</v>
      </c>
      <c r="H309" s="22">
        <v>7.8165500000000003</v>
      </c>
      <c r="I309" s="22">
        <v>-1.5685999999999999E-2</v>
      </c>
      <c r="J309" s="22">
        <v>299</v>
      </c>
      <c r="K309" s="22">
        <v>0.31369000000000002</v>
      </c>
      <c r="L309">
        <f t="shared" si="16"/>
        <v>15.685999999999998</v>
      </c>
      <c r="M309">
        <f t="shared" si="17"/>
        <v>4.9329960239999995</v>
      </c>
      <c r="N309" s="9"/>
      <c r="O309" s="22">
        <v>1.40564</v>
      </c>
      <c r="P309" s="22">
        <v>13.0952</v>
      </c>
      <c r="Q309" s="22">
        <v>-1.16486E-2</v>
      </c>
      <c r="R309" s="22">
        <v>299</v>
      </c>
      <c r="S309" s="22">
        <v>1.40503</v>
      </c>
      <c r="T309">
        <f t="shared" si="18"/>
        <v>11.6486</v>
      </c>
      <c r="U309">
        <f t="shared" si="19"/>
        <v>16.373738104000001</v>
      </c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>
        <v>0.309448</v>
      </c>
      <c r="H310" s="22">
        <v>7.8266200000000001</v>
      </c>
      <c r="I310" s="22">
        <v>-1.5704300000000001E-2</v>
      </c>
      <c r="J310" s="22">
        <v>300</v>
      </c>
      <c r="K310" s="22">
        <v>0.30862400000000001</v>
      </c>
      <c r="L310">
        <f t="shared" si="16"/>
        <v>15.704300000000002</v>
      </c>
      <c r="M310">
        <f t="shared" si="17"/>
        <v>4.8596642264000005</v>
      </c>
      <c r="N310" s="9"/>
      <c r="O310" s="22">
        <v>1.4106799999999999</v>
      </c>
      <c r="P310" s="22">
        <v>13.1052</v>
      </c>
      <c r="Q310" s="22">
        <v>-1.1557E-2</v>
      </c>
      <c r="R310" s="22">
        <v>300</v>
      </c>
      <c r="S310" s="22">
        <v>1.41022</v>
      </c>
      <c r="T310">
        <f t="shared" si="18"/>
        <v>11.557</v>
      </c>
      <c r="U310">
        <f t="shared" si="19"/>
        <v>16.30322876</v>
      </c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>
        <v>0.30441299999999999</v>
      </c>
      <c r="H311" s="22">
        <v>7.8366899999999999</v>
      </c>
      <c r="I311" s="22">
        <v>-1.57074E-2</v>
      </c>
      <c r="J311" s="22">
        <v>301</v>
      </c>
      <c r="K311" s="22">
        <v>0.303589</v>
      </c>
      <c r="L311">
        <f t="shared" si="16"/>
        <v>15.7074</v>
      </c>
      <c r="M311">
        <f t="shared" si="17"/>
        <v>4.7815367561999995</v>
      </c>
      <c r="N311" s="9"/>
      <c r="O311" s="22">
        <v>1.41571</v>
      </c>
      <c r="P311" s="22">
        <v>13.1153</v>
      </c>
      <c r="Q311" s="22">
        <v>-1.14716E-2</v>
      </c>
      <c r="R311" s="22">
        <v>301</v>
      </c>
      <c r="S311" s="22">
        <v>1.4151</v>
      </c>
      <c r="T311">
        <f t="shared" si="18"/>
        <v>11.4716</v>
      </c>
      <c r="U311">
        <f t="shared" si="19"/>
        <v>16.240458836000002</v>
      </c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>
        <v>0.299377</v>
      </c>
      <c r="H312" s="22">
        <v>7.8467599999999997</v>
      </c>
      <c r="I312" s="22">
        <v>-1.5722699999999999E-2</v>
      </c>
      <c r="J312" s="22">
        <v>302</v>
      </c>
      <c r="K312" s="22">
        <v>0.29855300000000001</v>
      </c>
      <c r="L312">
        <f t="shared" si="16"/>
        <v>15.7227</v>
      </c>
      <c r="M312">
        <f t="shared" si="17"/>
        <v>4.7070147578999997</v>
      </c>
      <c r="N312" s="9"/>
      <c r="O312" s="22">
        <v>1.42075</v>
      </c>
      <c r="P312" s="22">
        <v>13.125400000000001</v>
      </c>
      <c r="Q312" s="22">
        <v>-1.13831E-2</v>
      </c>
      <c r="R312" s="22">
        <v>302</v>
      </c>
      <c r="S312" s="22">
        <v>1.4196800000000001</v>
      </c>
      <c r="T312">
        <f t="shared" si="18"/>
        <v>11.383100000000001</v>
      </c>
      <c r="U312">
        <f t="shared" si="19"/>
        <v>16.172539324999999</v>
      </c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>
        <v>0.29434199999999999</v>
      </c>
      <c r="H313" s="22">
        <v>7.8568300000000004</v>
      </c>
      <c r="I313" s="22">
        <v>-1.5731800000000001E-2</v>
      </c>
      <c r="J313" s="22">
        <v>303</v>
      </c>
      <c r="K313" s="22">
        <v>0.29348800000000003</v>
      </c>
      <c r="L313">
        <f t="shared" si="16"/>
        <v>15.7318</v>
      </c>
      <c r="M313">
        <f t="shared" si="17"/>
        <v>4.6305294755999995</v>
      </c>
      <c r="N313" s="9"/>
      <c r="O313" s="22">
        <v>1.42578</v>
      </c>
      <c r="P313" s="22">
        <v>13.135400000000001</v>
      </c>
      <c r="Q313" s="22">
        <v>-1.12885E-2</v>
      </c>
      <c r="R313" s="22">
        <v>303</v>
      </c>
      <c r="S313" s="22">
        <v>1.42395</v>
      </c>
      <c r="T313">
        <f t="shared" si="18"/>
        <v>11.288499999999999</v>
      </c>
      <c r="U313">
        <f t="shared" si="19"/>
        <v>16.09491753</v>
      </c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>
        <v>0.28930699999999998</v>
      </c>
      <c r="H314" s="22">
        <v>7.8669000000000002</v>
      </c>
      <c r="I314" s="22">
        <v>-1.5737899999999999E-2</v>
      </c>
      <c r="J314" s="22">
        <v>304</v>
      </c>
      <c r="K314" s="22">
        <v>0.28848299999999999</v>
      </c>
      <c r="L314">
        <f t="shared" si="16"/>
        <v>15.7379</v>
      </c>
      <c r="M314">
        <f t="shared" si="17"/>
        <v>4.5530846352999994</v>
      </c>
      <c r="N314" s="9"/>
      <c r="O314" s="22">
        <v>1.43082</v>
      </c>
      <c r="P314" s="22">
        <v>13.1455</v>
      </c>
      <c r="Q314" s="22">
        <v>-1.1190800000000001E-2</v>
      </c>
      <c r="R314" s="22">
        <v>304</v>
      </c>
      <c r="S314" s="22">
        <v>1.4297500000000001</v>
      </c>
      <c r="T314">
        <f t="shared" si="18"/>
        <v>11.190800000000001</v>
      </c>
      <c r="U314">
        <f t="shared" si="19"/>
        <v>16.012020456000002</v>
      </c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>
        <v>0.284271</v>
      </c>
      <c r="H315" s="22">
        <v>7.87697</v>
      </c>
      <c r="I315" s="22">
        <v>-1.5744000000000001E-2</v>
      </c>
      <c r="J315" s="22">
        <v>305</v>
      </c>
      <c r="K315" s="22">
        <v>0.28347800000000001</v>
      </c>
      <c r="L315">
        <f t="shared" si="16"/>
        <v>15.744000000000002</v>
      </c>
      <c r="M315">
        <f t="shared" si="17"/>
        <v>4.4755626240000002</v>
      </c>
      <c r="N315" s="9"/>
      <c r="O315" s="22">
        <v>1.4358500000000001</v>
      </c>
      <c r="P315" s="22">
        <v>13.1556</v>
      </c>
      <c r="Q315" s="22">
        <v>-1.10931E-2</v>
      </c>
      <c r="R315" s="22">
        <v>305</v>
      </c>
      <c r="S315" s="22">
        <v>1.4346300000000001</v>
      </c>
      <c r="T315">
        <f t="shared" si="18"/>
        <v>11.0931</v>
      </c>
      <c r="U315">
        <f t="shared" si="19"/>
        <v>15.928027635000001</v>
      </c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>
        <v>0.27923599999999998</v>
      </c>
      <c r="H316" s="22">
        <v>7.8870399999999998</v>
      </c>
      <c r="I316" s="22">
        <v>-1.5753199999999998E-2</v>
      </c>
      <c r="J316" s="22">
        <v>306</v>
      </c>
      <c r="K316" s="22">
        <v>0.27844200000000002</v>
      </c>
      <c r="L316">
        <f t="shared" si="16"/>
        <v>15.753199999999998</v>
      </c>
      <c r="M316">
        <f t="shared" si="17"/>
        <v>4.3988605551999989</v>
      </c>
      <c r="N316" s="9"/>
      <c r="O316" s="22">
        <v>1.44089</v>
      </c>
      <c r="P316" s="22">
        <v>13.165699999999999</v>
      </c>
      <c r="Q316" s="22">
        <v>-1.09955E-2</v>
      </c>
      <c r="R316" s="22">
        <v>306</v>
      </c>
      <c r="S316" s="22">
        <v>1.4404300000000001</v>
      </c>
      <c r="T316">
        <f t="shared" si="18"/>
        <v>10.9955</v>
      </c>
      <c r="U316">
        <f t="shared" si="19"/>
        <v>15.843305995</v>
      </c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>
        <v>0.2742</v>
      </c>
      <c r="H317" s="22">
        <v>7.8971099999999996</v>
      </c>
      <c r="I317" s="22">
        <v>-1.57593E-2</v>
      </c>
      <c r="J317" s="22">
        <v>307</v>
      </c>
      <c r="K317" s="22">
        <v>0.27349899999999999</v>
      </c>
      <c r="L317">
        <f t="shared" si="16"/>
        <v>15.7593</v>
      </c>
      <c r="M317">
        <f t="shared" si="17"/>
        <v>4.3212000599999998</v>
      </c>
      <c r="N317" s="9"/>
      <c r="O317" s="22">
        <v>1.4459200000000001</v>
      </c>
      <c r="P317" s="22">
        <v>13.175700000000001</v>
      </c>
      <c r="Q317" s="22">
        <v>-1.0891700000000001E-2</v>
      </c>
      <c r="R317" s="22">
        <v>307</v>
      </c>
      <c r="S317" s="22">
        <v>1.4450099999999999</v>
      </c>
      <c r="T317">
        <f t="shared" si="18"/>
        <v>10.8917</v>
      </c>
      <c r="U317">
        <f t="shared" si="19"/>
        <v>15.748526864</v>
      </c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>
        <v>0.26916499999999999</v>
      </c>
      <c r="H318" s="22">
        <v>7.9071800000000003</v>
      </c>
      <c r="I318" s="22">
        <v>-1.5768399999999998E-2</v>
      </c>
      <c r="J318" s="22">
        <v>308</v>
      </c>
      <c r="K318" s="22">
        <v>0.268341</v>
      </c>
      <c r="L318">
        <f t="shared" si="16"/>
        <v>15.768399999999998</v>
      </c>
      <c r="M318">
        <f t="shared" si="17"/>
        <v>4.2443013859999992</v>
      </c>
      <c r="N318" s="9"/>
      <c r="O318" s="22">
        <v>1.45096</v>
      </c>
      <c r="P318" s="22">
        <v>13.1858</v>
      </c>
      <c r="Q318" s="22">
        <v>-1.07971E-2</v>
      </c>
      <c r="R318" s="22">
        <v>308</v>
      </c>
      <c r="S318" s="22">
        <v>1.4498899999999999</v>
      </c>
      <c r="T318">
        <f t="shared" si="18"/>
        <v>10.7971</v>
      </c>
      <c r="U318">
        <f t="shared" si="19"/>
        <v>15.666160216000002</v>
      </c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>
        <v>0.26412999999999998</v>
      </c>
      <c r="H319" s="22">
        <v>7.9172599999999997</v>
      </c>
      <c r="I319" s="22">
        <v>-1.5771500000000001E-2</v>
      </c>
      <c r="J319" s="22">
        <v>309</v>
      </c>
      <c r="K319" s="22">
        <v>0.26324500000000001</v>
      </c>
      <c r="L319">
        <f t="shared" si="16"/>
        <v>15.771500000000001</v>
      </c>
      <c r="M319">
        <f t="shared" si="17"/>
        <v>4.1657262949999998</v>
      </c>
      <c r="N319" s="9"/>
      <c r="O319" s="22">
        <v>1.4559899999999999</v>
      </c>
      <c r="P319" s="22">
        <v>13.1959</v>
      </c>
      <c r="Q319" s="22">
        <v>-1.07025E-2</v>
      </c>
      <c r="R319" s="22">
        <v>309</v>
      </c>
      <c r="S319" s="22">
        <v>1.4550799999999999</v>
      </c>
      <c r="T319">
        <f t="shared" si="18"/>
        <v>10.702500000000001</v>
      </c>
      <c r="U319">
        <f t="shared" si="19"/>
        <v>15.582732974999999</v>
      </c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>
        <v>0.25909399999999999</v>
      </c>
      <c r="H320" s="22">
        <v>7.9273300000000004</v>
      </c>
      <c r="I320" s="22">
        <v>-1.57745E-2</v>
      </c>
      <c r="J320" s="22">
        <v>310</v>
      </c>
      <c r="K320" s="22">
        <v>0.25824000000000003</v>
      </c>
      <c r="L320">
        <f t="shared" si="16"/>
        <v>15.7745</v>
      </c>
      <c r="M320">
        <f t="shared" si="17"/>
        <v>4.0870783030000002</v>
      </c>
      <c r="N320" s="9"/>
      <c r="O320" s="22">
        <v>1.4610300000000001</v>
      </c>
      <c r="P320" s="22">
        <v>13.2059</v>
      </c>
      <c r="Q320" s="22">
        <v>-1.05988E-2</v>
      </c>
      <c r="R320" s="22">
        <v>310</v>
      </c>
      <c r="S320" s="22">
        <v>1.4599599999999999</v>
      </c>
      <c r="T320">
        <f t="shared" si="18"/>
        <v>10.598800000000001</v>
      </c>
      <c r="U320">
        <f t="shared" si="19"/>
        <v>15.485164764000002</v>
      </c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>
        <v>0.25405899999999998</v>
      </c>
      <c r="H321" s="22">
        <v>7.9374000000000002</v>
      </c>
      <c r="I321" s="22">
        <v>-1.5771500000000001E-2</v>
      </c>
      <c r="J321" s="22">
        <v>311</v>
      </c>
      <c r="K321" s="22">
        <v>0.25323499999999999</v>
      </c>
      <c r="L321">
        <f t="shared" si="16"/>
        <v>15.771500000000001</v>
      </c>
      <c r="M321">
        <f t="shared" si="17"/>
        <v>4.0068915184999998</v>
      </c>
      <c r="N321" s="9"/>
      <c r="O321" s="22">
        <v>1.4660599999999999</v>
      </c>
      <c r="P321" s="22">
        <v>13.215999999999999</v>
      </c>
      <c r="Q321" s="22">
        <v>-1.0495000000000001E-2</v>
      </c>
      <c r="R321" s="22">
        <v>311</v>
      </c>
      <c r="S321" s="22">
        <v>1.46515</v>
      </c>
      <c r="T321">
        <f t="shared" si="18"/>
        <v>10.495000000000001</v>
      </c>
      <c r="U321">
        <f t="shared" si="19"/>
        <v>15.3862997</v>
      </c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>
        <v>0.24902299999999999</v>
      </c>
      <c r="H322" s="22">
        <v>7.94747</v>
      </c>
      <c r="I322" s="22">
        <v>-1.57745E-2</v>
      </c>
      <c r="J322" s="22">
        <v>312</v>
      </c>
      <c r="K322" s="22">
        <v>0.248199</v>
      </c>
      <c r="L322">
        <f t="shared" si="16"/>
        <v>15.7745</v>
      </c>
      <c r="M322">
        <f t="shared" si="17"/>
        <v>3.9282133134999997</v>
      </c>
      <c r="N322" s="9"/>
      <c r="O322" s="22">
        <v>1.4711000000000001</v>
      </c>
      <c r="P322" s="22">
        <v>13.226100000000001</v>
      </c>
      <c r="Q322" s="22">
        <v>-1.03912E-2</v>
      </c>
      <c r="R322" s="22">
        <v>312</v>
      </c>
      <c r="S322" s="22">
        <v>1.47034</v>
      </c>
      <c r="T322">
        <f t="shared" si="18"/>
        <v>10.3912</v>
      </c>
      <c r="U322">
        <f t="shared" si="19"/>
        <v>15.286494320000001</v>
      </c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>
        <v>0.24398800000000001</v>
      </c>
      <c r="H323" s="22">
        <v>7.9575399999999998</v>
      </c>
      <c r="I323" s="22">
        <v>-1.5777599999999999E-2</v>
      </c>
      <c r="J323" s="22">
        <v>313</v>
      </c>
      <c r="K323" s="22">
        <v>0.243225</v>
      </c>
      <c r="L323">
        <f t="shared" si="16"/>
        <v>15.7776</v>
      </c>
      <c r="M323">
        <f t="shared" si="17"/>
        <v>3.8495450687999999</v>
      </c>
      <c r="N323" s="9"/>
      <c r="O323" s="22">
        <v>1.47614</v>
      </c>
      <c r="P323" s="22">
        <v>13.2362</v>
      </c>
      <c r="Q323" s="22">
        <v>-1.02814E-2</v>
      </c>
      <c r="R323" s="22">
        <v>313</v>
      </c>
      <c r="S323" s="22">
        <v>1.47522</v>
      </c>
      <c r="T323">
        <f t="shared" si="18"/>
        <v>10.2814</v>
      </c>
      <c r="U323">
        <f t="shared" si="19"/>
        <v>15.176785795999999</v>
      </c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>
        <v>0.238953</v>
      </c>
      <c r="H324" s="22">
        <v>7.9676099999999996</v>
      </c>
      <c r="I324" s="22">
        <v>-1.5780599999999999E-2</v>
      </c>
      <c r="J324" s="22">
        <v>314</v>
      </c>
      <c r="K324" s="22">
        <v>0.23812900000000001</v>
      </c>
      <c r="L324">
        <f t="shared" si="16"/>
        <v>15.780599999999998</v>
      </c>
      <c r="M324">
        <f t="shared" si="17"/>
        <v>3.7708217117999996</v>
      </c>
      <c r="N324" s="9"/>
      <c r="O324" s="22">
        <v>1.4811700000000001</v>
      </c>
      <c r="P324" s="22">
        <v>13.2462</v>
      </c>
      <c r="Q324" s="22">
        <v>-1.01654E-2</v>
      </c>
      <c r="R324" s="22">
        <v>314</v>
      </c>
      <c r="S324" s="22">
        <v>1.4798</v>
      </c>
      <c r="T324">
        <f t="shared" si="18"/>
        <v>10.1654</v>
      </c>
      <c r="U324">
        <f t="shared" si="19"/>
        <v>15.056685518</v>
      </c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>
        <v>0.23391700000000001</v>
      </c>
      <c r="H325" s="22">
        <v>7.9776800000000003</v>
      </c>
      <c r="I325" s="22">
        <v>-1.5783700000000001E-2</v>
      </c>
      <c r="J325" s="22">
        <v>315</v>
      </c>
      <c r="K325" s="22">
        <v>0.233154</v>
      </c>
      <c r="L325">
        <f t="shared" si="16"/>
        <v>15.783700000000001</v>
      </c>
      <c r="M325">
        <f t="shared" si="17"/>
        <v>3.6920757529000006</v>
      </c>
      <c r="N325" s="9"/>
      <c r="O325" s="22">
        <v>1.48621</v>
      </c>
      <c r="P325" s="22">
        <v>13.2563</v>
      </c>
      <c r="Q325" s="22">
        <v>-1.0052500000000001E-2</v>
      </c>
      <c r="R325" s="22">
        <v>315</v>
      </c>
      <c r="S325" s="22">
        <v>1.4856</v>
      </c>
      <c r="T325">
        <f t="shared" si="18"/>
        <v>10.0525</v>
      </c>
      <c r="U325">
        <f t="shared" si="19"/>
        <v>14.940126025000001</v>
      </c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>
        <v>0.228882</v>
      </c>
      <c r="H326" s="22">
        <v>7.9877500000000001</v>
      </c>
      <c r="I326" s="22">
        <v>-1.5786700000000001E-2</v>
      </c>
      <c r="J326" s="22">
        <v>316</v>
      </c>
      <c r="K326" s="22">
        <v>0.22805800000000001</v>
      </c>
      <c r="L326">
        <f t="shared" si="16"/>
        <v>15.786700000000002</v>
      </c>
      <c r="M326">
        <f t="shared" si="17"/>
        <v>3.6132914694000005</v>
      </c>
      <c r="N326" s="9"/>
      <c r="O326" s="22">
        <v>1.4912399999999999</v>
      </c>
      <c r="P326" s="22">
        <v>13.266400000000001</v>
      </c>
      <c r="Q326" s="22">
        <v>-9.9426299999999992E-3</v>
      </c>
      <c r="R326" s="22">
        <v>316</v>
      </c>
      <c r="S326" s="22">
        <v>1.49048</v>
      </c>
      <c r="T326">
        <f t="shared" si="18"/>
        <v>9.9426299999999994</v>
      </c>
      <c r="U326">
        <f t="shared" si="19"/>
        <v>14.826847561199997</v>
      </c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>
        <v>0.22384599999999999</v>
      </c>
      <c r="H327" s="22">
        <v>7.9978199999999999</v>
      </c>
      <c r="I327" s="22">
        <v>-1.5792799999999999E-2</v>
      </c>
      <c r="J327" s="22">
        <v>317</v>
      </c>
      <c r="K327" s="22">
        <v>0.223053</v>
      </c>
      <c r="L327">
        <f t="shared" si="16"/>
        <v>15.7928</v>
      </c>
      <c r="M327">
        <f t="shared" si="17"/>
        <v>3.5351551087999997</v>
      </c>
      <c r="N327" s="9"/>
      <c r="O327" s="22">
        <v>1.4962800000000001</v>
      </c>
      <c r="P327" s="22">
        <v>13.276400000000001</v>
      </c>
      <c r="Q327" s="22">
        <v>-9.8266599999999992E-3</v>
      </c>
      <c r="R327" s="22">
        <v>317</v>
      </c>
      <c r="S327" s="22">
        <v>1.49597</v>
      </c>
      <c r="T327">
        <f t="shared" si="18"/>
        <v>9.8266599999999986</v>
      </c>
      <c r="U327">
        <f t="shared" si="19"/>
        <v>14.703434824799999</v>
      </c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>
        <v>0.21881100000000001</v>
      </c>
      <c r="H328" s="22">
        <v>8.0078899999999997</v>
      </c>
      <c r="I328" s="22">
        <v>-1.57898E-2</v>
      </c>
      <c r="J328" s="22">
        <v>318</v>
      </c>
      <c r="K328" s="22">
        <v>0.21804799999999999</v>
      </c>
      <c r="L328">
        <f t="shared" si="16"/>
        <v>15.7898</v>
      </c>
      <c r="M328">
        <f t="shared" si="17"/>
        <v>3.4549819278</v>
      </c>
      <c r="N328" s="9"/>
      <c r="O328" s="22">
        <v>1.5013099999999999</v>
      </c>
      <c r="P328" s="22">
        <v>13.2865</v>
      </c>
      <c r="Q328" s="22">
        <v>-9.7106899999999993E-3</v>
      </c>
      <c r="R328" s="22">
        <v>318</v>
      </c>
      <c r="S328" s="22">
        <v>1.5005500000000001</v>
      </c>
      <c r="T328">
        <f t="shared" si="18"/>
        <v>9.7106899999999996</v>
      </c>
      <c r="U328">
        <f t="shared" si="19"/>
        <v>14.578756003899999</v>
      </c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>
        <v>0.21377599999999999</v>
      </c>
      <c r="H329" s="22">
        <v>8.01797</v>
      </c>
      <c r="I329" s="22">
        <v>-1.5786700000000001E-2</v>
      </c>
      <c r="J329" s="22">
        <v>319</v>
      </c>
      <c r="K329" s="22">
        <v>0.212982</v>
      </c>
      <c r="L329">
        <f t="shared" si="16"/>
        <v>15.786700000000002</v>
      </c>
      <c r="M329">
        <f t="shared" si="17"/>
        <v>3.3748175792000001</v>
      </c>
      <c r="N329" s="9"/>
      <c r="O329" s="22">
        <v>1.5063500000000001</v>
      </c>
      <c r="P329" s="22">
        <v>13.2966</v>
      </c>
      <c r="Q329" s="22">
        <v>-9.5916700000000001E-3</v>
      </c>
      <c r="R329" s="22">
        <v>319</v>
      </c>
      <c r="S329" s="22">
        <v>1.50543</v>
      </c>
      <c r="T329">
        <f t="shared" si="18"/>
        <v>9.5916700000000006</v>
      </c>
      <c r="U329">
        <f t="shared" si="19"/>
        <v>14.448412104500001</v>
      </c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>
        <v>0.20874000000000001</v>
      </c>
      <c r="H330" s="22">
        <v>8.0280400000000007</v>
      </c>
      <c r="I330" s="22">
        <v>-1.5783700000000001E-2</v>
      </c>
      <c r="J330" s="22">
        <v>320</v>
      </c>
      <c r="K330" s="22">
        <v>0.207977</v>
      </c>
      <c r="L330">
        <f t="shared" si="16"/>
        <v>15.783700000000001</v>
      </c>
      <c r="M330">
        <f t="shared" si="17"/>
        <v>3.2946895380000005</v>
      </c>
      <c r="N330" s="9"/>
      <c r="O330" s="22">
        <v>1.5113799999999999</v>
      </c>
      <c r="P330" s="22">
        <v>13.306699999999999</v>
      </c>
      <c r="Q330" s="22">
        <v>-9.4665500000000007E-3</v>
      </c>
      <c r="R330" s="22">
        <v>320</v>
      </c>
      <c r="S330" s="22">
        <v>1.5097</v>
      </c>
      <c r="T330">
        <f t="shared" si="18"/>
        <v>9.4665499999999998</v>
      </c>
      <c r="U330">
        <f t="shared" si="19"/>
        <v>14.307554338999999</v>
      </c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>
        <v>0.203705</v>
      </c>
      <c r="H331" s="22">
        <v>8.0381099999999996</v>
      </c>
      <c r="I331" s="22">
        <v>-1.5777599999999999E-2</v>
      </c>
      <c r="J331" s="22">
        <v>321</v>
      </c>
      <c r="K331" s="22">
        <v>0.20294200000000001</v>
      </c>
      <c r="L331">
        <f t="shared" si="16"/>
        <v>15.7776</v>
      </c>
      <c r="M331">
        <f t="shared" si="17"/>
        <v>3.2139760079999999</v>
      </c>
      <c r="N331" s="9"/>
      <c r="O331" s="22">
        <v>1.5164200000000001</v>
      </c>
      <c r="P331" s="22">
        <v>13.316700000000001</v>
      </c>
      <c r="Q331" s="22">
        <v>-9.3414299999999995E-3</v>
      </c>
      <c r="R331" s="22">
        <v>321</v>
      </c>
      <c r="S331" s="22">
        <v>1.5155000000000001</v>
      </c>
      <c r="T331">
        <f t="shared" si="18"/>
        <v>9.341429999999999</v>
      </c>
      <c r="U331">
        <f t="shared" si="19"/>
        <v>14.1655312806</v>
      </c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>
        <v>0.19866900000000001</v>
      </c>
      <c r="H332" s="22">
        <v>8.0481800000000003</v>
      </c>
      <c r="I332" s="22">
        <v>-1.57745E-2</v>
      </c>
      <c r="J332" s="22">
        <v>322</v>
      </c>
      <c r="K332" s="22">
        <v>0.19796800000000001</v>
      </c>
      <c r="L332">
        <f t="shared" ref="L332:L392" si="20">-I332/$F$2*1000</f>
        <v>15.7745</v>
      </c>
      <c r="M332">
        <f t="shared" ref="M332:M392" si="21">L332*G332</f>
        <v>3.1339041405000003</v>
      </c>
      <c r="N332" s="9"/>
      <c r="O332" s="22">
        <v>1.52145</v>
      </c>
      <c r="P332" s="22">
        <v>13.3268</v>
      </c>
      <c r="Q332" s="22">
        <v>-9.2132599999999992E-3</v>
      </c>
      <c r="R332" s="22">
        <v>322</v>
      </c>
      <c r="S332" s="22">
        <v>1.5206900000000001</v>
      </c>
      <c r="T332">
        <f t="shared" ref="T332:T392" si="22">-Q332/$F$2*1000</f>
        <v>9.21326</v>
      </c>
      <c r="U332">
        <f t="shared" ref="U332:U392" si="23">T332*O332</f>
        <v>14.017514427</v>
      </c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>
        <v>0.193634</v>
      </c>
      <c r="H333" s="22">
        <v>8.0582499999999992</v>
      </c>
      <c r="I333" s="22">
        <v>-1.5768399999999998E-2</v>
      </c>
      <c r="J333" s="22">
        <v>323</v>
      </c>
      <c r="K333" s="22">
        <v>0.19287099999999999</v>
      </c>
      <c r="L333">
        <f t="shared" si="20"/>
        <v>15.768399999999998</v>
      </c>
      <c r="M333">
        <f t="shared" si="21"/>
        <v>3.0532983655999995</v>
      </c>
      <c r="N333" s="9"/>
      <c r="O333" s="22">
        <v>1.5264899999999999</v>
      </c>
      <c r="P333" s="22">
        <v>13.3369</v>
      </c>
      <c r="Q333" s="22">
        <v>-9.0911900000000007E-3</v>
      </c>
      <c r="R333" s="22">
        <v>323</v>
      </c>
      <c r="S333" s="22">
        <v>1.5255700000000001</v>
      </c>
      <c r="T333">
        <f t="shared" si="22"/>
        <v>9.091190000000001</v>
      </c>
      <c r="U333">
        <f t="shared" si="23"/>
        <v>13.877610623100001</v>
      </c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>
        <v>0.18859899999999999</v>
      </c>
      <c r="H334" s="22">
        <v>8.0683199999999999</v>
      </c>
      <c r="I334" s="22">
        <v>-1.5765399999999999E-2</v>
      </c>
      <c r="J334" s="22">
        <v>324</v>
      </c>
      <c r="K334" s="22">
        <v>0.187836</v>
      </c>
      <c r="L334">
        <f t="shared" si="20"/>
        <v>15.7654</v>
      </c>
      <c r="M334">
        <f t="shared" si="21"/>
        <v>2.9733386745999999</v>
      </c>
      <c r="N334" s="9"/>
      <c r="O334" s="22">
        <v>1.53152</v>
      </c>
      <c r="P334" s="22">
        <v>13.3469</v>
      </c>
      <c r="Q334" s="22">
        <v>-8.9660599999999997E-3</v>
      </c>
      <c r="R334" s="22">
        <v>324</v>
      </c>
      <c r="S334" s="22">
        <v>1.5298499999999999</v>
      </c>
      <c r="T334">
        <f t="shared" si="22"/>
        <v>8.9660599999999988</v>
      </c>
      <c r="U334">
        <f t="shared" si="23"/>
        <v>13.731700211199998</v>
      </c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>
        <v>0.183563</v>
      </c>
      <c r="H335" s="22">
        <v>8.0783900000000006</v>
      </c>
      <c r="I335" s="22">
        <v>-1.57623E-2</v>
      </c>
      <c r="J335" s="22">
        <v>325</v>
      </c>
      <c r="K335" s="22">
        <v>0.18279999999999999</v>
      </c>
      <c r="L335">
        <f t="shared" si="20"/>
        <v>15.7623</v>
      </c>
      <c r="M335">
        <f t="shared" si="21"/>
        <v>2.8933750749000002</v>
      </c>
      <c r="N335" s="9"/>
      <c r="O335" s="22">
        <v>1.5365599999999999</v>
      </c>
      <c r="P335" s="22">
        <v>13.356999999999999</v>
      </c>
      <c r="Q335" s="22">
        <v>-8.8348400000000001E-3</v>
      </c>
      <c r="R335" s="22">
        <v>325</v>
      </c>
      <c r="S335" s="22">
        <v>1.5362499999999999</v>
      </c>
      <c r="T335">
        <f t="shared" si="22"/>
        <v>8.8348399999999998</v>
      </c>
      <c r="U335">
        <f t="shared" si="23"/>
        <v>13.575261750399999</v>
      </c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>
        <v>0.17852799999999999</v>
      </c>
      <c r="H336" s="22">
        <v>8.0884599999999995</v>
      </c>
      <c r="I336" s="22">
        <v>-1.5768399999999998E-2</v>
      </c>
      <c r="J336" s="22">
        <v>326</v>
      </c>
      <c r="K336" s="22">
        <v>0.177734</v>
      </c>
      <c r="L336">
        <f t="shared" si="20"/>
        <v>15.768399999999998</v>
      </c>
      <c r="M336">
        <f t="shared" si="21"/>
        <v>2.8151009151999995</v>
      </c>
      <c r="N336" s="9"/>
      <c r="O336" s="22">
        <v>1.5416000000000001</v>
      </c>
      <c r="P336" s="22">
        <v>13.367100000000001</v>
      </c>
      <c r="Q336" s="22">
        <v>-8.7036100000000005E-3</v>
      </c>
      <c r="R336" s="22">
        <v>326</v>
      </c>
      <c r="S336" s="22">
        <v>1.5408299999999999</v>
      </c>
      <c r="T336">
        <f t="shared" si="22"/>
        <v>8.7036100000000012</v>
      </c>
      <c r="U336">
        <f t="shared" si="23"/>
        <v>13.417485176000003</v>
      </c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>
        <v>0.17349200000000001</v>
      </c>
      <c r="H337" s="22">
        <v>8.0985300000000002</v>
      </c>
      <c r="I337" s="22">
        <v>-1.57745E-2</v>
      </c>
      <c r="J337" s="22">
        <v>327</v>
      </c>
      <c r="K337" s="22">
        <v>0.17276</v>
      </c>
      <c r="L337">
        <f t="shared" si="20"/>
        <v>15.7745</v>
      </c>
      <c r="M337">
        <f t="shared" si="21"/>
        <v>2.7367495540000002</v>
      </c>
      <c r="N337" s="9"/>
      <c r="O337" s="22">
        <v>1.5466299999999999</v>
      </c>
      <c r="P337" s="22">
        <v>13.3771</v>
      </c>
      <c r="Q337" s="22">
        <v>-8.5693399999999999E-3</v>
      </c>
      <c r="R337" s="22">
        <v>327</v>
      </c>
      <c r="S337" s="22">
        <v>1.5450999999999999</v>
      </c>
      <c r="T337">
        <f t="shared" si="22"/>
        <v>8.5693400000000004</v>
      </c>
      <c r="U337">
        <f t="shared" si="23"/>
        <v>13.2535983242</v>
      </c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>
        <v>0.168457</v>
      </c>
      <c r="H338" s="22">
        <v>8.1085999999999991</v>
      </c>
      <c r="I338" s="22">
        <v>-1.5777599999999999E-2</v>
      </c>
      <c r="J338" s="22">
        <v>328</v>
      </c>
      <c r="K338" s="22">
        <v>0.16772500000000001</v>
      </c>
      <c r="L338">
        <f t="shared" si="20"/>
        <v>15.7776</v>
      </c>
      <c r="M338">
        <f t="shared" si="21"/>
        <v>2.6578471632</v>
      </c>
      <c r="N338" s="9"/>
      <c r="O338" s="22">
        <v>1.5516700000000001</v>
      </c>
      <c r="P338" s="22">
        <v>13.3872</v>
      </c>
      <c r="Q338" s="22">
        <v>-8.4350599999999994E-3</v>
      </c>
      <c r="R338" s="22">
        <v>328</v>
      </c>
      <c r="S338" s="22">
        <v>1.5502899999999999</v>
      </c>
      <c r="T338">
        <f t="shared" si="22"/>
        <v>8.43506</v>
      </c>
      <c r="U338">
        <f t="shared" si="23"/>
        <v>13.088429550200001</v>
      </c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>
        <v>0.16342200000000001</v>
      </c>
      <c r="H339" s="22">
        <v>8.1186799999999995</v>
      </c>
      <c r="I339" s="22">
        <v>-1.5780599999999999E-2</v>
      </c>
      <c r="J339" s="22">
        <v>329</v>
      </c>
      <c r="K339" s="22">
        <v>0.162689</v>
      </c>
      <c r="L339">
        <f t="shared" si="20"/>
        <v>15.780599999999998</v>
      </c>
      <c r="M339">
        <f t="shared" si="21"/>
        <v>2.5788972131999999</v>
      </c>
      <c r="N339" s="9"/>
      <c r="O339" s="22">
        <v>1.5567</v>
      </c>
      <c r="P339" s="22">
        <v>13.3973</v>
      </c>
      <c r="Q339" s="22">
        <v>-8.3007800000000007E-3</v>
      </c>
      <c r="R339" s="22">
        <v>329</v>
      </c>
      <c r="S339" s="22">
        <v>1.55609</v>
      </c>
      <c r="T339">
        <f t="shared" si="22"/>
        <v>8.3007800000000014</v>
      </c>
      <c r="U339">
        <f t="shared" si="23"/>
        <v>12.921824226000002</v>
      </c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>
        <v>0.158386</v>
      </c>
      <c r="H340" s="22">
        <v>8.1287500000000001</v>
      </c>
      <c r="I340" s="22">
        <v>-1.5786700000000001E-2</v>
      </c>
      <c r="J340" s="22">
        <v>330</v>
      </c>
      <c r="K340" s="22">
        <v>0.15765399999999999</v>
      </c>
      <c r="L340">
        <f t="shared" si="20"/>
        <v>15.786700000000002</v>
      </c>
      <c r="M340">
        <f t="shared" si="21"/>
        <v>2.5003922662000004</v>
      </c>
      <c r="N340" s="9"/>
      <c r="O340" s="22">
        <v>1.5617399999999999</v>
      </c>
      <c r="P340" s="22">
        <v>13.407400000000001</v>
      </c>
      <c r="Q340" s="22">
        <v>-8.1665000000000001E-3</v>
      </c>
      <c r="R340" s="22">
        <v>330</v>
      </c>
      <c r="S340" s="22">
        <v>1.56067</v>
      </c>
      <c r="T340">
        <f t="shared" si="22"/>
        <v>8.166500000000001</v>
      </c>
      <c r="U340">
        <f t="shared" si="23"/>
        <v>12.753949710000001</v>
      </c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>
        <v>0.15335099999999999</v>
      </c>
      <c r="H341" s="22">
        <v>8.1388200000000008</v>
      </c>
      <c r="I341" s="22">
        <v>-1.5792799999999999E-2</v>
      </c>
      <c r="J341" s="22">
        <v>331</v>
      </c>
      <c r="K341" s="22">
        <v>0.152618</v>
      </c>
      <c r="L341">
        <f t="shared" si="20"/>
        <v>15.7928</v>
      </c>
      <c r="M341">
        <f t="shared" si="21"/>
        <v>2.4218416727999998</v>
      </c>
      <c r="N341" s="9"/>
      <c r="O341" s="22">
        <v>1.56677</v>
      </c>
      <c r="P341" s="22">
        <v>13.417400000000001</v>
      </c>
      <c r="Q341" s="22">
        <v>-8.0322299999999996E-3</v>
      </c>
      <c r="R341" s="22">
        <v>331</v>
      </c>
      <c r="S341" s="22">
        <v>1.56586</v>
      </c>
      <c r="T341">
        <f t="shared" si="22"/>
        <v>8.0322300000000002</v>
      </c>
      <c r="U341">
        <f t="shared" si="23"/>
        <v>12.5846569971</v>
      </c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>
        <v>0.148315</v>
      </c>
      <c r="H342" s="22">
        <v>8.1488899999999997</v>
      </c>
      <c r="I342" s="22">
        <v>-1.5802E-2</v>
      </c>
      <c r="J342" s="22">
        <v>332</v>
      </c>
      <c r="K342" s="22">
        <v>0.14755199999999999</v>
      </c>
      <c r="L342">
        <f t="shared" si="20"/>
        <v>15.802</v>
      </c>
      <c r="M342">
        <f t="shared" si="21"/>
        <v>2.3436736300000001</v>
      </c>
      <c r="N342" s="9"/>
      <c r="O342" s="22">
        <v>1.5718099999999999</v>
      </c>
      <c r="P342" s="22">
        <v>13.4275</v>
      </c>
      <c r="Q342" s="22">
        <v>-7.8887899999999997E-3</v>
      </c>
      <c r="R342" s="22">
        <v>332</v>
      </c>
      <c r="S342" s="22">
        <v>1.57043</v>
      </c>
      <c r="T342">
        <f t="shared" si="22"/>
        <v>7.8887899999999993</v>
      </c>
      <c r="U342">
        <f t="shared" si="23"/>
        <v>12.399679009899998</v>
      </c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>
        <v>0.14327999999999999</v>
      </c>
      <c r="H343" s="22">
        <v>8.1589600000000004</v>
      </c>
      <c r="I343" s="22">
        <v>-1.5799000000000001E-2</v>
      </c>
      <c r="J343" s="22">
        <v>333</v>
      </c>
      <c r="K343" s="22">
        <v>0.142517</v>
      </c>
      <c r="L343">
        <f t="shared" si="20"/>
        <v>15.799000000000001</v>
      </c>
      <c r="M343">
        <f t="shared" si="21"/>
        <v>2.26368072</v>
      </c>
      <c r="N343" s="9"/>
      <c r="O343" s="22">
        <v>1.57684</v>
      </c>
      <c r="P343" s="22">
        <v>13.4376</v>
      </c>
      <c r="Q343" s="22">
        <v>-7.7453599999999997E-3</v>
      </c>
      <c r="R343" s="22">
        <v>333</v>
      </c>
      <c r="S343" s="22">
        <v>1.57562</v>
      </c>
      <c r="T343">
        <f t="shared" si="22"/>
        <v>7.7453599999999998</v>
      </c>
      <c r="U343">
        <f t="shared" si="23"/>
        <v>12.2131934624</v>
      </c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>
        <v>0.13824500000000001</v>
      </c>
      <c r="H344" s="22">
        <v>8.1690299999999993</v>
      </c>
      <c r="I344" s="22">
        <v>-1.5808099999999999E-2</v>
      </c>
      <c r="J344" s="22">
        <v>334</v>
      </c>
      <c r="K344" s="22">
        <v>0.13745099999999999</v>
      </c>
      <c r="L344">
        <f t="shared" si="20"/>
        <v>15.808099999999998</v>
      </c>
      <c r="M344">
        <f t="shared" si="21"/>
        <v>2.1853907845</v>
      </c>
      <c r="N344" s="9"/>
      <c r="O344" s="22">
        <v>1.58188</v>
      </c>
      <c r="P344" s="22">
        <v>13.4476</v>
      </c>
      <c r="Q344" s="22">
        <v>-7.5958299999999996E-3</v>
      </c>
      <c r="R344" s="22">
        <v>334</v>
      </c>
      <c r="S344" s="22">
        <v>1.5805100000000001</v>
      </c>
      <c r="T344">
        <f t="shared" si="22"/>
        <v>7.5958299999999994</v>
      </c>
      <c r="U344">
        <f t="shared" si="23"/>
        <v>12.015691560399999</v>
      </c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>
        <v>0.13320899999999999</v>
      </c>
      <c r="H345" s="22">
        <v>8.1791</v>
      </c>
      <c r="I345" s="22">
        <v>-1.5805099999999999E-2</v>
      </c>
      <c r="J345" s="22">
        <v>335</v>
      </c>
      <c r="K345" s="22">
        <v>0.13244600000000001</v>
      </c>
      <c r="L345">
        <f t="shared" si="20"/>
        <v>15.805099999999999</v>
      </c>
      <c r="M345">
        <f t="shared" si="21"/>
        <v>2.1053815658999997</v>
      </c>
      <c r="N345" s="9"/>
      <c r="O345" s="22">
        <v>1.58691</v>
      </c>
      <c r="P345" s="22">
        <v>13.457700000000001</v>
      </c>
      <c r="Q345" s="22">
        <v>-7.4768100000000004E-3</v>
      </c>
      <c r="R345" s="22">
        <v>335</v>
      </c>
      <c r="S345" s="22">
        <v>1.5853900000000001</v>
      </c>
      <c r="T345">
        <f t="shared" si="22"/>
        <v>7.4768100000000004</v>
      </c>
      <c r="U345">
        <f t="shared" si="23"/>
        <v>11.865024557100002</v>
      </c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>
        <v>0.12817400000000001</v>
      </c>
      <c r="H346" s="22">
        <v>8.1891700000000007</v>
      </c>
      <c r="I346" s="22">
        <v>-1.5799000000000001E-2</v>
      </c>
      <c r="J346" s="22">
        <v>336</v>
      </c>
      <c r="K346" s="22">
        <v>0.127411</v>
      </c>
      <c r="L346">
        <f t="shared" si="20"/>
        <v>15.799000000000001</v>
      </c>
      <c r="M346">
        <f t="shared" si="21"/>
        <v>2.0250210260000001</v>
      </c>
      <c r="N346" s="9"/>
      <c r="O346" s="22">
        <v>1.59195</v>
      </c>
      <c r="P346" s="22">
        <v>13.4678</v>
      </c>
      <c r="Q346" s="22">
        <v>-7.3242200000000002E-3</v>
      </c>
      <c r="R346" s="22">
        <v>336</v>
      </c>
      <c r="S346" s="22">
        <v>1.5908800000000001</v>
      </c>
      <c r="T346">
        <f t="shared" si="22"/>
        <v>7.3242200000000004</v>
      </c>
      <c r="U346">
        <f t="shared" si="23"/>
        <v>11.659792029</v>
      </c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>
        <v>0.123138</v>
      </c>
      <c r="H347" s="22">
        <v>8.1992399999999996</v>
      </c>
      <c r="I347" s="22">
        <v>-1.5795900000000002E-2</v>
      </c>
      <c r="J347" s="22">
        <v>337</v>
      </c>
      <c r="K347" s="22">
        <v>0.122406</v>
      </c>
      <c r="L347">
        <f t="shared" si="20"/>
        <v>15.795900000000001</v>
      </c>
      <c r="M347">
        <f t="shared" si="21"/>
        <v>1.9450755342000001</v>
      </c>
      <c r="N347" s="9"/>
      <c r="O347" s="22">
        <v>1.5969800000000001</v>
      </c>
      <c r="P347" s="22">
        <v>13.4779</v>
      </c>
      <c r="Q347" s="22">
        <v>-7.17163E-3</v>
      </c>
      <c r="R347" s="22">
        <v>337</v>
      </c>
      <c r="S347" s="22">
        <v>1.5951500000000001</v>
      </c>
      <c r="T347">
        <f t="shared" si="22"/>
        <v>7.1716300000000004</v>
      </c>
      <c r="U347">
        <f t="shared" si="23"/>
        <v>11.452949677400001</v>
      </c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>
        <v>0.118103</v>
      </c>
      <c r="H348" s="22">
        <v>8.2093100000000003</v>
      </c>
      <c r="I348" s="22">
        <v>-1.5786700000000001E-2</v>
      </c>
      <c r="J348" s="22">
        <v>338</v>
      </c>
      <c r="K348" s="22">
        <v>0.11740100000000001</v>
      </c>
      <c r="L348">
        <f t="shared" si="20"/>
        <v>15.786700000000002</v>
      </c>
      <c r="M348">
        <f t="shared" si="21"/>
        <v>1.8644566301000001</v>
      </c>
      <c r="N348" s="9"/>
      <c r="O348" s="22">
        <v>1.60202</v>
      </c>
      <c r="P348" s="22">
        <v>13.4879</v>
      </c>
      <c r="Q348" s="22">
        <v>-7.0220899999999999E-3</v>
      </c>
      <c r="R348" s="22">
        <v>338</v>
      </c>
      <c r="S348" s="22">
        <v>1.6012599999999999</v>
      </c>
      <c r="T348">
        <f t="shared" si="22"/>
        <v>7.0220899999999995</v>
      </c>
      <c r="U348">
        <f t="shared" si="23"/>
        <v>11.2495286218</v>
      </c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>
        <v>0.113068</v>
      </c>
      <c r="H349" s="22">
        <v>8.2193900000000006</v>
      </c>
      <c r="I349" s="22">
        <v>-1.5777599999999999E-2</v>
      </c>
      <c r="J349" s="22">
        <v>339</v>
      </c>
      <c r="K349" s="22">
        <v>0.112335</v>
      </c>
      <c r="L349">
        <f t="shared" si="20"/>
        <v>15.7776</v>
      </c>
      <c r="M349">
        <f t="shared" si="21"/>
        <v>1.7839416768</v>
      </c>
      <c r="N349" s="9"/>
      <c r="O349" s="22">
        <v>1.6070599999999999</v>
      </c>
      <c r="P349" s="22">
        <v>13.497999999999999</v>
      </c>
      <c r="Q349" s="22">
        <v>-6.8664599999999996E-3</v>
      </c>
      <c r="R349" s="22">
        <v>339</v>
      </c>
      <c r="S349" s="22">
        <v>1.6064499999999999</v>
      </c>
      <c r="T349">
        <f t="shared" si="22"/>
        <v>6.86646</v>
      </c>
      <c r="U349">
        <f t="shared" si="23"/>
        <v>11.034813207599999</v>
      </c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>
        <v>0.108032</v>
      </c>
      <c r="H350" s="22">
        <v>8.2294599999999996</v>
      </c>
      <c r="I350" s="22">
        <v>-1.5786700000000001E-2</v>
      </c>
      <c r="J350" s="22">
        <v>340</v>
      </c>
      <c r="K350" s="22">
        <v>0.10730000000000001</v>
      </c>
      <c r="L350">
        <f t="shared" si="20"/>
        <v>15.786700000000002</v>
      </c>
      <c r="M350">
        <f t="shared" si="21"/>
        <v>1.7054687744000001</v>
      </c>
      <c r="N350" s="9"/>
      <c r="O350" s="22">
        <v>1.61209</v>
      </c>
      <c r="P350" s="22">
        <v>13.508100000000001</v>
      </c>
      <c r="Q350" s="22">
        <v>-6.70471E-3</v>
      </c>
      <c r="R350" s="22">
        <v>340</v>
      </c>
      <c r="S350" s="22">
        <v>1.6110199999999999</v>
      </c>
      <c r="T350">
        <f t="shared" si="22"/>
        <v>6.7047100000000004</v>
      </c>
      <c r="U350">
        <f t="shared" si="23"/>
        <v>10.8085959439</v>
      </c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>
        <v>0.10299700000000001</v>
      </c>
      <c r="H351" s="22">
        <v>8.2395300000000002</v>
      </c>
      <c r="I351" s="22">
        <v>-1.5792799999999999E-2</v>
      </c>
      <c r="J351" s="22">
        <v>341</v>
      </c>
      <c r="K351" s="22">
        <v>0.10226399999999999</v>
      </c>
      <c r="L351">
        <f t="shared" si="20"/>
        <v>15.7928</v>
      </c>
      <c r="M351">
        <f t="shared" si="21"/>
        <v>1.6266110216</v>
      </c>
      <c r="N351" s="9"/>
      <c r="O351" s="22">
        <v>1.61713</v>
      </c>
      <c r="P351" s="22">
        <v>13.5181</v>
      </c>
      <c r="Q351" s="22">
        <v>-6.5429700000000004E-3</v>
      </c>
      <c r="R351" s="22">
        <v>341</v>
      </c>
      <c r="S351" s="22">
        <v>1.61591</v>
      </c>
      <c r="T351">
        <f t="shared" si="22"/>
        <v>6.5429700000000004</v>
      </c>
      <c r="U351">
        <f t="shared" si="23"/>
        <v>10.580833076100001</v>
      </c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>
        <v>9.7961400000000004E-2</v>
      </c>
      <c r="H352" s="22">
        <v>8.2495999999999992</v>
      </c>
      <c r="I352" s="22">
        <v>-1.5792799999999999E-2</v>
      </c>
      <c r="J352" s="22">
        <v>342</v>
      </c>
      <c r="K352" s="22">
        <v>9.7198499999999993E-2</v>
      </c>
      <c r="L352">
        <f t="shared" si="20"/>
        <v>15.7928</v>
      </c>
      <c r="M352">
        <f t="shared" si="21"/>
        <v>1.54708479792</v>
      </c>
      <c r="N352" s="9"/>
      <c r="O352" s="22">
        <v>1.62216</v>
      </c>
      <c r="P352" s="22">
        <v>13.5282</v>
      </c>
      <c r="Q352" s="22">
        <v>-6.38428E-3</v>
      </c>
      <c r="R352" s="22">
        <v>342</v>
      </c>
      <c r="S352" s="22">
        <v>1.6216999999999999</v>
      </c>
      <c r="T352">
        <f t="shared" si="22"/>
        <v>6.3842800000000004</v>
      </c>
      <c r="U352">
        <f t="shared" si="23"/>
        <v>10.356323644800002</v>
      </c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>
        <v>9.2925999999999995E-2</v>
      </c>
      <c r="H353" s="22">
        <v>8.2596699999999998</v>
      </c>
      <c r="I353" s="22">
        <v>-1.5795900000000002E-2</v>
      </c>
      <c r="J353" s="22">
        <v>343</v>
      </c>
      <c r="K353" s="22">
        <v>9.2285199999999998E-2</v>
      </c>
      <c r="L353">
        <f t="shared" si="20"/>
        <v>15.795900000000001</v>
      </c>
      <c r="M353">
        <f t="shared" si="21"/>
        <v>1.4678498034</v>
      </c>
      <c r="N353" s="9"/>
      <c r="O353" s="22">
        <v>1.6272</v>
      </c>
      <c r="P353" s="22">
        <v>13.5383</v>
      </c>
      <c r="Q353" s="22">
        <v>-6.2255899999999996E-3</v>
      </c>
      <c r="R353" s="22">
        <v>343</v>
      </c>
      <c r="S353" s="22">
        <v>1.6268899999999999</v>
      </c>
      <c r="T353">
        <f t="shared" si="22"/>
        <v>6.2255899999999995</v>
      </c>
      <c r="U353">
        <f t="shared" si="23"/>
        <v>10.130280047999999</v>
      </c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>
        <v>8.7890599999999999E-2</v>
      </c>
      <c r="H354" s="22">
        <v>8.2697400000000005</v>
      </c>
      <c r="I354" s="22">
        <v>-1.5795900000000002E-2</v>
      </c>
      <c r="J354" s="22">
        <v>344</v>
      </c>
      <c r="K354" s="22">
        <v>8.7188699999999994E-2</v>
      </c>
      <c r="L354">
        <f t="shared" si="20"/>
        <v>15.795900000000001</v>
      </c>
      <c r="M354">
        <f t="shared" si="21"/>
        <v>1.3883111285400001</v>
      </c>
      <c r="N354" s="9"/>
      <c r="O354" s="22">
        <v>1.6322300000000001</v>
      </c>
      <c r="P354" s="22">
        <v>13.548400000000001</v>
      </c>
      <c r="Q354" s="22">
        <v>-6.06384E-3</v>
      </c>
      <c r="R354" s="22">
        <v>344</v>
      </c>
      <c r="S354" s="22">
        <v>1.63086</v>
      </c>
      <c r="T354">
        <f t="shared" si="22"/>
        <v>6.0638399999999999</v>
      </c>
      <c r="U354">
        <f t="shared" si="23"/>
        <v>9.897581563200001</v>
      </c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>
        <v>8.2855200000000004E-2</v>
      </c>
      <c r="H355" s="22">
        <v>8.2798099999999994</v>
      </c>
      <c r="I355" s="22">
        <v>-1.57898E-2</v>
      </c>
      <c r="J355" s="22">
        <v>345</v>
      </c>
      <c r="K355" s="22">
        <v>8.2183800000000001E-2</v>
      </c>
      <c r="L355">
        <f t="shared" si="20"/>
        <v>15.7898</v>
      </c>
      <c r="M355">
        <f t="shared" si="21"/>
        <v>1.30826703696</v>
      </c>
      <c r="N355" s="9"/>
      <c r="O355" s="22">
        <v>1.63727</v>
      </c>
      <c r="P355" s="22">
        <v>13.558400000000001</v>
      </c>
      <c r="Q355" s="22">
        <v>-5.8960000000000002E-3</v>
      </c>
      <c r="R355" s="22">
        <v>345</v>
      </c>
      <c r="S355" s="22">
        <v>1.63635</v>
      </c>
      <c r="T355">
        <f t="shared" si="22"/>
        <v>5.8959999999999999</v>
      </c>
      <c r="U355">
        <f t="shared" si="23"/>
        <v>9.6533439199999993</v>
      </c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>
        <v>7.7819799999999995E-2</v>
      </c>
      <c r="H356" s="22">
        <v>8.2898800000000001</v>
      </c>
      <c r="I356" s="22">
        <v>-1.5795900000000002E-2</v>
      </c>
      <c r="J356" s="22">
        <v>346</v>
      </c>
      <c r="K356" s="22">
        <v>7.7117900000000003E-2</v>
      </c>
      <c r="L356">
        <f t="shared" si="20"/>
        <v>15.795900000000001</v>
      </c>
      <c r="M356">
        <f t="shared" si="21"/>
        <v>1.2292337788200001</v>
      </c>
      <c r="N356" s="9"/>
      <c r="O356" s="22">
        <v>1.6423000000000001</v>
      </c>
      <c r="P356" s="22">
        <v>13.5685</v>
      </c>
      <c r="Q356" s="22">
        <v>-5.7251000000000003E-3</v>
      </c>
      <c r="R356" s="22">
        <v>346</v>
      </c>
      <c r="S356" s="22">
        <v>1.64093</v>
      </c>
      <c r="T356">
        <f t="shared" si="22"/>
        <v>5.7251000000000003</v>
      </c>
      <c r="U356">
        <f t="shared" si="23"/>
        <v>9.4023317300000002</v>
      </c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>
        <v>7.2784399999999999E-2</v>
      </c>
      <c r="H357" s="22">
        <v>8.2999500000000008</v>
      </c>
      <c r="I357" s="22">
        <v>-1.5799000000000001E-2</v>
      </c>
      <c r="J357" s="22">
        <v>347</v>
      </c>
      <c r="K357" s="22">
        <v>7.1990999999999999E-2</v>
      </c>
      <c r="L357">
        <f t="shared" si="20"/>
        <v>15.799000000000001</v>
      </c>
      <c r="M357">
        <f t="shared" si="21"/>
        <v>1.1499207356000001</v>
      </c>
      <c r="N357" s="9"/>
      <c r="O357" s="22">
        <v>1.64734</v>
      </c>
      <c r="P357" s="22">
        <v>13.5786</v>
      </c>
      <c r="Q357" s="22">
        <v>-5.5511500000000004E-3</v>
      </c>
      <c r="R357" s="22">
        <v>347</v>
      </c>
      <c r="S357" s="22">
        <v>1.64612</v>
      </c>
      <c r="T357">
        <f t="shared" si="22"/>
        <v>5.5511500000000007</v>
      </c>
      <c r="U357">
        <f t="shared" si="23"/>
        <v>9.1446314410000014</v>
      </c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>
        <v>6.7749000000000004E-2</v>
      </c>
      <c r="H358" s="22">
        <v>8.3100199999999997</v>
      </c>
      <c r="I358" s="22">
        <v>-1.5802E-2</v>
      </c>
      <c r="J358" s="22">
        <v>348</v>
      </c>
      <c r="K358" s="22">
        <v>6.6955600000000004E-2</v>
      </c>
      <c r="L358">
        <f t="shared" si="20"/>
        <v>15.802</v>
      </c>
      <c r="M358">
        <f t="shared" si="21"/>
        <v>1.0705696980000001</v>
      </c>
      <c r="N358" s="9"/>
      <c r="O358" s="22">
        <v>1.6523699999999999</v>
      </c>
      <c r="P358" s="22">
        <v>13.5886</v>
      </c>
      <c r="Q358" s="22">
        <v>-5.3741500000000003E-3</v>
      </c>
      <c r="R358" s="22">
        <v>348</v>
      </c>
      <c r="S358" s="22">
        <v>1.651</v>
      </c>
      <c r="T358">
        <f t="shared" si="22"/>
        <v>5.3741500000000002</v>
      </c>
      <c r="U358">
        <f t="shared" si="23"/>
        <v>8.8800842355</v>
      </c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>
        <v>6.2713599999999994E-2</v>
      </c>
      <c r="H359" s="22">
        <v>8.3201000000000001</v>
      </c>
      <c r="I359" s="22">
        <v>-1.5808099999999999E-2</v>
      </c>
      <c r="J359" s="22">
        <v>349</v>
      </c>
      <c r="K359" s="22">
        <v>6.19812E-2</v>
      </c>
      <c r="L359">
        <f t="shared" si="20"/>
        <v>15.808099999999998</v>
      </c>
      <c r="M359">
        <f t="shared" si="21"/>
        <v>0.99138286015999977</v>
      </c>
      <c r="N359" s="9"/>
      <c r="O359" s="22">
        <v>1.65741</v>
      </c>
      <c r="P359" s="22">
        <v>13.598699999999999</v>
      </c>
      <c r="Q359" s="22">
        <v>-5.1910400000000001E-3</v>
      </c>
      <c r="R359" s="22">
        <v>349</v>
      </c>
      <c r="S359" s="22">
        <v>1.65649</v>
      </c>
      <c r="T359">
        <f t="shared" si="22"/>
        <v>5.1910400000000001</v>
      </c>
      <c r="U359">
        <f t="shared" si="23"/>
        <v>8.6036816064000003</v>
      </c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>
        <v>5.7678199999999999E-2</v>
      </c>
      <c r="H360" s="22">
        <v>8.3301700000000007</v>
      </c>
      <c r="I360" s="22">
        <v>-1.5805099999999999E-2</v>
      </c>
      <c r="J360" s="22">
        <v>350</v>
      </c>
      <c r="K360" s="22">
        <v>5.6915300000000002E-2</v>
      </c>
      <c r="L360">
        <f t="shared" si="20"/>
        <v>15.805099999999999</v>
      </c>
      <c r="M360">
        <f t="shared" si="21"/>
        <v>0.91160971881999997</v>
      </c>
      <c r="N360" s="9"/>
      <c r="O360" s="22">
        <v>1.66245</v>
      </c>
      <c r="P360" s="22">
        <v>13.6088</v>
      </c>
      <c r="Q360" s="22">
        <v>-5.0079299999999998E-3</v>
      </c>
      <c r="R360" s="22">
        <v>350</v>
      </c>
      <c r="S360" s="22">
        <v>1.6613800000000001</v>
      </c>
      <c r="T360">
        <f t="shared" si="22"/>
        <v>5.00793</v>
      </c>
      <c r="U360">
        <f t="shared" si="23"/>
        <v>8.3254332284999997</v>
      </c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>
        <v>5.2642799999999997E-2</v>
      </c>
      <c r="H361" s="22">
        <v>8.3402399999999997</v>
      </c>
      <c r="I361" s="22">
        <v>-1.5805099999999999E-2</v>
      </c>
      <c r="J361" s="22">
        <v>351</v>
      </c>
      <c r="K361" s="22">
        <v>5.1940899999999998E-2</v>
      </c>
      <c r="L361">
        <f t="shared" si="20"/>
        <v>15.805099999999999</v>
      </c>
      <c r="M361">
        <f t="shared" si="21"/>
        <v>0.83202471827999991</v>
      </c>
      <c r="N361" s="9"/>
      <c r="O361" s="22">
        <v>1.6674800000000001</v>
      </c>
      <c r="P361" s="22">
        <v>13.6189</v>
      </c>
      <c r="Q361" s="22">
        <v>-4.8257400000000002E-3</v>
      </c>
      <c r="R361" s="22">
        <v>351</v>
      </c>
      <c r="S361" s="22">
        <v>1.66656</v>
      </c>
      <c r="T361">
        <f t="shared" si="22"/>
        <v>4.8257400000000006</v>
      </c>
      <c r="U361">
        <f t="shared" si="23"/>
        <v>8.0468249352000019</v>
      </c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>
        <v>4.7607400000000001E-2</v>
      </c>
      <c r="H362" s="22">
        <v>8.3503100000000003</v>
      </c>
      <c r="I362" s="22">
        <v>-1.5802E-2</v>
      </c>
      <c r="J362" s="22">
        <v>352</v>
      </c>
      <c r="K362" s="22">
        <v>4.7341899999999999E-2</v>
      </c>
      <c r="L362">
        <f t="shared" si="20"/>
        <v>15.802</v>
      </c>
      <c r="M362">
        <f t="shared" si="21"/>
        <v>0.75229213480000001</v>
      </c>
      <c r="N362" s="9"/>
      <c r="O362" s="22">
        <v>1.67252</v>
      </c>
      <c r="P362" s="22">
        <v>13.6289</v>
      </c>
      <c r="Q362" s="22">
        <v>-4.64264E-3</v>
      </c>
      <c r="R362" s="22">
        <v>352</v>
      </c>
      <c r="S362" s="22">
        <v>1.6717500000000001</v>
      </c>
      <c r="T362">
        <f t="shared" si="22"/>
        <v>4.6426400000000001</v>
      </c>
      <c r="U362">
        <f t="shared" si="23"/>
        <v>7.7649082528000006</v>
      </c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>
        <v>4.2571999999999999E-2</v>
      </c>
      <c r="H363" s="22">
        <v>8.3603799999999993</v>
      </c>
      <c r="I363" s="22">
        <v>-1.5799000000000001E-2</v>
      </c>
      <c r="J363" s="22">
        <v>353</v>
      </c>
      <c r="K363" s="22">
        <v>4.2355299999999999E-2</v>
      </c>
      <c r="L363">
        <f t="shared" si="20"/>
        <v>15.799000000000001</v>
      </c>
      <c r="M363">
        <f t="shared" si="21"/>
        <v>0.67259502800000004</v>
      </c>
      <c r="N363" s="9"/>
      <c r="O363" s="22">
        <v>1.6775500000000001</v>
      </c>
      <c r="P363" s="22">
        <v>13.638999999999999</v>
      </c>
      <c r="Q363" s="22">
        <v>-4.4583100000000001E-3</v>
      </c>
      <c r="R363" s="22">
        <v>353</v>
      </c>
      <c r="S363" s="22">
        <v>1.6760299999999999</v>
      </c>
      <c r="T363">
        <f t="shared" si="22"/>
        <v>4.45831</v>
      </c>
      <c r="U363">
        <f t="shared" si="23"/>
        <v>7.4790379405000005</v>
      </c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>
        <v>3.7536600000000003E-2</v>
      </c>
      <c r="H364" s="22">
        <v>8.3704499999999999</v>
      </c>
      <c r="I364" s="22">
        <v>-1.5795900000000002E-2</v>
      </c>
      <c r="J364" s="22">
        <v>354</v>
      </c>
      <c r="K364" s="22">
        <v>3.7252800000000003E-2</v>
      </c>
      <c r="L364">
        <f t="shared" si="20"/>
        <v>15.795900000000001</v>
      </c>
      <c r="M364">
        <f t="shared" si="21"/>
        <v>0.59292437994000013</v>
      </c>
      <c r="N364" s="9"/>
      <c r="O364" s="22">
        <v>1.68259</v>
      </c>
      <c r="P364" s="22">
        <v>13.649100000000001</v>
      </c>
      <c r="Q364" s="22">
        <v>-4.2703200000000002E-3</v>
      </c>
      <c r="R364" s="22">
        <v>354</v>
      </c>
      <c r="S364" s="22">
        <v>1.6815199999999999</v>
      </c>
      <c r="T364">
        <f t="shared" si="22"/>
        <v>4.2703199999999999</v>
      </c>
      <c r="U364">
        <f t="shared" si="23"/>
        <v>7.1851977287999995</v>
      </c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>
        <v>3.2501200000000001E-2</v>
      </c>
      <c r="H365" s="22">
        <v>8.3805200000000006</v>
      </c>
      <c r="I365" s="22">
        <v>-1.5792799999999999E-2</v>
      </c>
      <c r="J365" s="22">
        <v>355</v>
      </c>
      <c r="K365" s="22">
        <v>3.2235699999999999E-2</v>
      </c>
      <c r="L365">
        <f t="shared" si="20"/>
        <v>15.7928</v>
      </c>
      <c r="M365">
        <f t="shared" si="21"/>
        <v>0.51328495135999996</v>
      </c>
      <c r="N365" s="9"/>
      <c r="O365" s="22">
        <v>1.6876199999999999</v>
      </c>
      <c r="P365" s="22">
        <v>13.6591</v>
      </c>
      <c r="Q365" s="22">
        <v>-4.0844699999999998E-3</v>
      </c>
      <c r="R365" s="22">
        <v>355</v>
      </c>
      <c r="S365" s="22">
        <v>1.6860999999999999</v>
      </c>
      <c r="T365">
        <f t="shared" si="22"/>
        <v>4.0844699999999996</v>
      </c>
      <c r="U365">
        <f t="shared" si="23"/>
        <v>6.8930332613999985</v>
      </c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>
        <v>2.7465799999999999E-2</v>
      </c>
      <c r="H366" s="22">
        <v>8.3905899999999995</v>
      </c>
      <c r="I366" s="22">
        <v>-1.5802E-2</v>
      </c>
      <c r="J366" s="22">
        <v>356</v>
      </c>
      <c r="K366" s="22">
        <v>2.71606E-2</v>
      </c>
      <c r="L366">
        <f t="shared" si="20"/>
        <v>15.802</v>
      </c>
      <c r="M366">
        <f t="shared" si="21"/>
        <v>0.43401457159999995</v>
      </c>
      <c r="N366" s="9"/>
      <c r="O366" s="22">
        <v>1.6926600000000001</v>
      </c>
      <c r="P366" s="22">
        <v>13.6692</v>
      </c>
      <c r="Q366" s="22">
        <v>-3.8900800000000002E-3</v>
      </c>
      <c r="R366" s="22">
        <v>356</v>
      </c>
      <c r="S366" s="22">
        <v>1.6918899999999999</v>
      </c>
      <c r="T366">
        <f t="shared" si="22"/>
        <v>3.8900800000000002</v>
      </c>
      <c r="U366">
        <f t="shared" si="23"/>
        <v>6.5845828128000008</v>
      </c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>
        <v>2.24304E-2</v>
      </c>
      <c r="H367" s="22">
        <v>8.4006600000000002</v>
      </c>
      <c r="I367" s="22">
        <v>-1.5799000000000001E-2</v>
      </c>
      <c r="J367" s="22">
        <v>357</v>
      </c>
      <c r="K367" s="22">
        <v>2.21558E-2</v>
      </c>
      <c r="L367">
        <f t="shared" si="20"/>
        <v>15.799000000000001</v>
      </c>
      <c r="M367">
        <f t="shared" si="21"/>
        <v>0.3543778896</v>
      </c>
      <c r="N367" s="9"/>
      <c r="O367" s="22">
        <v>1.6976899999999999</v>
      </c>
      <c r="P367" s="22">
        <v>13.6793</v>
      </c>
      <c r="Q367" s="22">
        <v>-3.6968999999999999E-3</v>
      </c>
      <c r="R367" s="22">
        <v>357</v>
      </c>
      <c r="S367" s="22">
        <v>1.69678</v>
      </c>
      <c r="T367">
        <f t="shared" si="22"/>
        <v>3.6968999999999999</v>
      </c>
      <c r="U367">
        <f t="shared" si="23"/>
        <v>6.2761901609999997</v>
      </c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>
        <v>1.7395000000000001E-2</v>
      </c>
      <c r="H368" s="22">
        <v>8.4107299999999992</v>
      </c>
      <c r="I368" s="22">
        <v>-1.5795900000000002E-2</v>
      </c>
      <c r="J368" s="22">
        <v>358</v>
      </c>
      <c r="K368" s="22">
        <v>1.70563E-2</v>
      </c>
      <c r="L368">
        <f t="shared" si="20"/>
        <v>15.795900000000001</v>
      </c>
      <c r="M368">
        <f t="shared" si="21"/>
        <v>0.27476968050000006</v>
      </c>
      <c r="N368" s="9"/>
      <c r="O368" s="22">
        <v>1.7027300000000001</v>
      </c>
      <c r="P368" s="22">
        <v>13.689299999999999</v>
      </c>
      <c r="Q368" s="22">
        <v>-3.5012799999999998E-3</v>
      </c>
      <c r="R368" s="22">
        <v>358</v>
      </c>
      <c r="S368" s="22">
        <v>1.70166</v>
      </c>
      <c r="T368">
        <f t="shared" si="22"/>
        <v>3.5012799999999999</v>
      </c>
      <c r="U368">
        <f t="shared" si="23"/>
        <v>5.9617344943999999</v>
      </c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>
        <v>1.23596E-2</v>
      </c>
      <c r="H369" s="22">
        <v>8.4208099999999995</v>
      </c>
      <c r="I369" s="22">
        <v>-1.5792799999999999E-2</v>
      </c>
      <c r="J369" s="22">
        <v>359</v>
      </c>
      <c r="K369" s="22">
        <v>1.20392E-2</v>
      </c>
      <c r="L369">
        <f t="shared" si="20"/>
        <v>15.7928</v>
      </c>
      <c r="M369">
        <f t="shared" si="21"/>
        <v>0.19519269087999999</v>
      </c>
      <c r="N369" s="9"/>
      <c r="O369" s="22">
        <v>1.7077599999999999</v>
      </c>
      <c r="P369" s="22">
        <v>13.699400000000001</v>
      </c>
      <c r="Q369" s="22">
        <v>-3.30475E-3</v>
      </c>
      <c r="R369" s="22">
        <v>359</v>
      </c>
      <c r="S369" s="22">
        <v>1.7065399999999999</v>
      </c>
      <c r="T369">
        <f t="shared" si="22"/>
        <v>3.3047499999999999</v>
      </c>
      <c r="U369">
        <f t="shared" si="23"/>
        <v>5.6437198599999991</v>
      </c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>
        <v>7.3242200000000002E-3</v>
      </c>
      <c r="H370" s="22">
        <v>8.4308800000000002</v>
      </c>
      <c r="I370" s="22">
        <v>-1.5802E-2</v>
      </c>
      <c r="J370" s="22">
        <v>360</v>
      </c>
      <c r="K370" s="22">
        <v>6.9915799999999998E-3</v>
      </c>
      <c r="L370">
        <f t="shared" si="20"/>
        <v>15.802</v>
      </c>
      <c r="M370">
        <f t="shared" si="21"/>
        <v>0.11573732444</v>
      </c>
      <c r="N370" s="9"/>
      <c r="O370" s="22">
        <v>1.7128000000000001</v>
      </c>
      <c r="P370" s="22">
        <v>13.7095</v>
      </c>
      <c r="Q370" s="22">
        <v>-3.1024199999999998E-3</v>
      </c>
      <c r="R370" s="22">
        <v>360</v>
      </c>
      <c r="S370" s="22">
        <v>1.71173</v>
      </c>
      <c r="T370">
        <f t="shared" si="22"/>
        <v>3.10242</v>
      </c>
      <c r="U370">
        <f t="shared" si="23"/>
        <v>5.3138249760000003</v>
      </c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>
        <v>2.28882E-3</v>
      </c>
      <c r="H371" s="22">
        <v>8.4409500000000008</v>
      </c>
      <c r="I371" s="22">
        <v>-1.5802E-2</v>
      </c>
      <c r="J371" s="22">
        <v>361</v>
      </c>
      <c r="K371" s="22">
        <v>1.96838E-3</v>
      </c>
      <c r="L371">
        <f t="shared" si="20"/>
        <v>15.802</v>
      </c>
      <c r="M371">
        <f t="shared" si="21"/>
        <v>3.6167933639999997E-2</v>
      </c>
      <c r="N371" s="9"/>
      <c r="O371" s="22">
        <v>1.71783</v>
      </c>
      <c r="P371" s="22">
        <v>13.7196</v>
      </c>
      <c r="Q371" s="22">
        <v>-2.8976399999999999E-3</v>
      </c>
      <c r="R371" s="22">
        <v>361</v>
      </c>
      <c r="S371" s="22">
        <v>1.71722</v>
      </c>
      <c r="T371">
        <f t="shared" si="22"/>
        <v>2.89764</v>
      </c>
      <c r="U371">
        <f t="shared" si="23"/>
        <v>4.9776529211999998</v>
      </c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>
        <v>-2.7465800000000002E-3</v>
      </c>
      <c r="H372" s="22">
        <v>8.4510199999999998</v>
      </c>
      <c r="I372" s="22">
        <v>-1.5799000000000001E-2</v>
      </c>
      <c r="J372" s="22">
        <v>362</v>
      </c>
      <c r="K372" s="22">
        <v>-3.1494100000000001E-3</v>
      </c>
      <c r="L372">
        <f t="shared" si="20"/>
        <v>15.799000000000001</v>
      </c>
      <c r="M372">
        <f t="shared" si="21"/>
        <v>-4.3393217420000005E-2</v>
      </c>
      <c r="N372" s="9"/>
      <c r="O372" s="22">
        <v>1.7228699999999999</v>
      </c>
      <c r="P372" s="22">
        <v>13.7296</v>
      </c>
      <c r="Q372" s="22">
        <v>-2.6889000000000001E-3</v>
      </c>
      <c r="R372" s="22">
        <v>362</v>
      </c>
      <c r="S372" s="22">
        <v>1.7218</v>
      </c>
      <c r="T372">
        <f t="shared" si="22"/>
        <v>2.6889000000000003</v>
      </c>
      <c r="U372">
        <f t="shared" si="23"/>
        <v>4.6326251430000003</v>
      </c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>
        <v>-7.78198E-3</v>
      </c>
      <c r="H373" s="22">
        <v>8.4610900000000004</v>
      </c>
      <c r="I373" s="22">
        <v>-1.5799000000000001E-2</v>
      </c>
      <c r="J373" s="22">
        <v>363</v>
      </c>
      <c r="K373" s="22">
        <v>-8.2031299999999994E-3</v>
      </c>
      <c r="L373">
        <f t="shared" si="20"/>
        <v>15.799000000000001</v>
      </c>
      <c r="M373">
        <f t="shared" si="21"/>
        <v>-0.12294750202000002</v>
      </c>
      <c r="N373" s="9"/>
      <c r="O373" s="22">
        <v>1.7279100000000001</v>
      </c>
      <c r="P373" s="22">
        <v>13.739699999999999</v>
      </c>
      <c r="Q373" s="22">
        <v>-2.4804699999999998E-3</v>
      </c>
      <c r="R373" s="22">
        <v>363</v>
      </c>
      <c r="S373" s="22">
        <v>1.72668</v>
      </c>
      <c r="T373">
        <f t="shared" si="22"/>
        <v>2.48047</v>
      </c>
      <c r="U373">
        <f t="shared" si="23"/>
        <v>4.2860289177000004</v>
      </c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>
        <v>-1.28174E-2</v>
      </c>
      <c r="H374" s="22">
        <v>8.4711599999999994</v>
      </c>
      <c r="I374" s="22">
        <v>-1.5799000000000001E-2</v>
      </c>
      <c r="J374" s="22">
        <v>364</v>
      </c>
      <c r="K374" s="22">
        <v>-1.3250700000000001E-2</v>
      </c>
      <c r="L374">
        <f t="shared" si="20"/>
        <v>15.799000000000001</v>
      </c>
      <c r="M374">
        <f t="shared" si="21"/>
        <v>-0.20250210260000001</v>
      </c>
      <c r="N374" s="9"/>
      <c r="O374" s="22">
        <v>1.7329399999999999</v>
      </c>
      <c r="P374" s="22">
        <v>13.7498</v>
      </c>
      <c r="Q374" s="22">
        <v>-2.2631800000000001E-3</v>
      </c>
      <c r="R374" s="22">
        <v>364</v>
      </c>
      <c r="S374" s="22">
        <v>1.7315700000000001</v>
      </c>
      <c r="T374">
        <f t="shared" si="22"/>
        <v>2.2631800000000002</v>
      </c>
      <c r="U374">
        <f t="shared" si="23"/>
        <v>3.9219551492</v>
      </c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>
        <v>-1.7852799999999999E-2</v>
      </c>
      <c r="H375" s="22">
        <v>8.48123</v>
      </c>
      <c r="I375" s="22">
        <v>-1.5805099999999999E-2</v>
      </c>
      <c r="J375" s="22">
        <v>365</v>
      </c>
      <c r="K375" s="22">
        <v>-1.8264800000000001E-2</v>
      </c>
      <c r="L375">
        <f t="shared" si="20"/>
        <v>15.805099999999999</v>
      </c>
      <c r="M375">
        <f t="shared" si="21"/>
        <v>-0.28216528927999995</v>
      </c>
      <c r="N375" s="9"/>
      <c r="O375" s="22">
        <v>1.7379800000000001</v>
      </c>
      <c r="P375" s="22">
        <v>13.7598</v>
      </c>
      <c r="Q375" s="22">
        <v>-2.04681E-3</v>
      </c>
      <c r="R375" s="22">
        <v>365</v>
      </c>
      <c r="S375" s="22">
        <v>1.7367600000000001</v>
      </c>
      <c r="T375">
        <f t="shared" si="22"/>
        <v>2.0468100000000002</v>
      </c>
      <c r="U375">
        <f t="shared" si="23"/>
        <v>3.5573148438000004</v>
      </c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>
        <v>-2.2888200000000001E-2</v>
      </c>
      <c r="H376" s="22">
        <v>8.4913000000000007</v>
      </c>
      <c r="I376" s="22">
        <v>-1.5805099999999999E-2</v>
      </c>
      <c r="J376" s="22">
        <v>366</v>
      </c>
      <c r="K376" s="22">
        <v>-2.3333699999999999E-2</v>
      </c>
      <c r="L376">
        <f t="shared" si="20"/>
        <v>15.805099999999999</v>
      </c>
      <c r="M376">
        <f t="shared" si="21"/>
        <v>-0.36175028982000001</v>
      </c>
      <c r="N376" s="9"/>
      <c r="O376" s="22">
        <v>1.7430099999999999</v>
      </c>
      <c r="P376" s="22">
        <v>13.7699</v>
      </c>
      <c r="Q376" s="22">
        <v>-1.83197E-3</v>
      </c>
      <c r="R376" s="22">
        <v>366</v>
      </c>
      <c r="S376" s="22">
        <v>1.7422500000000001</v>
      </c>
      <c r="T376">
        <f t="shared" si="22"/>
        <v>1.8319700000000001</v>
      </c>
      <c r="U376">
        <f t="shared" si="23"/>
        <v>3.1931420297000002</v>
      </c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>
        <v>-2.79236E-2</v>
      </c>
      <c r="H377" s="22">
        <v>8.5013699999999996</v>
      </c>
      <c r="I377" s="22">
        <v>-1.58142E-2</v>
      </c>
      <c r="J377" s="22">
        <v>367</v>
      </c>
      <c r="K377" s="22">
        <v>-2.83752E-2</v>
      </c>
      <c r="L377">
        <f t="shared" si="20"/>
        <v>15.8142</v>
      </c>
      <c r="M377">
        <f t="shared" si="21"/>
        <v>-0.44158939512000001</v>
      </c>
      <c r="N377" s="9"/>
      <c r="O377" s="22">
        <v>1.7480500000000001</v>
      </c>
      <c r="P377" s="22">
        <v>13.78</v>
      </c>
      <c r="Q377" s="22">
        <v>-1.61377E-3</v>
      </c>
      <c r="R377" s="22">
        <v>367</v>
      </c>
      <c r="S377" s="22">
        <v>1.7471300000000001</v>
      </c>
      <c r="T377">
        <f t="shared" si="22"/>
        <v>1.6137700000000001</v>
      </c>
      <c r="U377">
        <f t="shared" si="23"/>
        <v>2.8209506485000002</v>
      </c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>
        <v>-3.2959000000000002E-2</v>
      </c>
      <c r="H378" s="22">
        <v>8.5114400000000003</v>
      </c>
      <c r="I378" s="22">
        <v>-1.5820299999999999E-2</v>
      </c>
      <c r="J378" s="22">
        <v>368</v>
      </c>
      <c r="K378" s="22">
        <v>-3.3401500000000001E-2</v>
      </c>
      <c r="L378">
        <f t="shared" si="20"/>
        <v>15.8203</v>
      </c>
      <c r="M378">
        <f t="shared" si="21"/>
        <v>-0.52142126769999997</v>
      </c>
      <c r="N378" s="9"/>
      <c r="O378" s="22">
        <v>1.75308</v>
      </c>
      <c r="P378" s="22">
        <v>13.790100000000001</v>
      </c>
      <c r="Q378" s="22">
        <v>-1.39404E-3</v>
      </c>
      <c r="R378" s="22">
        <v>368</v>
      </c>
      <c r="S378" s="22">
        <v>1.7523200000000001</v>
      </c>
      <c r="T378">
        <f t="shared" si="22"/>
        <v>1.3940399999999999</v>
      </c>
      <c r="U378">
        <f t="shared" si="23"/>
        <v>2.4438636431999998</v>
      </c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>
        <v>-3.7994399999999998E-2</v>
      </c>
      <c r="H379" s="22">
        <v>8.5215200000000006</v>
      </c>
      <c r="I379" s="22">
        <v>-1.5832499999999999E-2</v>
      </c>
      <c r="J379" s="22">
        <v>369</v>
      </c>
      <c r="K379" s="22">
        <v>-3.8467399999999999E-2</v>
      </c>
      <c r="L379">
        <f t="shared" si="20"/>
        <v>15.8325</v>
      </c>
      <c r="M379">
        <f t="shared" si="21"/>
        <v>-0.6015463379999999</v>
      </c>
      <c r="N379" s="9"/>
      <c r="O379" s="22">
        <v>1.7581199999999999</v>
      </c>
      <c r="P379" s="22">
        <v>13.8001</v>
      </c>
      <c r="Q379" s="22">
        <v>-1.1694299999999999E-3</v>
      </c>
      <c r="R379" s="22">
        <v>369</v>
      </c>
      <c r="S379" s="22">
        <v>1.7568999999999999</v>
      </c>
      <c r="T379">
        <f t="shared" si="22"/>
        <v>1.16943</v>
      </c>
      <c r="U379">
        <f t="shared" si="23"/>
        <v>2.0559982716</v>
      </c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>
        <v>-4.30298E-2</v>
      </c>
      <c r="H380" s="22">
        <v>8.5315899999999996</v>
      </c>
      <c r="I380" s="22">
        <v>-1.58417E-2</v>
      </c>
      <c r="J380" s="22">
        <v>370</v>
      </c>
      <c r="K380" s="22">
        <v>-4.3481400000000003E-2</v>
      </c>
      <c r="L380">
        <f t="shared" si="20"/>
        <v>15.841699999999999</v>
      </c>
      <c r="M380">
        <f t="shared" si="21"/>
        <v>-0.68166518265999998</v>
      </c>
      <c r="N380" s="9"/>
      <c r="O380" s="22">
        <v>1.76315</v>
      </c>
      <c r="P380" s="22">
        <v>13.8102</v>
      </c>
      <c r="Q380" s="22">
        <v>-9.4299300000000004E-4</v>
      </c>
      <c r="R380" s="22">
        <v>370</v>
      </c>
      <c r="S380" s="22">
        <v>1.7620800000000001</v>
      </c>
      <c r="T380">
        <f t="shared" si="22"/>
        <v>0.94299300000000008</v>
      </c>
      <c r="U380">
        <f t="shared" si="23"/>
        <v>1.6626381079500001</v>
      </c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>
        <v>-4.8065200000000002E-2</v>
      </c>
      <c r="H381" s="22">
        <v>8.5416600000000003</v>
      </c>
      <c r="I381" s="22">
        <v>-1.58447E-2</v>
      </c>
      <c r="J381" s="22">
        <v>371</v>
      </c>
      <c r="K381" s="22">
        <v>-4.8541300000000003E-2</v>
      </c>
      <c r="L381">
        <f t="shared" si="20"/>
        <v>15.8447</v>
      </c>
      <c r="M381">
        <f t="shared" si="21"/>
        <v>-0.76157867444000005</v>
      </c>
      <c r="N381" s="9"/>
      <c r="O381" s="22">
        <v>1.7681899999999999</v>
      </c>
      <c r="P381" s="22">
        <v>13.8203</v>
      </c>
      <c r="Q381" s="22">
        <v>-7.1228000000000003E-4</v>
      </c>
      <c r="R381" s="22">
        <v>371</v>
      </c>
      <c r="S381" s="22">
        <v>1.7672699999999999</v>
      </c>
      <c r="T381">
        <f t="shared" si="22"/>
        <v>0.71228000000000002</v>
      </c>
      <c r="U381">
        <f t="shared" si="23"/>
        <v>1.2594463732000001</v>
      </c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>
        <v>-5.3100599999999998E-2</v>
      </c>
      <c r="H382" s="22">
        <v>8.5517299999999992</v>
      </c>
      <c r="I382" s="22">
        <v>-1.58447E-2</v>
      </c>
      <c r="J382" s="22">
        <v>372</v>
      </c>
      <c r="K382" s="22">
        <v>-5.3710899999999999E-2</v>
      </c>
      <c r="L382">
        <f t="shared" si="20"/>
        <v>15.8447</v>
      </c>
      <c r="M382">
        <f t="shared" si="21"/>
        <v>-0.84136307681999989</v>
      </c>
      <c r="N382" s="9"/>
      <c r="O382" s="22">
        <v>1.77322</v>
      </c>
      <c r="P382" s="22">
        <v>13.830299999999999</v>
      </c>
      <c r="Q382" s="22">
        <v>-4.7876E-4</v>
      </c>
      <c r="R382" s="22">
        <v>372</v>
      </c>
      <c r="S382" s="22">
        <v>1.77216</v>
      </c>
      <c r="T382">
        <f t="shared" si="22"/>
        <v>0.47876000000000002</v>
      </c>
      <c r="U382">
        <f t="shared" si="23"/>
        <v>0.84894680720000004</v>
      </c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>
        <v>-5.8136E-2</v>
      </c>
      <c r="H383" s="22">
        <v>8.5617999999999999</v>
      </c>
      <c r="I383" s="22">
        <v>-1.5832499999999999E-2</v>
      </c>
      <c r="J383" s="22">
        <v>373</v>
      </c>
      <c r="K383" s="22">
        <v>-5.8868400000000001E-2</v>
      </c>
      <c r="L383">
        <f t="shared" si="20"/>
        <v>15.8325</v>
      </c>
      <c r="M383">
        <f t="shared" si="21"/>
        <v>-0.92043821999999997</v>
      </c>
      <c r="N383" s="9"/>
      <c r="O383" s="22">
        <v>1.77826</v>
      </c>
      <c r="P383" s="22">
        <v>13.840400000000001</v>
      </c>
      <c r="Q383" s="22">
        <v>-2.4581899999999999E-4</v>
      </c>
      <c r="R383" s="22">
        <v>373</v>
      </c>
      <c r="S383" s="22">
        <v>1.77765</v>
      </c>
      <c r="T383">
        <f t="shared" si="22"/>
        <v>0.24581899999999998</v>
      </c>
      <c r="U383">
        <f t="shared" si="23"/>
        <v>0.43713009493999994</v>
      </c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>
        <v>-6.3171400000000003E-2</v>
      </c>
      <c r="H384" s="22">
        <v>8.5718700000000005</v>
      </c>
      <c r="I384" s="22">
        <v>-1.5826400000000001E-2</v>
      </c>
      <c r="J384" s="22">
        <v>374</v>
      </c>
      <c r="K384" s="22">
        <v>-6.3903799999999997E-2</v>
      </c>
      <c r="L384">
        <f t="shared" si="20"/>
        <v>15.826400000000001</v>
      </c>
      <c r="M384">
        <f t="shared" si="21"/>
        <v>-0.99977584496000016</v>
      </c>
      <c r="N384" s="9"/>
      <c r="O384" s="22">
        <v>1.78329</v>
      </c>
      <c r="P384" s="22">
        <v>13.8505</v>
      </c>
      <c r="Q384" s="25">
        <v>-8.7280300000000005E-6</v>
      </c>
      <c r="R384" s="22">
        <v>374</v>
      </c>
      <c r="S384" s="22">
        <v>1.78284</v>
      </c>
      <c r="T384">
        <f t="shared" si="22"/>
        <v>8.7280300000000012E-3</v>
      </c>
      <c r="U384">
        <f t="shared" si="23"/>
        <v>1.5564608618700003E-2</v>
      </c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>
        <v>-6.8206799999999998E-2</v>
      </c>
      <c r="H385" s="22">
        <v>8.5819399999999995</v>
      </c>
      <c r="I385" s="22">
        <v>-1.5832499999999999E-2</v>
      </c>
      <c r="J385" s="22">
        <v>375</v>
      </c>
      <c r="K385" s="22">
        <v>-6.8908700000000003E-2</v>
      </c>
      <c r="L385">
        <f t="shared" si="20"/>
        <v>15.8325</v>
      </c>
      <c r="M385">
        <f t="shared" si="21"/>
        <v>-1.0798841609999998</v>
      </c>
      <c r="N385" s="9"/>
      <c r="O385" s="22">
        <v>1.78833</v>
      </c>
      <c r="P385" s="22">
        <v>13.8606</v>
      </c>
      <c r="Q385" s="22">
        <v>2.29065E-4</v>
      </c>
      <c r="R385" s="22">
        <v>375</v>
      </c>
      <c r="S385" s="22">
        <v>1.7867999999999999</v>
      </c>
      <c r="T385">
        <f t="shared" si="22"/>
        <v>-0.22906499999999999</v>
      </c>
      <c r="U385">
        <f t="shared" si="23"/>
        <v>-0.40964381144999995</v>
      </c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>
        <v>-7.3242199999999993E-2</v>
      </c>
      <c r="H386" s="22">
        <v>8.5920100000000001</v>
      </c>
      <c r="I386" s="22">
        <v>-1.5832499999999999E-2</v>
      </c>
      <c r="J386" s="22">
        <v>376</v>
      </c>
      <c r="K386" s="22">
        <v>-7.4005100000000004E-2</v>
      </c>
      <c r="L386">
        <f t="shared" si="20"/>
        <v>15.8325</v>
      </c>
      <c r="M386">
        <f t="shared" si="21"/>
        <v>-1.1596071314999998</v>
      </c>
      <c r="N386" s="9"/>
      <c r="O386" s="22">
        <v>1.7933699999999999</v>
      </c>
      <c r="P386" s="22">
        <v>13.8706</v>
      </c>
      <c r="Q386" s="22">
        <v>4.7097799999999999E-4</v>
      </c>
      <c r="R386" s="22">
        <v>376</v>
      </c>
      <c r="S386" s="22">
        <v>1.7923</v>
      </c>
      <c r="T386">
        <f t="shared" si="22"/>
        <v>-0.47097800000000001</v>
      </c>
      <c r="U386">
        <f t="shared" si="23"/>
        <v>-0.84463781585999997</v>
      </c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>
        <v>-7.8277600000000003E-2</v>
      </c>
      <c r="H387" s="22">
        <v>8.6020800000000008</v>
      </c>
      <c r="I387" s="22">
        <v>-1.5832499999999999E-2</v>
      </c>
      <c r="J387" s="22">
        <v>377</v>
      </c>
      <c r="K387" s="22">
        <v>-7.9009999999999997E-2</v>
      </c>
      <c r="L387">
        <f t="shared" si="20"/>
        <v>15.8325</v>
      </c>
      <c r="M387">
        <f t="shared" si="21"/>
        <v>-1.239330102</v>
      </c>
      <c r="N387" s="9"/>
      <c r="O387" s="22">
        <v>1.7984</v>
      </c>
      <c r="P387" s="22">
        <v>13.880699999999999</v>
      </c>
      <c r="Q387" s="22">
        <v>7.1563699999999998E-4</v>
      </c>
      <c r="R387" s="22">
        <v>377</v>
      </c>
      <c r="S387" s="22">
        <v>1.79688</v>
      </c>
      <c r="T387">
        <f t="shared" si="22"/>
        <v>-0.71563699999999997</v>
      </c>
      <c r="U387">
        <f t="shared" si="23"/>
        <v>-1.2870015807999999</v>
      </c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>
        <v>-8.3312999999999998E-2</v>
      </c>
      <c r="H388" s="22">
        <v>8.6121499999999997</v>
      </c>
      <c r="I388" s="22">
        <v>-1.5826400000000001E-2</v>
      </c>
      <c r="J388" s="22">
        <v>378</v>
      </c>
      <c r="K388" s="22">
        <v>-8.3953899999999998E-2</v>
      </c>
      <c r="L388">
        <f t="shared" si="20"/>
        <v>15.826400000000001</v>
      </c>
      <c r="M388">
        <f t="shared" si="21"/>
        <v>-1.3185448632000001</v>
      </c>
      <c r="N388" s="9"/>
      <c r="O388" s="22">
        <v>1.8034399999999999</v>
      </c>
      <c r="P388" s="22">
        <v>13.8908</v>
      </c>
      <c r="Q388" s="22">
        <v>9.6283000000000002E-4</v>
      </c>
      <c r="R388" s="22">
        <v>378</v>
      </c>
      <c r="S388" s="22">
        <v>1.80237</v>
      </c>
      <c r="T388">
        <f t="shared" si="22"/>
        <v>-0.96283000000000007</v>
      </c>
      <c r="U388">
        <f t="shared" si="23"/>
        <v>-1.7364061352</v>
      </c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>
        <v>-8.8348399999999994E-2</v>
      </c>
      <c r="H389" s="22">
        <v>8.6222300000000001</v>
      </c>
      <c r="I389" s="22">
        <v>-1.5832499999999999E-2</v>
      </c>
      <c r="J389" s="22">
        <v>379</v>
      </c>
      <c r="K389" s="22">
        <v>-8.8928199999999999E-2</v>
      </c>
      <c r="L389">
        <f t="shared" si="20"/>
        <v>15.8325</v>
      </c>
      <c r="M389">
        <f t="shared" si="21"/>
        <v>-1.3987760429999998</v>
      </c>
      <c r="N389" s="9"/>
      <c r="O389" s="22">
        <v>1.80847</v>
      </c>
      <c r="P389" s="22">
        <v>13.9008</v>
      </c>
      <c r="Q389" s="22">
        <v>1.21094E-3</v>
      </c>
      <c r="R389" s="22">
        <v>379</v>
      </c>
      <c r="S389" s="22">
        <v>1.80786</v>
      </c>
      <c r="T389">
        <f t="shared" si="22"/>
        <v>-1.2109399999999999</v>
      </c>
      <c r="U389">
        <f t="shared" si="23"/>
        <v>-2.1899486617999999</v>
      </c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>
        <v>-9.3383800000000003E-2</v>
      </c>
      <c r="H390" s="22">
        <v>8.6323000000000008</v>
      </c>
      <c r="I390" s="22">
        <v>-1.5838600000000001E-2</v>
      </c>
      <c r="J390" s="22">
        <v>380</v>
      </c>
      <c r="K390" s="22">
        <v>-9.4024700000000003E-2</v>
      </c>
      <c r="L390">
        <f t="shared" si="20"/>
        <v>15.838600000000001</v>
      </c>
      <c r="M390">
        <f t="shared" si="21"/>
        <v>-1.4790686546800003</v>
      </c>
      <c r="N390" s="9"/>
      <c r="O390" s="22">
        <v>1.81351</v>
      </c>
      <c r="P390" s="22">
        <v>13.9109</v>
      </c>
      <c r="Q390" s="22">
        <v>1.4636199999999999E-3</v>
      </c>
      <c r="R390" s="22">
        <v>380</v>
      </c>
      <c r="S390" s="22">
        <v>1.8124400000000001</v>
      </c>
      <c r="T390">
        <f t="shared" si="22"/>
        <v>-1.4636199999999999</v>
      </c>
      <c r="U390">
        <f t="shared" si="23"/>
        <v>-2.6542895061999996</v>
      </c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>
        <v>-9.8419199999999998E-2</v>
      </c>
      <c r="H391" s="22">
        <v>8.6423699999999997</v>
      </c>
      <c r="I391" s="22">
        <v>-1.5835599999999998E-2</v>
      </c>
      <c r="J391" s="22">
        <v>381</v>
      </c>
      <c r="K391" s="22">
        <v>-9.9090600000000001E-2</v>
      </c>
      <c r="L391">
        <f t="shared" si="20"/>
        <v>15.835599999999998</v>
      </c>
      <c r="M391">
        <f t="shared" si="21"/>
        <v>-1.5585270835199998</v>
      </c>
      <c r="N391" s="9"/>
      <c r="O391" s="22">
        <v>1.81854</v>
      </c>
      <c r="P391" s="22">
        <v>13.920999999999999</v>
      </c>
      <c r="Q391" s="22">
        <v>1.71295E-3</v>
      </c>
      <c r="R391" s="22">
        <v>381</v>
      </c>
      <c r="S391" s="22">
        <v>1.81732</v>
      </c>
      <c r="T391">
        <f t="shared" si="22"/>
        <v>-1.71295</v>
      </c>
      <c r="U391">
        <f t="shared" si="23"/>
        <v>-3.1150680930000001</v>
      </c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>
        <v>-0.10345500000000001</v>
      </c>
      <c r="H392" s="22">
        <v>8.6524400000000004</v>
      </c>
      <c r="I392" s="22">
        <v>-1.5835599999999998E-2</v>
      </c>
      <c r="J392" s="22">
        <v>382</v>
      </c>
      <c r="K392" s="22">
        <v>-0.104034</v>
      </c>
      <c r="L392">
        <f t="shared" si="20"/>
        <v>15.835599999999998</v>
      </c>
      <c r="M392">
        <f t="shared" si="21"/>
        <v>-1.6382719979999998</v>
      </c>
      <c r="N392" s="9"/>
      <c r="O392" s="22">
        <v>1.82358</v>
      </c>
      <c r="P392" s="22">
        <v>13.931100000000001</v>
      </c>
      <c r="Q392" s="22">
        <v>1.96838E-3</v>
      </c>
      <c r="R392" s="22">
        <v>382</v>
      </c>
      <c r="S392" s="22">
        <v>1.8225100000000001</v>
      </c>
      <c r="T392">
        <f t="shared" si="22"/>
        <v>-1.96838</v>
      </c>
      <c r="U392">
        <f t="shared" si="23"/>
        <v>-3.5894984004000001</v>
      </c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H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276.82622950825072</v>
      </c>
      <c r="H2" s="2"/>
      <c r="I2" s="6" t="s">
        <v>12</v>
      </c>
      <c r="J2" s="2"/>
      <c r="K2" s="7" t="s">
        <v>13</v>
      </c>
      <c r="L2" s="3">
        <f>L4*I6*L9/100*100</f>
        <v>12.1915393327</v>
      </c>
      <c r="M2" s="8" t="s">
        <v>14</v>
      </c>
      <c r="N2" s="9"/>
      <c r="O2" s="2">
        <f>ABS(S7-S6)/ABS(T7-T6)*1000</f>
        <v>236.40370892014732</v>
      </c>
      <c r="P2" s="2"/>
      <c r="Q2" s="6" t="s">
        <v>15</v>
      </c>
      <c r="R2" s="2"/>
      <c r="S2" s="7" t="s">
        <v>13</v>
      </c>
      <c r="T2" s="3">
        <f>T4*Q6*T9/100*100</f>
        <v>11.756380507200001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1.6845699999999999</v>
      </c>
      <c r="J3" s="2"/>
      <c r="K3" s="10">
        <f>INDEX(L11:L1056,MATCH(I3,K11:K1056,0))</f>
        <v>-6.5185500000000007E-2</v>
      </c>
      <c r="L3" s="33" t="s">
        <v>16</v>
      </c>
      <c r="M3" s="11">
        <f>M9</f>
        <v>12.1915393327</v>
      </c>
      <c r="N3" s="9"/>
      <c r="O3" s="2" t="s">
        <v>44</v>
      </c>
      <c r="P3" s="2"/>
      <c r="Q3" s="2">
        <f>INDEX(S11:S1056,MATCH(0,T11:T1056,-1))</f>
        <v>1.651</v>
      </c>
      <c r="R3" s="2"/>
      <c r="S3" s="10">
        <f>INDEX(T11:T1056,MATCH(Q3,S11:S1056,0))</f>
        <v>5.2795399999999999E-2</v>
      </c>
      <c r="T3" s="33" t="s">
        <v>16</v>
      </c>
      <c r="U3" s="11">
        <f>U9</f>
        <v>11.756380507200001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59.548602072161124</v>
      </c>
      <c r="H4" s="2"/>
      <c r="I4" s="2">
        <f>INDEX(K11:K1000,1+MATCH(0,L11:L856,1))</f>
        <v>1.6790799999999999</v>
      </c>
      <c r="J4" s="2"/>
      <c r="K4" s="10">
        <f>INDEX(L11:L1056,MATCH(I4,K11:K1056,0))</f>
        <v>2.70081E-2</v>
      </c>
      <c r="L4" s="32">
        <f>M3/(I6*L9)</f>
        <v>0.35438644808012604</v>
      </c>
      <c r="M4" s="8" t="s">
        <v>17</v>
      </c>
      <c r="N4" s="9"/>
      <c r="O4" s="2">
        <f>ABS(Q3-Q4)/ABS(S3-S4)*1000</f>
        <v>63.43378441802286</v>
      </c>
      <c r="P4" s="2"/>
      <c r="Q4" s="2">
        <f>INDEX(S11:S856,1+MATCH(0,T11:T856,-1))</f>
        <v>1.6561900000000001</v>
      </c>
      <c r="R4" s="2"/>
      <c r="S4" s="10">
        <f>INDEX(T11:T856,MATCH(Q4,S11:S856,0))</f>
        <v>-2.9022200000000001E-2</v>
      </c>
      <c r="T4" s="32">
        <f>U3/(Q6*T9)</f>
        <v>0.34535936112334081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13.555899999999999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13.406400000000001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1.6806882945996251</v>
      </c>
      <c r="J6" s="32"/>
      <c r="K6" s="13">
        <f>INDEX(K11:K1056,MATCH(L6,L11:L1056,0))</f>
        <v>2.7374299999999999E-3</v>
      </c>
      <c r="L6" s="10">
        <f>INDEX(L11:L1056,MATCH(0,K11:K1056,-1))</f>
        <v>20.459000000000003</v>
      </c>
      <c r="M6" s="8" t="s">
        <v>22</v>
      </c>
      <c r="N6" s="9"/>
      <c r="O6" s="2"/>
      <c r="P6" s="2"/>
      <c r="Q6" s="34">
        <f>(Q3-Q4)/(S3-S4)*(-S4)+Q4</f>
        <v>1.6543490120218634</v>
      </c>
      <c r="R6" s="34"/>
      <c r="S6" s="13">
        <f>INDEX(S11:S1056,MATCH(T6,T11:T1056,0))</f>
        <v>-4.6386700000000001E-3</v>
      </c>
      <c r="T6" s="10">
        <f>INDEX(T11:T1056,MATCH(0,S11:S1056,1))</f>
        <v>20.596300000000003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-2.3284899999999999E-3</v>
      </c>
      <c r="L7" s="10">
        <f>INDEX(L11:L856,1+MATCH(0,K11:K856,-1))</f>
        <v>20.4773</v>
      </c>
      <c r="M7" s="12">
        <f>INDEX(K11:K1056,MATCH(M9,M11:M1056,0))</f>
        <v>0.89874299999999996</v>
      </c>
      <c r="N7" s="9"/>
      <c r="O7" s="2"/>
      <c r="P7" s="2"/>
      <c r="Q7" s="2"/>
      <c r="R7" s="2"/>
      <c r="S7" s="13">
        <f>INDEX(S11:S1056,MATCH(T7,T11:T1056,0))</f>
        <v>3.9672900000000002E-4</v>
      </c>
      <c r="T7" s="10">
        <f>INDEX(T11:T1056,1+MATCH(0,S11:S1056,1))</f>
        <v>20.574999999999999</v>
      </c>
      <c r="U7" s="12">
        <f>INDEX(S11:S1056,MATCH(U9,U11:U1056,0))</f>
        <v>0.87585400000000002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3.5693509541721347</v>
      </c>
      <c r="J9" s="2"/>
      <c r="K9" s="2"/>
      <c r="L9" s="3">
        <f>(L6-L7)/(K6-K7)*(-K7)+L7</f>
        <v>20.468888622204851</v>
      </c>
      <c r="M9" s="16">
        <f>MAX(M11:M1056)</f>
        <v>12.1915393327</v>
      </c>
      <c r="N9" s="9"/>
      <c r="O9" s="2"/>
      <c r="P9" s="2"/>
      <c r="Q9" s="2"/>
      <c r="R9" s="2"/>
      <c r="S9" s="2"/>
      <c r="T9" s="3">
        <f>(T6-T7)/(S6-S7)*(-S7)+T7</f>
        <v>20.576678184330575</v>
      </c>
      <c r="U9" s="16">
        <f>MAX(U11:U1056)</f>
        <v>11.756380507200001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1.6806882945996251</v>
      </c>
      <c r="B11" s="19">
        <f>IFERROR(L9,0)</f>
        <v>20.468888622204851</v>
      </c>
      <c r="C11" s="20">
        <f>IFERROR(L4,0)</f>
        <v>0.35438644808012604</v>
      </c>
      <c r="D11" s="21">
        <f>IFERROR(L2,0)</f>
        <v>12.1915393327</v>
      </c>
      <c r="E11" s="21">
        <f>IFERROR(I9,0)</f>
        <v>3.5693509541721347</v>
      </c>
      <c r="F11" s="9"/>
      <c r="G11" s="22">
        <v>1.69495</v>
      </c>
      <c r="H11" s="22">
        <v>4.6903800000000002</v>
      </c>
      <c r="I11" s="22">
        <v>2.5470000000000001E-4</v>
      </c>
      <c r="J11" s="22">
        <v>1</v>
      </c>
      <c r="K11" s="22">
        <v>1.69373</v>
      </c>
      <c r="L11">
        <f>-I11/$F$2*1000</f>
        <v>-0.25470000000000004</v>
      </c>
      <c r="M11">
        <f>L11*G11</f>
        <v>-0.43170376500000007</v>
      </c>
      <c r="N11" s="9"/>
      <c r="O11" s="22">
        <v>-9.49097E-2</v>
      </c>
      <c r="P11" s="22">
        <v>9.7729900000000001</v>
      </c>
      <c r="Q11" s="22">
        <v>-2.1005200000000002E-2</v>
      </c>
      <c r="R11" s="22">
        <v>1</v>
      </c>
      <c r="S11" s="22">
        <v>-9.5642099999999994E-2</v>
      </c>
      <c r="T11">
        <f>-Q11/$F$2*1000</f>
        <v>21.005200000000002</v>
      </c>
      <c r="U11">
        <f>T11*O11</f>
        <v>-1.9935972304400003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1.6543490120218634</v>
      </c>
      <c r="B12" s="19">
        <f>IFERROR(T9,0)</f>
        <v>20.576678184330575</v>
      </c>
      <c r="C12" s="20">
        <f>IFERROR(T4,0)</f>
        <v>0.34535936112334081</v>
      </c>
      <c r="D12" s="21">
        <f>IFERROR(T2,0)</f>
        <v>11.756380507200001</v>
      </c>
      <c r="E12" s="21"/>
      <c r="F12" s="9"/>
      <c r="G12" s="22">
        <v>1.68991</v>
      </c>
      <c r="H12" s="22">
        <v>4.70045</v>
      </c>
      <c r="I12" s="22">
        <v>1.5862999999999999E-4</v>
      </c>
      <c r="J12" s="22">
        <v>2</v>
      </c>
      <c r="K12" s="22">
        <v>1.6891499999999999</v>
      </c>
      <c r="L12">
        <f t="shared" ref="L12:L75" si="0">-I12/$F$2*1000</f>
        <v>-0.15862999999999999</v>
      </c>
      <c r="M12">
        <f t="shared" ref="M12:M75" si="1">L12*G12</f>
        <v>-0.26807042329999997</v>
      </c>
      <c r="N12" s="9"/>
      <c r="O12" s="22">
        <v>-8.9874300000000004E-2</v>
      </c>
      <c r="P12" s="22">
        <v>9.7830700000000004</v>
      </c>
      <c r="Q12" s="22">
        <v>-2.09686E-2</v>
      </c>
      <c r="R12" s="22">
        <v>2</v>
      </c>
      <c r="S12" s="22">
        <v>-9.0667700000000004E-2</v>
      </c>
      <c r="T12">
        <f t="shared" ref="T12:T75" si="2">-Q12/$F$2*1000</f>
        <v>20.968600000000002</v>
      </c>
      <c r="U12">
        <f t="shared" ref="U12:U75" si="3">T12*O12</f>
        <v>-1.8845382469800003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4.7105199999999998</v>
      </c>
      <c r="I13" s="25">
        <v>6.5185500000000001E-5</v>
      </c>
      <c r="J13" s="22">
        <v>3</v>
      </c>
      <c r="K13" s="22">
        <v>1.6845699999999999</v>
      </c>
      <c r="L13">
        <f t="shared" si="0"/>
        <v>-6.5185500000000007E-2</v>
      </c>
      <c r="M13">
        <f t="shared" si="1"/>
        <v>-0.10982974524000001</v>
      </c>
      <c r="N13" s="9"/>
      <c r="O13" s="22">
        <v>-8.4838899999999995E-2</v>
      </c>
      <c r="P13" s="22">
        <v>9.7931399999999993</v>
      </c>
      <c r="Q13" s="22">
        <v>-2.0938100000000001E-2</v>
      </c>
      <c r="R13" s="22">
        <v>3</v>
      </c>
      <c r="S13" s="22">
        <v>-8.5601800000000006E-2</v>
      </c>
      <c r="T13">
        <f t="shared" si="2"/>
        <v>20.938100000000002</v>
      </c>
      <c r="U13">
        <f t="shared" si="3"/>
        <v>-1.7763653720900001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4.7206000000000001</v>
      </c>
      <c r="I14" s="25">
        <v>-2.70081E-5</v>
      </c>
      <c r="J14" s="22">
        <v>4</v>
      </c>
      <c r="K14" s="22">
        <v>1.6790799999999999</v>
      </c>
      <c r="L14">
        <f t="shared" si="0"/>
        <v>2.70081E-2</v>
      </c>
      <c r="M14">
        <f t="shared" si="1"/>
        <v>4.5369286703999999E-2</v>
      </c>
      <c r="N14" s="9"/>
      <c r="O14" s="22">
        <v>-7.9803499999999999E-2</v>
      </c>
      <c r="P14" s="22">
        <v>9.80321</v>
      </c>
      <c r="Q14" s="22">
        <v>-2.09137E-2</v>
      </c>
      <c r="R14" s="22">
        <v>4</v>
      </c>
      <c r="S14" s="22">
        <v>-8.0596899999999999E-2</v>
      </c>
      <c r="T14">
        <f t="shared" si="2"/>
        <v>20.913699999999999</v>
      </c>
      <c r="U14">
        <f t="shared" si="3"/>
        <v>-1.6689864579499998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4.7306699999999999</v>
      </c>
      <c r="I15" s="22">
        <v>-1.18744E-4</v>
      </c>
      <c r="J15" s="22">
        <v>5</v>
      </c>
      <c r="K15" s="22">
        <v>1.6738900000000001</v>
      </c>
      <c r="L15">
        <f t="shared" si="0"/>
        <v>0.118744</v>
      </c>
      <c r="M15">
        <f t="shared" si="1"/>
        <v>0.19887245120000002</v>
      </c>
      <c r="N15" s="9"/>
      <c r="O15" s="22">
        <v>-7.4768100000000004E-2</v>
      </c>
      <c r="P15" s="22">
        <v>9.8132800000000007</v>
      </c>
      <c r="Q15" s="22">
        <v>-2.0883200000000001E-2</v>
      </c>
      <c r="R15" s="22">
        <v>5</v>
      </c>
      <c r="S15" s="22">
        <v>-7.5531000000000001E-2</v>
      </c>
      <c r="T15">
        <f t="shared" si="2"/>
        <v>20.883200000000002</v>
      </c>
      <c r="U15">
        <f t="shared" si="3"/>
        <v>-1.5613971859200002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4.7407399999999997</v>
      </c>
      <c r="I16" s="22">
        <v>-2.1154799999999999E-4</v>
      </c>
      <c r="J16" s="22">
        <v>6</v>
      </c>
      <c r="K16" s="22">
        <v>1.6687000000000001</v>
      </c>
      <c r="L16">
        <f t="shared" si="0"/>
        <v>0.21154799999999999</v>
      </c>
      <c r="M16">
        <f t="shared" si="1"/>
        <v>0.35323650395999995</v>
      </c>
      <c r="N16" s="9"/>
      <c r="O16" s="22">
        <v>-6.9732699999999995E-2</v>
      </c>
      <c r="P16" s="22">
        <v>9.8233499999999996</v>
      </c>
      <c r="Q16" s="22">
        <v>-2.0852699999999998E-2</v>
      </c>
      <c r="R16" s="22">
        <v>6</v>
      </c>
      <c r="S16" s="22">
        <v>-7.0526099999999994E-2</v>
      </c>
      <c r="T16">
        <f t="shared" si="2"/>
        <v>20.852699999999999</v>
      </c>
      <c r="U16">
        <f t="shared" si="3"/>
        <v>-1.4541150732899999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4.7508100000000004</v>
      </c>
      <c r="I17" s="22">
        <v>-3.0364999999999998E-4</v>
      </c>
      <c r="J17" s="22">
        <v>7</v>
      </c>
      <c r="K17" s="22">
        <v>1.6638200000000001</v>
      </c>
      <c r="L17">
        <f t="shared" si="0"/>
        <v>0.30364999999999998</v>
      </c>
      <c r="M17">
        <f t="shared" si="1"/>
        <v>0.50549526449999993</v>
      </c>
      <c r="N17" s="9"/>
      <c r="O17" s="22">
        <v>-6.4697299999999999E-2</v>
      </c>
      <c r="P17" s="22">
        <v>9.8334200000000003</v>
      </c>
      <c r="Q17" s="22">
        <v>-2.0834399999999999E-2</v>
      </c>
      <c r="R17" s="22">
        <v>7</v>
      </c>
      <c r="S17" s="22">
        <v>-6.5429699999999993E-2</v>
      </c>
      <c r="T17">
        <f t="shared" si="2"/>
        <v>20.834399999999999</v>
      </c>
      <c r="U17">
        <f t="shared" si="3"/>
        <v>-1.34792942712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4.7608800000000002</v>
      </c>
      <c r="I18" s="22">
        <v>-3.97888E-4</v>
      </c>
      <c r="J18" s="22">
        <v>8</v>
      </c>
      <c r="K18" s="22">
        <v>1.6589400000000001</v>
      </c>
      <c r="L18">
        <f t="shared" si="0"/>
        <v>0.39788800000000002</v>
      </c>
      <c r="M18">
        <f t="shared" si="1"/>
        <v>0.6603747136</v>
      </c>
      <c r="N18" s="9"/>
      <c r="O18" s="22">
        <v>-5.9661899999999997E-2</v>
      </c>
      <c r="P18" s="22">
        <v>9.8434899999999992</v>
      </c>
      <c r="Q18" s="22">
        <v>-2.08191E-2</v>
      </c>
      <c r="R18" s="22">
        <v>8</v>
      </c>
      <c r="S18" s="22">
        <v>-6.0363800000000002E-2</v>
      </c>
      <c r="T18">
        <f t="shared" si="2"/>
        <v>20.819099999999999</v>
      </c>
      <c r="U18">
        <f t="shared" si="3"/>
        <v>-1.2421070622899999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4.77095</v>
      </c>
      <c r="I19" s="22">
        <v>-4.9139400000000003E-4</v>
      </c>
      <c r="J19" s="22">
        <v>9</v>
      </c>
      <c r="K19" s="22">
        <v>1.65405</v>
      </c>
      <c r="L19">
        <f t="shared" si="0"/>
        <v>0.49139400000000005</v>
      </c>
      <c r="M19">
        <f t="shared" si="1"/>
        <v>0.8130899960400001</v>
      </c>
      <c r="N19" s="9"/>
      <c r="O19" s="22">
        <v>-5.4626500000000001E-2</v>
      </c>
      <c r="P19" s="22">
        <v>9.8535599999999999</v>
      </c>
      <c r="Q19" s="22">
        <v>-2.0800800000000001E-2</v>
      </c>
      <c r="R19" s="22">
        <v>9</v>
      </c>
      <c r="S19" s="22">
        <v>-5.53284E-2</v>
      </c>
      <c r="T19">
        <f t="shared" si="2"/>
        <v>20.800800000000002</v>
      </c>
      <c r="U19">
        <f t="shared" si="3"/>
        <v>-1.1362749012000002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4.7810199999999998</v>
      </c>
      <c r="I20" s="22">
        <v>-5.8349599999999997E-4</v>
      </c>
      <c r="J20" s="22">
        <v>10</v>
      </c>
      <c r="K20" s="22">
        <v>1.64886</v>
      </c>
      <c r="L20">
        <f t="shared" si="0"/>
        <v>0.58349600000000001</v>
      </c>
      <c r="M20">
        <f t="shared" si="1"/>
        <v>0.96255250648000001</v>
      </c>
      <c r="N20" s="9"/>
      <c r="O20" s="22">
        <v>-4.9591099999999999E-2</v>
      </c>
      <c r="P20" s="22">
        <v>9.8636300000000006</v>
      </c>
      <c r="Q20" s="22">
        <v>-2.0785499999999998E-2</v>
      </c>
      <c r="R20" s="22">
        <v>10</v>
      </c>
      <c r="S20" s="22">
        <v>-5.03235E-2</v>
      </c>
      <c r="T20">
        <f t="shared" si="2"/>
        <v>20.785499999999999</v>
      </c>
      <c r="U20">
        <f t="shared" si="3"/>
        <v>-1.0307758090499999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4.7910899999999996</v>
      </c>
      <c r="I21" s="22">
        <v>-6.75659E-4</v>
      </c>
      <c r="J21" s="22">
        <v>11</v>
      </c>
      <c r="K21" s="22">
        <v>1.64429</v>
      </c>
      <c r="L21">
        <f t="shared" si="0"/>
        <v>0.67565900000000001</v>
      </c>
      <c r="M21">
        <f t="shared" si="1"/>
        <v>1.1111820348100001</v>
      </c>
      <c r="N21" s="9"/>
      <c r="O21" s="22">
        <v>-4.4555699999999997E-2</v>
      </c>
      <c r="P21" s="22">
        <v>9.8736999999999995</v>
      </c>
      <c r="Q21" s="22">
        <v>-2.07642E-2</v>
      </c>
      <c r="R21" s="22">
        <v>11</v>
      </c>
      <c r="S21" s="22">
        <v>-4.505E-2</v>
      </c>
      <c r="T21">
        <f t="shared" si="2"/>
        <v>20.764199999999999</v>
      </c>
      <c r="U21">
        <f t="shared" si="3"/>
        <v>-0.92516346593999987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4.8011600000000003</v>
      </c>
      <c r="I22" s="22">
        <v>-7.6904299999999996E-4</v>
      </c>
      <c r="J22" s="22">
        <v>12</v>
      </c>
      <c r="K22" s="22">
        <v>1.63849</v>
      </c>
      <c r="L22">
        <f t="shared" si="0"/>
        <v>0.76904299999999992</v>
      </c>
      <c r="M22">
        <f t="shared" si="1"/>
        <v>1.2608921410799998</v>
      </c>
      <c r="N22" s="9"/>
      <c r="O22" s="22">
        <v>-3.9520300000000001E-2</v>
      </c>
      <c r="P22" s="22">
        <v>9.8837799999999998</v>
      </c>
      <c r="Q22" s="22">
        <v>-2.0742799999999999E-2</v>
      </c>
      <c r="R22" s="22">
        <v>12</v>
      </c>
      <c r="S22" s="22">
        <v>-3.9987200000000001E-2</v>
      </c>
      <c r="T22">
        <f t="shared" si="2"/>
        <v>20.742799999999999</v>
      </c>
      <c r="U22">
        <f t="shared" si="3"/>
        <v>-0.81976167883999995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4.8112300000000001</v>
      </c>
      <c r="I23" s="22">
        <v>-8.6181599999999995E-4</v>
      </c>
      <c r="J23" s="22">
        <v>13</v>
      </c>
      <c r="K23" s="22">
        <v>1.63361</v>
      </c>
      <c r="L23">
        <f t="shared" si="0"/>
        <v>0.86181599999999992</v>
      </c>
      <c r="M23">
        <f t="shared" si="1"/>
        <v>1.4086554883199998</v>
      </c>
      <c r="N23" s="9"/>
      <c r="O23" s="22">
        <v>-3.4484899999999999E-2</v>
      </c>
      <c r="P23" s="22">
        <v>9.8938500000000005</v>
      </c>
      <c r="Q23" s="22">
        <v>-2.0718400000000001E-2</v>
      </c>
      <c r="R23" s="22">
        <v>13</v>
      </c>
      <c r="S23" s="22">
        <v>-3.4903000000000003E-2</v>
      </c>
      <c r="T23">
        <f t="shared" si="2"/>
        <v>20.718400000000003</v>
      </c>
      <c r="U23">
        <f t="shared" si="3"/>
        <v>-0.71447195216000003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4.8213100000000004</v>
      </c>
      <c r="I24" s="22">
        <v>-9.5336900000000003E-4</v>
      </c>
      <c r="J24" s="22">
        <v>14</v>
      </c>
      <c r="K24" s="22">
        <v>1.6281099999999999</v>
      </c>
      <c r="L24">
        <f t="shared" si="0"/>
        <v>0.95336900000000002</v>
      </c>
      <c r="M24">
        <f t="shared" si="1"/>
        <v>1.5535052518100001</v>
      </c>
      <c r="N24" s="9"/>
      <c r="O24" s="22">
        <v>-2.94495E-2</v>
      </c>
      <c r="P24" s="22">
        <v>9.9039199999999994</v>
      </c>
      <c r="Q24" s="22">
        <v>-2.0700099999999999E-2</v>
      </c>
      <c r="R24" s="22">
        <v>14</v>
      </c>
      <c r="S24" s="22">
        <v>-2.9888899999999999E-2</v>
      </c>
      <c r="T24">
        <f t="shared" si="2"/>
        <v>20.700099999999999</v>
      </c>
      <c r="U24">
        <f t="shared" si="3"/>
        <v>-0.60960759494999994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4.8313800000000002</v>
      </c>
      <c r="I25" s="22">
        <v>-1.0467499999999999E-3</v>
      </c>
      <c r="J25" s="22">
        <v>15</v>
      </c>
      <c r="K25" s="22">
        <v>1.62384</v>
      </c>
      <c r="L25">
        <f t="shared" si="0"/>
        <v>1.0467499999999998</v>
      </c>
      <c r="M25">
        <f t="shared" si="1"/>
        <v>1.7003930374999996</v>
      </c>
      <c r="N25" s="9"/>
      <c r="O25" s="22">
        <v>-2.4414100000000001E-2</v>
      </c>
      <c r="P25" s="22">
        <v>9.9139900000000001</v>
      </c>
      <c r="Q25" s="22">
        <v>-2.06848E-2</v>
      </c>
      <c r="R25" s="22">
        <v>15</v>
      </c>
      <c r="S25" s="22">
        <v>-2.4865700000000001E-2</v>
      </c>
      <c r="T25">
        <f t="shared" si="2"/>
        <v>20.684799999999999</v>
      </c>
      <c r="U25">
        <f t="shared" si="3"/>
        <v>-0.50500077568000001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4.84145</v>
      </c>
      <c r="I26" s="22">
        <v>-1.1413599999999999E-3</v>
      </c>
      <c r="J26" s="22">
        <v>16</v>
      </c>
      <c r="K26" s="22">
        <v>1.6180399999999999</v>
      </c>
      <c r="L26">
        <f t="shared" si="0"/>
        <v>1.1413599999999999</v>
      </c>
      <c r="M26">
        <f t="shared" si="1"/>
        <v>1.8483412111999999</v>
      </c>
      <c r="N26" s="9"/>
      <c r="O26" s="22">
        <v>-1.9378699999999999E-2</v>
      </c>
      <c r="P26" s="22">
        <v>9.9240600000000008</v>
      </c>
      <c r="Q26" s="22">
        <v>-2.0663500000000001E-2</v>
      </c>
      <c r="R26" s="22">
        <v>16</v>
      </c>
      <c r="S26" s="22">
        <v>-1.9833400000000001E-2</v>
      </c>
      <c r="T26">
        <f t="shared" si="2"/>
        <v>20.663500000000003</v>
      </c>
      <c r="U26">
        <f t="shared" si="3"/>
        <v>-0.40043176745000003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4.8515199999999998</v>
      </c>
      <c r="I27" s="22">
        <v>-1.23291E-3</v>
      </c>
      <c r="J27" s="22">
        <v>17</v>
      </c>
      <c r="K27" s="22">
        <v>1.6137699999999999</v>
      </c>
      <c r="L27">
        <f t="shared" si="0"/>
        <v>1.23291</v>
      </c>
      <c r="M27">
        <f t="shared" si="1"/>
        <v>1.9903852457999998</v>
      </c>
      <c r="N27" s="9"/>
      <c r="O27" s="22">
        <v>-1.43433E-2</v>
      </c>
      <c r="P27" s="22">
        <v>9.9341299999999997</v>
      </c>
      <c r="Q27" s="22">
        <v>-2.06421E-2</v>
      </c>
      <c r="R27" s="22">
        <v>17</v>
      </c>
      <c r="S27" s="22">
        <v>-1.474E-2</v>
      </c>
      <c r="T27">
        <f t="shared" si="2"/>
        <v>20.642099999999999</v>
      </c>
      <c r="U27">
        <f t="shared" si="3"/>
        <v>-0.29607583293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4.8615899999999996</v>
      </c>
      <c r="I28" s="22">
        <v>-1.3266E-3</v>
      </c>
      <c r="J28" s="22">
        <v>18</v>
      </c>
      <c r="K28" s="22">
        <v>1.6082799999999999</v>
      </c>
      <c r="L28">
        <f t="shared" si="0"/>
        <v>1.3266</v>
      </c>
      <c r="M28">
        <f t="shared" si="1"/>
        <v>2.1349504439999998</v>
      </c>
      <c r="N28" s="9"/>
      <c r="O28" s="22">
        <v>-9.3078599999999994E-3</v>
      </c>
      <c r="P28" s="22">
        <v>9.9442000000000004</v>
      </c>
      <c r="Q28" s="22">
        <v>-2.0617699999999999E-2</v>
      </c>
      <c r="R28" s="22">
        <v>18</v>
      </c>
      <c r="S28" s="22">
        <v>-9.6893299999999995E-3</v>
      </c>
      <c r="T28">
        <f t="shared" si="2"/>
        <v>20.617699999999999</v>
      </c>
      <c r="U28">
        <f t="shared" si="3"/>
        <v>-0.19190666512199997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4.8716600000000003</v>
      </c>
      <c r="I29" s="22">
        <v>-1.41632E-3</v>
      </c>
      <c r="J29" s="22">
        <v>19</v>
      </c>
      <c r="K29" s="22">
        <v>1.6033900000000001</v>
      </c>
      <c r="L29">
        <f t="shared" si="0"/>
        <v>1.41632</v>
      </c>
      <c r="M29">
        <f t="shared" si="1"/>
        <v>2.2722163391999999</v>
      </c>
      <c r="N29" s="9"/>
      <c r="O29" s="22">
        <v>-4.2724599999999996E-3</v>
      </c>
      <c r="P29" s="22">
        <v>9.9542699999999993</v>
      </c>
      <c r="Q29" s="22">
        <v>-2.0596300000000001E-2</v>
      </c>
      <c r="R29" s="22">
        <v>19</v>
      </c>
      <c r="S29" s="22">
        <v>-4.6386700000000001E-3</v>
      </c>
      <c r="T29">
        <f t="shared" si="2"/>
        <v>20.596300000000003</v>
      </c>
      <c r="U29">
        <f t="shared" si="3"/>
        <v>-8.7996867898E-2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4.8817300000000001</v>
      </c>
      <c r="I30" s="22">
        <v>-1.51184E-3</v>
      </c>
      <c r="J30" s="22">
        <v>20</v>
      </c>
      <c r="K30" s="22">
        <v>1.5979000000000001</v>
      </c>
      <c r="L30">
        <f t="shared" si="0"/>
        <v>1.5118400000000001</v>
      </c>
      <c r="M30">
        <f t="shared" si="1"/>
        <v>2.4178403568000002</v>
      </c>
      <c r="N30" s="9"/>
      <c r="O30" s="22">
        <v>7.6293900000000002E-4</v>
      </c>
      <c r="P30" s="22">
        <v>9.96434</v>
      </c>
      <c r="Q30" s="22">
        <v>-2.0575E-2</v>
      </c>
      <c r="R30" s="22">
        <v>20</v>
      </c>
      <c r="S30" s="22">
        <v>3.9672900000000002E-4</v>
      </c>
      <c r="T30">
        <f t="shared" si="2"/>
        <v>20.574999999999999</v>
      </c>
      <c r="U30">
        <f t="shared" si="3"/>
        <v>1.5697469924999999E-2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4.8917999999999999</v>
      </c>
      <c r="I31" s="22">
        <v>-1.60278E-3</v>
      </c>
      <c r="J31" s="22">
        <v>21</v>
      </c>
      <c r="K31" s="22">
        <v>1.5930200000000001</v>
      </c>
      <c r="L31">
        <f t="shared" si="0"/>
        <v>1.6027800000000001</v>
      </c>
      <c r="M31">
        <f t="shared" si="1"/>
        <v>2.5552159872000004</v>
      </c>
      <c r="N31" s="9"/>
      <c r="O31" s="22">
        <v>5.7983399999999999E-3</v>
      </c>
      <c r="P31" s="22">
        <v>9.9744100000000007</v>
      </c>
      <c r="Q31" s="22">
        <v>-2.0553600000000002E-2</v>
      </c>
      <c r="R31" s="22">
        <v>21</v>
      </c>
      <c r="S31" s="22">
        <v>5.4748499999999999E-3</v>
      </c>
      <c r="T31">
        <f t="shared" si="2"/>
        <v>20.553600000000003</v>
      </c>
      <c r="U31">
        <f t="shared" si="3"/>
        <v>0.11917676102400002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4.9018699999999997</v>
      </c>
      <c r="I32" s="22">
        <v>-1.6922E-3</v>
      </c>
      <c r="J32" s="22">
        <v>22</v>
      </c>
      <c r="K32" s="22">
        <v>1.58813</v>
      </c>
      <c r="L32">
        <f t="shared" si="0"/>
        <v>1.6922000000000001</v>
      </c>
      <c r="M32">
        <f t="shared" si="1"/>
        <v>2.6892442400000003</v>
      </c>
      <c r="N32" s="9"/>
      <c r="O32" s="22">
        <v>1.08337E-2</v>
      </c>
      <c r="P32" s="22">
        <v>9.9844899999999992</v>
      </c>
      <c r="Q32" s="22">
        <v>-2.0538299999999999E-2</v>
      </c>
      <c r="R32" s="22">
        <v>22</v>
      </c>
      <c r="S32" s="22">
        <v>1.04797E-2</v>
      </c>
      <c r="T32">
        <f t="shared" si="2"/>
        <v>20.5383</v>
      </c>
      <c r="U32">
        <f t="shared" si="3"/>
        <v>0.22250578070999999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4.9119400000000004</v>
      </c>
      <c r="I33" s="22">
        <v>-1.78375E-3</v>
      </c>
      <c r="J33" s="22">
        <v>23</v>
      </c>
      <c r="K33" s="22">
        <v>1.5829500000000001</v>
      </c>
      <c r="L33">
        <f t="shared" si="0"/>
        <v>1.7837499999999999</v>
      </c>
      <c r="M33">
        <f t="shared" si="1"/>
        <v>2.8257632374999999</v>
      </c>
      <c r="N33" s="9"/>
      <c r="O33" s="22">
        <v>1.5869100000000001E-2</v>
      </c>
      <c r="P33" s="22">
        <v>9.9945599999999999</v>
      </c>
      <c r="Q33" s="22">
        <v>-2.052E-2</v>
      </c>
      <c r="R33" s="22">
        <v>23</v>
      </c>
      <c r="S33" s="22">
        <v>1.55365E-2</v>
      </c>
      <c r="T33">
        <f t="shared" si="2"/>
        <v>20.52</v>
      </c>
      <c r="U33">
        <f t="shared" si="3"/>
        <v>0.32563393200000001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4.9220199999999998</v>
      </c>
      <c r="I34" s="22">
        <v>-1.87714E-3</v>
      </c>
      <c r="J34" s="22">
        <v>24</v>
      </c>
      <c r="K34" s="22">
        <v>1.5783700000000001</v>
      </c>
      <c r="L34">
        <f t="shared" si="0"/>
        <v>1.87714</v>
      </c>
      <c r="M34">
        <f t="shared" si="1"/>
        <v>2.9642480881999997</v>
      </c>
      <c r="N34" s="9"/>
      <c r="O34" s="22">
        <v>2.0904499999999999E-2</v>
      </c>
      <c r="P34" s="22">
        <v>10.0046</v>
      </c>
      <c r="Q34" s="22">
        <v>-2.05048E-2</v>
      </c>
      <c r="R34" s="22">
        <v>24</v>
      </c>
      <c r="S34" s="22">
        <v>2.0593299999999998E-2</v>
      </c>
      <c r="T34">
        <f t="shared" si="2"/>
        <v>20.504799999999999</v>
      </c>
      <c r="U34">
        <f t="shared" si="3"/>
        <v>0.42864259159999996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4.9320899999999996</v>
      </c>
      <c r="I35" s="22">
        <v>-1.9674699999999998E-3</v>
      </c>
      <c r="J35" s="22">
        <v>25</v>
      </c>
      <c r="K35" s="22">
        <v>1.57318</v>
      </c>
      <c r="L35">
        <f t="shared" si="0"/>
        <v>1.9674699999999998</v>
      </c>
      <c r="M35">
        <f t="shared" si="1"/>
        <v>3.0969945269999997</v>
      </c>
      <c r="N35" s="9"/>
      <c r="O35" s="22">
        <v>2.5939899999999998E-2</v>
      </c>
      <c r="P35" s="22">
        <v>10.014699999999999</v>
      </c>
      <c r="Q35" s="22">
        <v>-2.0489500000000001E-2</v>
      </c>
      <c r="R35" s="22">
        <v>25</v>
      </c>
      <c r="S35" s="22">
        <v>2.5640900000000001E-2</v>
      </c>
      <c r="T35">
        <f t="shared" si="2"/>
        <v>20.4895</v>
      </c>
      <c r="U35">
        <f t="shared" si="3"/>
        <v>0.53149558104999994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4.9421600000000003</v>
      </c>
      <c r="I36" s="22">
        <v>-2.0574999999999999E-3</v>
      </c>
      <c r="J36" s="22">
        <v>26</v>
      </c>
      <c r="K36" s="22">
        <v>1.56799</v>
      </c>
      <c r="L36">
        <f t="shared" si="0"/>
        <v>2.0574999999999997</v>
      </c>
      <c r="M36">
        <f t="shared" si="1"/>
        <v>3.2283409499999993</v>
      </c>
      <c r="N36" s="9"/>
      <c r="O36" s="22">
        <v>3.0975300000000001E-2</v>
      </c>
      <c r="P36" s="22">
        <v>10.024800000000001</v>
      </c>
      <c r="Q36" s="22">
        <v>-2.0468099999999999E-2</v>
      </c>
      <c r="R36" s="22">
        <v>26</v>
      </c>
      <c r="S36" s="22">
        <v>3.0700700000000001E-2</v>
      </c>
      <c r="T36">
        <f t="shared" si="2"/>
        <v>20.4681</v>
      </c>
      <c r="U36">
        <f t="shared" si="3"/>
        <v>0.63400553793000003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4.9522300000000001</v>
      </c>
      <c r="I37" s="22">
        <v>-2.1530199999999998E-3</v>
      </c>
      <c r="J37" s="22">
        <v>27</v>
      </c>
      <c r="K37" s="22">
        <v>1.56372</v>
      </c>
      <c r="L37">
        <f t="shared" si="0"/>
        <v>2.1530199999999997</v>
      </c>
      <c r="M37">
        <f t="shared" si="1"/>
        <v>3.3673878705999996</v>
      </c>
      <c r="N37" s="9"/>
      <c r="O37" s="22">
        <v>3.60107E-2</v>
      </c>
      <c r="P37" s="22">
        <v>10.034800000000001</v>
      </c>
      <c r="Q37" s="22">
        <v>-2.0446800000000001E-2</v>
      </c>
      <c r="R37" s="22">
        <v>27</v>
      </c>
      <c r="S37" s="22">
        <v>3.5729999999999998E-2</v>
      </c>
      <c r="T37">
        <f t="shared" si="2"/>
        <v>20.4468</v>
      </c>
      <c r="U37">
        <f t="shared" si="3"/>
        <v>0.73630358076000002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4.9622999999999999</v>
      </c>
      <c r="I38" s="22">
        <v>-2.2421300000000002E-3</v>
      </c>
      <c r="J38" s="22">
        <v>28</v>
      </c>
      <c r="K38" s="22">
        <v>1.55792</v>
      </c>
      <c r="L38">
        <f t="shared" si="0"/>
        <v>2.24213</v>
      </c>
      <c r="M38">
        <f t="shared" si="1"/>
        <v>3.4954582487000003</v>
      </c>
      <c r="N38" s="9"/>
      <c r="O38" s="22">
        <v>4.1046100000000002E-2</v>
      </c>
      <c r="P38" s="22">
        <v>10.0449</v>
      </c>
      <c r="Q38" s="22">
        <v>-2.0431499999999998E-2</v>
      </c>
      <c r="R38" s="22">
        <v>28</v>
      </c>
      <c r="S38" s="22">
        <v>4.0795900000000003E-2</v>
      </c>
      <c r="T38">
        <f t="shared" si="2"/>
        <v>20.4315</v>
      </c>
      <c r="U38">
        <f t="shared" si="3"/>
        <v>0.83863339214999999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4.9723699999999997</v>
      </c>
      <c r="I39" s="22">
        <v>-2.33337E-3</v>
      </c>
      <c r="J39" s="22">
        <v>29</v>
      </c>
      <c r="K39" s="22">
        <v>1.55304</v>
      </c>
      <c r="L39">
        <f t="shared" si="0"/>
        <v>2.3333699999999999</v>
      </c>
      <c r="M39">
        <f t="shared" si="1"/>
        <v>3.6259636452000001</v>
      </c>
      <c r="N39" s="9"/>
      <c r="O39" s="22">
        <v>4.6081499999999997E-2</v>
      </c>
      <c r="P39" s="22">
        <v>10.055</v>
      </c>
      <c r="Q39" s="22">
        <v>-2.04102E-2</v>
      </c>
      <c r="R39" s="22">
        <v>29</v>
      </c>
      <c r="S39" s="22">
        <v>4.5813E-2</v>
      </c>
      <c r="T39">
        <f t="shared" si="2"/>
        <v>20.4102</v>
      </c>
      <c r="U39">
        <f t="shared" si="3"/>
        <v>0.94053263129999998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4.9824400000000004</v>
      </c>
      <c r="I40" s="22">
        <v>-2.4258399999999999E-3</v>
      </c>
      <c r="J40" s="22">
        <v>30</v>
      </c>
      <c r="K40" s="22">
        <v>1.54816</v>
      </c>
      <c r="L40">
        <f t="shared" si="0"/>
        <v>2.42584</v>
      </c>
      <c r="M40">
        <f t="shared" si="1"/>
        <v>3.7574320928000002</v>
      </c>
      <c r="N40" s="9"/>
      <c r="O40" s="22">
        <v>5.11169E-2</v>
      </c>
      <c r="P40" s="22">
        <v>10.065099999999999</v>
      </c>
      <c r="Q40" s="22">
        <v>-2.0391800000000002E-2</v>
      </c>
      <c r="R40" s="22">
        <v>30</v>
      </c>
      <c r="S40" s="22">
        <v>5.0891100000000002E-2</v>
      </c>
      <c r="T40">
        <f t="shared" si="2"/>
        <v>20.3918</v>
      </c>
      <c r="U40">
        <f t="shared" si="3"/>
        <v>1.04236560142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4.9925100000000002</v>
      </c>
      <c r="I41" s="22">
        <v>-2.5183100000000002E-3</v>
      </c>
      <c r="J41" s="22">
        <v>31</v>
      </c>
      <c r="K41" s="22">
        <v>1.54297</v>
      </c>
      <c r="L41">
        <f t="shared" si="0"/>
        <v>2.51831</v>
      </c>
      <c r="M41">
        <f t="shared" si="1"/>
        <v>3.8879684428000001</v>
      </c>
      <c r="N41" s="9"/>
      <c r="O41" s="22">
        <v>5.6152300000000002E-2</v>
      </c>
      <c r="P41" s="22">
        <v>10.075100000000001</v>
      </c>
      <c r="Q41" s="22">
        <v>-2.0376600000000002E-2</v>
      </c>
      <c r="R41" s="22">
        <v>31</v>
      </c>
      <c r="S41" s="22">
        <v>5.5358900000000003E-2</v>
      </c>
      <c r="T41">
        <f t="shared" si="2"/>
        <v>20.376600000000003</v>
      </c>
      <c r="U41">
        <f t="shared" si="3"/>
        <v>1.1441929561800002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5.00258</v>
      </c>
      <c r="I42" s="22">
        <v>-2.6074200000000001E-3</v>
      </c>
      <c r="J42" s="22">
        <v>32</v>
      </c>
      <c r="K42" s="22">
        <v>1.53809</v>
      </c>
      <c r="L42">
        <f t="shared" si="0"/>
        <v>2.6074199999999998</v>
      </c>
      <c r="M42">
        <f t="shared" si="1"/>
        <v>4.0124282669999998</v>
      </c>
      <c r="N42" s="9"/>
      <c r="O42" s="22">
        <v>6.1187699999999998E-2</v>
      </c>
      <c r="P42" s="22">
        <v>10.0852</v>
      </c>
      <c r="Q42" s="22">
        <v>-2.0361299999999999E-2</v>
      </c>
      <c r="R42" s="22">
        <v>32</v>
      </c>
      <c r="S42" s="22">
        <v>6.0363800000000002E-2</v>
      </c>
      <c r="T42">
        <f t="shared" si="2"/>
        <v>20.3613</v>
      </c>
      <c r="U42">
        <f t="shared" si="3"/>
        <v>1.2458611160099999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5.0126499999999998</v>
      </c>
      <c r="I43" s="22">
        <v>-2.7011100000000001E-3</v>
      </c>
      <c r="J43" s="22">
        <v>33</v>
      </c>
      <c r="K43" s="22">
        <v>1.5328999999999999</v>
      </c>
      <c r="L43">
        <f t="shared" si="0"/>
        <v>2.7011099999999999</v>
      </c>
      <c r="M43">
        <f t="shared" si="1"/>
        <v>4.1429895290999994</v>
      </c>
      <c r="N43" s="9"/>
      <c r="O43" s="22">
        <v>6.6223099999999993E-2</v>
      </c>
      <c r="P43" s="22">
        <v>10.0953</v>
      </c>
      <c r="Q43" s="22">
        <v>-2.0346099999999999E-2</v>
      </c>
      <c r="R43" s="22">
        <v>33</v>
      </c>
      <c r="S43" s="22">
        <v>6.5399200000000005E-2</v>
      </c>
      <c r="T43">
        <f t="shared" si="2"/>
        <v>20.3461</v>
      </c>
      <c r="U43">
        <f t="shared" si="3"/>
        <v>1.3473818149099999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5.0227300000000001</v>
      </c>
      <c r="I44" s="22">
        <v>-2.7941900000000002E-3</v>
      </c>
      <c r="J44" s="22">
        <v>34</v>
      </c>
      <c r="K44" s="22">
        <v>1.5277099999999999</v>
      </c>
      <c r="L44">
        <f t="shared" si="0"/>
        <v>2.7941900000000004</v>
      </c>
      <c r="M44">
        <f t="shared" si="1"/>
        <v>4.2717017882000006</v>
      </c>
      <c r="N44" s="9"/>
      <c r="O44" s="22">
        <v>7.1258500000000002E-2</v>
      </c>
      <c r="P44" s="22">
        <v>10.1053</v>
      </c>
      <c r="Q44" s="22">
        <v>-2.03278E-2</v>
      </c>
      <c r="R44" s="22">
        <v>34</v>
      </c>
      <c r="S44" s="22">
        <v>7.04346E-2</v>
      </c>
      <c r="T44">
        <f t="shared" si="2"/>
        <v>20.3278</v>
      </c>
      <c r="U44">
        <f t="shared" si="3"/>
        <v>1.4485285363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5.0327999999999999</v>
      </c>
      <c r="I45" s="22">
        <v>-2.8875699999999999E-3</v>
      </c>
      <c r="J45" s="22">
        <v>35</v>
      </c>
      <c r="K45" s="22">
        <v>1.5228299999999999</v>
      </c>
      <c r="L45">
        <f t="shared" si="0"/>
        <v>2.8875699999999997</v>
      </c>
      <c r="M45">
        <f t="shared" si="1"/>
        <v>4.3999059117999995</v>
      </c>
      <c r="N45" s="9"/>
      <c r="O45" s="22">
        <v>7.6293899999999998E-2</v>
      </c>
      <c r="P45" s="22">
        <v>10.115399999999999</v>
      </c>
      <c r="Q45" s="22">
        <v>-2.0309399999999998E-2</v>
      </c>
      <c r="R45" s="22">
        <v>35</v>
      </c>
      <c r="S45" s="22">
        <v>7.5531000000000001E-2</v>
      </c>
      <c r="T45">
        <f t="shared" si="2"/>
        <v>20.309399999999997</v>
      </c>
      <c r="U45">
        <f t="shared" si="3"/>
        <v>1.5494833326599997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5.0428699999999997</v>
      </c>
      <c r="I46" s="22">
        <v>-2.9776E-3</v>
      </c>
      <c r="J46" s="22">
        <v>36</v>
      </c>
      <c r="K46" s="22">
        <v>1.5176400000000001</v>
      </c>
      <c r="L46">
        <f t="shared" si="0"/>
        <v>2.9775999999999998</v>
      </c>
      <c r="M46">
        <f t="shared" si="1"/>
        <v>4.522110896</v>
      </c>
      <c r="N46" s="9"/>
      <c r="O46" s="22">
        <v>8.1329299999999993E-2</v>
      </c>
      <c r="P46" s="22">
        <v>10.125500000000001</v>
      </c>
      <c r="Q46" s="22">
        <v>-2.0285000000000001E-2</v>
      </c>
      <c r="R46" s="22">
        <v>36</v>
      </c>
      <c r="S46" s="22">
        <v>8.0535899999999994E-2</v>
      </c>
      <c r="T46">
        <f t="shared" si="2"/>
        <v>20.285</v>
      </c>
      <c r="U46">
        <f t="shared" si="3"/>
        <v>1.6497648504999998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5.0529400000000004</v>
      </c>
      <c r="I47" s="22">
        <v>-3.07281E-3</v>
      </c>
      <c r="J47" s="22">
        <v>37</v>
      </c>
      <c r="K47" s="22">
        <v>1.5124500000000001</v>
      </c>
      <c r="L47">
        <f t="shared" si="0"/>
        <v>3.07281</v>
      </c>
      <c r="M47">
        <f t="shared" si="1"/>
        <v>4.6512203127000005</v>
      </c>
      <c r="N47" s="9"/>
      <c r="O47" s="22">
        <v>8.6364700000000003E-2</v>
      </c>
      <c r="P47" s="22">
        <v>10.1356</v>
      </c>
      <c r="Q47" s="22">
        <v>-2.0263699999999999E-2</v>
      </c>
      <c r="R47" s="22">
        <v>37</v>
      </c>
      <c r="S47" s="22">
        <v>8.5571300000000003E-2</v>
      </c>
      <c r="T47">
        <f t="shared" si="2"/>
        <v>20.2637</v>
      </c>
      <c r="U47">
        <f t="shared" si="3"/>
        <v>1.75006837139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5.0630100000000002</v>
      </c>
      <c r="I48" s="22">
        <v>-3.1628400000000001E-3</v>
      </c>
      <c r="J48" s="22">
        <v>38</v>
      </c>
      <c r="K48" s="22">
        <v>1.5081800000000001</v>
      </c>
      <c r="L48">
        <f t="shared" si="0"/>
        <v>3.1628400000000001</v>
      </c>
      <c r="M48">
        <f t="shared" si="1"/>
        <v>4.7715869376000004</v>
      </c>
      <c r="N48" s="9"/>
      <c r="O48" s="22">
        <v>9.1400099999999998E-2</v>
      </c>
      <c r="P48" s="22">
        <v>10.1456</v>
      </c>
      <c r="Q48" s="22">
        <v>-2.02454E-2</v>
      </c>
      <c r="R48" s="22">
        <v>38</v>
      </c>
      <c r="S48" s="22">
        <v>9.0576199999999996E-2</v>
      </c>
      <c r="T48">
        <f t="shared" si="2"/>
        <v>20.2454</v>
      </c>
      <c r="U48">
        <f t="shared" si="3"/>
        <v>1.8504315845399999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5.07308</v>
      </c>
      <c r="I49" s="22">
        <v>-3.25195E-3</v>
      </c>
      <c r="J49" s="22">
        <v>39</v>
      </c>
      <c r="K49" s="22">
        <v>1.5026900000000001</v>
      </c>
      <c r="L49">
        <f t="shared" si="0"/>
        <v>3.2519499999999999</v>
      </c>
      <c r="M49">
        <f t="shared" si="1"/>
        <v>4.8896320199999996</v>
      </c>
      <c r="N49" s="9"/>
      <c r="O49" s="22">
        <v>9.6435499999999993E-2</v>
      </c>
      <c r="P49" s="22">
        <v>10.1557</v>
      </c>
      <c r="Q49" s="22">
        <v>-2.0223999999999999E-2</v>
      </c>
      <c r="R49" s="22">
        <v>39</v>
      </c>
      <c r="S49" s="22">
        <v>9.5611600000000005E-2</v>
      </c>
      <c r="T49">
        <f t="shared" si="2"/>
        <v>20.224</v>
      </c>
      <c r="U49">
        <f t="shared" si="3"/>
        <v>1.9503115519999998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5.0831499999999998</v>
      </c>
      <c r="I50" s="22">
        <v>-3.3462499999999998E-3</v>
      </c>
      <c r="J50" s="22">
        <v>40</v>
      </c>
      <c r="K50" s="22">
        <v>1.4975000000000001</v>
      </c>
      <c r="L50">
        <f t="shared" si="0"/>
        <v>3.3462499999999999</v>
      </c>
      <c r="M50">
        <f t="shared" si="1"/>
        <v>5.0145898624999994</v>
      </c>
      <c r="N50" s="9"/>
      <c r="O50" s="22">
        <v>0.10147100000000001</v>
      </c>
      <c r="P50" s="22">
        <v>10.165800000000001</v>
      </c>
      <c r="Q50" s="22">
        <v>-2.02057E-2</v>
      </c>
      <c r="R50" s="22">
        <v>40</v>
      </c>
      <c r="S50" s="22">
        <v>0.10058599999999999</v>
      </c>
      <c r="T50">
        <f t="shared" si="2"/>
        <v>20.2057</v>
      </c>
      <c r="U50">
        <f t="shared" si="3"/>
        <v>2.0502925847000002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5.0932199999999996</v>
      </c>
      <c r="I51" s="22">
        <v>-3.43597E-3</v>
      </c>
      <c r="J51" s="22">
        <v>41</v>
      </c>
      <c r="K51" s="22">
        <v>1.492</v>
      </c>
      <c r="L51">
        <f t="shared" si="0"/>
        <v>3.4359700000000002</v>
      </c>
      <c r="M51">
        <f t="shared" si="1"/>
        <v>5.1317242741000006</v>
      </c>
      <c r="N51" s="9"/>
      <c r="O51" s="22">
        <v>0.106506</v>
      </c>
      <c r="P51" s="22">
        <v>10.175800000000001</v>
      </c>
      <c r="Q51" s="22">
        <v>-2.0184299999999999E-2</v>
      </c>
      <c r="R51" s="22">
        <v>41</v>
      </c>
      <c r="S51" s="22">
        <v>0.105713</v>
      </c>
      <c r="T51">
        <f t="shared" si="2"/>
        <v>20.1843</v>
      </c>
      <c r="U51">
        <f t="shared" si="3"/>
        <v>2.1497490558000001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5.1032900000000003</v>
      </c>
      <c r="I52" s="22">
        <v>-3.5253900000000002E-3</v>
      </c>
      <c r="J52" s="22">
        <v>42</v>
      </c>
      <c r="K52" s="22">
        <v>1.48743</v>
      </c>
      <c r="L52">
        <f t="shared" si="0"/>
        <v>3.5253900000000002</v>
      </c>
      <c r="M52">
        <f t="shared" si="1"/>
        <v>5.2475077611000005</v>
      </c>
      <c r="N52" s="9"/>
      <c r="O52" s="22">
        <v>0.111542</v>
      </c>
      <c r="P52" s="22">
        <v>10.1859</v>
      </c>
      <c r="Q52" s="22">
        <v>-2.0156899999999998E-2</v>
      </c>
      <c r="R52" s="22">
        <v>42</v>
      </c>
      <c r="S52" s="22">
        <v>0.11068699999999999</v>
      </c>
      <c r="T52">
        <f t="shared" si="2"/>
        <v>20.156899999999997</v>
      </c>
      <c r="U52">
        <f t="shared" si="3"/>
        <v>2.2483409397999998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5.1133600000000001</v>
      </c>
      <c r="I53" s="22">
        <v>-3.6193800000000002E-3</v>
      </c>
      <c r="J53" s="22">
        <v>43</v>
      </c>
      <c r="K53" s="22">
        <v>1.48254</v>
      </c>
      <c r="L53">
        <f t="shared" si="0"/>
        <v>3.61938</v>
      </c>
      <c r="M53">
        <f t="shared" si="1"/>
        <v>5.3692054548000003</v>
      </c>
      <c r="N53" s="9"/>
      <c r="O53" s="22">
        <v>0.116577</v>
      </c>
      <c r="P53" s="22">
        <v>10.196</v>
      </c>
      <c r="Q53" s="22">
        <v>-2.01385E-2</v>
      </c>
      <c r="R53" s="22">
        <v>43</v>
      </c>
      <c r="S53" s="22">
        <v>0.115814</v>
      </c>
      <c r="T53">
        <f t="shared" si="2"/>
        <v>20.138500000000001</v>
      </c>
      <c r="U53">
        <f t="shared" si="3"/>
        <v>2.3476859145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5.1234400000000004</v>
      </c>
      <c r="I54" s="22">
        <v>-3.7100200000000001E-3</v>
      </c>
      <c r="J54" s="22">
        <v>44</v>
      </c>
      <c r="K54" s="22">
        <v>1.47766</v>
      </c>
      <c r="L54">
        <f t="shared" si="0"/>
        <v>3.7100200000000001</v>
      </c>
      <c r="M54">
        <f t="shared" si="1"/>
        <v>5.4849677684000007</v>
      </c>
      <c r="N54" s="9"/>
      <c r="O54" s="22">
        <v>0.121613</v>
      </c>
      <c r="P54" s="22">
        <v>10.206</v>
      </c>
      <c r="Q54" s="22">
        <v>-2.0120200000000001E-2</v>
      </c>
      <c r="R54" s="22">
        <v>44</v>
      </c>
      <c r="S54" s="22">
        <v>0.12085</v>
      </c>
      <c r="T54">
        <f t="shared" si="2"/>
        <v>20.120200000000001</v>
      </c>
      <c r="U54">
        <f t="shared" si="3"/>
        <v>2.4468778825999999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5.1335100000000002</v>
      </c>
      <c r="I55" s="22">
        <v>-3.8003500000000001E-3</v>
      </c>
      <c r="J55" s="22">
        <v>45</v>
      </c>
      <c r="K55" s="22">
        <v>1.47278</v>
      </c>
      <c r="L55">
        <f t="shared" si="0"/>
        <v>3.8003499999999999</v>
      </c>
      <c r="M55">
        <f t="shared" si="1"/>
        <v>5.5993976864999997</v>
      </c>
      <c r="N55" s="9"/>
      <c r="O55" s="22">
        <v>0.12664800000000001</v>
      </c>
      <c r="P55" s="22">
        <v>10.216100000000001</v>
      </c>
      <c r="Q55" s="22">
        <v>-2.0108000000000001E-2</v>
      </c>
      <c r="R55" s="22">
        <v>45</v>
      </c>
      <c r="S55" s="22">
        <v>0.12582399999999999</v>
      </c>
      <c r="T55">
        <f t="shared" si="2"/>
        <v>20.108000000000001</v>
      </c>
      <c r="U55">
        <f t="shared" si="3"/>
        <v>2.5466379840000002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5.14358</v>
      </c>
      <c r="I56" s="22">
        <v>-3.8900800000000002E-3</v>
      </c>
      <c r="J56" s="22">
        <v>46</v>
      </c>
      <c r="K56" s="22">
        <v>1.46729</v>
      </c>
      <c r="L56">
        <f t="shared" si="0"/>
        <v>3.8900800000000002</v>
      </c>
      <c r="M56">
        <f t="shared" si="1"/>
        <v>5.7119989680000005</v>
      </c>
      <c r="N56" s="9"/>
      <c r="O56" s="22">
        <v>0.13168299999999999</v>
      </c>
      <c r="P56" s="22">
        <v>10.2262</v>
      </c>
      <c r="Q56" s="22">
        <v>-2.00958E-2</v>
      </c>
      <c r="R56" s="22">
        <v>46</v>
      </c>
      <c r="S56" s="22">
        <v>0.13092000000000001</v>
      </c>
      <c r="T56">
        <f t="shared" si="2"/>
        <v>20.095800000000001</v>
      </c>
      <c r="U56">
        <f t="shared" si="3"/>
        <v>2.6462752313999998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5.1536499999999998</v>
      </c>
      <c r="I57" s="22">
        <v>-3.9828499999999996E-3</v>
      </c>
      <c r="J57" s="22">
        <v>47</v>
      </c>
      <c r="K57" s="22">
        <v>1.46332</v>
      </c>
      <c r="L57">
        <f t="shared" si="0"/>
        <v>3.9828499999999996</v>
      </c>
      <c r="M57">
        <f t="shared" si="1"/>
        <v>5.8281840619999992</v>
      </c>
      <c r="N57" s="9"/>
      <c r="O57" s="22">
        <v>0.13671900000000001</v>
      </c>
      <c r="P57" s="22">
        <v>10.2363</v>
      </c>
      <c r="Q57" s="22">
        <v>-2.0074499999999999E-2</v>
      </c>
      <c r="R57" s="22">
        <v>47</v>
      </c>
      <c r="S57" s="22">
        <v>0.13589499999999999</v>
      </c>
      <c r="T57">
        <f t="shared" si="2"/>
        <v>20.074499999999997</v>
      </c>
      <c r="U57">
        <f t="shared" si="3"/>
        <v>2.7445655654999999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5.1637199999999996</v>
      </c>
      <c r="I58" s="22">
        <v>-4.0753200000000003E-3</v>
      </c>
      <c r="J58" s="22">
        <v>48</v>
      </c>
      <c r="K58" s="22">
        <v>1.4578199999999999</v>
      </c>
      <c r="L58">
        <f t="shared" si="0"/>
        <v>4.0753200000000005</v>
      </c>
      <c r="M58">
        <f t="shared" si="1"/>
        <v>5.9429576496000012</v>
      </c>
      <c r="N58" s="9"/>
      <c r="O58" s="22">
        <v>0.14175399999999999</v>
      </c>
      <c r="P58" s="22">
        <v>10.2463</v>
      </c>
      <c r="Q58" s="22">
        <v>-2.0053100000000001E-2</v>
      </c>
      <c r="R58" s="22">
        <v>48</v>
      </c>
      <c r="S58" s="22">
        <v>0.14099100000000001</v>
      </c>
      <c r="T58">
        <f t="shared" si="2"/>
        <v>20.053100000000001</v>
      </c>
      <c r="U58">
        <f t="shared" si="3"/>
        <v>2.8426071373999999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5.1737900000000003</v>
      </c>
      <c r="I59" s="22">
        <v>-4.1671800000000004E-3</v>
      </c>
      <c r="J59" s="22">
        <v>49</v>
      </c>
      <c r="K59" s="22">
        <v>1.4520299999999999</v>
      </c>
      <c r="L59">
        <f t="shared" si="0"/>
        <v>4.1671800000000001</v>
      </c>
      <c r="M59">
        <f t="shared" si="1"/>
        <v>6.055954335</v>
      </c>
      <c r="N59" s="9"/>
      <c r="O59" s="22">
        <v>0.14679</v>
      </c>
      <c r="P59" s="22">
        <v>10.256399999999999</v>
      </c>
      <c r="Q59" s="22">
        <v>-2.0034799999999998E-2</v>
      </c>
      <c r="R59" s="22">
        <v>49</v>
      </c>
      <c r="S59" s="22">
        <v>0.14596600000000001</v>
      </c>
      <c r="T59">
        <f t="shared" si="2"/>
        <v>20.034799999999997</v>
      </c>
      <c r="U59">
        <f t="shared" si="3"/>
        <v>2.9409082919999996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5.1838600000000001</v>
      </c>
      <c r="I60" s="22">
        <v>-4.2569000000000001E-3</v>
      </c>
      <c r="J60" s="22">
        <v>50</v>
      </c>
      <c r="K60" s="22">
        <v>1.4468399999999999</v>
      </c>
      <c r="L60">
        <f t="shared" si="0"/>
        <v>4.2568999999999999</v>
      </c>
      <c r="M60">
        <f t="shared" si="1"/>
        <v>6.1648851489999998</v>
      </c>
      <c r="N60" s="9"/>
      <c r="O60" s="22">
        <v>0.15182499999999999</v>
      </c>
      <c r="P60" s="22">
        <v>10.266500000000001</v>
      </c>
      <c r="Q60" s="22">
        <v>-2.0010400000000001E-2</v>
      </c>
      <c r="R60" s="22">
        <v>50</v>
      </c>
      <c r="S60" s="22">
        <v>0.151031</v>
      </c>
      <c r="T60">
        <f t="shared" si="2"/>
        <v>20.010400000000001</v>
      </c>
      <c r="U60">
        <f t="shared" si="3"/>
        <v>3.0380789799999999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5.1939299999999999</v>
      </c>
      <c r="I61" s="22">
        <v>-4.3524200000000001E-3</v>
      </c>
      <c r="J61" s="22">
        <v>51</v>
      </c>
      <c r="K61" s="22">
        <v>1.4422600000000001</v>
      </c>
      <c r="L61">
        <f t="shared" si="0"/>
        <v>4.3524200000000004</v>
      </c>
      <c r="M61">
        <f t="shared" si="1"/>
        <v>6.2813254956</v>
      </c>
      <c r="N61" s="9"/>
      <c r="O61" s="22">
        <v>0.15686</v>
      </c>
      <c r="P61" s="22">
        <v>10.2765</v>
      </c>
      <c r="Q61" s="22">
        <v>-1.9992099999999999E-2</v>
      </c>
      <c r="R61" s="22">
        <v>51</v>
      </c>
      <c r="S61" s="22">
        <v>0.15603600000000001</v>
      </c>
      <c r="T61">
        <f t="shared" si="2"/>
        <v>19.992099999999997</v>
      </c>
      <c r="U61">
        <f t="shared" si="3"/>
        <v>3.1359608059999995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5.2039999999999997</v>
      </c>
      <c r="I62" s="22">
        <v>-4.4403100000000003E-3</v>
      </c>
      <c r="J62" s="22">
        <v>52</v>
      </c>
      <c r="K62" s="22">
        <v>1.4367700000000001</v>
      </c>
      <c r="L62">
        <f t="shared" si="0"/>
        <v>4.4403100000000002</v>
      </c>
      <c r="M62">
        <f t="shared" si="1"/>
        <v>6.3857874234000001</v>
      </c>
      <c r="N62" s="9"/>
      <c r="O62" s="22">
        <v>0.16189600000000001</v>
      </c>
      <c r="P62" s="22">
        <v>10.2866</v>
      </c>
      <c r="Q62" s="22">
        <v>-1.99738E-2</v>
      </c>
      <c r="R62" s="22">
        <v>52</v>
      </c>
      <c r="S62" s="22">
        <v>0.161102</v>
      </c>
      <c r="T62">
        <f t="shared" si="2"/>
        <v>19.973800000000001</v>
      </c>
      <c r="U62">
        <f t="shared" si="3"/>
        <v>3.2336783248000005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5.2140700000000004</v>
      </c>
      <c r="I63" s="22">
        <v>-4.5288100000000003E-3</v>
      </c>
      <c r="J63" s="22">
        <v>53</v>
      </c>
      <c r="K63" s="22">
        <v>1.4321900000000001</v>
      </c>
      <c r="L63">
        <f t="shared" si="0"/>
        <v>4.52881</v>
      </c>
      <c r="M63">
        <f t="shared" si="1"/>
        <v>6.4902828991000003</v>
      </c>
      <c r="N63" s="9"/>
      <c r="O63" s="22">
        <v>0.166931</v>
      </c>
      <c r="P63" s="22">
        <v>10.2967</v>
      </c>
      <c r="Q63" s="22">
        <v>-1.9952399999999999E-2</v>
      </c>
      <c r="R63" s="22">
        <v>53</v>
      </c>
      <c r="S63" s="22">
        <v>0.166107</v>
      </c>
      <c r="T63">
        <f t="shared" si="2"/>
        <v>19.952399999999997</v>
      </c>
      <c r="U63">
        <f t="shared" si="3"/>
        <v>3.3306740843999996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5.2241499999999998</v>
      </c>
      <c r="I64" s="22">
        <v>-4.6191399999999999E-3</v>
      </c>
      <c r="J64" s="22">
        <v>54</v>
      </c>
      <c r="K64" s="22">
        <v>1.427</v>
      </c>
      <c r="L64">
        <f t="shared" si="0"/>
        <v>4.6191399999999998</v>
      </c>
      <c r="M64">
        <f t="shared" si="1"/>
        <v>6.5964552597999999</v>
      </c>
      <c r="N64" s="9"/>
      <c r="O64" s="22">
        <v>0.17196700000000001</v>
      </c>
      <c r="P64" s="22">
        <v>10.306800000000001</v>
      </c>
      <c r="Q64" s="22">
        <v>-1.9928000000000001E-2</v>
      </c>
      <c r="R64" s="22">
        <v>54</v>
      </c>
      <c r="S64" s="22">
        <v>0.17111199999999999</v>
      </c>
      <c r="T64">
        <f t="shared" si="2"/>
        <v>19.928000000000001</v>
      </c>
      <c r="U64">
        <f t="shared" si="3"/>
        <v>3.4269583760000004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5.2342199999999997</v>
      </c>
      <c r="I65" s="22">
        <v>-4.7149699999999998E-3</v>
      </c>
      <c r="J65" s="22">
        <v>55</v>
      </c>
      <c r="K65" s="22">
        <v>1.42242</v>
      </c>
      <c r="L65">
        <f t="shared" si="0"/>
        <v>4.7149700000000001</v>
      </c>
      <c r="M65">
        <f t="shared" si="1"/>
        <v>6.7095437591000007</v>
      </c>
      <c r="N65" s="9"/>
      <c r="O65" s="22">
        <v>0.17700199999999999</v>
      </c>
      <c r="P65" s="22">
        <v>10.316800000000001</v>
      </c>
      <c r="Q65" s="22">
        <v>-1.99066E-2</v>
      </c>
      <c r="R65" s="22">
        <v>55</v>
      </c>
      <c r="S65" s="22">
        <v>0.176208</v>
      </c>
      <c r="T65">
        <f t="shared" si="2"/>
        <v>19.906600000000001</v>
      </c>
      <c r="U65">
        <f t="shared" si="3"/>
        <v>3.5235080131999998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5.2442900000000003</v>
      </c>
      <c r="I66" s="22">
        <v>-4.8056000000000001E-3</v>
      </c>
      <c r="J66" s="22">
        <v>56</v>
      </c>
      <c r="K66" s="22">
        <v>1.4172400000000001</v>
      </c>
      <c r="L66">
        <f t="shared" si="0"/>
        <v>4.8056000000000001</v>
      </c>
      <c r="M66">
        <f t="shared" si="1"/>
        <v>6.8143408000000001</v>
      </c>
      <c r="N66" s="9"/>
      <c r="O66" s="22">
        <v>0.182037</v>
      </c>
      <c r="P66" s="22">
        <v>10.3269</v>
      </c>
      <c r="Q66" s="22">
        <v>-1.9885300000000002E-2</v>
      </c>
      <c r="R66" s="22">
        <v>56</v>
      </c>
      <c r="S66" s="22">
        <v>0.18121300000000001</v>
      </c>
      <c r="T66">
        <f t="shared" si="2"/>
        <v>19.885300000000001</v>
      </c>
      <c r="U66">
        <f t="shared" si="3"/>
        <v>3.6198603561000002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5.2543600000000001</v>
      </c>
      <c r="I67" s="22">
        <v>-4.8986799999999999E-3</v>
      </c>
      <c r="J67" s="22">
        <v>57</v>
      </c>
      <c r="K67" s="22">
        <v>1.41205</v>
      </c>
      <c r="L67">
        <f t="shared" si="0"/>
        <v>4.8986799999999997</v>
      </c>
      <c r="M67">
        <f t="shared" si="1"/>
        <v>6.9216388927999999</v>
      </c>
      <c r="N67" s="9"/>
      <c r="O67" s="22">
        <v>0.18707299999999999</v>
      </c>
      <c r="P67" s="22">
        <v>10.337</v>
      </c>
      <c r="Q67" s="22">
        <v>-1.9860800000000001E-2</v>
      </c>
      <c r="R67" s="22">
        <v>57</v>
      </c>
      <c r="S67" s="22">
        <v>0.186279</v>
      </c>
      <c r="T67">
        <f t="shared" si="2"/>
        <v>19.860800000000001</v>
      </c>
      <c r="U67">
        <f t="shared" si="3"/>
        <v>3.7154194384000001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5.2644299999999999</v>
      </c>
      <c r="I68" s="22">
        <v>-4.9877899999999998E-3</v>
      </c>
      <c r="J68" s="22">
        <v>58</v>
      </c>
      <c r="K68" s="22">
        <v>1.40747</v>
      </c>
      <c r="L68">
        <f t="shared" si="0"/>
        <v>4.9877899999999995</v>
      </c>
      <c r="M68">
        <f t="shared" si="1"/>
        <v>7.0224591746999989</v>
      </c>
      <c r="N68" s="9"/>
      <c r="O68" s="22">
        <v>0.192108</v>
      </c>
      <c r="P68" s="22">
        <v>10.347</v>
      </c>
      <c r="Q68" s="22">
        <v>-1.9839499999999999E-2</v>
      </c>
      <c r="R68" s="22">
        <v>58</v>
      </c>
      <c r="S68" s="22">
        <v>0.19128400000000001</v>
      </c>
      <c r="T68">
        <f t="shared" si="2"/>
        <v>19.839500000000001</v>
      </c>
      <c r="U68">
        <f t="shared" si="3"/>
        <v>3.8113266660000003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5.2744999999999997</v>
      </c>
      <c r="I69" s="22">
        <v>-5.0781300000000001E-3</v>
      </c>
      <c r="J69" s="22">
        <v>59</v>
      </c>
      <c r="K69" s="22">
        <v>1.40198</v>
      </c>
      <c r="L69">
        <f t="shared" si="0"/>
        <v>5.0781299999999998</v>
      </c>
      <c r="M69">
        <f t="shared" si="1"/>
        <v>7.1240577956999998</v>
      </c>
      <c r="N69" s="9"/>
      <c r="O69" s="22">
        <v>0.19714400000000001</v>
      </c>
      <c r="P69" s="22">
        <v>10.357100000000001</v>
      </c>
      <c r="Q69" s="22">
        <v>-1.98242E-2</v>
      </c>
      <c r="R69" s="22">
        <v>59</v>
      </c>
      <c r="S69" s="22">
        <v>0.19631999999999999</v>
      </c>
      <c r="T69">
        <f t="shared" si="2"/>
        <v>19.824200000000001</v>
      </c>
      <c r="U69">
        <f t="shared" si="3"/>
        <v>3.9082220848000007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5.2845700000000004</v>
      </c>
      <c r="I70" s="22">
        <v>-5.1727300000000004E-3</v>
      </c>
      <c r="J70" s="22">
        <v>60</v>
      </c>
      <c r="K70" s="22">
        <v>1.39679</v>
      </c>
      <c r="L70">
        <f t="shared" si="0"/>
        <v>5.1727300000000005</v>
      </c>
      <c r="M70">
        <f t="shared" si="1"/>
        <v>7.230752357800001</v>
      </c>
      <c r="N70" s="9"/>
      <c r="O70" s="22">
        <v>0.202179</v>
      </c>
      <c r="P70" s="22">
        <v>10.3672</v>
      </c>
      <c r="Q70" s="22">
        <v>-1.9809E-2</v>
      </c>
      <c r="R70" s="22">
        <v>60</v>
      </c>
      <c r="S70" s="22">
        <v>0.20135500000000001</v>
      </c>
      <c r="T70">
        <f t="shared" si="2"/>
        <v>19.809000000000001</v>
      </c>
      <c r="U70">
        <f t="shared" si="3"/>
        <v>4.0049638110000005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5.2946400000000002</v>
      </c>
      <c r="I71" s="22">
        <v>-5.2551300000000002E-3</v>
      </c>
      <c r="J71" s="22">
        <v>61</v>
      </c>
      <c r="K71" s="22">
        <v>1.3913</v>
      </c>
      <c r="L71">
        <f t="shared" si="0"/>
        <v>5.2551300000000003</v>
      </c>
      <c r="M71">
        <f t="shared" si="1"/>
        <v>7.3194501666000003</v>
      </c>
      <c r="N71" s="9"/>
      <c r="O71" s="22">
        <v>0.20721400000000001</v>
      </c>
      <c r="P71" s="22">
        <v>10.3773</v>
      </c>
      <c r="Q71" s="22">
        <v>-1.9787599999999999E-2</v>
      </c>
      <c r="R71" s="22">
        <v>61</v>
      </c>
      <c r="S71" s="22">
        <v>0.206451</v>
      </c>
      <c r="T71">
        <f t="shared" si="2"/>
        <v>19.787599999999998</v>
      </c>
      <c r="U71">
        <f t="shared" si="3"/>
        <v>4.1002677464000001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5.30471</v>
      </c>
      <c r="I72" s="22">
        <v>-5.3466800000000004E-3</v>
      </c>
      <c r="J72" s="22">
        <v>62</v>
      </c>
      <c r="K72" s="22">
        <v>1.3870199999999999</v>
      </c>
      <c r="L72">
        <f t="shared" si="0"/>
        <v>5.3466800000000001</v>
      </c>
      <c r="M72">
        <f t="shared" si="1"/>
        <v>7.4200690372000002</v>
      </c>
      <c r="N72" s="9"/>
      <c r="O72" s="22">
        <v>0.21224999999999999</v>
      </c>
      <c r="P72" s="22">
        <v>10.3873</v>
      </c>
      <c r="Q72" s="22">
        <v>-1.9766200000000001E-2</v>
      </c>
      <c r="R72" s="22">
        <v>62</v>
      </c>
      <c r="S72" s="22">
        <v>0.21145600000000001</v>
      </c>
      <c r="T72">
        <f t="shared" si="2"/>
        <v>19.766200000000001</v>
      </c>
      <c r="U72">
        <f t="shared" si="3"/>
        <v>4.1953759499999999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5.3147799999999998</v>
      </c>
      <c r="I73" s="22">
        <v>-5.4321300000000003E-3</v>
      </c>
      <c r="J73" s="22">
        <v>63</v>
      </c>
      <c r="K73" s="22">
        <v>1.38184</v>
      </c>
      <c r="L73">
        <f t="shared" si="0"/>
        <v>5.4321299999999999</v>
      </c>
      <c r="M73">
        <f t="shared" si="1"/>
        <v>7.5112777574999994</v>
      </c>
      <c r="N73" s="9"/>
      <c r="O73" s="22">
        <v>0.21728500000000001</v>
      </c>
      <c r="P73" s="22">
        <v>10.397399999999999</v>
      </c>
      <c r="Q73" s="22">
        <v>-1.9744899999999999E-2</v>
      </c>
      <c r="R73" s="22">
        <v>63</v>
      </c>
      <c r="S73" s="22">
        <v>0.21646099999999999</v>
      </c>
      <c r="T73">
        <f t="shared" si="2"/>
        <v>19.744899999999998</v>
      </c>
      <c r="U73">
        <f t="shared" si="3"/>
        <v>4.2902705964999992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5.3248600000000001</v>
      </c>
      <c r="I74" s="22">
        <v>-5.5267299999999997E-3</v>
      </c>
      <c r="J74" s="22">
        <v>64</v>
      </c>
      <c r="K74" s="22">
        <v>1.3772599999999999</v>
      </c>
      <c r="L74">
        <f t="shared" si="0"/>
        <v>5.5267299999999997</v>
      </c>
      <c r="M74">
        <f t="shared" si="1"/>
        <v>7.6142864556000003</v>
      </c>
      <c r="N74" s="9"/>
      <c r="O74" s="22">
        <v>0.22232099999999999</v>
      </c>
      <c r="P74" s="22">
        <v>10.407500000000001</v>
      </c>
      <c r="Q74" s="22">
        <v>-1.97266E-2</v>
      </c>
      <c r="R74" s="22">
        <v>64</v>
      </c>
      <c r="S74" s="22">
        <v>0.22143599999999999</v>
      </c>
      <c r="T74">
        <f t="shared" si="2"/>
        <v>19.726600000000001</v>
      </c>
      <c r="U74">
        <f t="shared" si="3"/>
        <v>4.3856374385999999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5.3349299999999999</v>
      </c>
      <c r="I75" s="22">
        <v>-5.6121799999999996E-3</v>
      </c>
      <c r="J75" s="22">
        <v>65</v>
      </c>
      <c r="K75" s="22">
        <v>1.3723799999999999</v>
      </c>
      <c r="L75">
        <f t="shared" si="0"/>
        <v>5.6121799999999995</v>
      </c>
      <c r="M75">
        <f t="shared" si="1"/>
        <v>7.7037272423999985</v>
      </c>
      <c r="N75" s="9"/>
      <c r="O75" s="22">
        <v>0.227356</v>
      </c>
      <c r="P75" s="22">
        <v>10.4175</v>
      </c>
      <c r="Q75" s="22">
        <v>-1.9705199999999999E-2</v>
      </c>
      <c r="R75" s="22">
        <v>65</v>
      </c>
      <c r="S75" s="22">
        <v>0.22647100000000001</v>
      </c>
      <c r="T75">
        <f t="shared" si="2"/>
        <v>19.705199999999998</v>
      </c>
      <c r="U75">
        <f t="shared" si="3"/>
        <v>4.4800954511999995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5.3449999999999998</v>
      </c>
      <c r="I76" s="22">
        <v>-5.7006799999999996E-3</v>
      </c>
      <c r="J76" s="22">
        <v>66</v>
      </c>
      <c r="K76" s="22">
        <v>1.3665799999999999</v>
      </c>
      <c r="L76">
        <f t="shared" ref="L76:L139" si="4">-I76/$F$2*1000</f>
        <v>5.7006799999999993</v>
      </c>
      <c r="M76">
        <f t="shared" ref="M76:M139" si="5">L76*G76</f>
        <v>7.7965350019999988</v>
      </c>
      <c r="N76" s="9"/>
      <c r="O76" s="22">
        <v>0.23239099999999999</v>
      </c>
      <c r="P76" s="22">
        <v>10.4276</v>
      </c>
      <c r="Q76" s="22">
        <v>-1.9683800000000001E-2</v>
      </c>
      <c r="R76" s="22">
        <v>66</v>
      </c>
      <c r="S76" s="22">
        <v>0.231598</v>
      </c>
      <c r="T76">
        <f t="shared" ref="T76:T139" si="6">-Q76/$F$2*1000</f>
        <v>19.683800000000002</v>
      </c>
      <c r="U76">
        <f t="shared" ref="U76:U139" si="7">T76*O76</f>
        <v>4.5743379657999998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5.3550700000000004</v>
      </c>
      <c r="I77" s="22">
        <v>-5.7922399999999997E-3</v>
      </c>
      <c r="J77" s="22">
        <v>67</v>
      </c>
      <c r="K77" s="22">
        <v>1.3613900000000001</v>
      </c>
      <c r="L77">
        <f t="shared" si="4"/>
        <v>5.7922399999999996</v>
      </c>
      <c r="M77">
        <f t="shared" si="5"/>
        <v>7.8925641463999998</v>
      </c>
      <c r="N77" s="9"/>
      <c r="O77" s="22">
        <v>0.237427</v>
      </c>
      <c r="P77" s="22">
        <v>10.4377</v>
      </c>
      <c r="Q77" s="22">
        <v>-1.96594E-2</v>
      </c>
      <c r="R77" s="22">
        <v>67</v>
      </c>
      <c r="S77" s="22">
        <v>0.23660300000000001</v>
      </c>
      <c r="T77">
        <f t="shared" si="6"/>
        <v>19.659400000000002</v>
      </c>
      <c r="U77">
        <f t="shared" si="7"/>
        <v>4.6676723638000004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5.3651400000000002</v>
      </c>
      <c r="I78" s="22">
        <v>-5.8837899999999999E-3</v>
      </c>
      <c r="J78" s="22">
        <v>68</v>
      </c>
      <c r="K78" s="22">
        <v>1.3571200000000001</v>
      </c>
      <c r="L78">
        <f t="shared" si="4"/>
        <v>5.8837899999999994</v>
      </c>
      <c r="M78">
        <f t="shared" si="5"/>
        <v>7.9876567902999991</v>
      </c>
      <c r="N78" s="9"/>
      <c r="O78" s="22">
        <v>0.24246200000000001</v>
      </c>
      <c r="P78" s="22">
        <v>10.447800000000001</v>
      </c>
      <c r="Q78" s="22">
        <v>-1.9641100000000002E-2</v>
      </c>
      <c r="R78" s="22">
        <v>68</v>
      </c>
      <c r="S78" s="22">
        <v>0.24166899999999999</v>
      </c>
      <c r="T78">
        <f t="shared" si="6"/>
        <v>19.641100000000002</v>
      </c>
      <c r="U78">
        <f t="shared" si="7"/>
        <v>4.7622203882000003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5.37521</v>
      </c>
      <c r="I79" s="22">
        <v>-5.97534E-3</v>
      </c>
      <c r="J79" s="22">
        <v>69</v>
      </c>
      <c r="K79" s="22">
        <v>1.35162</v>
      </c>
      <c r="L79">
        <f t="shared" si="4"/>
        <v>5.9753400000000001</v>
      </c>
      <c r="M79">
        <f t="shared" si="5"/>
        <v>8.0818863636000007</v>
      </c>
      <c r="N79" s="9"/>
      <c r="O79" s="22">
        <v>0.247498</v>
      </c>
      <c r="P79" s="22">
        <v>10.457800000000001</v>
      </c>
      <c r="Q79" s="22">
        <v>-1.9616700000000001E-2</v>
      </c>
      <c r="R79" s="22">
        <v>69</v>
      </c>
      <c r="S79" s="22">
        <v>0.246674</v>
      </c>
      <c r="T79">
        <f t="shared" si="6"/>
        <v>19.616700000000002</v>
      </c>
      <c r="U79">
        <f t="shared" si="7"/>
        <v>4.8550940166000007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5.3852799999999998</v>
      </c>
      <c r="I80" s="22">
        <v>-6.06384E-3</v>
      </c>
      <c r="J80" s="22">
        <v>70</v>
      </c>
      <c r="K80" s="22">
        <v>1.34613</v>
      </c>
      <c r="L80">
        <f t="shared" si="4"/>
        <v>6.0638399999999999</v>
      </c>
      <c r="M80">
        <f t="shared" si="5"/>
        <v>8.1710243999999985</v>
      </c>
      <c r="N80" s="9"/>
      <c r="O80" s="22">
        <v>0.25253300000000001</v>
      </c>
      <c r="P80" s="22">
        <v>10.4679</v>
      </c>
      <c r="Q80" s="22">
        <v>-1.95953E-2</v>
      </c>
      <c r="R80" s="22">
        <v>70</v>
      </c>
      <c r="S80" s="22">
        <v>0.25170900000000002</v>
      </c>
      <c r="T80">
        <f t="shared" si="6"/>
        <v>19.595299999999998</v>
      </c>
      <c r="U80">
        <f t="shared" si="7"/>
        <v>4.9484598949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5.3953499999999996</v>
      </c>
      <c r="I81" s="22">
        <v>-6.1554000000000001E-3</v>
      </c>
      <c r="J81" s="22">
        <v>71</v>
      </c>
      <c r="K81" s="22">
        <v>1.3412500000000001</v>
      </c>
      <c r="L81">
        <f t="shared" si="4"/>
        <v>6.1554000000000002</v>
      </c>
      <c r="M81">
        <f t="shared" si="5"/>
        <v>8.263439838</v>
      </c>
      <c r="N81" s="9"/>
      <c r="O81" s="22">
        <v>0.25756800000000002</v>
      </c>
      <c r="P81" s="22">
        <v>10.478</v>
      </c>
      <c r="Q81" s="22">
        <v>-1.9574000000000001E-2</v>
      </c>
      <c r="R81" s="22">
        <v>71</v>
      </c>
      <c r="S81" s="22">
        <v>0.25674400000000003</v>
      </c>
      <c r="T81">
        <f t="shared" si="6"/>
        <v>19.574000000000002</v>
      </c>
      <c r="U81">
        <f t="shared" si="7"/>
        <v>5.0416360320000004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5.4054200000000003</v>
      </c>
      <c r="I82" s="22">
        <v>-6.2500000000000003E-3</v>
      </c>
      <c r="J82" s="22">
        <v>72</v>
      </c>
      <c r="K82" s="22">
        <v>1.3369800000000001</v>
      </c>
      <c r="L82">
        <f t="shared" si="4"/>
        <v>6.25</v>
      </c>
      <c r="M82">
        <f t="shared" si="5"/>
        <v>8.3589374999999997</v>
      </c>
      <c r="N82" s="9"/>
      <c r="O82" s="22">
        <v>0.262604</v>
      </c>
      <c r="P82" s="22">
        <v>10.488</v>
      </c>
      <c r="Q82" s="22">
        <v>-1.9558699999999998E-2</v>
      </c>
      <c r="R82" s="22">
        <v>72</v>
      </c>
      <c r="S82" s="22">
        <v>0.26171899999999998</v>
      </c>
      <c r="T82">
        <f t="shared" si="6"/>
        <v>19.558699999999998</v>
      </c>
      <c r="U82">
        <f t="shared" si="7"/>
        <v>5.1361928548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5.4154900000000001</v>
      </c>
      <c r="I83" s="22">
        <v>-6.3385000000000004E-3</v>
      </c>
      <c r="J83" s="22">
        <v>73</v>
      </c>
      <c r="K83" s="22">
        <v>1.33179</v>
      </c>
      <c r="L83">
        <f t="shared" si="4"/>
        <v>6.3385000000000007</v>
      </c>
      <c r="M83">
        <f t="shared" si="5"/>
        <v>8.445417400000002</v>
      </c>
      <c r="N83" s="9"/>
      <c r="O83" s="22">
        <v>0.26763900000000002</v>
      </c>
      <c r="P83" s="22">
        <v>10.498100000000001</v>
      </c>
      <c r="Q83" s="22">
        <v>-1.9540399999999999E-2</v>
      </c>
      <c r="R83" s="22">
        <v>73</v>
      </c>
      <c r="S83" s="22">
        <v>0.26678499999999999</v>
      </c>
      <c r="T83">
        <f t="shared" si="6"/>
        <v>19.540399999999998</v>
      </c>
      <c r="U83">
        <f t="shared" si="7"/>
        <v>5.2297731155999996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5.4255699999999996</v>
      </c>
      <c r="I84" s="22">
        <v>-6.4270000000000004E-3</v>
      </c>
      <c r="J84" s="22">
        <v>74</v>
      </c>
      <c r="K84" s="22">
        <v>1.32629</v>
      </c>
      <c r="L84">
        <f t="shared" si="4"/>
        <v>6.4270000000000005</v>
      </c>
      <c r="M84">
        <f t="shared" si="5"/>
        <v>8.5309427200000005</v>
      </c>
      <c r="N84" s="9"/>
      <c r="O84" s="22">
        <v>0.272675</v>
      </c>
      <c r="P84" s="22">
        <v>10.5082</v>
      </c>
      <c r="Q84" s="22">
        <v>-1.9519000000000002E-2</v>
      </c>
      <c r="R84" s="22">
        <v>74</v>
      </c>
      <c r="S84" s="22">
        <v>0.27182000000000001</v>
      </c>
      <c r="T84">
        <f t="shared" si="6"/>
        <v>19.519000000000002</v>
      </c>
      <c r="U84">
        <f t="shared" si="7"/>
        <v>5.3223433250000003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5.4356400000000002</v>
      </c>
      <c r="I85" s="22">
        <v>-6.5124500000000004E-3</v>
      </c>
      <c r="J85" s="22">
        <v>75</v>
      </c>
      <c r="K85" s="22">
        <v>1.32141</v>
      </c>
      <c r="L85">
        <f t="shared" si="4"/>
        <v>6.5124500000000003</v>
      </c>
      <c r="M85">
        <f t="shared" si="5"/>
        <v>8.6116080085000011</v>
      </c>
      <c r="N85" s="9"/>
      <c r="O85" s="22">
        <v>0.27771000000000001</v>
      </c>
      <c r="P85" s="22">
        <v>10.5182</v>
      </c>
      <c r="Q85" s="22">
        <v>-1.9500699999999999E-2</v>
      </c>
      <c r="R85" s="22">
        <v>75</v>
      </c>
      <c r="S85" s="22">
        <v>0.27691700000000002</v>
      </c>
      <c r="T85">
        <f t="shared" si="6"/>
        <v>19.500699999999998</v>
      </c>
      <c r="U85">
        <f t="shared" si="7"/>
        <v>5.4155393969999999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5.4457100000000001</v>
      </c>
      <c r="I86" s="22">
        <v>-6.6039999999999996E-3</v>
      </c>
      <c r="J86" s="22">
        <v>76</v>
      </c>
      <c r="K86" s="22">
        <v>1.31592</v>
      </c>
      <c r="L86">
        <f t="shared" si="4"/>
        <v>6.6039999999999992</v>
      </c>
      <c r="M86">
        <f t="shared" si="5"/>
        <v>8.69938316</v>
      </c>
      <c r="N86" s="9"/>
      <c r="O86" s="22">
        <v>0.28274500000000002</v>
      </c>
      <c r="P86" s="22">
        <v>10.5283</v>
      </c>
      <c r="Q86" s="22">
        <v>-1.9473299999999999E-2</v>
      </c>
      <c r="R86" s="22">
        <v>76</v>
      </c>
      <c r="S86" s="22">
        <v>0.281891</v>
      </c>
      <c r="T86">
        <f t="shared" si="6"/>
        <v>19.473299999999998</v>
      </c>
      <c r="U86">
        <f t="shared" si="7"/>
        <v>5.5059782085000002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5.4557799999999999</v>
      </c>
      <c r="I87" s="22">
        <v>-6.6924999999999997E-3</v>
      </c>
      <c r="J87" s="22">
        <v>77</v>
      </c>
      <c r="K87" s="22">
        <v>1.31134</v>
      </c>
      <c r="L87">
        <f t="shared" si="4"/>
        <v>6.6924999999999999</v>
      </c>
      <c r="M87">
        <f t="shared" si="5"/>
        <v>8.7823000499999999</v>
      </c>
      <c r="N87" s="9"/>
      <c r="O87" s="22">
        <v>0.28778100000000001</v>
      </c>
      <c r="P87" s="22">
        <v>10.538399999999999</v>
      </c>
      <c r="Q87" s="22">
        <v>-1.9451900000000001E-2</v>
      </c>
      <c r="R87" s="22">
        <v>77</v>
      </c>
      <c r="S87" s="22">
        <v>0.28695700000000002</v>
      </c>
      <c r="T87">
        <f t="shared" si="6"/>
        <v>19.451900000000002</v>
      </c>
      <c r="U87">
        <f t="shared" si="7"/>
        <v>5.5978872339000008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5.4658499999999997</v>
      </c>
      <c r="I88" s="22">
        <v>-6.7810099999999996E-3</v>
      </c>
      <c r="J88" s="22">
        <v>78</v>
      </c>
      <c r="K88" s="22">
        <v>1.3067599999999999</v>
      </c>
      <c r="L88">
        <f t="shared" si="4"/>
        <v>6.7810099999999993</v>
      </c>
      <c r="M88">
        <f t="shared" si="5"/>
        <v>8.8642718921999997</v>
      </c>
      <c r="N88" s="9"/>
      <c r="O88" s="22">
        <v>0.29281600000000002</v>
      </c>
      <c r="P88" s="22">
        <v>10.548500000000001</v>
      </c>
      <c r="Q88" s="22">
        <v>-1.94305E-2</v>
      </c>
      <c r="R88" s="22">
        <v>78</v>
      </c>
      <c r="S88" s="22">
        <v>0.291962</v>
      </c>
      <c r="T88">
        <f t="shared" si="6"/>
        <v>19.430499999999999</v>
      </c>
      <c r="U88">
        <f t="shared" si="7"/>
        <v>5.6895612880000002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5.4759200000000003</v>
      </c>
      <c r="I89" s="22">
        <v>-6.8695099999999997E-3</v>
      </c>
      <c r="J89" s="22">
        <v>79</v>
      </c>
      <c r="K89" s="22">
        <v>1.3012699999999999</v>
      </c>
      <c r="L89">
        <f t="shared" si="4"/>
        <v>6.86951</v>
      </c>
      <c r="M89">
        <f t="shared" si="5"/>
        <v>8.9454072269000005</v>
      </c>
      <c r="N89" s="9"/>
      <c r="O89" s="22">
        <v>0.29785200000000001</v>
      </c>
      <c r="P89" s="22">
        <v>10.5585</v>
      </c>
      <c r="Q89" s="22">
        <v>-1.9409200000000001E-2</v>
      </c>
      <c r="R89" s="22">
        <v>79</v>
      </c>
      <c r="S89" s="22">
        <v>0.29702800000000001</v>
      </c>
      <c r="T89">
        <f t="shared" si="6"/>
        <v>19.409200000000002</v>
      </c>
      <c r="U89">
        <f t="shared" si="7"/>
        <v>5.781069038400001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5.4859900000000001</v>
      </c>
      <c r="I90" s="22">
        <v>-6.9549599999999996E-3</v>
      </c>
      <c r="J90" s="22">
        <v>80</v>
      </c>
      <c r="K90" s="22">
        <v>1.2957799999999999</v>
      </c>
      <c r="L90">
        <f t="shared" si="4"/>
        <v>6.9549599999999998</v>
      </c>
      <c r="M90">
        <f t="shared" si="5"/>
        <v>9.0216263639999994</v>
      </c>
      <c r="N90" s="9"/>
      <c r="O90" s="22">
        <v>0.30288700000000002</v>
      </c>
      <c r="P90" s="22">
        <v>10.5686</v>
      </c>
      <c r="Q90" s="22">
        <v>-1.9390899999999999E-2</v>
      </c>
      <c r="R90" s="22">
        <v>80</v>
      </c>
      <c r="S90" s="22">
        <v>0.30206300000000003</v>
      </c>
      <c r="T90">
        <f t="shared" si="6"/>
        <v>19.390899999999998</v>
      </c>
      <c r="U90">
        <f t="shared" si="7"/>
        <v>5.8732515283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5.4960599999999999</v>
      </c>
      <c r="I91" s="22">
        <v>-7.0404100000000004E-3</v>
      </c>
      <c r="J91" s="22">
        <v>81</v>
      </c>
      <c r="K91" s="22">
        <v>1.2915000000000001</v>
      </c>
      <c r="L91">
        <f t="shared" si="4"/>
        <v>7.0404100000000005</v>
      </c>
      <c r="M91">
        <f t="shared" si="5"/>
        <v>9.0969841651000021</v>
      </c>
      <c r="N91" s="9"/>
      <c r="O91" s="22">
        <v>0.30792199999999997</v>
      </c>
      <c r="P91" s="22">
        <v>10.5787</v>
      </c>
      <c r="Q91" s="22">
        <v>-1.9369500000000001E-2</v>
      </c>
      <c r="R91" s="22">
        <v>81</v>
      </c>
      <c r="S91" s="22">
        <v>0.30706800000000001</v>
      </c>
      <c r="T91">
        <f t="shared" si="6"/>
        <v>19.369500000000002</v>
      </c>
      <c r="U91">
        <f t="shared" si="7"/>
        <v>5.9642951790000005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5.5061299999999997</v>
      </c>
      <c r="I92" s="22">
        <v>-7.1380599999999999E-3</v>
      </c>
      <c r="J92" s="22">
        <v>82</v>
      </c>
      <c r="K92" s="22">
        <v>1.2860100000000001</v>
      </c>
      <c r="L92">
        <f t="shared" si="4"/>
        <v>7.1380600000000003</v>
      </c>
      <c r="M92">
        <f t="shared" si="5"/>
        <v>9.1872542648</v>
      </c>
      <c r="N92" s="9"/>
      <c r="O92" s="22">
        <v>0.31295800000000001</v>
      </c>
      <c r="P92" s="22">
        <v>10.588699999999999</v>
      </c>
      <c r="Q92" s="22">
        <v>-1.9342000000000002E-2</v>
      </c>
      <c r="R92" s="22">
        <v>82</v>
      </c>
      <c r="S92" s="22">
        <v>0.31213400000000002</v>
      </c>
      <c r="T92">
        <f t="shared" si="6"/>
        <v>19.342000000000002</v>
      </c>
      <c r="U92">
        <f t="shared" si="7"/>
        <v>6.0532336360000008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5.5162000000000004</v>
      </c>
      <c r="I93" s="22">
        <v>-7.2204599999999997E-3</v>
      </c>
      <c r="J93" s="22">
        <v>83</v>
      </c>
      <c r="K93" s="22">
        <v>1.2808200000000001</v>
      </c>
      <c r="L93">
        <f t="shared" si="4"/>
        <v>7.2204600000000001</v>
      </c>
      <c r="M93">
        <f t="shared" si="5"/>
        <v>9.2569185384000008</v>
      </c>
      <c r="N93" s="9"/>
      <c r="O93" s="22">
        <v>0.31799300000000003</v>
      </c>
      <c r="P93" s="22">
        <v>10.598800000000001</v>
      </c>
      <c r="Q93" s="22">
        <v>-1.93207E-2</v>
      </c>
      <c r="R93" s="22">
        <v>83</v>
      </c>
      <c r="S93" s="22">
        <v>0.317108</v>
      </c>
      <c r="T93">
        <f t="shared" si="6"/>
        <v>19.320699999999999</v>
      </c>
      <c r="U93">
        <f t="shared" si="7"/>
        <v>6.1438473551000001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5.5262799999999999</v>
      </c>
      <c r="I94" s="22">
        <v>-7.3089599999999998E-3</v>
      </c>
      <c r="J94" s="22">
        <v>84</v>
      </c>
      <c r="K94" s="22">
        <v>1.2759400000000001</v>
      </c>
      <c r="L94">
        <f t="shared" si="4"/>
        <v>7.3089599999999999</v>
      </c>
      <c r="M94">
        <f t="shared" si="5"/>
        <v>9.333615009599999</v>
      </c>
      <c r="N94" s="9"/>
      <c r="O94" s="22">
        <v>0.32302900000000001</v>
      </c>
      <c r="P94" s="22">
        <v>10.6089</v>
      </c>
      <c r="Q94" s="22">
        <v>-1.9299299999999998E-2</v>
      </c>
      <c r="R94" s="22">
        <v>84</v>
      </c>
      <c r="S94" s="22">
        <v>0.32217400000000002</v>
      </c>
      <c r="T94">
        <f t="shared" si="6"/>
        <v>19.299299999999999</v>
      </c>
      <c r="U94">
        <f t="shared" si="7"/>
        <v>6.2342335796999997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5.5363499999999997</v>
      </c>
      <c r="I95" s="22">
        <v>-7.4005099999999999E-3</v>
      </c>
      <c r="J95" s="22">
        <v>85</v>
      </c>
      <c r="K95" s="22">
        <v>1.27075</v>
      </c>
      <c r="L95">
        <f t="shared" si="4"/>
        <v>7.4005099999999997</v>
      </c>
      <c r="M95">
        <f t="shared" si="5"/>
        <v>9.4132267046999996</v>
      </c>
      <c r="N95" s="9"/>
      <c r="O95" s="22">
        <v>0.32806400000000002</v>
      </c>
      <c r="P95" s="22">
        <v>10.619</v>
      </c>
      <c r="Q95" s="22">
        <v>-1.9278E-2</v>
      </c>
      <c r="R95" s="22">
        <v>85</v>
      </c>
      <c r="S95" s="22">
        <v>0.32720900000000003</v>
      </c>
      <c r="T95">
        <f t="shared" si="6"/>
        <v>19.277999999999999</v>
      </c>
      <c r="U95">
        <f t="shared" si="7"/>
        <v>6.3244177920000002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5.5464200000000003</v>
      </c>
      <c r="I96" s="22">
        <v>-7.4859599999999998E-3</v>
      </c>
      <c r="J96" s="22">
        <v>86</v>
      </c>
      <c r="K96" s="22">
        <v>1.2658700000000001</v>
      </c>
      <c r="L96">
        <f t="shared" si="4"/>
        <v>7.4859599999999995</v>
      </c>
      <c r="M96">
        <f t="shared" si="5"/>
        <v>9.4842621623999985</v>
      </c>
      <c r="N96" s="9"/>
      <c r="O96" s="22">
        <v>0.33309899999999998</v>
      </c>
      <c r="P96" s="22">
        <v>10.629</v>
      </c>
      <c r="Q96" s="22">
        <v>-1.9262700000000001E-2</v>
      </c>
      <c r="R96" s="22">
        <v>86</v>
      </c>
      <c r="S96" s="22">
        <v>0.33221400000000001</v>
      </c>
      <c r="T96">
        <f t="shared" si="6"/>
        <v>19.262700000000002</v>
      </c>
      <c r="U96">
        <f t="shared" si="7"/>
        <v>6.4163861073000001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5.5564900000000002</v>
      </c>
      <c r="I97" s="22">
        <v>-7.57751E-3</v>
      </c>
      <c r="J97" s="22">
        <v>87</v>
      </c>
      <c r="K97" s="22">
        <v>1.2609900000000001</v>
      </c>
      <c r="L97">
        <f t="shared" si="4"/>
        <v>7.5775100000000002</v>
      </c>
      <c r="M97">
        <f t="shared" si="5"/>
        <v>9.5620598690000005</v>
      </c>
      <c r="N97" s="9"/>
      <c r="O97" s="22">
        <v>0.33813500000000002</v>
      </c>
      <c r="P97" s="22">
        <v>10.639099999999999</v>
      </c>
      <c r="Q97" s="22">
        <v>-1.9241299999999999E-2</v>
      </c>
      <c r="R97" s="22">
        <v>87</v>
      </c>
      <c r="S97" s="22">
        <v>0.33731100000000003</v>
      </c>
      <c r="T97">
        <f t="shared" si="6"/>
        <v>19.241299999999999</v>
      </c>
      <c r="U97">
        <f t="shared" si="7"/>
        <v>6.5061569754999997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5.56656</v>
      </c>
      <c r="I98" s="22">
        <v>-7.66602E-3</v>
      </c>
      <c r="J98" s="22">
        <v>88</v>
      </c>
      <c r="K98" s="22">
        <v>1.2558</v>
      </c>
      <c r="L98">
        <f t="shared" si="4"/>
        <v>7.6660199999999996</v>
      </c>
      <c r="M98">
        <f t="shared" si="5"/>
        <v>9.6351905573999996</v>
      </c>
      <c r="N98" s="9"/>
      <c r="O98" s="22">
        <v>0.34316999999999998</v>
      </c>
      <c r="P98" s="22">
        <v>10.6492</v>
      </c>
      <c r="Q98" s="22">
        <v>-1.9216899999999999E-2</v>
      </c>
      <c r="R98" s="22">
        <v>88</v>
      </c>
      <c r="S98" s="22">
        <v>0.34228500000000001</v>
      </c>
      <c r="T98">
        <f t="shared" si="6"/>
        <v>19.216899999999999</v>
      </c>
      <c r="U98">
        <f t="shared" si="7"/>
        <v>6.5946635729999992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5.5766299999999998</v>
      </c>
      <c r="I99" s="22">
        <v>-7.75452E-3</v>
      </c>
      <c r="J99" s="22">
        <v>89</v>
      </c>
      <c r="K99" s="22">
        <v>1.25122</v>
      </c>
      <c r="L99">
        <f t="shared" si="4"/>
        <v>7.7545200000000003</v>
      </c>
      <c r="M99">
        <f t="shared" si="5"/>
        <v>9.7073407716000002</v>
      </c>
      <c r="N99" s="9"/>
      <c r="O99" s="22">
        <v>0.34820600000000002</v>
      </c>
      <c r="P99" s="22">
        <v>10.6592</v>
      </c>
      <c r="Q99" s="22">
        <v>-1.9186399999999999E-2</v>
      </c>
      <c r="R99" s="22">
        <v>89</v>
      </c>
      <c r="S99" s="22">
        <v>0.34738200000000002</v>
      </c>
      <c r="T99">
        <f t="shared" si="6"/>
        <v>19.186399999999999</v>
      </c>
      <c r="U99">
        <f t="shared" si="7"/>
        <v>6.6808195984000003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5.5867000000000004</v>
      </c>
      <c r="I100" s="22">
        <v>-7.8369100000000008E-3</v>
      </c>
      <c r="J100" s="22">
        <v>90</v>
      </c>
      <c r="K100" s="22">
        <v>1.24634</v>
      </c>
      <c r="L100">
        <f t="shared" si="4"/>
        <v>7.8369100000000005</v>
      </c>
      <c r="M100">
        <f t="shared" si="5"/>
        <v>9.7710593879999994</v>
      </c>
      <c r="N100" s="9"/>
      <c r="O100" s="22">
        <v>0.35324100000000003</v>
      </c>
      <c r="P100" s="22">
        <v>10.6693</v>
      </c>
      <c r="Q100" s="22">
        <v>-1.9161999999999998E-2</v>
      </c>
      <c r="R100" s="22">
        <v>90</v>
      </c>
      <c r="S100" s="22">
        <v>0.35238599999999998</v>
      </c>
      <c r="T100">
        <f t="shared" si="6"/>
        <v>19.161999999999999</v>
      </c>
      <c r="U100">
        <f t="shared" si="7"/>
        <v>6.7688040420000002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5.5967700000000002</v>
      </c>
      <c r="I101" s="22">
        <v>-7.9254200000000007E-3</v>
      </c>
      <c r="J101" s="22">
        <v>91</v>
      </c>
      <c r="K101" s="22">
        <v>1.24115</v>
      </c>
      <c r="L101">
        <f t="shared" si="4"/>
        <v>7.9254200000000008</v>
      </c>
      <c r="M101">
        <f t="shared" si="5"/>
        <v>9.8414695392000002</v>
      </c>
      <c r="N101" s="9"/>
      <c r="O101" s="22">
        <v>0.35827599999999998</v>
      </c>
      <c r="P101" s="22">
        <v>10.679399999999999</v>
      </c>
      <c r="Q101" s="22">
        <v>-1.91437E-2</v>
      </c>
      <c r="R101" s="22">
        <v>91</v>
      </c>
      <c r="S101" s="22">
        <v>0.35739100000000001</v>
      </c>
      <c r="T101">
        <f t="shared" si="6"/>
        <v>19.143699999999999</v>
      </c>
      <c r="U101">
        <f t="shared" si="7"/>
        <v>6.8587282611999996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5.60684</v>
      </c>
      <c r="I102" s="22">
        <v>-8.01697E-3</v>
      </c>
      <c r="J102" s="22">
        <v>92</v>
      </c>
      <c r="K102" s="22">
        <v>1.23627</v>
      </c>
      <c r="L102">
        <f t="shared" si="4"/>
        <v>8.0169700000000006</v>
      </c>
      <c r="M102">
        <f t="shared" si="5"/>
        <v>9.914747138400001</v>
      </c>
      <c r="N102" s="9"/>
      <c r="O102" s="22">
        <v>0.36331200000000002</v>
      </c>
      <c r="P102" s="22">
        <v>10.689500000000001</v>
      </c>
      <c r="Q102" s="22">
        <v>-1.9122299999999998E-2</v>
      </c>
      <c r="R102" s="22">
        <v>92</v>
      </c>
      <c r="S102" s="22">
        <v>0.36248799999999998</v>
      </c>
      <c r="T102">
        <f t="shared" si="6"/>
        <v>19.122299999999999</v>
      </c>
      <c r="U102">
        <f t="shared" si="7"/>
        <v>6.9473610576000002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5.6169099999999998</v>
      </c>
      <c r="I103" s="22">
        <v>-8.1024200000000008E-3</v>
      </c>
      <c r="J103" s="22">
        <v>93</v>
      </c>
      <c r="K103" s="22">
        <v>1.23047</v>
      </c>
      <c r="L103">
        <f t="shared" si="4"/>
        <v>8.1024200000000004</v>
      </c>
      <c r="M103">
        <f t="shared" si="5"/>
        <v>9.9796696897999997</v>
      </c>
      <c r="N103" s="9"/>
      <c r="O103" s="22">
        <v>0.36834699999999998</v>
      </c>
      <c r="P103" s="22">
        <v>10.6995</v>
      </c>
      <c r="Q103" s="22">
        <v>-1.9094799999999999E-2</v>
      </c>
      <c r="R103" s="22">
        <v>93</v>
      </c>
      <c r="S103" s="22">
        <v>0.36749300000000001</v>
      </c>
      <c r="T103">
        <f t="shared" si="6"/>
        <v>19.094799999999999</v>
      </c>
      <c r="U103">
        <f t="shared" si="7"/>
        <v>7.0335122955999996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5.6269900000000002</v>
      </c>
      <c r="I104" s="22">
        <v>-8.1909200000000008E-3</v>
      </c>
      <c r="J104" s="22">
        <v>94</v>
      </c>
      <c r="K104" s="22">
        <v>1.22559</v>
      </c>
      <c r="L104">
        <f t="shared" si="4"/>
        <v>8.1909200000000002</v>
      </c>
      <c r="M104">
        <f t="shared" si="5"/>
        <v>10.047392018</v>
      </c>
      <c r="N104" s="9"/>
      <c r="O104" s="22">
        <v>0.37338300000000002</v>
      </c>
      <c r="P104" s="22">
        <v>10.7096</v>
      </c>
      <c r="Q104" s="22">
        <v>-1.9067400000000002E-2</v>
      </c>
      <c r="R104" s="22">
        <v>94</v>
      </c>
      <c r="S104" s="22">
        <v>0.372498</v>
      </c>
      <c r="T104">
        <f t="shared" si="6"/>
        <v>19.067400000000003</v>
      </c>
      <c r="U104">
        <f t="shared" si="7"/>
        <v>7.1194430142000016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5.63706</v>
      </c>
      <c r="I105" s="22">
        <v>-8.2763699999999999E-3</v>
      </c>
      <c r="J105" s="22">
        <v>95</v>
      </c>
      <c r="K105" s="22">
        <v>1.2213099999999999</v>
      </c>
      <c r="L105">
        <f t="shared" si="4"/>
        <v>8.27637</v>
      </c>
      <c r="M105">
        <f t="shared" si="5"/>
        <v>10.110579119399999</v>
      </c>
      <c r="N105" s="9"/>
      <c r="O105" s="22">
        <v>0.37841799999999998</v>
      </c>
      <c r="P105" s="22">
        <v>10.7197</v>
      </c>
      <c r="Q105" s="22">
        <v>-1.9039899999999998E-2</v>
      </c>
      <c r="R105" s="22">
        <v>95</v>
      </c>
      <c r="S105" s="22">
        <v>0.37753300000000001</v>
      </c>
      <c r="T105">
        <f t="shared" si="6"/>
        <v>19.039899999999999</v>
      </c>
      <c r="U105">
        <f t="shared" si="7"/>
        <v>7.2050408781999993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5.6471299999999998</v>
      </c>
      <c r="I106" s="22">
        <v>-8.3648699999999999E-3</v>
      </c>
      <c r="J106" s="22">
        <v>96</v>
      </c>
      <c r="K106" s="22">
        <v>1.2152099999999999</v>
      </c>
      <c r="L106">
        <f t="shared" si="4"/>
        <v>8.3648699999999998</v>
      </c>
      <c r="M106">
        <f t="shared" si="5"/>
        <v>10.1765335446</v>
      </c>
      <c r="N106" s="9"/>
      <c r="O106" s="22">
        <v>0.38345299999999999</v>
      </c>
      <c r="P106" s="22">
        <v>10.729699999999999</v>
      </c>
      <c r="Q106" s="22">
        <v>-1.9012500000000002E-2</v>
      </c>
      <c r="R106" s="22">
        <v>96</v>
      </c>
      <c r="S106" s="22">
        <v>0.38266</v>
      </c>
      <c r="T106">
        <f t="shared" si="6"/>
        <v>19.012500000000003</v>
      </c>
      <c r="U106">
        <f t="shared" si="7"/>
        <v>7.290400162500001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5.6571999999999996</v>
      </c>
      <c r="I107" s="22">
        <v>-8.4503200000000007E-3</v>
      </c>
      <c r="J107" s="22">
        <v>97</v>
      </c>
      <c r="K107" s="22">
        <v>1.2103299999999999</v>
      </c>
      <c r="L107">
        <f t="shared" si="4"/>
        <v>8.4503200000000014</v>
      </c>
      <c r="M107">
        <f t="shared" si="5"/>
        <v>10.237985196</v>
      </c>
      <c r="N107" s="9"/>
      <c r="O107" s="22">
        <v>0.38848899999999997</v>
      </c>
      <c r="P107" s="22">
        <v>10.739800000000001</v>
      </c>
      <c r="Q107" s="22">
        <v>-1.8975800000000001E-2</v>
      </c>
      <c r="R107" s="22">
        <v>97</v>
      </c>
      <c r="S107" s="22">
        <v>0.38766499999999998</v>
      </c>
      <c r="T107">
        <f t="shared" si="6"/>
        <v>18.9758</v>
      </c>
      <c r="U107">
        <f t="shared" si="7"/>
        <v>7.3718895661999992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5.6672700000000003</v>
      </c>
      <c r="I108" s="22">
        <v>-8.5357699999999998E-3</v>
      </c>
      <c r="J108" s="22">
        <v>98</v>
      </c>
      <c r="K108" s="22">
        <v>1.2054400000000001</v>
      </c>
      <c r="L108">
        <f t="shared" si="4"/>
        <v>8.5357699999999994</v>
      </c>
      <c r="M108">
        <f t="shared" si="5"/>
        <v>10.298491862699999</v>
      </c>
      <c r="N108" s="9"/>
      <c r="O108" s="22">
        <v>0.39352399999999998</v>
      </c>
      <c r="P108" s="22">
        <v>10.7499</v>
      </c>
      <c r="Q108" s="22">
        <v>-1.8948400000000001E-2</v>
      </c>
      <c r="R108" s="22">
        <v>98</v>
      </c>
      <c r="S108" s="22">
        <v>0.39269999999999999</v>
      </c>
      <c r="T108">
        <f t="shared" si="6"/>
        <v>18.948399999999999</v>
      </c>
      <c r="U108">
        <f t="shared" si="7"/>
        <v>7.4566501615999998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5.6773400000000001</v>
      </c>
      <c r="I109" s="22">
        <v>-8.6151100000000005E-3</v>
      </c>
      <c r="J109" s="22">
        <v>99</v>
      </c>
      <c r="K109" s="22">
        <v>1.2005600000000001</v>
      </c>
      <c r="L109">
        <f t="shared" si="4"/>
        <v>8.6151099999999996</v>
      </c>
      <c r="M109">
        <f t="shared" si="5"/>
        <v>10.3508823628</v>
      </c>
      <c r="N109" s="9"/>
      <c r="O109" s="22">
        <v>0.39856000000000003</v>
      </c>
      <c r="P109" s="22">
        <v>10.76</v>
      </c>
      <c r="Q109" s="22">
        <v>-1.8924E-2</v>
      </c>
      <c r="R109" s="22">
        <v>99</v>
      </c>
      <c r="S109" s="22">
        <v>0.397675</v>
      </c>
      <c r="T109">
        <f t="shared" si="6"/>
        <v>18.923999999999999</v>
      </c>
      <c r="U109">
        <f t="shared" si="7"/>
        <v>7.5423494400000006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5.6874099999999999</v>
      </c>
      <c r="I110" s="22">
        <v>-8.7066699999999997E-3</v>
      </c>
      <c r="J110" s="22">
        <v>100</v>
      </c>
      <c r="K110" s="22">
        <v>1.19476</v>
      </c>
      <c r="L110">
        <f t="shared" si="4"/>
        <v>8.706669999999999</v>
      </c>
      <c r="M110">
        <f t="shared" si="5"/>
        <v>10.417008254799999</v>
      </c>
      <c r="N110" s="9"/>
      <c r="O110" s="22">
        <v>0.40359499999999998</v>
      </c>
      <c r="P110" s="22">
        <v>10.77</v>
      </c>
      <c r="Q110" s="22">
        <v>-1.88995E-2</v>
      </c>
      <c r="R110" s="22">
        <v>100</v>
      </c>
      <c r="S110" s="22">
        <v>0.40273999999999999</v>
      </c>
      <c r="T110">
        <f t="shared" si="6"/>
        <v>18.8995</v>
      </c>
      <c r="U110">
        <f t="shared" si="7"/>
        <v>7.6277437024999992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5.6974799999999997</v>
      </c>
      <c r="I111" s="22">
        <v>-8.7921100000000005E-3</v>
      </c>
      <c r="J111" s="22">
        <v>101</v>
      </c>
      <c r="K111" s="22">
        <v>1.19049</v>
      </c>
      <c r="L111">
        <f t="shared" si="4"/>
        <v>8.792110000000001</v>
      </c>
      <c r="M111">
        <f t="shared" si="5"/>
        <v>10.475007775100002</v>
      </c>
      <c r="N111" s="9"/>
      <c r="O111" s="22">
        <v>0.40862999999999999</v>
      </c>
      <c r="P111" s="22">
        <v>10.780099999999999</v>
      </c>
      <c r="Q111" s="22">
        <v>-1.8872099999999999E-2</v>
      </c>
      <c r="R111" s="22">
        <v>101</v>
      </c>
      <c r="S111" s="22">
        <v>0.40774500000000002</v>
      </c>
      <c r="T111">
        <f t="shared" si="6"/>
        <v>18.8721</v>
      </c>
      <c r="U111">
        <f t="shared" si="7"/>
        <v>7.7117062229999993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5.7075500000000003</v>
      </c>
      <c r="I112" s="22">
        <v>-8.8806200000000005E-3</v>
      </c>
      <c r="J112" s="22">
        <v>102</v>
      </c>
      <c r="K112" s="22">
        <v>1.1850000000000001</v>
      </c>
      <c r="L112">
        <f t="shared" si="4"/>
        <v>8.8806200000000004</v>
      </c>
      <c r="M112">
        <f t="shared" si="5"/>
        <v>10.535701149399999</v>
      </c>
      <c r="N112" s="9"/>
      <c r="O112" s="22">
        <v>0.41366599999999998</v>
      </c>
      <c r="P112" s="22">
        <v>10.7902</v>
      </c>
      <c r="Q112" s="22">
        <v>-1.88446E-2</v>
      </c>
      <c r="R112" s="22">
        <v>102</v>
      </c>
      <c r="S112" s="22">
        <v>0.41271999999999998</v>
      </c>
      <c r="T112">
        <f t="shared" si="6"/>
        <v>18.8446</v>
      </c>
      <c r="U112">
        <f t="shared" si="7"/>
        <v>7.7953703035999995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5.7176200000000001</v>
      </c>
      <c r="I113" s="22">
        <v>-8.9691200000000006E-3</v>
      </c>
      <c r="J113" s="22">
        <v>103</v>
      </c>
      <c r="K113" s="22">
        <v>1.1807300000000001</v>
      </c>
      <c r="L113">
        <f t="shared" si="4"/>
        <v>8.9691200000000002</v>
      </c>
      <c r="M113">
        <f t="shared" si="5"/>
        <v>10.595580220800001</v>
      </c>
      <c r="N113" s="9"/>
      <c r="O113" s="22">
        <v>0.41870099999999999</v>
      </c>
      <c r="P113" s="22">
        <v>10.8002</v>
      </c>
      <c r="Q113" s="22">
        <v>-1.88171E-2</v>
      </c>
      <c r="R113" s="22">
        <v>103</v>
      </c>
      <c r="S113" s="22">
        <v>0.417908</v>
      </c>
      <c r="T113">
        <f t="shared" si="6"/>
        <v>18.8171</v>
      </c>
      <c r="U113">
        <f t="shared" si="7"/>
        <v>7.8787385871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5.7276999999999996</v>
      </c>
      <c r="I114" s="22">
        <v>-9.0545699999999996E-3</v>
      </c>
      <c r="J114" s="22">
        <v>104</v>
      </c>
      <c r="K114" s="22">
        <v>1.17493</v>
      </c>
      <c r="L114">
        <f t="shared" si="4"/>
        <v>9.05457</v>
      </c>
      <c r="M114">
        <f t="shared" si="5"/>
        <v>10.650890690999999</v>
      </c>
      <c r="N114" s="9"/>
      <c r="O114" s="22">
        <v>0.42373699999999997</v>
      </c>
      <c r="P114" s="22">
        <v>10.8103</v>
      </c>
      <c r="Q114" s="22">
        <v>-1.8792699999999999E-2</v>
      </c>
      <c r="R114" s="22">
        <v>104</v>
      </c>
      <c r="S114" s="22">
        <v>0.422821</v>
      </c>
      <c r="T114">
        <f t="shared" si="6"/>
        <v>18.7927</v>
      </c>
      <c r="U114">
        <f t="shared" si="7"/>
        <v>7.9631623198999995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5.7377700000000003</v>
      </c>
      <c r="I115" s="22">
        <v>-9.1339100000000003E-3</v>
      </c>
      <c r="J115" s="22">
        <v>105</v>
      </c>
      <c r="K115" s="22">
        <v>1.17004</v>
      </c>
      <c r="L115">
        <f t="shared" si="4"/>
        <v>9.1339100000000002</v>
      </c>
      <c r="M115">
        <f t="shared" si="5"/>
        <v>10.6981834266</v>
      </c>
      <c r="N115" s="9"/>
      <c r="O115" s="22">
        <v>0.42877199999999999</v>
      </c>
      <c r="P115" s="22">
        <v>10.820399999999999</v>
      </c>
      <c r="Q115" s="22">
        <v>-1.8756100000000001E-2</v>
      </c>
      <c r="R115" s="22">
        <v>105</v>
      </c>
      <c r="S115" s="22">
        <v>0.42791699999999999</v>
      </c>
      <c r="T115">
        <f t="shared" si="6"/>
        <v>18.7561</v>
      </c>
      <c r="U115">
        <f t="shared" si="7"/>
        <v>8.0420905091999995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5.7478400000000001</v>
      </c>
      <c r="I116" s="22">
        <v>-9.2193599999999994E-3</v>
      </c>
      <c r="J116" s="22">
        <v>106</v>
      </c>
      <c r="K116" s="22">
        <v>1.16577</v>
      </c>
      <c r="L116">
        <f t="shared" si="4"/>
        <v>9.21936</v>
      </c>
      <c r="M116">
        <f t="shared" si="5"/>
        <v>10.751894212800002</v>
      </c>
      <c r="N116" s="9"/>
      <c r="O116" s="22">
        <v>0.433807</v>
      </c>
      <c r="P116" s="22">
        <v>10.830399999999999</v>
      </c>
      <c r="Q116" s="22">
        <v>-1.87225E-2</v>
      </c>
      <c r="R116" s="22">
        <v>106</v>
      </c>
      <c r="S116" s="22">
        <v>0.43301400000000001</v>
      </c>
      <c r="T116">
        <f t="shared" si="6"/>
        <v>18.7225</v>
      </c>
      <c r="U116">
        <f t="shared" si="7"/>
        <v>8.1219515574999992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5.7579099999999999</v>
      </c>
      <c r="I117" s="22">
        <v>-9.3078599999999994E-3</v>
      </c>
      <c r="J117" s="22">
        <v>107</v>
      </c>
      <c r="K117" s="22">
        <v>1.1599699999999999</v>
      </c>
      <c r="L117">
        <f t="shared" si="4"/>
        <v>9.3078599999999998</v>
      </c>
      <c r="M117">
        <f t="shared" si="5"/>
        <v>10.8081939534</v>
      </c>
      <c r="N117" s="9"/>
      <c r="O117" s="22">
        <v>0.43884299999999998</v>
      </c>
      <c r="P117" s="22">
        <v>10.8405</v>
      </c>
      <c r="Q117" s="22">
        <v>-1.8685899999999998E-2</v>
      </c>
      <c r="R117" s="22">
        <v>107</v>
      </c>
      <c r="S117" s="22">
        <v>0.43789699999999998</v>
      </c>
      <c r="T117">
        <f t="shared" si="6"/>
        <v>18.685899999999997</v>
      </c>
      <c r="U117">
        <f t="shared" si="7"/>
        <v>8.2001764136999977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5.7679799999999997</v>
      </c>
      <c r="I118" s="22">
        <v>-9.3841600000000008E-3</v>
      </c>
      <c r="J118" s="22">
        <v>108</v>
      </c>
      <c r="K118" s="22">
        <v>1.15479</v>
      </c>
      <c r="L118">
        <f t="shared" si="4"/>
        <v>9.3841600000000014</v>
      </c>
      <c r="M118">
        <f t="shared" si="5"/>
        <v>10.849590425600002</v>
      </c>
      <c r="N118" s="9"/>
      <c r="O118" s="22">
        <v>0.44387799999999999</v>
      </c>
      <c r="P118" s="22">
        <v>10.8506</v>
      </c>
      <c r="Q118" s="22">
        <v>-1.8655399999999999E-2</v>
      </c>
      <c r="R118" s="22">
        <v>108</v>
      </c>
      <c r="S118" s="22">
        <v>0.443054</v>
      </c>
      <c r="T118">
        <f t="shared" si="6"/>
        <v>18.6554</v>
      </c>
      <c r="U118">
        <f t="shared" si="7"/>
        <v>8.2807216411999995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5.7780500000000004</v>
      </c>
      <c r="I119" s="22">
        <v>-9.4695999999999999E-3</v>
      </c>
      <c r="J119" s="22">
        <v>109</v>
      </c>
      <c r="K119" s="22">
        <v>1.1505099999999999</v>
      </c>
      <c r="L119">
        <f t="shared" si="4"/>
        <v>9.4695999999999998</v>
      </c>
      <c r="M119">
        <f t="shared" si="5"/>
        <v>10.900645952</v>
      </c>
      <c r="N119" s="9"/>
      <c r="O119" s="22">
        <v>0.44891399999999998</v>
      </c>
      <c r="P119" s="22">
        <v>10.8607</v>
      </c>
      <c r="Q119" s="22">
        <v>-1.86249E-2</v>
      </c>
      <c r="R119" s="22">
        <v>109</v>
      </c>
      <c r="S119" s="22">
        <v>0.44808999999999999</v>
      </c>
      <c r="T119">
        <f t="shared" si="6"/>
        <v>18.6249</v>
      </c>
      <c r="U119">
        <f t="shared" si="7"/>
        <v>8.3609783586000006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5.7881200000000002</v>
      </c>
      <c r="I120" s="22">
        <v>-9.5581099999999999E-3</v>
      </c>
      <c r="J120" s="22">
        <v>110</v>
      </c>
      <c r="K120" s="22">
        <v>1.1456299999999999</v>
      </c>
      <c r="L120">
        <f t="shared" si="4"/>
        <v>9.5581099999999992</v>
      </c>
      <c r="M120">
        <f t="shared" si="5"/>
        <v>10.954454289899999</v>
      </c>
      <c r="N120" s="9"/>
      <c r="O120" s="22">
        <v>0.45394899999999999</v>
      </c>
      <c r="P120" s="22">
        <v>10.870699999999999</v>
      </c>
      <c r="Q120" s="22">
        <v>-1.8579100000000001E-2</v>
      </c>
      <c r="R120" s="22">
        <v>110</v>
      </c>
      <c r="S120" s="22">
        <v>0.453125</v>
      </c>
      <c r="T120">
        <f t="shared" si="6"/>
        <v>18.5791</v>
      </c>
      <c r="U120">
        <f t="shared" si="7"/>
        <v>8.4339638658999991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5.79819</v>
      </c>
      <c r="I121" s="22">
        <v>-9.6374500000000005E-3</v>
      </c>
      <c r="J121" s="22">
        <v>111</v>
      </c>
      <c r="K121" s="22">
        <v>1.1401399999999999</v>
      </c>
      <c r="L121">
        <f t="shared" si="4"/>
        <v>9.6374500000000012</v>
      </c>
      <c r="M121">
        <f t="shared" si="5"/>
        <v>10.9968123225</v>
      </c>
      <c r="N121" s="9"/>
      <c r="O121" s="22">
        <v>0.458984</v>
      </c>
      <c r="P121" s="22">
        <v>10.880800000000001</v>
      </c>
      <c r="Q121" s="22">
        <v>-1.85425E-2</v>
      </c>
      <c r="R121" s="22">
        <v>111</v>
      </c>
      <c r="S121" s="22">
        <v>0.45816000000000001</v>
      </c>
      <c r="T121">
        <f t="shared" si="6"/>
        <v>18.5425</v>
      </c>
      <c r="U121">
        <f t="shared" si="7"/>
        <v>8.5107108199999999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5.8082599999999998</v>
      </c>
      <c r="I122" s="22">
        <v>-9.7228999999999996E-3</v>
      </c>
      <c r="J122" s="22">
        <v>112</v>
      </c>
      <c r="K122" s="22">
        <v>1.1346400000000001</v>
      </c>
      <c r="L122">
        <f t="shared" si="4"/>
        <v>9.7228999999999992</v>
      </c>
      <c r="M122">
        <f t="shared" si="5"/>
        <v>11.045408858</v>
      </c>
      <c r="N122" s="9"/>
      <c r="O122" s="22">
        <v>0.46401999999999999</v>
      </c>
      <c r="P122" s="22">
        <v>10.8909</v>
      </c>
      <c r="Q122" s="22">
        <v>-1.8493699999999998E-2</v>
      </c>
      <c r="R122" s="22">
        <v>112</v>
      </c>
      <c r="S122" s="22">
        <v>0.46313500000000002</v>
      </c>
      <c r="T122">
        <f t="shared" si="6"/>
        <v>18.493699999999997</v>
      </c>
      <c r="U122">
        <f t="shared" si="7"/>
        <v>8.5814466739999986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5.8183299999999996</v>
      </c>
      <c r="I123" s="22">
        <v>-9.8174999999999998E-3</v>
      </c>
      <c r="J123" s="22">
        <v>113</v>
      </c>
      <c r="K123" s="22">
        <v>1.1291500000000001</v>
      </c>
      <c r="L123">
        <f t="shared" si="4"/>
        <v>9.817499999999999</v>
      </c>
      <c r="M123">
        <f t="shared" si="5"/>
        <v>11.10339615</v>
      </c>
      <c r="N123" s="9"/>
      <c r="O123" s="22">
        <v>0.469055</v>
      </c>
      <c r="P123" s="22">
        <v>10.9009</v>
      </c>
      <c r="Q123" s="22">
        <v>-1.8454000000000002E-2</v>
      </c>
      <c r="R123" s="22">
        <v>113</v>
      </c>
      <c r="S123" s="22">
        <v>0.46823100000000001</v>
      </c>
      <c r="T123">
        <f t="shared" si="6"/>
        <v>18.454000000000001</v>
      </c>
      <c r="U123">
        <f t="shared" si="7"/>
        <v>8.6559409699999996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5.8284099999999999</v>
      </c>
      <c r="I124" s="22">
        <v>-9.9090600000000008E-3</v>
      </c>
      <c r="J124" s="22">
        <v>114</v>
      </c>
      <c r="K124" s="22">
        <v>1.1245700000000001</v>
      </c>
      <c r="L124">
        <f t="shared" si="4"/>
        <v>9.9090600000000002</v>
      </c>
      <c r="M124">
        <f t="shared" si="5"/>
        <v>11.157106107000001</v>
      </c>
      <c r="N124" s="9"/>
      <c r="O124" s="22">
        <v>0.47409099999999998</v>
      </c>
      <c r="P124" s="22">
        <v>10.911</v>
      </c>
      <c r="Q124" s="22">
        <v>-1.8411299999999999E-2</v>
      </c>
      <c r="R124" s="22">
        <v>114</v>
      </c>
      <c r="S124" s="22">
        <v>0.47332800000000003</v>
      </c>
      <c r="T124">
        <f t="shared" si="6"/>
        <v>18.411299999999997</v>
      </c>
      <c r="U124">
        <f t="shared" si="7"/>
        <v>8.7286316282999987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5.8384799999999997</v>
      </c>
      <c r="I125" s="22">
        <v>-9.9883999999999997E-3</v>
      </c>
      <c r="J125" s="22">
        <v>115</v>
      </c>
      <c r="K125" s="22">
        <v>1.1200000000000001</v>
      </c>
      <c r="L125">
        <f t="shared" si="4"/>
        <v>9.9884000000000004</v>
      </c>
      <c r="M125">
        <f t="shared" si="5"/>
        <v>11.196097444000001</v>
      </c>
      <c r="N125" s="9"/>
      <c r="O125" s="22">
        <v>0.479126</v>
      </c>
      <c r="P125" s="22">
        <v>10.921099999999999</v>
      </c>
      <c r="Q125" s="22">
        <v>-1.83655E-2</v>
      </c>
      <c r="R125" s="22">
        <v>115</v>
      </c>
      <c r="S125" s="22">
        <v>0.478271</v>
      </c>
      <c r="T125">
        <f t="shared" si="6"/>
        <v>18.365500000000001</v>
      </c>
      <c r="U125">
        <f t="shared" si="7"/>
        <v>8.799388553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5.8485500000000004</v>
      </c>
      <c r="I126" s="22">
        <v>-1.00708E-2</v>
      </c>
      <c r="J126" s="22">
        <v>116</v>
      </c>
      <c r="K126" s="22">
        <v>1.11511</v>
      </c>
      <c r="L126">
        <f t="shared" si="4"/>
        <v>10.0708</v>
      </c>
      <c r="M126">
        <f t="shared" si="5"/>
        <v>11.237804304000001</v>
      </c>
      <c r="N126" s="9"/>
      <c r="O126" s="22">
        <v>0.48416100000000001</v>
      </c>
      <c r="P126" s="22">
        <v>10.9312</v>
      </c>
      <c r="Q126" s="22">
        <v>-1.8331900000000002E-2</v>
      </c>
      <c r="R126" s="22">
        <v>116</v>
      </c>
      <c r="S126" s="22">
        <v>0.48330699999999999</v>
      </c>
      <c r="T126">
        <f t="shared" si="6"/>
        <v>18.331900000000001</v>
      </c>
      <c r="U126">
        <f t="shared" si="7"/>
        <v>8.8755910359000012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5.8586200000000002</v>
      </c>
      <c r="I127" s="22">
        <v>-1.01593E-2</v>
      </c>
      <c r="J127" s="22">
        <v>117</v>
      </c>
      <c r="K127" s="22">
        <v>1.10992</v>
      </c>
      <c r="L127">
        <f t="shared" si="4"/>
        <v>10.1593</v>
      </c>
      <c r="M127">
        <f t="shared" si="5"/>
        <v>11.285356812</v>
      </c>
      <c r="N127" s="9"/>
      <c r="O127" s="22">
        <v>0.48919699999999999</v>
      </c>
      <c r="P127" s="22">
        <v>10.9412</v>
      </c>
      <c r="Q127" s="22">
        <v>-1.8289199999999999E-2</v>
      </c>
      <c r="R127" s="22">
        <v>117</v>
      </c>
      <c r="S127" s="22">
        <v>0.488342</v>
      </c>
      <c r="T127">
        <f t="shared" si="6"/>
        <v>18.289199999999997</v>
      </c>
      <c r="U127">
        <f t="shared" si="7"/>
        <v>8.9470217723999994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5.86869</v>
      </c>
      <c r="I128" s="22">
        <v>-1.02448E-2</v>
      </c>
      <c r="J128" s="22">
        <v>118</v>
      </c>
      <c r="K128" s="22">
        <v>1.1053500000000001</v>
      </c>
      <c r="L128">
        <f t="shared" si="4"/>
        <v>10.2448</v>
      </c>
      <c r="M128">
        <f t="shared" si="5"/>
        <v>11.328699839999999</v>
      </c>
      <c r="N128" s="9"/>
      <c r="O128" s="22">
        <v>0.494232</v>
      </c>
      <c r="P128" s="22">
        <v>10.9513</v>
      </c>
      <c r="Q128" s="22">
        <v>-1.8267800000000001E-2</v>
      </c>
      <c r="R128" s="22">
        <v>118</v>
      </c>
      <c r="S128" s="22">
        <v>0.49334699999999998</v>
      </c>
      <c r="T128">
        <f t="shared" si="6"/>
        <v>18.267800000000001</v>
      </c>
      <c r="U128">
        <f t="shared" si="7"/>
        <v>9.0285313295999998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5.8787599999999998</v>
      </c>
      <c r="I129" s="22">
        <v>-1.0330199999999999E-2</v>
      </c>
      <c r="J129" s="22">
        <v>119</v>
      </c>
      <c r="K129" s="22">
        <v>1.09985</v>
      </c>
      <c r="L129">
        <f t="shared" si="4"/>
        <v>10.3302</v>
      </c>
      <c r="M129">
        <f t="shared" si="5"/>
        <v>11.371174254</v>
      </c>
      <c r="N129" s="9"/>
      <c r="O129" s="22">
        <v>0.49926799999999999</v>
      </c>
      <c r="P129" s="22">
        <v>10.961399999999999</v>
      </c>
      <c r="Q129" s="22">
        <v>-1.8221999999999999E-2</v>
      </c>
      <c r="R129" s="22">
        <v>119</v>
      </c>
      <c r="S129" s="22">
        <v>0.498444</v>
      </c>
      <c r="T129">
        <f t="shared" si="6"/>
        <v>18.221999999999998</v>
      </c>
      <c r="U129">
        <f t="shared" si="7"/>
        <v>9.0976614959999988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5.8888299999999996</v>
      </c>
      <c r="I130" s="22">
        <v>-1.0412599999999999E-2</v>
      </c>
      <c r="J130" s="22">
        <v>120</v>
      </c>
      <c r="K130" s="22">
        <v>1.09497</v>
      </c>
      <c r="L130">
        <f t="shared" si="4"/>
        <v>10.412599999999999</v>
      </c>
      <c r="M130">
        <f t="shared" si="5"/>
        <v>11.409398198</v>
      </c>
      <c r="N130" s="9"/>
      <c r="O130" s="22">
        <v>0.50430299999999995</v>
      </c>
      <c r="P130" s="22">
        <v>10.971399999999999</v>
      </c>
      <c r="Q130" s="22">
        <v>-1.8170200000000001E-2</v>
      </c>
      <c r="R130" s="22">
        <v>120</v>
      </c>
      <c r="S130" s="22">
        <v>0.50338700000000003</v>
      </c>
      <c r="T130">
        <f t="shared" si="6"/>
        <v>18.170200000000001</v>
      </c>
      <c r="U130">
        <f t="shared" si="7"/>
        <v>9.1632863705999998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5.8989000000000003</v>
      </c>
      <c r="I131" s="22">
        <v>-1.0498E-2</v>
      </c>
      <c r="J131" s="22">
        <v>121</v>
      </c>
      <c r="K131" s="22">
        <v>1.08978</v>
      </c>
      <c r="L131">
        <f t="shared" si="4"/>
        <v>10.498000000000001</v>
      </c>
      <c r="M131">
        <f t="shared" si="5"/>
        <v>11.450168600000001</v>
      </c>
      <c r="N131" s="9"/>
      <c r="O131" s="22">
        <v>0.50933799999999996</v>
      </c>
      <c r="P131" s="22">
        <v>10.9815</v>
      </c>
      <c r="Q131" s="22">
        <v>-1.81213E-2</v>
      </c>
      <c r="R131" s="22">
        <v>121</v>
      </c>
      <c r="S131" s="22">
        <v>0.50842299999999996</v>
      </c>
      <c r="T131">
        <f t="shared" si="6"/>
        <v>18.121300000000002</v>
      </c>
      <c r="U131">
        <f t="shared" si="7"/>
        <v>9.2298666994000005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5.9089700000000001</v>
      </c>
      <c r="I132" s="22">
        <v>-1.0583499999999999E-2</v>
      </c>
      <c r="J132" s="22">
        <v>122</v>
      </c>
      <c r="K132" s="22">
        <v>1.0849</v>
      </c>
      <c r="L132">
        <f t="shared" si="4"/>
        <v>10.583499999999999</v>
      </c>
      <c r="M132">
        <f t="shared" si="5"/>
        <v>11.49008261</v>
      </c>
      <c r="N132" s="9"/>
      <c r="O132" s="22">
        <v>0.514374</v>
      </c>
      <c r="P132" s="22">
        <v>10.9916</v>
      </c>
      <c r="Q132" s="22">
        <v>-1.8069499999999999E-2</v>
      </c>
      <c r="R132" s="22">
        <v>122</v>
      </c>
      <c r="S132" s="22">
        <v>0.513428</v>
      </c>
      <c r="T132">
        <f t="shared" si="6"/>
        <v>18.069499999999998</v>
      </c>
      <c r="U132">
        <f t="shared" si="7"/>
        <v>9.2944809929999987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5.9190399999999999</v>
      </c>
      <c r="I133" s="22">
        <v>-1.0671999999999999E-2</v>
      </c>
      <c r="J133" s="22">
        <v>123</v>
      </c>
      <c r="K133" s="22">
        <v>1.0790999999999999</v>
      </c>
      <c r="L133">
        <f t="shared" si="4"/>
        <v>10.671999999999999</v>
      </c>
      <c r="M133">
        <f t="shared" si="5"/>
        <v>11.532483359999999</v>
      </c>
      <c r="N133" s="9"/>
      <c r="O133" s="22">
        <v>0.51940900000000001</v>
      </c>
      <c r="P133" s="22">
        <v>11.0017</v>
      </c>
      <c r="Q133" s="22">
        <v>-1.8020600000000001E-2</v>
      </c>
      <c r="R133" s="22">
        <v>123</v>
      </c>
      <c r="S133" s="22">
        <v>0.51852399999999998</v>
      </c>
      <c r="T133">
        <f t="shared" si="6"/>
        <v>18.020600000000002</v>
      </c>
      <c r="U133">
        <f t="shared" si="7"/>
        <v>9.3600618254000008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5.9291200000000002</v>
      </c>
      <c r="I134" s="22">
        <v>-1.0754400000000001E-2</v>
      </c>
      <c r="J134" s="22">
        <v>124</v>
      </c>
      <c r="K134" s="22">
        <v>1.0739099999999999</v>
      </c>
      <c r="L134">
        <f t="shared" si="4"/>
        <v>10.7544</v>
      </c>
      <c r="M134">
        <f t="shared" si="5"/>
        <v>11.567325096000001</v>
      </c>
      <c r="N134" s="9"/>
      <c r="O134" s="22">
        <v>0.52444500000000005</v>
      </c>
      <c r="P134" s="22">
        <v>11.011699999999999</v>
      </c>
      <c r="Q134" s="22">
        <v>-1.7962599999999999E-2</v>
      </c>
      <c r="R134" s="22">
        <v>124</v>
      </c>
      <c r="S134" s="22">
        <v>0.52349900000000005</v>
      </c>
      <c r="T134">
        <f t="shared" si="6"/>
        <v>17.962599999999998</v>
      </c>
      <c r="U134">
        <f t="shared" si="7"/>
        <v>9.4203957569999996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5.93919</v>
      </c>
      <c r="I135" s="22">
        <v>-1.08398E-2</v>
      </c>
      <c r="J135" s="22">
        <v>125</v>
      </c>
      <c r="K135" s="22">
        <v>1.0690299999999999</v>
      </c>
      <c r="L135">
        <f t="shared" si="4"/>
        <v>10.8398</v>
      </c>
      <c r="M135">
        <f t="shared" si="5"/>
        <v>11.604656287999999</v>
      </c>
      <c r="N135" s="9"/>
      <c r="O135" s="22">
        <v>0.52947999999999995</v>
      </c>
      <c r="P135" s="22">
        <v>11.021800000000001</v>
      </c>
      <c r="Q135" s="22">
        <v>-1.7910800000000001E-2</v>
      </c>
      <c r="R135" s="22">
        <v>125</v>
      </c>
      <c r="S135" s="22">
        <v>0.52865600000000001</v>
      </c>
      <c r="T135">
        <f t="shared" si="6"/>
        <v>17.910800000000002</v>
      </c>
      <c r="U135">
        <f t="shared" si="7"/>
        <v>9.4834103840000008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5.9492599999999998</v>
      </c>
      <c r="I136" s="22">
        <v>-1.09222E-2</v>
      </c>
      <c r="J136" s="22">
        <v>126</v>
      </c>
      <c r="K136" s="22">
        <v>1.0647599999999999</v>
      </c>
      <c r="L136">
        <f t="shared" si="4"/>
        <v>10.9222</v>
      </c>
      <c r="M136">
        <f t="shared" si="5"/>
        <v>11.637822544</v>
      </c>
      <c r="N136" s="9"/>
      <c r="O136" s="22">
        <v>0.53451499999999996</v>
      </c>
      <c r="P136" s="22">
        <v>11.0319</v>
      </c>
      <c r="Q136" s="22">
        <v>-1.7864999999999999E-2</v>
      </c>
      <c r="R136" s="22">
        <v>126</v>
      </c>
      <c r="S136" s="22">
        <v>0.53359999999999996</v>
      </c>
      <c r="T136">
        <f t="shared" si="6"/>
        <v>17.864999999999998</v>
      </c>
      <c r="U136">
        <f t="shared" si="7"/>
        <v>9.5491104749999991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5.9593299999999996</v>
      </c>
      <c r="I137" s="22">
        <v>-1.10107E-2</v>
      </c>
      <c r="J137" s="22">
        <v>127</v>
      </c>
      <c r="K137" s="22">
        <v>1.0592699999999999</v>
      </c>
      <c r="L137">
        <f t="shared" si="4"/>
        <v>11.0107</v>
      </c>
      <c r="M137">
        <f t="shared" si="5"/>
        <v>11.676737243</v>
      </c>
      <c r="N137" s="9"/>
      <c r="O137" s="22">
        <v>0.539551</v>
      </c>
      <c r="P137" s="22">
        <v>11.0419</v>
      </c>
      <c r="Q137" s="22">
        <v>-1.7816200000000001E-2</v>
      </c>
      <c r="R137" s="22">
        <v>127</v>
      </c>
      <c r="S137" s="22">
        <v>0.53869599999999995</v>
      </c>
      <c r="T137">
        <f t="shared" si="6"/>
        <v>17.816200000000002</v>
      </c>
      <c r="U137">
        <f t="shared" si="7"/>
        <v>9.6127485262000008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5.9694000000000003</v>
      </c>
      <c r="I138" s="22">
        <v>-1.10901E-2</v>
      </c>
      <c r="J138" s="22">
        <v>128</v>
      </c>
      <c r="K138" s="22">
        <v>1.0543800000000001</v>
      </c>
      <c r="L138">
        <f t="shared" si="4"/>
        <v>11.0901</v>
      </c>
      <c r="M138">
        <f t="shared" si="5"/>
        <v>11.705046045</v>
      </c>
      <c r="N138" s="9"/>
      <c r="O138" s="22">
        <v>0.54458600000000001</v>
      </c>
      <c r="P138" s="22">
        <v>11.052</v>
      </c>
      <c r="Q138" s="22">
        <v>-1.77673E-2</v>
      </c>
      <c r="R138" s="22">
        <v>128</v>
      </c>
      <c r="S138" s="22">
        <v>0.54370099999999999</v>
      </c>
      <c r="T138">
        <f t="shared" si="6"/>
        <v>17.767299999999999</v>
      </c>
      <c r="U138">
        <f t="shared" si="7"/>
        <v>9.6758228378000002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5.9794700000000001</v>
      </c>
      <c r="I139" s="22">
        <v>-1.11755E-2</v>
      </c>
      <c r="J139" s="22">
        <v>129</v>
      </c>
      <c r="K139" s="22">
        <v>1.0491900000000001</v>
      </c>
      <c r="L139">
        <f t="shared" si="4"/>
        <v>11.1755</v>
      </c>
      <c r="M139">
        <f t="shared" si="5"/>
        <v>11.738968709999998</v>
      </c>
      <c r="N139" s="9"/>
      <c r="O139" s="22">
        <v>0.54962200000000005</v>
      </c>
      <c r="P139" s="22">
        <v>11.062099999999999</v>
      </c>
      <c r="Q139" s="22">
        <v>-1.77124E-2</v>
      </c>
      <c r="R139" s="22">
        <v>129</v>
      </c>
      <c r="S139" s="22">
        <v>0.548767</v>
      </c>
      <c r="T139">
        <f t="shared" si="6"/>
        <v>17.712399999999999</v>
      </c>
      <c r="U139">
        <f t="shared" si="7"/>
        <v>9.7351247128000011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5.9895399999999999</v>
      </c>
      <c r="I140" s="22">
        <v>-1.1261E-2</v>
      </c>
      <c r="J140" s="22">
        <v>130</v>
      </c>
      <c r="K140" s="22">
        <v>1.0443100000000001</v>
      </c>
      <c r="L140">
        <f t="shared" ref="L140:L203" si="8">-I140/$F$2*1000</f>
        <v>11.261000000000001</v>
      </c>
      <c r="M140">
        <f t="shared" ref="M140:M203" si="9">L140*G140</f>
        <v>11.772024180000001</v>
      </c>
      <c r="N140" s="9"/>
      <c r="O140" s="22">
        <v>0.55465699999999996</v>
      </c>
      <c r="P140" s="22">
        <v>11.0722</v>
      </c>
      <c r="Q140" s="22">
        <v>-1.76575E-2</v>
      </c>
      <c r="R140" s="22">
        <v>130</v>
      </c>
      <c r="S140" s="22">
        <v>0.55380200000000002</v>
      </c>
      <c r="T140">
        <f t="shared" ref="T140:T203" si="10">-Q140/$F$2*1000</f>
        <v>17.657499999999999</v>
      </c>
      <c r="U140">
        <f t="shared" ref="U140:U203" si="11">T140*O140</f>
        <v>9.793855977499998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5.9996099999999997</v>
      </c>
      <c r="I141" s="22">
        <v>-1.13464E-2</v>
      </c>
      <c r="J141" s="22">
        <v>131</v>
      </c>
      <c r="K141" s="22">
        <v>1.0394300000000001</v>
      </c>
      <c r="L141">
        <f t="shared" si="8"/>
        <v>11.346399999999999</v>
      </c>
      <c r="M141">
        <f t="shared" si="9"/>
        <v>11.804113775999999</v>
      </c>
      <c r="N141" s="9"/>
      <c r="O141" s="22">
        <v>0.55969199999999997</v>
      </c>
      <c r="P141" s="22">
        <v>11.0822</v>
      </c>
      <c r="Q141" s="22">
        <v>-1.7599500000000001E-2</v>
      </c>
      <c r="R141" s="22">
        <v>131</v>
      </c>
      <c r="S141" s="22">
        <v>0.55889900000000003</v>
      </c>
      <c r="T141">
        <f t="shared" si="10"/>
        <v>17.599499999999999</v>
      </c>
      <c r="U141">
        <f t="shared" si="11"/>
        <v>9.8502993539999988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6.0096800000000004</v>
      </c>
      <c r="I142" s="22">
        <v>-1.14258E-2</v>
      </c>
      <c r="J142" s="22">
        <v>132</v>
      </c>
      <c r="K142" s="22">
        <v>1.0345500000000001</v>
      </c>
      <c r="L142">
        <f t="shared" si="8"/>
        <v>11.425800000000001</v>
      </c>
      <c r="M142">
        <f t="shared" si="9"/>
        <v>11.829244998</v>
      </c>
      <c r="N142" s="9"/>
      <c r="O142" s="22">
        <v>0.56472800000000001</v>
      </c>
      <c r="P142" s="22">
        <v>11.0923</v>
      </c>
      <c r="Q142" s="22">
        <v>-1.7553699999999998E-2</v>
      </c>
      <c r="R142" s="22">
        <v>132</v>
      </c>
      <c r="S142" s="22">
        <v>0.56387299999999996</v>
      </c>
      <c r="T142">
        <f t="shared" si="10"/>
        <v>17.553699999999999</v>
      </c>
      <c r="U142">
        <f t="shared" si="11"/>
        <v>9.9130658935999989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6.0197500000000002</v>
      </c>
      <c r="I143" s="22">
        <v>-1.15143E-2</v>
      </c>
      <c r="J143" s="22">
        <v>133</v>
      </c>
      <c r="K143" s="22">
        <v>1.0293600000000001</v>
      </c>
      <c r="L143">
        <f t="shared" si="8"/>
        <v>11.5143</v>
      </c>
      <c r="M143">
        <f t="shared" si="9"/>
        <v>11.862837861000001</v>
      </c>
      <c r="N143" s="9"/>
      <c r="O143" s="22">
        <v>0.56976300000000002</v>
      </c>
      <c r="P143" s="22">
        <v>11.102399999999999</v>
      </c>
      <c r="Q143" s="22">
        <v>-1.7489600000000001E-2</v>
      </c>
      <c r="R143" s="22">
        <v>133</v>
      </c>
      <c r="S143" s="22">
        <v>0.56893899999999997</v>
      </c>
      <c r="T143">
        <f t="shared" si="10"/>
        <v>17.489599999999999</v>
      </c>
      <c r="U143">
        <f t="shared" si="11"/>
        <v>9.9649269648000001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6.0298299999999996</v>
      </c>
      <c r="I144" s="22">
        <v>-1.15967E-2</v>
      </c>
      <c r="J144" s="22">
        <v>134</v>
      </c>
      <c r="K144" s="22">
        <v>1.02417</v>
      </c>
      <c r="L144">
        <f t="shared" si="8"/>
        <v>11.5967</v>
      </c>
      <c r="M144">
        <f t="shared" si="9"/>
        <v>11.889400708</v>
      </c>
      <c r="N144" s="9"/>
      <c r="O144" s="22">
        <v>0.57479899999999995</v>
      </c>
      <c r="P144" s="22">
        <v>11.112399999999999</v>
      </c>
      <c r="Q144" s="22">
        <v>-1.74255E-2</v>
      </c>
      <c r="R144" s="22">
        <v>134</v>
      </c>
      <c r="S144" s="22">
        <v>0.57394400000000001</v>
      </c>
      <c r="T144">
        <f t="shared" si="10"/>
        <v>17.4255</v>
      </c>
      <c r="U144">
        <f t="shared" si="11"/>
        <v>10.016159974499999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6.0399000000000003</v>
      </c>
      <c r="I145" s="22">
        <v>-1.1672999999999999E-2</v>
      </c>
      <c r="J145" s="22">
        <v>135</v>
      </c>
      <c r="K145" s="22">
        <v>1.01898</v>
      </c>
      <c r="L145">
        <f t="shared" si="8"/>
        <v>11.673</v>
      </c>
      <c r="M145">
        <f t="shared" si="9"/>
        <v>11.9087946</v>
      </c>
      <c r="N145" s="9"/>
      <c r="O145" s="22">
        <v>0.57983399999999996</v>
      </c>
      <c r="P145" s="22">
        <v>11.1225</v>
      </c>
      <c r="Q145" s="22">
        <v>-1.73706E-2</v>
      </c>
      <c r="R145" s="22">
        <v>135</v>
      </c>
      <c r="S145" s="22">
        <v>0.57904100000000003</v>
      </c>
      <c r="T145">
        <f t="shared" si="10"/>
        <v>17.3706</v>
      </c>
      <c r="U145">
        <f t="shared" si="11"/>
        <v>10.0720644804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6.0499700000000001</v>
      </c>
      <c r="I146" s="22">
        <v>-1.17462E-2</v>
      </c>
      <c r="J146" s="22">
        <v>136</v>
      </c>
      <c r="K146" s="22">
        <v>1.0144</v>
      </c>
      <c r="L146">
        <f t="shared" si="8"/>
        <v>11.7462</v>
      </c>
      <c r="M146">
        <f t="shared" si="9"/>
        <v>11.924389853999999</v>
      </c>
      <c r="N146" s="9"/>
      <c r="O146" s="22">
        <v>0.58486899999999997</v>
      </c>
      <c r="P146" s="22">
        <v>11.1326</v>
      </c>
      <c r="Q146" s="22">
        <v>-1.7303499999999999E-2</v>
      </c>
      <c r="R146" s="22">
        <v>136</v>
      </c>
      <c r="S146" s="22">
        <v>0.58401499999999995</v>
      </c>
      <c r="T146">
        <f t="shared" si="10"/>
        <v>17.3035</v>
      </c>
      <c r="U146">
        <f t="shared" si="11"/>
        <v>10.120280741499998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6.0600399999999999</v>
      </c>
      <c r="I147" s="22">
        <v>-1.18256E-2</v>
      </c>
      <c r="J147" s="22">
        <v>137</v>
      </c>
      <c r="K147" s="22">
        <v>1.00952</v>
      </c>
      <c r="L147">
        <f t="shared" si="8"/>
        <v>11.8256</v>
      </c>
      <c r="M147">
        <f t="shared" si="9"/>
        <v>11.945393328</v>
      </c>
      <c r="N147" s="9"/>
      <c r="O147" s="22">
        <v>0.58990500000000001</v>
      </c>
      <c r="P147" s="22">
        <v>11.1427</v>
      </c>
      <c r="Q147" s="22">
        <v>-1.7242400000000001E-2</v>
      </c>
      <c r="R147" s="22">
        <v>137</v>
      </c>
      <c r="S147" s="22">
        <v>0.58904999999999996</v>
      </c>
      <c r="T147">
        <f t="shared" si="10"/>
        <v>17.2424</v>
      </c>
      <c r="U147">
        <f t="shared" si="11"/>
        <v>10.171377972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6.0701099999999997</v>
      </c>
      <c r="I148" s="22">
        <v>-1.19141E-2</v>
      </c>
      <c r="J148" s="22">
        <v>138</v>
      </c>
      <c r="K148" s="22">
        <v>1.0037199999999999</v>
      </c>
      <c r="L148">
        <f t="shared" si="8"/>
        <v>11.914100000000001</v>
      </c>
      <c r="M148">
        <f t="shared" si="9"/>
        <v>11.974861910000003</v>
      </c>
      <c r="N148" s="9"/>
      <c r="O148" s="22">
        <v>0.59494000000000002</v>
      </c>
      <c r="P148" s="22">
        <v>11.152699999999999</v>
      </c>
      <c r="Q148" s="22">
        <v>-1.7181399999999999E-2</v>
      </c>
      <c r="R148" s="22">
        <v>138</v>
      </c>
      <c r="S148" s="22">
        <v>0.594086</v>
      </c>
      <c r="T148">
        <f t="shared" si="10"/>
        <v>17.1814</v>
      </c>
      <c r="U148">
        <f t="shared" si="11"/>
        <v>10.221902116000001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6.0801800000000004</v>
      </c>
      <c r="I149" s="22">
        <v>-1.19965E-2</v>
      </c>
      <c r="J149" s="22">
        <v>139</v>
      </c>
      <c r="K149" s="22">
        <v>0.99945099999999998</v>
      </c>
      <c r="L149">
        <f t="shared" si="8"/>
        <v>11.996500000000001</v>
      </c>
      <c r="M149">
        <f t="shared" si="9"/>
        <v>11.997219790000001</v>
      </c>
      <c r="N149" s="9"/>
      <c r="O149" s="22">
        <v>0.59997599999999995</v>
      </c>
      <c r="P149" s="22">
        <v>11.162800000000001</v>
      </c>
      <c r="Q149" s="22">
        <v>-1.7129499999999999E-2</v>
      </c>
      <c r="R149" s="22">
        <v>139</v>
      </c>
      <c r="S149" s="22">
        <v>0.59912100000000001</v>
      </c>
      <c r="T149">
        <f t="shared" si="10"/>
        <v>17.1295</v>
      </c>
      <c r="U149">
        <f t="shared" si="11"/>
        <v>10.277288892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6.0902500000000002</v>
      </c>
      <c r="I150" s="22">
        <v>-1.2075799999999999E-2</v>
      </c>
      <c r="J150" s="22">
        <v>140</v>
      </c>
      <c r="K150" s="22">
        <v>0.99334699999999998</v>
      </c>
      <c r="L150">
        <f t="shared" si="8"/>
        <v>12.075799999999999</v>
      </c>
      <c r="M150">
        <f t="shared" si="9"/>
        <v>12.015734970799999</v>
      </c>
      <c r="N150" s="9"/>
      <c r="O150" s="22">
        <v>0.60501099999999997</v>
      </c>
      <c r="P150" s="22">
        <v>11.1729</v>
      </c>
      <c r="Q150" s="22">
        <v>-1.7080700000000001E-2</v>
      </c>
      <c r="R150" s="22">
        <v>140</v>
      </c>
      <c r="S150" s="22">
        <v>0.60412600000000005</v>
      </c>
      <c r="T150">
        <f t="shared" si="10"/>
        <v>17.0807</v>
      </c>
      <c r="U150">
        <f t="shared" si="11"/>
        <v>10.3340113877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6.10032</v>
      </c>
      <c r="I151" s="22">
        <v>-1.2164299999999999E-2</v>
      </c>
      <c r="J151" s="22">
        <v>141</v>
      </c>
      <c r="K151" s="22">
        <v>0.98877000000000004</v>
      </c>
      <c r="L151">
        <f t="shared" si="8"/>
        <v>12.164299999999999</v>
      </c>
      <c r="M151">
        <f t="shared" si="9"/>
        <v>12.042535357</v>
      </c>
      <c r="N151" s="9"/>
      <c r="O151" s="22">
        <v>0.61004599999999998</v>
      </c>
      <c r="P151" s="22">
        <v>11.1829</v>
      </c>
      <c r="Q151" s="22">
        <v>-1.7010500000000001E-2</v>
      </c>
      <c r="R151" s="22">
        <v>141</v>
      </c>
      <c r="S151" s="22">
        <v>0.60916099999999995</v>
      </c>
      <c r="T151">
        <f t="shared" si="10"/>
        <v>17.0105</v>
      </c>
      <c r="U151">
        <f t="shared" si="11"/>
        <v>10.377187483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6.1103899999999998</v>
      </c>
      <c r="I152" s="22">
        <v>-1.22375E-2</v>
      </c>
      <c r="J152" s="22">
        <v>142</v>
      </c>
      <c r="K152" s="22">
        <v>0.98358199999999996</v>
      </c>
      <c r="L152">
        <f t="shared" si="8"/>
        <v>12.237500000000001</v>
      </c>
      <c r="M152">
        <f t="shared" si="9"/>
        <v>12.053386812500001</v>
      </c>
      <c r="N152" s="9"/>
      <c r="O152" s="22">
        <v>0.61508200000000002</v>
      </c>
      <c r="P152" s="22">
        <v>11.193</v>
      </c>
      <c r="Q152" s="22">
        <v>-1.6964699999999999E-2</v>
      </c>
      <c r="R152" s="22">
        <v>142</v>
      </c>
      <c r="S152" s="22">
        <v>0.61422699999999997</v>
      </c>
      <c r="T152">
        <f t="shared" si="10"/>
        <v>16.964700000000001</v>
      </c>
      <c r="U152">
        <f t="shared" si="11"/>
        <v>10.4346816054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6.1204599999999996</v>
      </c>
      <c r="I153" s="22">
        <v>-1.23138E-2</v>
      </c>
      <c r="J153" s="22">
        <v>143</v>
      </c>
      <c r="K153" s="22">
        <v>0.97930899999999999</v>
      </c>
      <c r="L153">
        <f t="shared" si="8"/>
        <v>12.313800000000001</v>
      </c>
      <c r="M153">
        <f t="shared" si="9"/>
        <v>12.0665265822</v>
      </c>
      <c r="N153" s="9"/>
      <c r="O153" s="22">
        <v>0.62011700000000003</v>
      </c>
      <c r="P153" s="22">
        <v>11.203099999999999</v>
      </c>
      <c r="Q153" s="22">
        <v>-1.6900600000000002E-2</v>
      </c>
      <c r="R153" s="22">
        <v>143</v>
      </c>
      <c r="S153" s="22">
        <v>0.61926300000000001</v>
      </c>
      <c r="T153">
        <f t="shared" si="10"/>
        <v>16.900600000000001</v>
      </c>
      <c r="U153">
        <f t="shared" si="11"/>
        <v>10.480349370200001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6.1305399999999999</v>
      </c>
      <c r="I154" s="22">
        <v>-1.23962E-2</v>
      </c>
      <c r="J154" s="22">
        <v>144</v>
      </c>
      <c r="K154" s="22">
        <v>0.97412100000000001</v>
      </c>
      <c r="L154">
        <f t="shared" si="8"/>
        <v>12.3962</v>
      </c>
      <c r="M154">
        <f t="shared" si="9"/>
        <v>12.084857040799999</v>
      </c>
      <c r="N154" s="9"/>
      <c r="O154" s="22">
        <v>0.62515299999999996</v>
      </c>
      <c r="P154" s="22">
        <v>11.213100000000001</v>
      </c>
      <c r="Q154" s="22">
        <v>-1.68396E-2</v>
      </c>
      <c r="R154" s="22">
        <v>144</v>
      </c>
      <c r="S154" s="22">
        <v>0.62432900000000002</v>
      </c>
      <c r="T154">
        <f t="shared" si="10"/>
        <v>16.839600000000001</v>
      </c>
      <c r="U154">
        <f t="shared" si="11"/>
        <v>10.527326458799999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6.1406099999999997</v>
      </c>
      <c r="I155" s="22">
        <v>-1.24695E-2</v>
      </c>
      <c r="J155" s="22">
        <v>145</v>
      </c>
      <c r="K155" s="22">
        <v>0.96862800000000004</v>
      </c>
      <c r="L155">
        <f t="shared" si="8"/>
        <v>12.4695</v>
      </c>
      <c r="M155">
        <f t="shared" si="9"/>
        <v>12.0935321055</v>
      </c>
      <c r="N155" s="9"/>
      <c r="O155" s="22">
        <v>0.63018799999999997</v>
      </c>
      <c r="P155" s="22">
        <v>11.2232</v>
      </c>
      <c r="Q155" s="22">
        <v>-1.6775499999999999E-2</v>
      </c>
      <c r="R155" s="22">
        <v>145</v>
      </c>
      <c r="S155" s="22">
        <v>0.62936400000000003</v>
      </c>
      <c r="T155">
        <f t="shared" si="10"/>
        <v>16.775499999999997</v>
      </c>
      <c r="U155">
        <f t="shared" si="11"/>
        <v>10.571718793999997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6.1506800000000004</v>
      </c>
      <c r="I156" s="22">
        <v>-1.2554900000000001E-2</v>
      </c>
      <c r="J156" s="22">
        <v>146</v>
      </c>
      <c r="K156" s="22">
        <v>0.96404999999999996</v>
      </c>
      <c r="L156">
        <f t="shared" si="8"/>
        <v>12.5549</v>
      </c>
      <c r="M156">
        <f t="shared" si="9"/>
        <v>12.1131307337</v>
      </c>
      <c r="N156" s="9"/>
      <c r="O156" s="22">
        <v>0.63522299999999998</v>
      </c>
      <c r="P156" s="22">
        <v>11.2333</v>
      </c>
      <c r="Q156" s="22">
        <v>-1.67175E-2</v>
      </c>
      <c r="R156" s="22">
        <v>146</v>
      </c>
      <c r="S156" s="22">
        <v>0.63436899999999996</v>
      </c>
      <c r="T156">
        <f t="shared" si="10"/>
        <v>16.717500000000001</v>
      </c>
      <c r="U156">
        <f t="shared" si="11"/>
        <v>10.6193405025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6.1607500000000002</v>
      </c>
      <c r="I157" s="22">
        <v>-1.26251E-2</v>
      </c>
      <c r="J157" s="22">
        <v>147</v>
      </c>
      <c r="K157" s="22">
        <v>0.95886199999999999</v>
      </c>
      <c r="L157">
        <f t="shared" si="8"/>
        <v>12.6251</v>
      </c>
      <c r="M157">
        <f t="shared" si="9"/>
        <v>12.117293227799999</v>
      </c>
      <c r="N157" s="9"/>
      <c r="O157" s="22">
        <v>0.64025900000000002</v>
      </c>
      <c r="P157" s="22">
        <v>11.243399999999999</v>
      </c>
      <c r="Q157" s="22">
        <v>-1.6656500000000001E-2</v>
      </c>
      <c r="R157" s="22">
        <v>147</v>
      </c>
      <c r="S157" s="22">
        <v>0.63949599999999995</v>
      </c>
      <c r="T157">
        <f t="shared" si="10"/>
        <v>16.656500000000001</v>
      </c>
      <c r="U157">
        <f t="shared" si="11"/>
        <v>10.664474033500001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6.17082</v>
      </c>
      <c r="I158" s="22">
        <v>-1.27136E-2</v>
      </c>
      <c r="J158" s="22">
        <v>148</v>
      </c>
      <c r="K158" s="22">
        <v>0.95275900000000002</v>
      </c>
      <c r="L158">
        <f t="shared" si="8"/>
        <v>12.7136</v>
      </c>
      <c r="M158">
        <f t="shared" si="9"/>
        <v>12.138207891199999</v>
      </c>
      <c r="N158" s="9"/>
      <c r="O158" s="22">
        <v>0.64529400000000003</v>
      </c>
      <c r="P158" s="22">
        <v>11.253399999999999</v>
      </c>
      <c r="Q158" s="22">
        <v>-1.6595499999999999E-2</v>
      </c>
      <c r="R158" s="22">
        <v>148</v>
      </c>
      <c r="S158" s="22">
        <v>0.64440900000000001</v>
      </c>
      <c r="T158">
        <f t="shared" si="10"/>
        <v>16.595499999999998</v>
      </c>
      <c r="U158">
        <f t="shared" si="11"/>
        <v>10.708976577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6.1808899999999998</v>
      </c>
      <c r="I159" s="22">
        <v>-1.27899E-2</v>
      </c>
      <c r="J159" s="22">
        <v>149</v>
      </c>
      <c r="K159" s="22">
        <v>0.94848600000000005</v>
      </c>
      <c r="L159">
        <f t="shared" si="8"/>
        <v>12.789899999999999</v>
      </c>
      <c r="M159">
        <f t="shared" si="9"/>
        <v>12.146657559299999</v>
      </c>
      <c r="N159" s="9"/>
      <c r="O159" s="22">
        <v>0.65032999999999996</v>
      </c>
      <c r="P159" s="22">
        <v>11.263500000000001</v>
      </c>
      <c r="Q159" s="22">
        <v>-1.6522200000000001E-2</v>
      </c>
      <c r="R159" s="22">
        <v>149</v>
      </c>
      <c r="S159" s="22">
        <v>0.64947500000000002</v>
      </c>
      <c r="T159">
        <f t="shared" si="10"/>
        <v>16.522200000000002</v>
      </c>
      <c r="U159">
        <f t="shared" si="11"/>
        <v>10.744882326000001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6.1909599999999996</v>
      </c>
      <c r="I160" s="22">
        <v>-1.28662E-2</v>
      </c>
      <c r="J160" s="22">
        <v>150</v>
      </c>
      <c r="K160" s="22">
        <v>0.943604</v>
      </c>
      <c r="L160">
        <f t="shared" si="8"/>
        <v>12.866199999999999</v>
      </c>
      <c r="M160">
        <f t="shared" si="9"/>
        <v>12.154338886399998</v>
      </c>
      <c r="N160" s="9"/>
      <c r="O160" s="22">
        <v>0.65536499999999998</v>
      </c>
      <c r="P160" s="22">
        <v>11.2736</v>
      </c>
      <c r="Q160" s="22">
        <v>-1.6464199999999998E-2</v>
      </c>
      <c r="R160" s="22">
        <v>150</v>
      </c>
      <c r="S160" s="22">
        <v>0.65457200000000004</v>
      </c>
      <c r="T160">
        <f t="shared" si="10"/>
        <v>16.464199999999998</v>
      </c>
      <c r="U160">
        <f t="shared" si="11"/>
        <v>10.790060432999999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6.2010300000000003</v>
      </c>
      <c r="I161" s="22">
        <v>-1.29395E-2</v>
      </c>
      <c r="J161" s="22">
        <v>151</v>
      </c>
      <c r="K161" s="22">
        <v>0.93841600000000003</v>
      </c>
      <c r="L161">
        <f t="shared" si="8"/>
        <v>12.939499999999999</v>
      </c>
      <c r="M161">
        <f t="shared" si="9"/>
        <v>12.158420022</v>
      </c>
      <c r="N161" s="9"/>
      <c r="O161" s="22">
        <v>0.66039999999999999</v>
      </c>
      <c r="P161" s="22">
        <v>11.2836</v>
      </c>
      <c r="Q161" s="22">
        <v>-1.64032E-2</v>
      </c>
      <c r="R161" s="22">
        <v>151</v>
      </c>
      <c r="S161" s="22">
        <v>0.65957600000000005</v>
      </c>
      <c r="T161">
        <f t="shared" si="10"/>
        <v>16.403199999999998</v>
      </c>
      <c r="U161">
        <f t="shared" si="11"/>
        <v>10.832673279999998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6.2111000000000001</v>
      </c>
      <c r="I162" s="22">
        <v>-1.3018800000000001E-2</v>
      </c>
      <c r="J162" s="22">
        <v>152</v>
      </c>
      <c r="K162" s="22">
        <v>0.93353299999999995</v>
      </c>
      <c r="L162">
        <f t="shared" si="8"/>
        <v>13.018800000000001</v>
      </c>
      <c r="M162">
        <f t="shared" si="9"/>
        <v>12.167383498800001</v>
      </c>
      <c r="N162" s="9"/>
      <c r="O162" s="22">
        <v>0.66543600000000003</v>
      </c>
      <c r="P162" s="22">
        <v>11.293699999999999</v>
      </c>
      <c r="Q162" s="22">
        <v>-1.6339099999999999E-2</v>
      </c>
      <c r="R162" s="22">
        <v>152</v>
      </c>
      <c r="S162" s="22">
        <v>0.66458099999999998</v>
      </c>
      <c r="T162">
        <f t="shared" si="10"/>
        <v>16.339099999999998</v>
      </c>
      <c r="U162">
        <f t="shared" si="11"/>
        <v>10.8726253476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6.2211699999999999</v>
      </c>
      <c r="I163" s="22">
        <v>-1.3091999999999999E-2</v>
      </c>
      <c r="J163" s="22">
        <v>153</v>
      </c>
      <c r="K163" s="22">
        <v>0.92864999999999998</v>
      </c>
      <c r="L163">
        <f t="shared" si="8"/>
        <v>13.091999999999999</v>
      </c>
      <c r="M163">
        <f t="shared" si="9"/>
        <v>12.169864979999998</v>
      </c>
      <c r="N163" s="9"/>
      <c r="O163" s="22">
        <v>0.67047100000000004</v>
      </c>
      <c r="P163" s="22">
        <v>11.303800000000001</v>
      </c>
      <c r="Q163" s="22">
        <v>-1.62781E-2</v>
      </c>
      <c r="R163" s="22">
        <v>153</v>
      </c>
      <c r="S163" s="22">
        <v>0.66961700000000002</v>
      </c>
      <c r="T163">
        <f t="shared" si="10"/>
        <v>16.278099999999998</v>
      </c>
      <c r="U163">
        <f t="shared" si="11"/>
        <v>10.913993985099999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6.2312500000000002</v>
      </c>
      <c r="I164" s="22">
        <v>-1.3174399999999999E-2</v>
      </c>
      <c r="J164" s="22">
        <v>154</v>
      </c>
      <c r="K164" s="22">
        <v>0.923767</v>
      </c>
      <c r="L164">
        <f t="shared" si="8"/>
        <v>13.174399999999999</v>
      </c>
      <c r="M164">
        <f t="shared" si="9"/>
        <v>12.180128031999999</v>
      </c>
      <c r="N164" s="9"/>
      <c r="O164" s="22">
        <v>0.67550699999999997</v>
      </c>
      <c r="P164" s="22">
        <v>11.3139</v>
      </c>
      <c r="Q164" s="22">
        <v>-1.6213999999999999E-2</v>
      </c>
      <c r="R164" s="22">
        <v>154</v>
      </c>
      <c r="S164" s="22">
        <v>0.67465200000000003</v>
      </c>
      <c r="T164">
        <f t="shared" si="10"/>
        <v>16.213999999999999</v>
      </c>
      <c r="U164">
        <f t="shared" si="11"/>
        <v>10.952670497999998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6.24132</v>
      </c>
      <c r="I165" s="22">
        <v>-1.3247699999999999E-2</v>
      </c>
      <c r="J165" s="22">
        <v>155</v>
      </c>
      <c r="K165" s="22">
        <v>0.91827400000000003</v>
      </c>
      <c r="L165">
        <f t="shared" si="8"/>
        <v>13.2477</v>
      </c>
      <c r="M165">
        <f t="shared" si="9"/>
        <v>12.181193911499999</v>
      </c>
      <c r="N165" s="9"/>
      <c r="O165" s="22">
        <v>0.68054199999999998</v>
      </c>
      <c r="P165" s="22">
        <v>11.3239</v>
      </c>
      <c r="Q165" s="22">
        <v>-1.6146899999999999E-2</v>
      </c>
      <c r="R165" s="22">
        <v>155</v>
      </c>
      <c r="S165" s="22">
        <v>0.67971800000000004</v>
      </c>
      <c r="T165">
        <f t="shared" si="10"/>
        <v>16.146899999999999</v>
      </c>
      <c r="U165">
        <f t="shared" si="11"/>
        <v>10.988643619799999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6.2513899999999998</v>
      </c>
      <c r="I166" s="22">
        <v>-1.3327E-2</v>
      </c>
      <c r="J166" s="22">
        <v>156</v>
      </c>
      <c r="K166" s="22">
        <v>0.91369599999999995</v>
      </c>
      <c r="L166">
        <f t="shared" si="8"/>
        <v>13.327</v>
      </c>
      <c r="M166">
        <f t="shared" si="9"/>
        <v>12.186995093</v>
      </c>
      <c r="N166" s="9"/>
      <c r="O166" s="22">
        <v>0.68557699999999999</v>
      </c>
      <c r="P166" s="22">
        <v>11.334</v>
      </c>
      <c r="Q166" s="22">
        <v>-1.6085800000000001E-2</v>
      </c>
      <c r="R166" s="22">
        <v>156</v>
      </c>
      <c r="S166" s="22">
        <v>0.68472299999999997</v>
      </c>
      <c r="T166">
        <f t="shared" si="10"/>
        <v>16.085800000000003</v>
      </c>
      <c r="U166">
        <f t="shared" si="11"/>
        <v>11.028054506600002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6.2614599999999996</v>
      </c>
      <c r="I167" s="22">
        <v>-1.33972E-2</v>
      </c>
      <c r="J167" s="22">
        <v>157</v>
      </c>
      <c r="K167" s="22">
        <v>0.90789799999999998</v>
      </c>
      <c r="L167">
        <f t="shared" si="8"/>
        <v>13.3972</v>
      </c>
      <c r="M167">
        <f t="shared" si="9"/>
        <v>12.1837352128</v>
      </c>
      <c r="N167" s="9"/>
      <c r="O167" s="22">
        <v>0.69061300000000003</v>
      </c>
      <c r="P167" s="22">
        <v>11.344099999999999</v>
      </c>
      <c r="Q167" s="22">
        <v>-1.6024799999999999E-2</v>
      </c>
      <c r="R167" s="22">
        <v>157</v>
      </c>
      <c r="S167" s="22">
        <v>0.68972800000000001</v>
      </c>
      <c r="T167">
        <f t="shared" si="10"/>
        <v>16.024799999999999</v>
      </c>
      <c r="U167">
        <f t="shared" si="11"/>
        <v>11.0669352024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6.2715300000000003</v>
      </c>
      <c r="I168" s="22">
        <v>-1.34796E-2</v>
      </c>
      <c r="J168" s="22">
        <v>158</v>
      </c>
      <c r="K168" s="22">
        <v>0.90393100000000004</v>
      </c>
      <c r="L168">
        <f t="shared" si="8"/>
        <v>13.4796</v>
      </c>
      <c r="M168">
        <f t="shared" si="9"/>
        <v>12.190788484799999</v>
      </c>
      <c r="N168" s="9"/>
      <c r="O168" s="22">
        <v>0.69564800000000004</v>
      </c>
      <c r="P168" s="22">
        <v>11.354100000000001</v>
      </c>
      <c r="Q168" s="22">
        <v>-1.5960700000000001E-2</v>
      </c>
      <c r="R168" s="22">
        <v>158</v>
      </c>
      <c r="S168" s="22">
        <v>0.69479400000000002</v>
      </c>
      <c r="T168">
        <f t="shared" si="10"/>
        <v>15.960700000000001</v>
      </c>
      <c r="U168">
        <f t="shared" si="11"/>
        <v>11.103029033600002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6.2816000000000001</v>
      </c>
      <c r="I169" s="22">
        <v>-1.3555899999999999E-2</v>
      </c>
      <c r="J169" s="22">
        <v>159</v>
      </c>
      <c r="K169" s="22">
        <v>0.89874299999999996</v>
      </c>
      <c r="L169">
        <f t="shared" si="8"/>
        <v>13.555899999999999</v>
      </c>
      <c r="M169">
        <f t="shared" si="9"/>
        <v>12.1915393327</v>
      </c>
      <c r="N169" s="9"/>
      <c r="O169" s="22">
        <v>0.70068399999999997</v>
      </c>
      <c r="P169" s="22">
        <v>11.3642</v>
      </c>
      <c r="Q169" s="22">
        <v>-1.5887499999999999E-2</v>
      </c>
      <c r="R169" s="22">
        <v>159</v>
      </c>
      <c r="S169" s="22">
        <v>0.69979899999999995</v>
      </c>
      <c r="T169">
        <f t="shared" si="10"/>
        <v>15.887499999999999</v>
      </c>
      <c r="U169">
        <f t="shared" si="11"/>
        <v>11.13211705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6.2916699999999999</v>
      </c>
      <c r="I170" s="22">
        <v>-1.3616899999999999E-2</v>
      </c>
      <c r="J170" s="22">
        <v>160</v>
      </c>
      <c r="K170" s="22">
        <v>0.89355499999999999</v>
      </c>
      <c r="L170">
        <f t="shared" si="8"/>
        <v>13.616899999999999</v>
      </c>
      <c r="M170">
        <f t="shared" si="9"/>
        <v>12.177838774199998</v>
      </c>
      <c r="N170" s="9"/>
      <c r="O170" s="22">
        <v>0.70571899999999999</v>
      </c>
      <c r="P170" s="22">
        <v>11.3743</v>
      </c>
      <c r="Q170" s="22">
        <v>-1.5823400000000001E-2</v>
      </c>
      <c r="R170" s="22">
        <v>160</v>
      </c>
      <c r="S170" s="22">
        <v>0.70483399999999996</v>
      </c>
      <c r="T170">
        <f t="shared" si="10"/>
        <v>15.823400000000001</v>
      </c>
      <c r="U170">
        <f t="shared" si="11"/>
        <v>11.1668740246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6.3017399999999997</v>
      </c>
      <c r="I171" s="22">
        <v>-1.36963E-2</v>
      </c>
      <c r="J171" s="22">
        <v>161</v>
      </c>
      <c r="K171" s="22">
        <v>0.88836700000000002</v>
      </c>
      <c r="L171">
        <f t="shared" si="8"/>
        <v>13.696299999999999</v>
      </c>
      <c r="M171">
        <f t="shared" si="9"/>
        <v>12.1798730566</v>
      </c>
      <c r="N171" s="9"/>
      <c r="O171" s="22">
        <v>0.710754</v>
      </c>
      <c r="P171" s="22">
        <v>11.384399999999999</v>
      </c>
      <c r="Q171" s="22">
        <v>-1.57623E-2</v>
      </c>
      <c r="R171" s="22">
        <v>161</v>
      </c>
      <c r="S171" s="22">
        <v>0.70992999999999995</v>
      </c>
      <c r="T171">
        <f t="shared" si="10"/>
        <v>15.7623</v>
      </c>
      <c r="U171">
        <f t="shared" si="11"/>
        <v>11.203117774199999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6.3118100000000004</v>
      </c>
      <c r="I172" s="22">
        <v>-1.37695E-2</v>
      </c>
      <c r="J172" s="22">
        <v>162</v>
      </c>
      <c r="K172" s="22">
        <v>0.88287400000000005</v>
      </c>
      <c r="L172">
        <f t="shared" si="8"/>
        <v>13.769500000000001</v>
      </c>
      <c r="M172">
        <f t="shared" si="9"/>
        <v>12.1756390665</v>
      </c>
      <c r="N172" s="9"/>
      <c r="O172" s="22">
        <v>0.71579000000000004</v>
      </c>
      <c r="P172" s="22">
        <v>11.394399999999999</v>
      </c>
      <c r="Q172" s="22">
        <v>-1.5695199999999999E-2</v>
      </c>
      <c r="R172" s="22">
        <v>162</v>
      </c>
      <c r="S172" s="22">
        <v>0.71502699999999997</v>
      </c>
      <c r="T172">
        <f t="shared" si="10"/>
        <v>15.6952</v>
      </c>
      <c r="U172">
        <f t="shared" si="11"/>
        <v>11.234467208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6.3218800000000002</v>
      </c>
      <c r="I173" s="22">
        <v>-1.3848900000000001E-2</v>
      </c>
      <c r="J173" s="22">
        <v>163</v>
      </c>
      <c r="K173" s="22">
        <v>0.87829599999999997</v>
      </c>
      <c r="L173">
        <f t="shared" si="8"/>
        <v>13.8489</v>
      </c>
      <c r="M173">
        <f t="shared" si="9"/>
        <v>12.1761052179</v>
      </c>
      <c r="N173" s="9"/>
      <c r="O173" s="22">
        <v>0.72082500000000005</v>
      </c>
      <c r="P173" s="22">
        <v>11.404500000000001</v>
      </c>
      <c r="Q173" s="22">
        <v>-1.5631099999999998E-2</v>
      </c>
      <c r="R173" s="22">
        <v>163</v>
      </c>
      <c r="S173" s="22">
        <v>0.71991000000000005</v>
      </c>
      <c r="T173">
        <f t="shared" si="10"/>
        <v>15.631099999999998</v>
      </c>
      <c r="U173">
        <f t="shared" si="11"/>
        <v>11.267287657499999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6.3319599999999996</v>
      </c>
      <c r="I174" s="22">
        <v>-1.39252E-2</v>
      </c>
      <c r="J174" s="22">
        <v>164</v>
      </c>
      <c r="K174" s="22">
        <v>0.87341299999999999</v>
      </c>
      <c r="L174">
        <f t="shared" si="8"/>
        <v>13.9252</v>
      </c>
      <c r="M174">
        <f t="shared" si="9"/>
        <v>12.1730756352</v>
      </c>
      <c r="N174" s="9"/>
      <c r="O174" s="22">
        <v>0.72586099999999998</v>
      </c>
      <c r="P174" s="22">
        <v>11.4146</v>
      </c>
      <c r="Q174" s="22">
        <v>-1.5566999999999999E-2</v>
      </c>
      <c r="R174" s="22">
        <v>164</v>
      </c>
      <c r="S174" s="22">
        <v>0.72500600000000004</v>
      </c>
      <c r="T174">
        <f t="shared" si="10"/>
        <v>15.566999999999998</v>
      </c>
      <c r="U174">
        <f t="shared" si="11"/>
        <v>11.299478186999998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6.3420300000000003</v>
      </c>
      <c r="I175" s="22">
        <v>-1.39954E-2</v>
      </c>
      <c r="J175" s="22">
        <v>165</v>
      </c>
      <c r="K175" s="22">
        <v>0.86792000000000002</v>
      </c>
      <c r="L175">
        <f t="shared" si="8"/>
        <v>13.9954</v>
      </c>
      <c r="M175">
        <f t="shared" si="9"/>
        <v>12.163975951400001</v>
      </c>
      <c r="N175" s="9"/>
      <c r="O175" s="22">
        <v>0.73089599999999999</v>
      </c>
      <c r="P175" s="22">
        <v>11.4246</v>
      </c>
      <c r="Q175" s="22">
        <v>-1.54938E-2</v>
      </c>
      <c r="R175" s="22">
        <v>165</v>
      </c>
      <c r="S175" s="22">
        <v>0.73004199999999997</v>
      </c>
      <c r="T175">
        <f t="shared" si="10"/>
        <v>15.4938</v>
      </c>
      <c r="U175">
        <f t="shared" si="11"/>
        <v>11.324356444799999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6.3521000000000001</v>
      </c>
      <c r="I176" s="22">
        <v>-1.4074700000000001E-2</v>
      </c>
      <c r="J176" s="22">
        <v>166</v>
      </c>
      <c r="K176" s="22">
        <v>0.86303700000000005</v>
      </c>
      <c r="L176">
        <f t="shared" si="8"/>
        <v>14.0747</v>
      </c>
      <c r="M176">
        <f t="shared" si="9"/>
        <v>12.1620186435</v>
      </c>
      <c r="N176" s="9"/>
      <c r="O176" s="22">
        <v>0.735931</v>
      </c>
      <c r="P176" s="22">
        <v>11.434699999999999</v>
      </c>
      <c r="Q176" s="22">
        <v>-1.54205E-2</v>
      </c>
      <c r="R176" s="22">
        <v>166</v>
      </c>
      <c r="S176" s="22">
        <v>0.73513799999999996</v>
      </c>
      <c r="T176">
        <f t="shared" si="10"/>
        <v>15.420500000000001</v>
      </c>
      <c r="U176">
        <f t="shared" si="11"/>
        <v>11.3484239855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6.3621699999999999</v>
      </c>
      <c r="I177" s="22">
        <v>-1.4151E-2</v>
      </c>
      <c r="J177" s="22">
        <v>167</v>
      </c>
      <c r="K177" s="22">
        <v>0.85845899999999997</v>
      </c>
      <c r="L177">
        <f t="shared" si="8"/>
        <v>14.151</v>
      </c>
      <c r="M177">
        <f t="shared" si="9"/>
        <v>12.156699570000001</v>
      </c>
      <c r="N177" s="9"/>
      <c r="O177" s="22">
        <v>0.74096700000000004</v>
      </c>
      <c r="P177" s="22">
        <v>11.444800000000001</v>
      </c>
      <c r="Q177" s="22">
        <v>-1.53534E-2</v>
      </c>
      <c r="R177" s="22">
        <v>167</v>
      </c>
      <c r="S177" s="22">
        <v>0.74011199999999999</v>
      </c>
      <c r="T177">
        <f t="shared" si="10"/>
        <v>15.353399999999999</v>
      </c>
      <c r="U177">
        <f t="shared" si="11"/>
        <v>11.376362737799999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6.3722399999999997</v>
      </c>
      <c r="I178" s="22">
        <v>-1.42212E-2</v>
      </c>
      <c r="J178" s="22">
        <v>168</v>
      </c>
      <c r="K178" s="22">
        <v>0.852661</v>
      </c>
      <c r="L178">
        <f t="shared" si="8"/>
        <v>14.2212</v>
      </c>
      <c r="M178">
        <f t="shared" si="9"/>
        <v>12.145388320799999</v>
      </c>
      <c r="N178" s="9"/>
      <c r="O178" s="22">
        <v>0.74600200000000005</v>
      </c>
      <c r="P178" s="22">
        <v>11.4549</v>
      </c>
      <c r="Q178" s="22">
        <v>-1.5280200000000001E-2</v>
      </c>
      <c r="R178" s="22">
        <v>168</v>
      </c>
      <c r="S178" s="22">
        <v>0.74517800000000001</v>
      </c>
      <c r="T178">
        <f t="shared" si="10"/>
        <v>15.280200000000001</v>
      </c>
      <c r="U178">
        <f t="shared" si="11"/>
        <v>11.399059760400002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6.3823100000000004</v>
      </c>
      <c r="I179" s="22">
        <v>-1.4291399999999999E-2</v>
      </c>
      <c r="J179" s="22">
        <v>169</v>
      </c>
      <c r="K179" s="22">
        <v>0.84808300000000003</v>
      </c>
      <c r="L179">
        <f t="shared" si="8"/>
        <v>14.291399999999999</v>
      </c>
      <c r="M179">
        <f t="shared" si="9"/>
        <v>12.133384308599998</v>
      </c>
      <c r="N179" s="9"/>
      <c r="O179" s="22">
        <v>0.75103799999999998</v>
      </c>
      <c r="P179" s="22">
        <v>11.4649</v>
      </c>
      <c r="Q179" s="22">
        <v>-1.5213000000000001E-2</v>
      </c>
      <c r="R179" s="22">
        <v>169</v>
      </c>
      <c r="S179" s="22">
        <v>0.75018300000000004</v>
      </c>
      <c r="T179">
        <f t="shared" si="10"/>
        <v>15.213000000000001</v>
      </c>
      <c r="U179">
        <f t="shared" si="11"/>
        <v>11.425541094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6.3923800000000002</v>
      </c>
      <c r="I180" s="22">
        <v>-1.43646E-2</v>
      </c>
      <c r="J180" s="22">
        <v>170</v>
      </c>
      <c r="K180" s="22">
        <v>0.84320099999999998</v>
      </c>
      <c r="L180">
        <f t="shared" si="8"/>
        <v>14.364599999999999</v>
      </c>
      <c r="M180">
        <f t="shared" si="9"/>
        <v>12.1232052744</v>
      </c>
      <c r="N180" s="9"/>
      <c r="O180" s="22">
        <v>0.756073</v>
      </c>
      <c r="P180" s="22">
        <v>11.475</v>
      </c>
      <c r="Q180" s="22">
        <v>-1.5136699999999999E-2</v>
      </c>
      <c r="R180" s="22">
        <v>170</v>
      </c>
      <c r="S180" s="22">
        <v>0.75500500000000004</v>
      </c>
      <c r="T180">
        <f t="shared" si="10"/>
        <v>15.136699999999999</v>
      </c>
      <c r="U180">
        <f t="shared" si="11"/>
        <v>11.444450179099999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6.40245</v>
      </c>
      <c r="I181" s="22">
        <v>-1.4434799999999999E-2</v>
      </c>
      <c r="J181" s="22">
        <v>171</v>
      </c>
      <c r="K181" s="22">
        <v>0.83770800000000001</v>
      </c>
      <c r="L181">
        <f t="shared" si="8"/>
        <v>14.434799999999999</v>
      </c>
      <c r="M181">
        <f t="shared" si="9"/>
        <v>12.1097578944</v>
      </c>
      <c r="N181" s="9"/>
      <c r="O181" s="22">
        <v>0.76110800000000001</v>
      </c>
      <c r="P181" s="22">
        <v>11.485099999999999</v>
      </c>
      <c r="Q181" s="22">
        <v>-1.5075699999999999E-2</v>
      </c>
      <c r="R181" s="22">
        <v>171</v>
      </c>
      <c r="S181" s="22">
        <v>0.76019300000000001</v>
      </c>
      <c r="T181">
        <f t="shared" si="10"/>
        <v>15.075699999999999</v>
      </c>
      <c r="U181">
        <f t="shared" si="11"/>
        <v>11.4742358756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6.4125199999999998</v>
      </c>
      <c r="I182" s="22">
        <v>-1.4501999999999999E-2</v>
      </c>
      <c r="J182" s="22">
        <v>172</v>
      </c>
      <c r="K182" s="22">
        <v>0.83282500000000004</v>
      </c>
      <c r="L182">
        <f t="shared" si="8"/>
        <v>14.501999999999999</v>
      </c>
      <c r="M182">
        <f t="shared" si="9"/>
        <v>12.093116285999999</v>
      </c>
      <c r="N182" s="9"/>
      <c r="O182" s="22">
        <v>0.76614400000000005</v>
      </c>
      <c r="P182" s="22">
        <v>11.495100000000001</v>
      </c>
      <c r="Q182" s="22">
        <v>-1.50055E-2</v>
      </c>
      <c r="R182" s="22">
        <v>172</v>
      </c>
      <c r="S182" s="22">
        <v>0.76507599999999998</v>
      </c>
      <c r="T182">
        <f t="shared" si="10"/>
        <v>15.0055</v>
      </c>
      <c r="U182">
        <f t="shared" si="11"/>
        <v>11.496373792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6.4225899999999996</v>
      </c>
      <c r="I183" s="22">
        <v>-1.45752E-2</v>
      </c>
      <c r="J183" s="22">
        <v>173</v>
      </c>
      <c r="K183" s="22">
        <v>0.82763699999999996</v>
      </c>
      <c r="L183">
        <f t="shared" si="8"/>
        <v>14.575200000000001</v>
      </c>
      <c r="M183">
        <f t="shared" si="9"/>
        <v>12.0807565464</v>
      </c>
      <c r="N183" s="9"/>
      <c r="O183" s="22">
        <v>0.77117899999999995</v>
      </c>
      <c r="P183" s="22">
        <v>11.5052</v>
      </c>
      <c r="Q183" s="22">
        <v>-1.4941400000000001E-2</v>
      </c>
      <c r="R183" s="22">
        <v>173</v>
      </c>
      <c r="S183" s="22">
        <v>0.77056899999999995</v>
      </c>
      <c r="T183">
        <f t="shared" si="10"/>
        <v>14.9414</v>
      </c>
      <c r="U183">
        <f t="shared" si="11"/>
        <v>11.5224939106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6.4326699999999999</v>
      </c>
      <c r="I184" s="22">
        <v>-1.4648400000000001E-2</v>
      </c>
      <c r="J184" s="22">
        <v>174</v>
      </c>
      <c r="K184" s="22">
        <v>0.82244899999999999</v>
      </c>
      <c r="L184">
        <f t="shared" si="8"/>
        <v>14.648400000000001</v>
      </c>
      <c r="M184">
        <f t="shared" si="9"/>
        <v>12.067674184800001</v>
      </c>
      <c r="N184" s="9"/>
      <c r="O184" s="22">
        <v>0.77621499999999999</v>
      </c>
      <c r="P184" s="22">
        <v>11.5153</v>
      </c>
      <c r="Q184" s="22">
        <v>-1.48743E-2</v>
      </c>
      <c r="R184" s="22">
        <v>174</v>
      </c>
      <c r="S184" s="22">
        <v>0.775146</v>
      </c>
      <c r="T184">
        <f t="shared" si="10"/>
        <v>14.8743</v>
      </c>
      <c r="U184">
        <f t="shared" si="11"/>
        <v>11.545654774499999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6.4427399999999997</v>
      </c>
      <c r="I185" s="22">
        <v>-1.4721700000000001E-2</v>
      </c>
      <c r="J185" s="22">
        <v>175</v>
      </c>
      <c r="K185" s="22">
        <v>0.81817600000000001</v>
      </c>
      <c r="L185">
        <f t="shared" si="8"/>
        <v>14.7217</v>
      </c>
      <c r="M185">
        <f t="shared" si="9"/>
        <v>12.0539365779</v>
      </c>
      <c r="N185" s="9"/>
      <c r="O185" s="22">
        <v>0.78125</v>
      </c>
      <c r="P185" s="22">
        <v>11.5253</v>
      </c>
      <c r="Q185" s="22">
        <v>-1.47919E-2</v>
      </c>
      <c r="R185" s="22">
        <v>175</v>
      </c>
      <c r="S185" s="22">
        <v>0.78064</v>
      </c>
      <c r="T185">
        <f t="shared" si="10"/>
        <v>14.7919</v>
      </c>
      <c r="U185">
        <f t="shared" si="11"/>
        <v>11.556171875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6.4528100000000004</v>
      </c>
      <c r="I186" s="22">
        <v>-1.4798E-2</v>
      </c>
      <c r="J186" s="22">
        <v>176</v>
      </c>
      <c r="K186" s="22">
        <v>0.81298800000000004</v>
      </c>
      <c r="L186">
        <f t="shared" si="8"/>
        <v>14.798</v>
      </c>
      <c r="M186">
        <f t="shared" si="9"/>
        <v>12.041887298000001</v>
      </c>
      <c r="N186" s="9"/>
      <c r="O186" s="22">
        <v>0.78628500000000001</v>
      </c>
      <c r="P186" s="22">
        <v>11.535399999999999</v>
      </c>
      <c r="Q186" s="22">
        <v>-1.4721700000000001E-2</v>
      </c>
      <c r="R186" s="22">
        <v>176</v>
      </c>
      <c r="S186" s="22">
        <v>0.78521700000000005</v>
      </c>
      <c r="T186">
        <f t="shared" si="10"/>
        <v>14.7217</v>
      </c>
      <c r="U186">
        <f t="shared" si="11"/>
        <v>11.5754518845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6.4628800000000002</v>
      </c>
      <c r="I187" s="22">
        <v>-1.48743E-2</v>
      </c>
      <c r="J187" s="22">
        <v>177</v>
      </c>
      <c r="K187" s="22">
        <v>0.80779999999999996</v>
      </c>
      <c r="L187">
        <f t="shared" si="8"/>
        <v>14.8743</v>
      </c>
      <c r="M187">
        <f t="shared" si="9"/>
        <v>12.0290843988</v>
      </c>
      <c r="N187" s="9"/>
      <c r="O187" s="22">
        <v>0.79132100000000005</v>
      </c>
      <c r="P187" s="22">
        <v>11.545500000000001</v>
      </c>
      <c r="Q187" s="22">
        <v>-1.4645399999999999E-2</v>
      </c>
      <c r="R187" s="22">
        <v>177</v>
      </c>
      <c r="S187" s="22">
        <v>0.79040500000000002</v>
      </c>
      <c r="T187">
        <f t="shared" si="10"/>
        <v>14.645399999999999</v>
      </c>
      <c r="U187">
        <f t="shared" si="11"/>
        <v>11.589212573399999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6.47295</v>
      </c>
      <c r="I188" s="22">
        <v>-1.49506E-2</v>
      </c>
      <c r="J188" s="22">
        <v>178</v>
      </c>
      <c r="K188" s="22">
        <v>0.80230699999999999</v>
      </c>
      <c r="L188">
        <f t="shared" si="8"/>
        <v>14.9506</v>
      </c>
      <c r="M188">
        <f t="shared" si="9"/>
        <v>12.015498207999999</v>
      </c>
      <c r="N188" s="9"/>
      <c r="O188" s="22">
        <v>0.79635599999999995</v>
      </c>
      <c r="P188" s="22">
        <v>11.5556</v>
      </c>
      <c r="Q188" s="22">
        <v>-1.45691E-2</v>
      </c>
      <c r="R188" s="22">
        <v>178</v>
      </c>
      <c r="S188" s="22">
        <v>0.794983</v>
      </c>
      <c r="T188">
        <f t="shared" si="10"/>
        <v>14.569100000000001</v>
      </c>
      <c r="U188">
        <f t="shared" si="11"/>
        <v>11.602190199599999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6.4830199999999998</v>
      </c>
      <c r="I189" s="22">
        <v>-1.5008499999999999E-2</v>
      </c>
      <c r="J189" s="22">
        <v>179</v>
      </c>
      <c r="K189" s="22">
        <v>0.79803500000000005</v>
      </c>
      <c r="L189">
        <f t="shared" si="8"/>
        <v>15.0085</v>
      </c>
      <c r="M189">
        <f t="shared" si="9"/>
        <v>11.986463482500001</v>
      </c>
      <c r="N189" s="9"/>
      <c r="O189" s="22">
        <v>0.80139199999999999</v>
      </c>
      <c r="P189" s="22">
        <v>11.5656</v>
      </c>
      <c r="Q189" s="22">
        <v>-1.4505000000000001E-2</v>
      </c>
      <c r="R189" s="22">
        <v>179</v>
      </c>
      <c r="S189" s="22">
        <v>0.80047599999999997</v>
      </c>
      <c r="T189">
        <f t="shared" si="10"/>
        <v>14.505000000000001</v>
      </c>
      <c r="U189">
        <f t="shared" si="11"/>
        <v>11.62419096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6.4930899999999996</v>
      </c>
      <c r="I190" s="22">
        <v>-1.5075699999999999E-2</v>
      </c>
      <c r="J190" s="22">
        <v>180</v>
      </c>
      <c r="K190" s="22">
        <v>0.79284699999999997</v>
      </c>
      <c r="L190">
        <f t="shared" si="8"/>
        <v>15.075699999999999</v>
      </c>
      <c r="M190">
        <f t="shared" si="9"/>
        <v>11.964226277</v>
      </c>
      <c r="N190" s="9"/>
      <c r="O190" s="22">
        <v>0.806427</v>
      </c>
      <c r="P190" s="22">
        <v>11.575699999999999</v>
      </c>
      <c r="Q190" s="22">
        <v>-1.44257E-2</v>
      </c>
      <c r="R190" s="22">
        <v>180</v>
      </c>
      <c r="S190" s="22">
        <v>0.80505400000000005</v>
      </c>
      <c r="T190">
        <f t="shared" si="10"/>
        <v>14.425699999999999</v>
      </c>
      <c r="U190">
        <f t="shared" si="11"/>
        <v>11.6332739739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6.5031600000000003</v>
      </c>
      <c r="I191" s="22">
        <v>-1.51428E-2</v>
      </c>
      <c r="J191" s="22">
        <v>181</v>
      </c>
      <c r="K191" s="22">
        <v>0.787659</v>
      </c>
      <c r="L191">
        <f t="shared" si="8"/>
        <v>15.142799999999999</v>
      </c>
      <c r="M191">
        <f t="shared" si="9"/>
        <v>11.941218367199999</v>
      </c>
      <c r="N191" s="9"/>
      <c r="O191" s="22">
        <v>0.81146200000000002</v>
      </c>
      <c r="P191" s="22">
        <v>11.585800000000001</v>
      </c>
      <c r="Q191" s="22">
        <v>-1.43585E-2</v>
      </c>
      <c r="R191" s="22">
        <v>181</v>
      </c>
      <c r="S191" s="22">
        <v>0.80993700000000002</v>
      </c>
      <c r="T191">
        <f t="shared" si="10"/>
        <v>14.358499999999999</v>
      </c>
      <c r="U191">
        <f t="shared" si="11"/>
        <v>11.651377127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6.5132300000000001</v>
      </c>
      <c r="I192" s="22">
        <v>-1.5213000000000001E-2</v>
      </c>
      <c r="J192" s="22">
        <v>182</v>
      </c>
      <c r="K192" s="22">
        <v>0.78338600000000003</v>
      </c>
      <c r="L192">
        <f t="shared" si="8"/>
        <v>15.213000000000001</v>
      </c>
      <c r="M192">
        <f t="shared" si="9"/>
        <v>11.919978807</v>
      </c>
      <c r="N192" s="9"/>
      <c r="O192" s="22">
        <v>0.81649799999999995</v>
      </c>
      <c r="P192" s="22">
        <v>11.595800000000001</v>
      </c>
      <c r="Q192" s="22">
        <v>-1.4285300000000001E-2</v>
      </c>
      <c r="R192" s="22">
        <v>182</v>
      </c>
      <c r="S192" s="22">
        <v>0.81573499999999999</v>
      </c>
      <c r="T192">
        <f t="shared" si="10"/>
        <v>14.285300000000001</v>
      </c>
      <c r="U192">
        <f t="shared" si="11"/>
        <v>11.663918879400001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6.5232999999999999</v>
      </c>
      <c r="I193" s="22">
        <v>-1.52771E-2</v>
      </c>
      <c r="J193" s="22">
        <v>183</v>
      </c>
      <c r="K193" s="22">
        <v>0.77728299999999995</v>
      </c>
      <c r="L193">
        <f t="shared" si="8"/>
        <v>15.277100000000001</v>
      </c>
      <c r="M193">
        <f t="shared" si="9"/>
        <v>11.8932681813</v>
      </c>
      <c r="N193" s="9"/>
      <c r="O193" s="22">
        <v>0.82153299999999996</v>
      </c>
      <c r="P193" s="22">
        <v>11.6059</v>
      </c>
      <c r="Q193" s="22">
        <v>-1.42059E-2</v>
      </c>
      <c r="R193" s="22">
        <v>183</v>
      </c>
      <c r="S193" s="22">
        <v>0.82092299999999996</v>
      </c>
      <c r="T193">
        <f t="shared" si="10"/>
        <v>14.2059</v>
      </c>
      <c r="U193">
        <f t="shared" si="11"/>
        <v>11.6706156447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6.5333800000000002</v>
      </c>
      <c r="I194" s="22">
        <v>-1.5356399999999999E-2</v>
      </c>
      <c r="J194" s="22">
        <v>184</v>
      </c>
      <c r="K194" s="22">
        <v>0.77209499999999998</v>
      </c>
      <c r="L194">
        <f t="shared" si="8"/>
        <v>15.356399999999999</v>
      </c>
      <c r="M194">
        <f t="shared" si="9"/>
        <v>11.8776839952</v>
      </c>
      <c r="N194" s="9"/>
      <c r="O194" s="22">
        <v>0.826569</v>
      </c>
      <c r="P194" s="22">
        <v>11.616</v>
      </c>
      <c r="Q194" s="22">
        <v>-1.41388E-2</v>
      </c>
      <c r="R194" s="22">
        <v>184</v>
      </c>
      <c r="S194" s="22">
        <v>0.82580600000000004</v>
      </c>
      <c r="T194">
        <f t="shared" si="10"/>
        <v>14.1388</v>
      </c>
      <c r="U194">
        <f t="shared" si="11"/>
        <v>11.6866937772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6.54345</v>
      </c>
      <c r="I195" s="22">
        <v>-1.54266E-2</v>
      </c>
      <c r="J195" s="22">
        <v>185</v>
      </c>
      <c r="K195" s="22">
        <v>0.76721200000000001</v>
      </c>
      <c r="L195">
        <f t="shared" si="8"/>
        <v>15.426600000000001</v>
      </c>
      <c r="M195">
        <f t="shared" si="9"/>
        <v>11.854308517800002</v>
      </c>
      <c r="N195" s="9"/>
      <c r="O195" s="22">
        <v>0.83160400000000001</v>
      </c>
      <c r="P195" s="22">
        <v>11.626099999999999</v>
      </c>
      <c r="Q195" s="22">
        <v>-1.40594E-2</v>
      </c>
      <c r="R195" s="22">
        <v>185</v>
      </c>
      <c r="S195" s="22">
        <v>0.83099400000000001</v>
      </c>
      <c r="T195">
        <f t="shared" si="10"/>
        <v>14.0594</v>
      </c>
      <c r="U195">
        <f t="shared" si="11"/>
        <v>11.6918532776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6.5535199999999998</v>
      </c>
      <c r="I196" s="22">
        <v>-1.54907E-2</v>
      </c>
      <c r="J196" s="22">
        <v>186</v>
      </c>
      <c r="K196" s="22">
        <v>0.76293900000000003</v>
      </c>
      <c r="L196">
        <f t="shared" si="8"/>
        <v>15.4907</v>
      </c>
      <c r="M196">
        <f t="shared" si="9"/>
        <v>11.8255539079</v>
      </c>
      <c r="N196" s="9"/>
      <c r="O196" s="22">
        <v>0.83663900000000002</v>
      </c>
      <c r="P196" s="22">
        <v>11.636100000000001</v>
      </c>
      <c r="Q196" s="22">
        <v>-1.3983199999999999E-2</v>
      </c>
      <c r="R196" s="22">
        <v>186</v>
      </c>
      <c r="S196" s="22">
        <v>0.83618199999999998</v>
      </c>
      <c r="T196">
        <f t="shared" si="10"/>
        <v>13.9832</v>
      </c>
      <c r="U196">
        <f t="shared" si="11"/>
        <v>11.6988904648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6.5635899999999996</v>
      </c>
      <c r="I197" s="22">
        <v>-1.5551799999999999E-2</v>
      </c>
      <c r="J197" s="22">
        <v>187</v>
      </c>
      <c r="K197" s="22">
        <v>0.75714099999999995</v>
      </c>
      <c r="L197">
        <f t="shared" si="8"/>
        <v>15.5518</v>
      </c>
      <c r="M197">
        <f t="shared" si="9"/>
        <v>11.7938941516</v>
      </c>
      <c r="N197" s="9"/>
      <c r="O197" s="22">
        <v>0.84167499999999995</v>
      </c>
      <c r="P197" s="22">
        <v>11.6462</v>
      </c>
      <c r="Q197" s="22">
        <v>-1.3916E-2</v>
      </c>
      <c r="R197" s="22">
        <v>187</v>
      </c>
      <c r="S197" s="22">
        <v>0.84014900000000003</v>
      </c>
      <c r="T197">
        <f t="shared" si="10"/>
        <v>13.916</v>
      </c>
      <c r="U197">
        <f t="shared" si="11"/>
        <v>11.7127493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6.5736600000000003</v>
      </c>
      <c r="I198" s="22">
        <v>-1.5625E-2</v>
      </c>
      <c r="J198" s="22">
        <v>188</v>
      </c>
      <c r="K198" s="22">
        <v>0.75195299999999998</v>
      </c>
      <c r="L198">
        <f t="shared" si="8"/>
        <v>15.625</v>
      </c>
      <c r="M198">
        <f t="shared" si="9"/>
        <v>11.77071875</v>
      </c>
      <c r="N198" s="9"/>
      <c r="O198" s="22">
        <v>0.84670999999999996</v>
      </c>
      <c r="P198" s="22">
        <v>11.6563</v>
      </c>
      <c r="Q198" s="22">
        <v>-1.3842800000000001E-2</v>
      </c>
      <c r="R198" s="22">
        <v>188</v>
      </c>
      <c r="S198" s="22">
        <v>0.846252</v>
      </c>
      <c r="T198">
        <f t="shared" si="10"/>
        <v>13.8428</v>
      </c>
      <c r="U198">
        <f t="shared" si="11"/>
        <v>11.720837187999999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6.5837300000000001</v>
      </c>
      <c r="I199" s="22">
        <v>-1.5682999999999999E-2</v>
      </c>
      <c r="J199" s="22">
        <v>189</v>
      </c>
      <c r="K199" s="22">
        <v>0.74737500000000001</v>
      </c>
      <c r="L199">
        <f t="shared" si="8"/>
        <v>15.683</v>
      </c>
      <c r="M199">
        <f t="shared" si="9"/>
        <v>11.735447753000001</v>
      </c>
      <c r="N199" s="9"/>
      <c r="O199" s="22">
        <v>0.851746</v>
      </c>
      <c r="P199" s="22">
        <v>11.6663</v>
      </c>
      <c r="Q199" s="22">
        <v>-1.3772599999999999E-2</v>
      </c>
      <c r="R199" s="22">
        <v>189</v>
      </c>
      <c r="S199" s="22">
        <v>0.85082999999999998</v>
      </c>
      <c r="T199">
        <f t="shared" si="10"/>
        <v>13.772599999999999</v>
      </c>
      <c r="U199">
        <f t="shared" si="11"/>
        <v>11.730756959599999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6.5937999999999999</v>
      </c>
      <c r="I200" s="22">
        <v>-1.5753199999999998E-2</v>
      </c>
      <c r="J200" s="22">
        <v>190</v>
      </c>
      <c r="K200" s="22">
        <v>0.74246199999999996</v>
      </c>
      <c r="L200">
        <f t="shared" si="8"/>
        <v>15.753199999999998</v>
      </c>
      <c r="M200">
        <f t="shared" si="9"/>
        <v>11.708660419199999</v>
      </c>
      <c r="N200" s="9"/>
      <c r="O200" s="22">
        <v>0.85678100000000001</v>
      </c>
      <c r="P200" s="22">
        <v>11.676399999999999</v>
      </c>
      <c r="Q200" s="22">
        <v>-1.3699299999999999E-2</v>
      </c>
      <c r="R200" s="22">
        <v>190</v>
      </c>
      <c r="S200" s="22">
        <v>0.85632299999999995</v>
      </c>
      <c r="T200">
        <f t="shared" si="10"/>
        <v>13.699299999999999</v>
      </c>
      <c r="U200">
        <f t="shared" si="11"/>
        <v>11.737299953299999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6.6038699999999997</v>
      </c>
      <c r="I201" s="22">
        <v>-1.5823400000000001E-2</v>
      </c>
      <c r="J201" s="22">
        <v>191</v>
      </c>
      <c r="K201" s="22">
        <v>0.73742700000000005</v>
      </c>
      <c r="L201">
        <f t="shared" si="8"/>
        <v>15.823400000000001</v>
      </c>
      <c r="M201">
        <f t="shared" si="9"/>
        <v>11.681150348000001</v>
      </c>
      <c r="N201" s="9"/>
      <c r="O201" s="22">
        <v>0.86181600000000003</v>
      </c>
      <c r="P201" s="22">
        <v>11.686500000000001</v>
      </c>
      <c r="Q201" s="22">
        <v>-1.3616899999999999E-2</v>
      </c>
      <c r="R201" s="22">
        <v>191</v>
      </c>
      <c r="S201" s="22">
        <v>0.86120600000000003</v>
      </c>
      <c r="T201">
        <f t="shared" si="10"/>
        <v>13.616899999999999</v>
      </c>
      <c r="U201">
        <f t="shared" si="11"/>
        <v>11.7352622904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6.6139400000000004</v>
      </c>
      <c r="I202" s="22">
        <v>-1.58966E-2</v>
      </c>
      <c r="J202" s="22">
        <v>192</v>
      </c>
      <c r="K202" s="22">
        <v>0.73226899999999995</v>
      </c>
      <c r="L202">
        <f t="shared" si="8"/>
        <v>15.896600000000001</v>
      </c>
      <c r="M202">
        <f t="shared" si="9"/>
        <v>11.655148671000001</v>
      </c>
      <c r="N202" s="9"/>
      <c r="O202" s="22">
        <v>0.86685199999999996</v>
      </c>
      <c r="P202" s="22">
        <v>11.6966</v>
      </c>
      <c r="Q202" s="22">
        <v>-1.35529E-2</v>
      </c>
      <c r="R202" s="22">
        <v>192</v>
      </c>
      <c r="S202" s="22">
        <v>0.865479</v>
      </c>
      <c r="T202">
        <f t="shared" si="10"/>
        <v>13.552899999999999</v>
      </c>
      <c r="U202">
        <f t="shared" si="11"/>
        <v>11.7483584708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6.6240100000000002</v>
      </c>
      <c r="I203" s="22">
        <v>-1.5963700000000001E-2</v>
      </c>
      <c r="J203" s="22">
        <v>193</v>
      </c>
      <c r="K203" s="22">
        <v>0.72729500000000002</v>
      </c>
      <c r="L203">
        <f t="shared" si="8"/>
        <v>15.963700000000001</v>
      </c>
      <c r="M203">
        <f t="shared" si="9"/>
        <v>11.623952191300001</v>
      </c>
      <c r="N203" s="9"/>
      <c r="O203" s="22">
        <v>0.87188699999999997</v>
      </c>
      <c r="P203" s="22">
        <v>11.7066</v>
      </c>
      <c r="Q203" s="22">
        <v>-1.3473499999999999E-2</v>
      </c>
      <c r="R203" s="22">
        <v>193</v>
      </c>
      <c r="S203" s="22">
        <v>0.87066699999999997</v>
      </c>
      <c r="T203">
        <f t="shared" si="10"/>
        <v>13.4735</v>
      </c>
      <c r="U203">
        <f t="shared" si="11"/>
        <v>11.747369494499999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6.6340899999999996</v>
      </c>
      <c r="I204" s="22">
        <v>-1.6030900000000001E-2</v>
      </c>
      <c r="J204" s="22">
        <v>194</v>
      </c>
      <c r="K204" s="22">
        <v>0.72232099999999999</v>
      </c>
      <c r="L204">
        <f t="shared" ref="L204:L267" si="12">-I204/$F$2*1000</f>
        <v>16.030899999999999</v>
      </c>
      <c r="M204">
        <f t="shared" ref="M204:M267" si="13">L204*G204</f>
        <v>11.5921682226</v>
      </c>
      <c r="N204" s="9"/>
      <c r="O204" s="22">
        <v>0.87692300000000001</v>
      </c>
      <c r="P204" s="22">
        <v>11.716699999999999</v>
      </c>
      <c r="Q204" s="22">
        <v>-1.3406400000000001E-2</v>
      </c>
      <c r="R204" s="22">
        <v>194</v>
      </c>
      <c r="S204" s="22">
        <v>0.87585400000000002</v>
      </c>
      <c r="T204">
        <f t="shared" ref="T204:T267" si="14">-Q204/$F$2*1000</f>
        <v>13.406400000000001</v>
      </c>
      <c r="U204">
        <f t="shared" ref="U204:U267" si="15">T204*O204</f>
        <v>11.756380507200001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6.6441600000000003</v>
      </c>
      <c r="I205" s="22">
        <v>-1.6091899999999999E-2</v>
      </c>
      <c r="J205" s="22">
        <v>195</v>
      </c>
      <c r="K205" s="22">
        <v>0.717194</v>
      </c>
      <c r="L205">
        <f t="shared" si="12"/>
        <v>16.091899999999999</v>
      </c>
      <c r="M205">
        <f t="shared" si="13"/>
        <v>11.5552554601</v>
      </c>
      <c r="N205" s="9"/>
      <c r="O205" s="22">
        <v>0.88195800000000002</v>
      </c>
      <c r="P205" s="22">
        <v>11.726800000000001</v>
      </c>
      <c r="Q205" s="22">
        <v>-1.3327E-2</v>
      </c>
      <c r="R205" s="22">
        <v>195</v>
      </c>
      <c r="S205" s="22">
        <v>0.88134800000000002</v>
      </c>
      <c r="T205">
        <f t="shared" si="14"/>
        <v>13.327</v>
      </c>
      <c r="U205">
        <f t="shared" si="15"/>
        <v>11.753854265999999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6.6542300000000001</v>
      </c>
      <c r="I206" s="22">
        <v>-1.61438E-2</v>
      </c>
      <c r="J206" s="22">
        <v>196</v>
      </c>
      <c r="K206" s="22">
        <v>0.71215799999999996</v>
      </c>
      <c r="L206">
        <f t="shared" si="12"/>
        <v>16.143799999999999</v>
      </c>
      <c r="M206">
        <f t="shared" si="13"/>
        <v>11.5112235834</v>
      </c>
      <c r="N206" s="9"/>
      <c r="O206" s="22">
        <v>0.88699300000000003</v>
      </c>
      <c r="P206" s="22">
        <v>11.736800000000001</v>
      </c>
      <c r="Q206" s="22">
        <v>-1.3250700000000001E-2</v>
      </c>
      <c r="R206" s="22">
        <v>196</v>
      </c>
      <c r="S206" s="22">
        <v>0.88561999999999996</v>
      </c>
      <c r="T206">
        <f t="shared" si="14"/>
        <v>13.2507</v>
      </c>
      <c r="U206">
        <f t="shared" si="15"/>
        <v>11.753278145100001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6.6642999999999999</v>
      </c>
      <c r="I207" s="22">
        <v>-1.6201799999999999E-2</v>
      </c>
      <c r="J207" s="22">
        <v>197</v>
      </c>
      <c r="K207" s="22">
        <v>0.70721400000000001</v>
      </c>
      <c r="L207">
        <f t="shared" si="12"/>
        <v>16.201799999999999</v>
      </c>
      <c r="M207">
        <f t="shared" si="13"/>
        <v>11.471004014399998</v>
      </c>
      <c r="N207" s="9"/>
      <c r="O207" s="22">
        <v>0.89202899999999996</v>
      </c>
      <c r="P207" s="22">
        <v>11.7469</v>
      </c>
      <c r="Q207" s="22">
        <v>-1.3168300000000001E-2</v>
      </c>
      <c r="R207" s="22">
        <v>197</v>
      </c>
      <c r="S207" s="22">
        <v>0.89080800000000004</v>
      </c>
      <c r="T207">
        <f t="shared" si="14"/>
        <v>13.1683</v>
      </c>
      <c r="U207">
        <f t="shared" si="15"/>
        <v>11.7465054807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6.6743699999999997</v>
      </c>
      <c r="I208" s="22">
        <v>-1.62659E-2</v>
      </c>
      <c r="J208" s="22">
        <v>198</v>
      </c>
      <c r="K208" s="22">
        <v>0.70214799999999999</v>
      </c>
      <c r="L208">
        <f t="shared" si="12"/>
        <v>16.265899999999998</v>
      </c>
      <c r="M208">
        <f t="shared" si="13"/>
        <v>11.434472254799999</v>
      </c>
      <c r="N208" s="9"/>
      <c r="O208" s="22">
        <v>0.89706399999999997</v>
      </c>
      <c r="P208" s="22">
        <v>11.757</v>
      </c>
      <c r="Q208" s="22">
        <v>-1.3079800000000001E-2</v>
      </c>
      <c r="R208" s="22">
        <v>198</v>
      </c>
      <c r="S208" s="22">
        <v>0.89660600000000001</v>
      </c>
      <c r="T208">
        <f t="shared" si="14"/>
        <v>13.079800000000001</v>
      </c>
      <c r="U208">
        <f t="shared" si="15"/>
        <v>11.733417707200001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6.6844400000000004</v>
      </c>
      <c r="I209" s="22">
        <v>-1.6336099999999999E-2</v>
      </c>
      <c r="J209" s="22">
        <v>199</v>
      </c>
      <c r="K209" s="22">
        <v>0.69711299999999998</v>
      </c>
      <c r="L209">
        <f t="shared" si="12"/>
        <v>16.336099999999998</v>
      </c>
      <c r="M209">
        <f t="shared" si="13"/>
        <v>11.4015686257</v>
      </c>
      <c r="N209" s="9"/>
      <c r="O209" s="22">
        <v>0.90210000000000001</v>
      </c>
      <c r="P209" s="22">
        <v>11.767099999999999</v>
      </c>
      <c r="Q209" s="22">
        <v>-1.30066E-2</v>
      </c>
      <c r="R209" s="22">
        <v>199</v>
      </c>
      <c r="S209" s="22">
        <v>0.90148899999999998</v>
      </c>
      <c r="T209">
        <f t="shared" si="14"/>
        <v>13.006600000000001</v>
      </c>
      <c r="U209">
        <f t="shared" si="15"/>
        <v>11.733253860000001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6.6945100000000002</v>
      </c>
      <c r="I210" s="22">
        <v>-1.6393999999999999E-2</v>
      </c>
      <c r="J210" s="22">
        <v>200</v>
      </c>
      <c r="K210" s="22">
        <v>0.69201699999999999</v>
      </c>
      <c r="L210">
        <f t="shared" si="12"/>
        <v>16.393999999999998</v>
      </c>
      <c r="M210">
        <f t="shared" si="13"/>
        <v>11.359435388</v>
      </c>
      <c r="N210" s="9"/>
      <c r="O210" s="22">
        <v>0.90713500000000002</v>
      </c>
      <c r="P210" s="22">
        <v>11.777100000000001</v>
      </c>
      <c r="Q210" s="22">
        <v>-1.29211E-2</v>
      </c>
      <c r="R210" s="22">
        <v>200</v>
      </c>
      <c r="S210" s="22">
        <v>0.90606699999999996</v>
      </c>
      <c r="T210">
        <f t="shared" si="14"/>
        <v>12.921099999999999</v>
      </c>
      <c r="U210">
        <f t="shared" si="15"/>
        <v>11.721182048499999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6.70458</v>
      </c>
      <c r="I211" s="22">
        <v>-1.64551E-2</v>
      </c>
      <c r="J211" s="22">
        <v>201</v>
      </c>
      <c r="K211" s="22">
        <v>0.68701199999999996</v>
      </c>
      <c r="L211">
        <f t="shared" si="12"/>
        <v>16.455100000000002</v>
      </c>
      <c r="M211">
        <f t="shared" si="13"/>
        <v>11.318903816600001</v>
      </c>
      <c r="N211" s="9"/>
      <c r="O211" s="22">
        <v>0.91217000000000004</v>
      </c>
      <c r="P211" s="22">
        <v>11.7872</v>
      </c>
      <c r="Q211" s="22">
        <v>-1.28357E-2</v>
      </c>
      <c r="R211" s="22">
        <v>201</v>
      </c>
      <c r="S211" s="22">
        <v>0.91156000000000004</v>
      </c>
      <c r="T211">
        <f t="shared" si="14"/>
        <v>12.835700000000001</v>
      </c>
      <c r="U211">
        <f t="shared" si="15"/>
        <v>11.708340469000001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6.7146499999999998</v>
      </c>
      <c r="I212" s="22">
        <v>-1.6516099999999999E-2</v>
      </c>
      <c r="J212" s="22">
        <v>202</v>
      </c>
      <c r="K212" s="22">
        <v>0.68191500000000005</v>
      </c>
      <c r="L212">
        <f t="shared" si="12"/>
        <v>16.516099999999998</v>
      </c>
      <c r="M212">
        <f t="shared" si="13"/>
        <v>11.277705079099999</v>
      </c>
      <c r="N212" s="9"/>
      <c r="O212" s="22">
        <v>0.91720599999999997</v>
      </c>
      <c r="P212" s="22">
        <v>11.7973</v>
      </c>
      <c r="Q212" s="22">
        <v>-1.27625E-2</v>
      </c>
      <c r="R212" s="22">
        <v>202</v>
      </c>
      <c r="S212" s="22">
        <v>0.91613800000000001</v>
      </c>
      <c r="T212">
        <f t="shared" si="14"/>
        <v>12.762499999999999</v>
      </c>
      <c r="U212">
        <f t="shared" si="15"/>
        <v>11.705841574999999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6.7247199999999996</v>
      </c>
      <c r="I213" s="22">
        <v>-1.6577100000000001E-2</v>
      </c>
      <c r="J213" s="22">
        <v>203</v>
      </c>
      <c r="K213" s="22">
        <v>0.67694100000000001</v>
      </c>
      <c r="L213">
        <f t="shared" si="12"/>
        <v>16.577100000000002</v>
      </c>
      <c r="M213">
        <f t="shared" si="13"/>
        <v>11.235875494500002</v>
      </c>
      <c r="N213" s="9"/>
      <c r="O213" s="22">
        <v>0.92224099999999998</v>
      </c>
      <c r="P213" s="22">
        <v>11.8073</v>
      </c>
      <c r="Q213" s="22">
        <v>-1.2674E-2</v>
      </c>
      <c r="R213" s="22">
        <v>203</v>
      </c>
      <c r="S213" s="22">
        <v>0.92163099999999998</v>
      </c>
      <c r="T213">
        <f t="shared" si="14"/>
        <v>12.673999999999999</v>
      </c>
      <c r="U213">
        <f t="shared" si="15"/>
        <v>11.688482433999999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6.7347999999999999</v>
      </c>
      <c r="I214" s="22">
        <v>-1.6638199999999999E-2</v>
      </c>
      <c r="J214" s="22">
        <v>204</v>
      </c>
      <c r="K214" s="22">
        <v>0.67181400000000002</v>
      </c>
      <c r="L214">
        <f t="shared" si="12"/>
        <v>16.638199999999998</v>
      </c>
      <c r="M214">
        <f t="shared" si="13"/>
        <v>11.193515431999998</v>
      </c>
      <c r="N214" s="9"/>
      <c r="O214" s="22">
        <v>0.92727700000000002</v>
      </c>
      <c r="P214" s="22">
        <v>11.817399999999999</v>
      </c>
      <c r="Q214" s="22">
        <v>-1.25977E-2</v>
      </c>
      <c r="R214" s="22">
        <v>204</v>
      </c>
      <c r="S214" s="22">
        <v>0.92590300000000003</v>
      </c>
      <c r="T214">
        <f t="shared" si="14"/>
        <v>12.5977</v>
      </c>
      <c r="U214">
        <f t="shared" si="15"/>
        <v>11.681557462900001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6.7448699999999997</v>
      </c>
      <c r="I215" s="22">
        <v>-1.6705299999999999E-2</v>
      </c>
      <c r="J215" s="22">
        <v>205</v>
      </c>
      <c r="K215" s="22">
        <v>0.66690099999999997</v>
      </c>
      <c r="L215">
        <f t="shared" si="12"/>
        <v>16.705299999999998</v>
      </c>
      <c r="M215">
        <f t="shared" si="13"/>
        <v>11.154546442499999</v>
      </c>
      <c r="N215" s="9"/>
      <c r="O215" s="22">
        <v>0.93231200000000003</v>
      </c>
      <c r="P215" s="22">
        <v>11.827500000000001</v>
      </c>
      <c r="Q215" s="22">
        <v>-1.25092E-2</v>
      </c>
      <c r="R215" s="22">
        <v>205</v>
      </c>
      <c r="S215" s="22">
        <v>0.931091</v>
      </c>
      <c r="T215">
        <f t="shared" si="14"/>
        <v>12.5092</v>
      </c>
      <c r="U215">
        <f t="shared" si="15"/>
        <v>11.6624772704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6.7549400000000004</v>
      </c>
      <c r="I216" s="22">
        <v>-1.67572E-2</v>
      </c>
      <c r="J216" s="22">
        <v>206</v>
      </c>
      <c r="K216" s="22">
        <v>0.66183499999999995</v>
      </c>
      <c r="L216">
        <f t="shared" si="12"/>
        <v>16.757200000000001</v>
      </c>
      <c r="M216">
        <f t="shared" si="13"/>
        <v>11.104812110800001</v>
      </c>
      <c r="N216" s="9"/>
      <c r="O216" s="22">
        <v>0.93734700000000004</v>
      </c>
      <c r="P216" s="22">
        <v>11.8375</v>
      </c>
      <c r="Q216" s="22">
        <v>-1.24298E-2</v>
      </c>
      <c r="R216" s="22">
        <v>206</v>
      </c>
      <c r="S216" s="22">
        <v>0.93627899999999997</v>
      </c>
      <c r="T216">
        <f t="shared" si="14"/>
        <v>12.4298</v>
      </c>
      <c r="U216">
        <f t="shared" si="15"/>
        <v>11.651035740600001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6.7650100000000002</v>
      </c>
      <c r="I217" s="22">
        <v>-1.68121E-2</v>
      </c>
      <c r="J217" s="22">
        <v>207</v>
      </c>
      <c r="K217" s="22">
        <v>0.65676900000000005</v>
      </c>
      <c r="L217">
        <f t="shared" si="12"/>
        <v>16.812100000000001</v>
      </c>
      <c r="M217">
        <f t="shared" si="13"/>
        <v>11.0565448134</v>
      </c>
      <c r="N217" s="9"/>
      <c r="O217" s="22">
        <v>0.94238299999999997</v>
      </c>
      <c r="P217" s="22">
        <v>11.8476</v>
      </c>
      <c r="Q217" s="22">
        <v>-1.23535E-2</v>
      </c>
      <c r="R217" s="22">
        <v>207</v>
      </c>
      <c r="S217" s="22">
        <v>0.94085700000000005</v>
      </c>
      <c r="T217">
        <f t="shared" si="14"/>
        <v>12.3535</v>
      </c>
      <c r="U217">
        <f t="shared" si="15"/>
        <v>11.641728390500001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6.77508</v>
      </c>
      <c r="I218" s="22">
        <v>-1.6876200000000001E-2</v>
      </c>
      <c r="J218" s="22">
        <v>208</v>
      </c>
      <c r="K218" s="22">
        <v>0.65179399999999998</v>
      </c>
      <c r="L218">
        <f t="shared" si="12"/>
        <v>16.876200000000001</v>
      </c>
      <c r="M218">
        <f t="shared" si="13"/>
        <v>11.013711891600002</v>
      </c>
      <c r="N218" s="9"/>
      <c r="O218" s="22">
        <v>0.94741799999999998</v>
      </c>
      <c r="P218" s="22">
        <v>11.857699999999999</v>
      </c>
      <c r="Q218" s="22">
        <v>-1.22772E-2</v>
      </c>
      <c r="R218" s="22">
        <v>208</v>
      </c>
      <c r="S218" s="22">
        <v>0.94604500000000002</v>
      </c>
      <c r="T218">
        <f t="shared" si="14"/>
        <v>12.277200000000001</v>
      </c>
      <c r="U218">
        <f t="shared" si="15"/>
        <v>11.6316402696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6.7851499999999998</v>
      </c>
      <c r="I219" s="22">
        <v>-1.69312E-2</v>
      </c>
      <c r="J219" s="22">
        <v>209</v>
      </c>
      <c r="K219" s="22">
        <v>0.646729</v>
      </c>
      <c r="L219">
        <f t="shared" si="12"/>
        <v>16.9312</v>
      </c>
      <c r="M219">
        <f t="shared" si="13"/>
        <v>10.964357289600001</v>
      </c>
      <c r="N219" s="9"/>
      <c r="O219" s="22">
        <v>0.95245400000000002</v>
      </c>
      <c r="P219" s="22">
        <v>11.867800000000001</v>
      </c>
      <c r="Q219" s="22">
        <v>-1.2197899999999999E-2</v>
      </c>
      <c r="R219" s="22">
        <v>209</v>
      </c>
      <c r="S219" s="22">
        <v>0.95153799999999999</v>
      </c>
      <c r="T219">
        <f t="shared" si="14"/>
        <v>12.197899999999999</v>
      </c>
      <c r="U219">
        <f t="shared" si="15"/>
        <v>11.617938646599999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6.7952199999999996</v>
      </c>
      <c r="I220" s="22">
        <v>-1.69891E-2</v>
      </c>
      <c r="J220" s="22">
        <v>210</v>
      </c>
      <c r="K220" s="22">
        <v>0.64169299999999996</v>
      </c>
      <c r="L220">
        <f t="shared" si="12"/>
        <v>16.989100000000001</v>
      </c>
      <c r="M220">
        <f t="shared" si="13"/>
        <v>10.916312226800001</v>
      </c>
      <c r="N220" s="9"/>
      <c r="O220" s="22">
        <v>0.95748900000000003</v>
      </c>
      <c r="P220" s="22">
        <v>11.877800000000001</v>
      </c>
      <c r="Q220" s="22">
        <v>-1.2124599999999999E-2</v>
      </c>
      <c r="R220" s="22">
        <v>210</v>
      </c>
      <c r="S220" s="22">
        <v>0.95611599999999997</v>
      </c>
      <c r="T220">
        <f t="shared" si="14"/>
        <v>12.124599999999999</v>
      </c>
      <c r="U220">
        <f t="shared" si="15"/>
        <v>11.6091711294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6.8052900000000003</v>
      </c>
      <c r="I221" s="22">
        <v>-1.7047099999999999E-2</v>
      </c>
      <c r="J221" s="22">
        <v>211</v>
      </c>
      <c r="K221" s="22">
        <v>0.63668800000000003</v>
      </c>
      <c r="L221">
        <f t="shared" si="12"/>
        <v>17.0471</v>
      </c>
      <c r="M221">
        <f t="shared" si="13"/>
        <v>10.8677308152</v>
      </c>
      <c r="N221" s="9"/>
      <c r="O221" s="22">
        <v>0.96252400000000005</v>
      </c>
      <c r="P221" s="22">
        <v>11.8879</v>
      </c>
      <c r="Q221" s="22">
        <v>-1.20392E-2</v>
      </c>
      <c r="R221" s="22">
        <v>211</v>
      </c>
      <c r="S221" s="22">
        <v>0.96160900000000005</v>
      </c>
      <c r="T221">
        <f t="shared" si="14"/>
        <v>12.039199999999999</v>
      </c>
      <c r="U221">
        <f t="shared" si="15"/>
        <v>11.5880189408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6.8153600000000001</v>
      </c>
      <c r="I222" s="22">
        <v>-1.7099E-2</v>
      </c>
      <c r="J222" s="22">
        <v>212</v>
      </c>
      <c r="K222" s="22">
        <v>0.63162200000000002</v>
      </c>
      <c r="L222">
        <f t="shared" si="12"/>
        <v>17.099</v>
      </c>
      <c r="M222">
        <f t="shared" si="13"/>
        <v>10.814724222999999</v>
      </c>
      <c r="N222" s="9"/>
      <c r="O222" s="22">
        <v>0.96755999999999998</v>
      </c>
      <c r="P222" s="22">
        <v>11.898</v>
      </c>
      <c r="Q222" s="22">
        <v>-1.19507E-2</v>
      </c>
      <c r="R222" s="22">
        <v>212</v>
      </c>
      <c r="S222" s="22">
        <v>0.96649200000000002</v>
      </c>
      <c r="T222">
        <f t="shared" si="14"/>
        <v>11.950699999999999</v>
      </c>
      <c r="U222">
        <f t="shared" si="15"/>
        <v>11.563019292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6.8254299999999999</v>
      </c>
      <c r="I223" s="22">
        <v>-1.7156999999999999E-2</v>
      </c>
      <c r="J223" s="22">
        <v>213</v>
      </c>
      <c r="K223" s="22">
        <v>0.62661699999999998</v>
      </c>
      <c r="L223">
        <f t="shared" si="12"/>
        <v>17.157</v>
      </c>
      <c r="M223">
        <f t="shared" si="13"/>
        <v>10.765005237</v>
      </c>
      <c r="N223" s="9"/>
      <c r="O223" s="22">
        <v>0.97259499999999999</v>
      </c>
      <c r="P223" s="22">
        <v>11.907999999999999</v>
      </c>
      <c r="Q223" s="22">
        <v>-1.18744E-2</v>
      </c>
      <c r="R223" s="22">
        <v>213</v>
      </c>
      <c r="S223" s="22">
        <v>0.97137499999999999</v>
      </c>
      <c r="T223">
        <f t="shared" si="14"/>
        <v>11.8744</v>
      </c>
      <c r="U223">
        <f t="shared" si="15"/>
        <v>11.548982067999999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6.8355100000000002</v>
      </c>
      <c r="I224" s="22">
        <v>-1.7202800000000001E-2</v>
      </c>
      <c r="J224" s="22">
        <v>214</v>
      </c>
      <c r="K224" s="22">
        <v>0.62155199999999999</v>
      </c>
      <c r="L224">
        <f t="shared" si="12"/>
        <v>17.2028</v>
      </c>
      <c r="M224">
        <f t="shared" si="13"/>
        <v>10.707125936800001</v>
      </c>
      <c r="N224" s="9"/>
      <c r="O224" s="22">
        <v>0.97763100000000003</v>
      </c>
      <c r="P224" s="22">
        <v>11.918100000000001</v>
      </c>
      <c r="Q224" s="22">
        <v>-1.17798E-2</v>
      </c>
      <c r="R224" s="22">
        <v>214</v>
      </c>
      <c r="S224" s="22">
        <v>0.97686799999999996</v>
      </c>
      <c r="T224">
        <f t="shared" si="14"/>
        <v>11.7798</v>
      </c>
      <c r="U224">
        <f t="shared" si="15"/>
        <v>11.516297653800001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6.84558</v>
      </c>
      <c r="I225" s="22">
        <v>-1.7257700000000001E-2</v>
      </c>
      <c r="J225" s="22">
        <v>215</v>
      </c>
      <c r="K225" s="22">
        <v>0.61648599999999998</v>
      </c>
      <c r="L225">
        <f t="shared" si="12"/>
        <v>17.2577</v>
      </c>
      <c r="M225">
        <f t="shared" si="13"/>
        <v>10.6544035067</v>
      </c>
      <c r="N225" s="9"/>
      <c r="O225" s="22">
        <v>0.98266600000000004</v>
      </c>
      <c r="P225" s="22">
        <v>11.9282</v>
      </c>
      <c r="Q225" s="22">
        <v>-1.17035E-2</v>
      </c>
      <c r="R225" s="22">
        <v>215</v>
      </c>
      <c r="S225" s="22">
        <v>0.98205600000000004</v>
      </c>
      <c r="T225">
        <f t="shared" si="14"/>
        <v>11.7035</v>
      </c>
      <c r="U225">
        <f t="shared" si="15"/>
        <v>11.500631531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6.8556499999999998</v>
      </c>
      <c r="I226" s="22">
        <v>-1.73157E-2</v>
      </c>
      <c r="J226" s="22">
        <v>216</v>
      </c>
      <c r="K226" s="22">
        <v>0.61145000000000005</v>
      </c>
      <c r="L226">
        <f t="shared" si="12"/>
        <v>17.3157</v>
      </c>
      <c r="M226">
        <f t="shared" si="13"/>
        <v>10.603009159499999</v>
      </c>
      <c r="N226" s="9"/>
      <c r="O226" s="22">
        <v>0.98770100000000005</v>
      </c>
      <c r="P226" s="22">
        <v>11.9383</v>
      </c>
      <c r="Q226" s="22">
        <v>-1.1621100000000001E-2</v>
      </c>
      <c r="R226" s="22">
        <v>216</v>
      </c>
      <c r="S226" s="22">
        <v>0.98663299999999998</v>
      </c>
      <c r="T226">
        <f t="shared" si="14"/>
        <v>11.6211</v>
      </c>
      <c r="U226">
        <f t="shared" si="15"/>
        <v>11.478172091100001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6.8657199999999996</v>
      </c>
      <c r="I227" s="22">
        <v>-1.7361499999999998E-2</v>
      </c>
      <c r="J227" s="22">
        <v>217</v>
      </c>
      <c r="K227" s="22">
        <v>0.60641500000000004</v>
      </c>
      <c r="L227">
        <f t="shared" si="12"/>
        <v>17.361499999999999</v>
      </c>
      <c r="M227">
        <f t="shared" si="13"/>
        <v>10.543638949999998</v>
      </c>
      <c r="N227" s="9"/>
      <c r="O227" s="22">
        <v>0.99273699999999998</v>
      </c>
      <c r="P227" s="22">
        <v>11.9483</v>
      </c>
      <c r="Q227" s="22">
        <v>-1.15356E-2</v>
      </c>
      <c r="R227" s="22">
        <v>217</v>
      </c>
      <c r="S227" s="22">
        <v>0.99151599999999995</v>
      </c>
      <c r="T227">
        <f t="shared" si="14"/>
        <v>11.535600000000001</v>
      </c>
      <c r="U227">
        <f t="shared" si="15"/>
        <v>11.4518169372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6.8757900000000003</v>
      </c>
      <c r="I228" s="22">
        <v>-1.7416399999999999E-2</v>
      </c>
      <c r="J228" s="22">
        <v>218</v>
      </c>
      <c r="K228" s="22">
        <v>0.60143999999999997</v>
      </c>
      <c r="L228">
        <f t="shared" si="12"/>
        <v>17.416399999999999</v>
      </c>
      <c r="M228">
        <f t="shared" si="13"/>
        <v>10.489270729599999</v>
      </c>
      <c r="N228" s="9"/>
      <c r="O228" s="22">
        <v>0.99777199999999999</v>
      </c>
      <c r="P228" s="22">
        <v>11.958399999999999</v>
      </c>
      <c r="Q228" s="22">
        <v>-1.1450200000000001E-2</v>
      </c>
      <c r="R228" s="22">
        <v>218</v>
      </c>
      <c r="S228" s="22">
        <v>0.99639900000000003</v>
      </c>
      <c r="T228">
        <f t="shared" si="14"/>
        <v>11.450200000000001</v>
      </c>
      <c r="U228">
        <f t="shared" si="15"/>
        <v>11.424688954400001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6.8858600000000001</v>
      </c>
      <c r="I229" s="22">
        <v>-1.7459100000000002E-2</v>
      </c>
      <c r="J229" s="22">
        <v>219</v>
      </c>
      <c r="K229" s="22">
        <v>0.59628300000000001</v>
      </c>
      <c r="L229">
        <f t="shared" si="12"/>
        <v>17.459100000000003</v>
      </c>
      <c r="M229">
        <f t="shared" si="13"/>
        <v>10.427080833900002</v>
      </c>
      <c r="N229" s="9"/>
      <c r="O229" s="22">
        <v>1.00281</v>
      </c>
      <c r="P229" s="22">
        <v>11.968500000000001</v>
      </c>
      <c r="Q229" s="22">
        <v>-1.1377E-2</v>
      </c>
      <c r="R229" s="22">
        <v>219</v>
      </c>
      <c r="S229" s="22">
        <v>1.0012799999999999</v>
      </c>
      <c r="T229">
        <f t="shared" si="14"/>
        <v>11.377000000000001</v>
      </c>
      <c r="U229">
        <f t="shared" si="15"/>
        <v>11.408969370000001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6.8959299999999999</v>
      </c>
      <c r="I230" s="22">
        <v>-1.7517100000000001E-2</v>
      </c>
      <c r="J230" s="22">
        <v>220</v>
      </c>
      <c r="K230" s="22">
        <v>0.591248</v>
      </c>
      <c r="L230">
        <f t="shared" si="12"/>
        <v>17.517099999999999</v>
      </c>
      <c r="M230">
        <f t="shared" si="13"/>
        <v>10.3735215174</v>
      </c>
      <c r="N230" s="9"/>
      <c r="O230" s="22">
        <v>1.0078400000000001</v>
      </c>
      <c r="P230" s="22">
        <v>11.9785</v>
      </c>
      <c r="Q230" s="22">
        <v>-1.1291499999999999E-2</v>
      </c>
      <c r="R230" s="22">
        <v>220</v>
      </c>
      <c r="S230" s="22">
        <v>1.00739</v>
      </c>
      <c r="T230">
        <f t="shared" si="14"/>
        <v>11.291499999999999</v>
      </c>
      <c r="U230">
        <f t="shared" si="15"/>
        <v>11.380025359999999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6.9059999999999997</v>
      </c>
      <c r="I231" s="22">
        <v>-1.7569000000000001E-2</v>
      </c>
      <c r="J231" s="22">
        <v>221</v>
      </c>
      <c r="K231" s="22">
        <v>0.58627300000000004</v>
      </c>
      <c r="L231">
        <f t="shared" si="12"/>
        <v>17.569000000000003</v>
      </c>
      <c r="M231">
        <f t="shared" si="13"/>
        <v>10.315778902</v>
      </c>
      <c r="N231" s="9"/>
      <c r="O231" s="22">
        <v>1.01288</v>
      </c>
      <c r="P231" s="22">
        <v>11.9886</v>
      </c>
      <c r="Q231" s="22">
        <v>-1.12122E-2</v>
      </c>
      <c r="R231" s="22">
        <v>221</v>
      </c>
      <c r="S231" s="22">
        <v>1.01166</v>
      </c>
      <c r="T231">
        <f t="shared" si="14"/>
        <v>11.212200000000001</v>
      </c>
      <c r="U231">
        <f t="shared" si="15"/>
        <v>11.356613136000002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6.9160700000000004</v>
      </c>
      <c r="I232" s="22">
        <v>-1.7620799999999999E-2</v>
      </c>
      <c r="J232" s="22">
        <v>222</v>
      </c>
      <c r="K232" s="22">
        <v>0.58123800000000003</v>
      </c>
      <c r="L232">
        <f t="shared" si="12"/>
        <v>17.620799999999999</v>
      </c>
      <c r="M232">
        <f t="shared" si="13"/>
        <v>10.257472958399999</v>
      </c>
      <c r="N232" s="9"/>
      <c r="O232" s="22">
        <v>1.0179100000000001</v>
      </c>
      <c r="P232" s="22">
        <v>11.998699999999999</v>
      </c>
      <c r="Q232" s="22">
        <v>-1.11206E-2</v>
      </c>
      <c r="R232" s="22">
        <v>222</v>
      </c>
      <c r="S232" s="22">
        <v>1.01715</v>
      </c>
      <c r="T232">
        <f t="shared" si="14"/>
        <v>11.1206</v>
      </c>
      <c r="U232">
        <f t="shared" si="15"/>
        <v>11.319769946000001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6.9261400000000002</v>
      </c>
      <c r="I233" s="22">
        <v>-1.76727E-2</v>
      </c>
      <c r="J233" s="22">
        <v>223</v>
      </c>
      <c r="K233" s="22">
        <v>0.57620199999999999</v>
      </c>
      <c r="L233">
        <f t="shared" si="12"/>
        <v>17.672699999999999</v>
      </c>
      <c r="M233">
        <f t="shared" si="13"/>
        <v>10.198685424899999</v>
      </c>
      <c r="N233" s="9"/>
      <c r="O233" s="22">
        <v>1.02295</v>
      </c>
      <c r="P233" s="22">
        <v>12.008800000000001</v>
      </c>
      <c r="Q233" s="22">
        <v>-1.1047400000000001E-2</v>
      </c>
      <c r="R233" s="22">
        <v>223</v>
      </c>
      <c r="S233" s="22">
        <v>1.02203</v>
      </c>
      <c r="T233">
        <f t="shared" si="14"/>
        <v>11.047400000000001</v>
      </c>
      <c r="U233">
        <f t="shared" si="15"/>
        <v>11.300937830000002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6.9362199999999996</v>
      </c>
      <c r="I234" s="22">
        <v>-1.7718500000000002E-2</v>
      </c>
      <c r="J234" s="22">
        <v>224</v>
      </c>
      <c r="K234" s="22">
        <v>0.571106</v>
      </c>
      <c r="L234">
        <f t="shared" si="12"/>
        <v>17.718500000000002</v>
      </c>
      <c r="M234">
        <f t="shared" si="13"/>
        <v>10.135903362000002</v>
      </c>
      <c r="N234" s="9"/>
      <c r="O234" s="22">
        <v>1.0279799999999999</v>
      </c>
      <c r="P234" s="22">
        <v>12.018800000000001</v>
      </c>
      <c r="Q234" s="22">
        <v>-1.0965000000000001E-2</v>
      </c>
      <c r="R234" s="22">
        <v>224</v>
      </c>
      <c r="S234" s="22">
        <v>1.0269200000000001</v>
      </c>
      <c r="T234">
        <f t="shared" si="14"/>
        <v>10.965000000000002</v>
      </c>
      <c r="U234">
        <f t="shared" si="15"/>
        <v>11.2718007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6.9462900000000003</v>
      </c>
      <c r="I235" s="22">
        <v>-1.77643E-2</v>
      </c>
      <c r="J235" s="22">
        <v>225</v>
      </c>
      <c r="K235" s="22">
        <v>0.56610099999999997</v>
      </c>
      <c r="L235">
        <f t="shared" si="12"/>
        <v>17.764299999999999</v>
      </c>
      <c r="M235">
        <f t="shared" si="13"/>
        <v>10.0726600931</v>
      </c>
      <c r="N235" s="9"/>
      <c r="O235" s="22">
        <v>1.03302</v>
      </c>
      <c r="P235" s="22">
        <v>12.0289</v>
      </c>
      <c r="Q235" s="22">
        <v>-1.0876500000000001E-2</v>
      </c>
      <c r="R235" s="22">
        <v>225</v>
      </c>
      <c r="S235" s="22">
        <v>1.0318000000000001</v>
      </c>
      <c r="T235">
        <f t="shared" si="14"/>
        <v>10.8765</v>
      </c>
      <c r="U235">
        <f t="shared" si="15"/>
        <v>11.235642030000001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6.9563600000000001</v>
      </c>
      <c r="I236" s="22">
        <v>-1.7810099999999999E-2</v>
      </c>
      <c r="J236" s="22">
        <v>226</v>
      </c>
      <c r="K236" s="22">
        <v>0.56106599999999995</v>
      </c>
      <c r="L236">
        <f t="shared" si="12"/>
        <v>17.810099999999998</v>
      </c>
      <c r="M236">
        <f t="shared" si="13"/>
        <v>10.008937808099999</v>
      </c>
      <c r="N236" s="9"/>
      <c r="O236" s="22">
        <v>1.03806</v>
      </c>
      <c r="P236" s="22">
        <v>12.039</v>
      </c>
      <c r="Q236" s="22">
        <v>-1.0800199999999999E-2</v>
      </c>
      <c r="R236" s="22">
        <v>226</v>
      </c>
      <c r="S236" s="22">
        <v>1.0369900000000001</v>
      </c>
      <c r="T236">
        <f t="shared" si="14"/>
        <v>10.8002</v>
      </c>
      <c r="U236">
        <f t="shared" si="15"/>
        <v>11.211255612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6.9664299999999999</v>
      </c>
      <c r="I237" s="22">
        <v>-1.7855800000000002E-2</v>
      </c>
      <c r="J237" s="22">
        <v>227</v>
      </c>
      <c r="K237" s="22">
        <v>0.55603000000000002</v>
      </c>
      <c r="L237">
        <f t="shared" si="12"/>
        <v>17.855800000000002</v>
      </c>
      <c r="M237">
        <f t="shared" si="13"/>
        <v>9.9447163868000015</v>
      </c>
      <c r="N237" s="9"/>
      <c r="O237" s="22">
        <v>1.0430900000000001</v>
      </c>
      <c r="P237" s="22">
        <v>12.048999999999999</v>
      </c>
      <c r="Q237" s="22">
        <v>-1.07239E-2</v>
      </c>
      <c r="R237" s="22">
        <v>227</v>
      </c>
      <c r="S237" s="22">
        <v>1.0421800000000001</v>
      </c>
      <c r="T237">
        <f t="shared" si="14"/>
        <v>10.7239</v>
      </c>
      <c r="U237">
        <f t="shared" si="15"/>
        <v>11.185992851000002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6.9764999999999997</v>
      </c>
      <c r="I238" s="22">
        <v>-1.7898600000000001E-2</v>
      </c>
      <c r="J238" s="22">
        <v>228</v>
      </c>
      <c r="K238" s="22">
        <v>0.55099500000000001</v>
      </c>
      <c r="L238">
        <f t="shared" si="12"/>
        <v>17.898600000000002</v>
      </c>
      <c r="M238">
        <f t="shared" si="13"/>
        <v>9.8784163260000017</v>
      </c>
      <c r="N238" s="9"/>
      <c r="O238" s="22">
        <v>1.04813</v>
      </c>
      <c r="P238" s="22">
        <v>12.059100000000001</v>
      </c>
      <c r="Q238" s="22">
        <v>-1.06476E-2</v>
      </c>
      <c r="R238" s="22">
        <v>228</v>
      </c>
      <c r="S238" s="22">
        <v>1.0473600000000001</v>
      </c>
      <c r="T238">
        <f t="shared" si="14"/>
        <v>10.647600000000001</v>
      </c>
      <c r="U238">
        <f t="shared" si="15"/>
        <v>11.160068988000001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6.9865700000000004</v>
      </c>
      <c r="I239" s="22">
        <v>-1.79413E-2</v>
      </c>
      <c r="J239" s="22">
        <v>229</v>
      </c>
      <c r="K239" s="22">
        <v>0.54595899999999997</v>
      </c>
      <c r="L239">
        <f t="shared" si="12"/>
        <v>17.941300000000002</v>
      </c>
      <c r="M239">
        <f t="shared" si="13"/>
        <v>9.8116484375000006</v>
      </c>
      <c r="N239" s="9"/>
      <c r="O239" s="22">
        <v>1.0531600000000001</v>
      </c>
      <c r="P239" s="22">
        <v>12.0692</v>
      </c>
      <c r="Q239" s="22">
        <v>-1.05591E-2</v>
      </c>
      <c r="R239" s="22">
        <v>229</v>
      </c>
      <c r="S239" s="22">
        <v>1.0519400000000001</v>
      </c>
      <c r="T239">
        <f t="shared" si="14"/>
        <v>10.559100000000001</v>
      </c>
      <c r="U239">
        <f t="shared" si="15"/>
        <v>11.120421756000002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6.9966400000000002</v>
      </c>
      <c r="I240" s="22">
        <v>-1.7993200000000001E-2</v>
      </c>
      <c r="J240" s="22">
        <v>230</v>
      </c>
      <c r="K240" s="22">
        <v>0.54092399999999996</v>
      </c>
      <c r="L240">
        <f t="shared" si="12"/>
        <v>17.993200000000002</v>
      </c>
      <c r="M240">
        <f t="shared" si="13"/>
        <v>9.7494354880000014</v>
      </c>
      <c r="N240" s="9"/>
      <c r="O240" s="22">
        <v>1.0582</v>
      </c>
      <c r="P240" s="22">
        <v>12.0793</v>
      </c>
      <c r="Q240" s="22">
        <v>-1.04919E-2</v>
      </c>
      <c r="R240" s="22">
        <v>230</v>
      </c>
      <c r="S240" s="22">
        <v>1.0571299999999999</v>
      </c>
      <c r="T240">
        <f t="shared" si="14"/>
        <v>10.491899999999999</v>
      </c>
      <c r="U240">
        <f t="shared" si="15"/>
        <v>11.10252858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7.00671</v>
      </c>
      <c r="I241" s="22">
        <v>-1.8044999999999999E-2</v>
      </c>
      <c r="J241" s="22">
        <v>231</v>
      </c>
      <c r="K241" s="22">
        <v>0.53588899999999995</v>
      </c>
      <c r="L241">
        <f t="shared" si="12"/>
        <v>18.044999999999998</v>
      </c>
      <c r="M241">
        <f t="shared" si="13"/>
        <v>9.6866281799999978</v>
      </c>
      <c r="N241" s="9"/>
      <c r="O241" s="22">
        <v>1.0632299999999999</v>
      </c>
      <c r="P241" s="22">
        <v>12.0893</v>
      </c>
      <c r="Q241" s="22">
        <v>-1.0415600000000001E-2</v>
      </c>
      <c r="R241" s="22">
        <v>231</v>
      </c>
      <c r="S241" s="22">
        <v>1.0620099999999999</v>
      </c>
      <c r="T241">
        <f t="shared" si="14"/>
        <v>10.415600000000001</v>
      </c>
      <c r="U241">
        <f t="shared" si="15"/>
        <v>11.074178388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7.0167799999999998</v>
      </c>
      <c r="I242" s="22">
        <v>-1.8100000000000002E-2</v>
      </c>
      <c r="J242" s="22">
        <v>232</v>
      </c>
      <c r="K242" s="22">
        <v>0.53079200000000004</v>
      </c>
      <c r="L242">
        <f t="shared" si="12"/>
        <v>18.100000000000001</v>
      </c>
      <c r="M242">
        <f t="shared" si="13"/>
        <v>9.6250189000000024</v>
      </c>
      <c r="N242" s="9"/>
      <c r="O242" s="22">
        <v>1.0682700000000001</v>
      </c>
      <c r="P242" s="22">
        <v>12.099399999999999</v>
      </c>
      <c r="Q242" s="22">
        <v>-1.03424E-2</v>
      </c>
      <c r="R242" s="22">
        <v>232</v>
      </c>
      <c r="S242" s="22">
        <v>1.0668899999999999</v>
      </c>
      <c r="T242">
        <f t="shared" si="14"/>
        <v>10.3424</v>
      </c>
      <c r="U242">
        <f t="shared" si="15"/>
        <v>11.048475648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7.0268499999999996</v>
      </c>
      <c r="I243" s="22">
        <v>-1.8139599999999999E-2</v>
      </c>
      <c r="J243" s="22">
        <v>233</v>
      </c>
      <c r="K243" s="22">
        <v>0.52581800000000001</v>
      </c>
      <c r="L243">
        <f t="shared" si="12"/>
        <v>18.139599999999998</v>
      </c>
      <c r="M243">
        <f t="shared" si="13"/>
        <v>9.5547259267999998</v>
      </c>
      <c r="N243" s="9"/>
      <c r="O243" s="22">
        <v>1.0732999999999999</v>
      </c>
      <c r="P243" s="22">
        <v>12.109500000000001</v>
      </c>
      <c r="Q243" s="22">
        <v>-1.0263100000000001E-2</v>
      </c>
      <c r="R243" s="22">
        <v>233</v>
      </c>
      <c r="S243" s="22">
        <v>1.07239</v>
      </c>
      <c r="T243">
        <f t="shared" si="14"/>
        <v>10.263100000000001</v>
      </c>
      <c r="U243">
        <f t="shared" si="15"/>
        <v>11.015385230000001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7.0369299999999999</v>
      </c>
      <c r="I244" s="22">
        <v>-1.8176299999999999E-2</v>
      </c>
      <c r="J244" s="22">
        <v>234</v>
      </c>
      <c r="K244" s="22">
        <v>0.52087399999999995</v>
      </c>
      <c r="L244">
        <f t="shared" si="12"/>
        <v>18.176299999999998</v>
      </c>
      <c r="M244">
        <f t="shared" si="13"/>
        <v>9.4825393573999985</v>
      </c>
      <c r="N244" s="9"/>
      <c r="O244" s="22">
        <v>1.0783400000000001</v>
      </c>
      <c r="P244" s="22">
        <v>12.1195</v>
      </c>
      <c r="Q244" s="22">
        <v>-1.0180700000000001E-2</v>
      </c>
      <c r="R244" s="22">
        <v>234</v>
      </c>
      <c r="S244" s="22">
        <v>1.07758</v>
      </c>
      <c r="T244">
        <f t="shared" si="14"/>
        <v>10.180700000000002</v>
      </c>
      <c r="U244">
        <f t="shared" si="15"/>
        <v>10.978256038000003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7.0469999999999997</v>
      </c>
      <c r="I245" s="22">
        <v>-1.8218999999999999E-2</v>
      </c>
      <c r="J245" s="22">
        <v>235</v>
      </c>
      <c r="K245" s="22">
        <v>0.51571699999999998</v>
      </c>
      <c r="L245">
        <f t="shared" si="12"/>
        <v>18.218999999999998</v>
      </c>
      <c r="M245">
        <f t="shared" si="13"/>
        <v>9.4130831969999988</v>
      </c>
      <c r="N245" s="9"/>
      <c r="O245" s="22">
        <v>1.0833699999999999</v>
      </c>
      <c r="P245" s="22">
        <v>12.1296</v>
      </c>
      <c r="Q245" s="22">
        <v>-1.01105E-2</v>
      </c>
      <c r="R245" s="22">
        <v>235</v>
      </c>
      <c r="S245" s="22">
        <v>1.0821499999999999</v>
      </c>
      <c r="T245">
        <f t="shared" si="14"/>
        <v>10.1105</v>
      </c>
      <c r="U245">
        <f t="shared" si="15"/>
        <v>10.953412385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7.0570700000000004</v>
      </c>
      <c r="I246" s="22">
        <v>-1.8264800000000001E-2</v>
      </c>
      <c r="J246" s="22">
        <v>236</v>
      </c>
      <c r="K246" s="22">
        <v>0.51074200000000003</v>
      </c>
      <c r="L246">
        <f t="shared" si="12"/>
        <v>18.264800000000001</v>
      </c>
      <c r="M246">
        <f t="shared" si="13"/>
        <v>9.3447648296000008</v>
      </c>
      <c r="N246" s="9"/>
      <c r="O246" s="22">
        <v>1.0884100000000001</v>
      </c>
      <c r="P246" s="22">
        <v>12.139699999999999</v>
      </c>
      <c r="Q246" s="22">
        <v>-1.0024999999999999E-2</v>
      </c>
      <c r="R246" s="22">
        <v>236</v>
      </c>
      <c r="S246" s="22">
        <v>1.08765</v>
      </c>
      <c r="T246">
        <f t="shared" si="14"/>
        <v>10.024999999999999</v>
      </c>
      <c r="U246">
        <f t="shared" si="15"/>
        <v>10.91131025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7.0671400000000002</v>
      </c>
      <c r="I247" s="22">
        <v>-1.8304399999999998E-2</v>
      </c>
      <c r="J247" s="22">
        <v>237</v>
      </c>
      <c r="K247" s="22">
        <v>0.50573699999999999</v>
      </c>
      <c r="L247">
        <f t="shared" si="12"/>
        <v>18.304399999999998</v>
      </c>
      <c r="M247">
        <f t="shared" si="13"/>
        <v>9.2728626048000002</v>
      </c>
      <c r="N247" s="9"/>
      <c r="O247" s="22">
        <v>1.09344</v>
      </c>
      <c r="P247" s="22">
        <v>12.149800000000001</v>
      </c>
      <c r="Q247" s="22">
        <v>-9.9517800000000003E-3</v>
      </c>
      <c r="R247" s="22">
        <v>237</v>
      </c>
      <c r="S247" s="22">
        <v>1.09222</v>
      </c>
      <c r="T247">
        <f t="shared" si="14"/>
        <v>9.9517800000000012</v>
      </c>
      <c r="U247">
        <f t="shared" si="15"/>
        <v>10.8816743232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7.07721</v>
      </c>
      <c r="I248" s="22">
        <v>-1.8353299999999999E-2</v>
      </c>
      <c r="J248" s="22">
        <v>238</v>
      </c>
      <c r="K248" s="22">
        <v>0.500641</v>
      </c>
      <c r="L248">
        <f t="shared" si="12"/>
        <v>18.353300000000001</v>
      </c>
      <c r="M248">
        <f t="shared" si="13"/>
        <v>9.2052077348000001</v>
      </c>
      <c r="N248" s="9"/>
      <c r="O248" s="22">
        <v>1.0984799999999999</v>
      </c>
      <c r="P248" s="22">
        <v>12.159800000000001</v>
      </c>
      <c r="Q248" s="22">
        <v>-9.8724399999999997E-3</v>
      </c>
      <c r="R248" s="22">
        <v>238</v>
      </c>
      <c r="S248" s="22">
        <v>1.09711</v>
      </c>
      <c r="T248">
        <f t="shared" si="14"/>
        <v>9.8724399999999992</v>
      </c>
      <c r="U248">
        <f t="shared" si="15"/>
        <v>10.844677891199998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7.0872799999999998</v>
      </c>
      <c r="I249" s="22">
        <v>-1.83929E-2</v>
      </c>
      <c r="J249" s="22">
        <v>239</v>
      </c>
      <c r="K249" s="22">
        <v>0.495697</v>
      </c>
      <c r="L249">
        <f t="shared" si="12"/>
        <v>18.392900000000001</v>
      </c>
      <c r="M249">
        <f t="shared" si="13"/>
        <v>9.1324611009000005</v>
      </c>
      <c r="N249" s="9"/>
      <c r="O249" s="22">
        <v>1.1035200000000001</v>
      </c>
      <c r="P249" s="22">
        <v>12.1699</v>
      </c>
      <c r="Q249" s="22">
        <v>-9.7961400000000001E-3</v>
      </c>
      <c r="R249" s="22">
        <v>239</v>
      </c>
      <c r="S249" s="22">
        <v>1.1029100000000001</v>
      </c>
      <c r="T249">
        <f t="shared" si="14"/>
        <v>9.7961399999999994</v>
      </c>
      <c r="U249">
        <f t="shared" si="15"/>
        <v>10.8102364128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7.0973499999999996</v>
      </c>
      <c r="I250" s="22">
        <v>-1.84326E-2</v>
      </c>
      <c r="J250" s="22">
        <v>240</v>
      </c>
      <c r="K250" s="22">
        <v>0.49060100000000001</v>
      </c>
      <c r="L250">
        <f t="shared" si="12"/>
        <v>18.432600000000001</v>
      </c>
      <c r="M250">
        <f t="shared" si="13"/>
        <v>9.0593648435999992</v>
      </c>
      <c r="N250" s="9"/>
      <c r="O250" s="22">
        <v>1.1085499999999999</v>
      </c>
      <c r="P250" s="22">
        <v>12.18</v>
      </c>
      <c r="Q250" s="22">
        <v>-9.7167999999999994E-3</v>
      </c>
      <c r="R250" s="22">
        <v>240</v>
      </c>
      <c r="S250" s="22">
        <v>1.1071800000000001</v>
      </c>
      <c r="T250">
        <f t="shared" si="14"/>
        <v>9.7167999999999992</v>
      </c>
      <c r="U250">
        <f t="shared" si="15"/>
        <v>10.771558639999999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7.1074200000000003</v>
      </c>
      <c r="I251" s="22">
        <v>-1.8469200000000002E-2</v>
      </c>
      <c r="J251" s="22">
        <v>241</v>
      </c>
      <c r="K251" s="22">
        <v>0.485626</v>
      </c>
      <c r="L251">
        <f t="shared" si="12"/>
        <v>18.469200000000001</v>
      </c>
      <c r="M251">
        <f t="shared" si="13"/>
        <v>8.9843423399999995</v>
      </c>
      <c r="N251" s="9"/>
      <c r="O251" s="22">
        <v>1.1135900000000001</v>
      </c>
      <c r="P251" s="22">
        <v>12.19</v>
      </c>
      <c r="Q251" s="22">
        <v>-9.6343999999999996E-3</v>
      </c>
      <c r="R251" s="22">
        <v>241</v>
      </c>
      <c r="S251" s="22">
        <v>1.1117600000000001</v>
      </c>
      <c r="T251">
        <f t="shared" si="14"/>
        <v>9.6343999999999994</v>
      </c>
      <c r="U251">
        <f t="shared" si="15"/>
        <v>10.728771496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7.1174900000000001</v>
      </c>
      <c r="I252" s="22">
        <v>-1.85028E-2</v>
      </c>
      <c r="J252" s="22">
        <v>242</v>
      </c>
      <c r="K252" s="22">
        <v>0.48059099999999999</v>
      </c>
      <c r="L252">
        <f t="shared" si="12"/>
        <v>18.502800000000001</v>
      </c>
      <c r="M252">
        <f t="shared" si="13"/>
        <v>8.9075254620000006</v>
      </c>
      <c r="N252" s="9"/>
      <c r="O252" s="22">
        <v>1.1186199999999999</v>
      </c>
      <c r="P252" s="22">
        <v>12.200100000000001</v>
      </c>
      <c r="Q252" s="22">
        <v>-9.5489500000000005E-3</v>
      </c>
      <c r="R252" s="22">
        <v>242</v>
      </c>
      <c r="S252" s="22">
        <v>1.1172500000000001</v>
      </c>
      <c r="T252">
        <f t="shared" si="14"/>
        <v>9.5489500000000014</v>
      </c>
      <c r="U252">
        <f t="shared" si="15"/>
        <v>10.681646449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7.1275599999999999</v>
      </c>
      <c r="I253" s="22">
        <v>-1.8533299999999999E-2</v>
      </c>
      <c r="J253" s="22">
        <v>243</v>
      </c>
      <c r="K253" s="22">
        <v>0.47549400000000003</v>
      </c>
      <c r="L253">
        <f t="shared" si="12"/>
        <v>18.533300000000001</v>
      </c>
      <c r="M253">
        <f t="shared" si="13"/>
        <v>8.8288749207000006</v>
      </c>
      <c r="N253" s="9"/>
      <c r="O253" s="22">
        <v>1.1236600000000001</v>
      </c>
      <c r="P253" s="22">
        <v>12.2102</v>
      </c>
      <c r="Q253" s="22">
        <v>-9.4787599999999993E-3</v>
      </c>
      <c r="R253" s="22">
        <v>243</v>
      </c>
      <c r="S253" s="22">
        <v>1.1227400000000001</v>
      </c>
      <c r="T253">
        <f t="shared" si="14"/>
        <v>9.4787599999999994</v>
      </c>
      <c r="U253">
        <f t="shared" si="15"/>
        <v>10.6509034616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7.1376400000000002</v>
      </c>
      <c r="I254" s="22">
        <v>-1.8563799999999998E-2</v>
      </c>
      <c r="J254" s="22">
        <v>244</v>
      </c>
      <c r="K254" s="22">
        <v>0.47051999999999999</v>
      </c>
      <c r="L254">
        <f t="shared" si="12"/>
        <v>18.563799999999997</v>
      </c>
      <c r="M254">
        <f t="shared" si="13"/>
        <v>8.7499357471999986</v>
      </c>
      <c r="N254" s="9"/>
      <c r="O254" s="22">
        <v>1.12869</v>
      </c>
      <c r="P254" s="22">
        <v>12.2202</v>
      </c>
      <c r="Q254" s="22">
        <v>-9.3933100000000002E-3</v>
      </c>
      <c r="R254" s="22">
        <v>244</v>
      </c>
      <c r="S254" s="22">
        <v>1.1276200000000001</v>
      </c>
      <c r="T254">
        <f t="shared" si="14"/>
        <v>9.3933099999999996</v>
      </c>
      <c r="U254">
        <f t="shared" si="15"/>
        <v>10.602135063899999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7.14771</v>
      </c>
      <c r="I255" s="22">
        <v>-1.8600499999999999E-2</v>
      </c>
      <c r="J255" s="22">
        <v>245</v>
      </c>
      <c r="K255" s="22">
        <v>0.465393</v>
      </c>
      <c r="L255">
        <f t="shared" si="12"/>
        <v>18.6005</v>
      </c>
      <c r="M255">
        <f t="shared" si="13"/>
        <v>8.6735805544999991</v>
      </c>
      <c r="N255" s="9"/>
      <c r="O255" s="22">
        <v>1.1337299999999999</v>
      </c>
      <c r="P255" s="22">
        <v>12.2303</v>
      </c>
      <c r="Q255" s="22">
        <v>-9.3139599999999996E-3</v>
      </c>
      <c r="R255" s="22">
        <v>245</v>
      </c>
      <c r="S255" s="22">
        <v>1.1328100000000001</v>
      </c>
      <c r="T255">
        <f t="shared" si="14"/>
        <v>9.3139599999999998</v>
      </c>
      <c r="U255">
        <f t="shared" si="15"/>
        <v>10.559515870799999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7.1577799999999998</v>
      </c>
      <c r="I256" s="22">
        <v>-1.8634000000000001E-2</v>
      </c>
      <c r="J256" s="22">
        <v>246</v>
      </c>
      <c r="K256" s="22">
        <v>0.46041900000000002</v>
      </c>
      <c r="L256">
        <f t="shared" si="12"/>
        <v>18.634</v>
      </c>
      <c r="M256">
        <f t="shared" si="13"/>
        <v>8.5953610820000002</v>
      </c>
      <c r="N256" s="9"/>
      <c r="O256" s="22">
        <v>1.13876</v>
      </c>
      <c r="P256" s="22">
        <v>12.240399999999999</v>
      </c>
      <c r="Q256" s="22">
        <v>-9.2346200000000007E-3</v>
      </c>
      <c r="R256" s="22">
        <v>246</v>
      </c>
      <c r="S256" s="22">
        <v>1.1373899999999999</v>
      </c>
      <c r="T256">
        <f t="shared" si="14"/>
        <v>9.2346200000000014</v>
      </c>
      <c r="U256">
        <f t="shared" si="15"/>
        <v>10.516015871200002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7.1678499999999996</v>
      </c>
      <c r="I257" s="22">
        <v>-1.8661500000000001E-2</v>
      </c>
      <c r="J257" s="22">
        <v>247</v>
      </c>
      <c r="K257" s="22">
        <v>0.45538299999999998</v>
      </c>
      <c r="L257">
        <f t="shared" si="12"/>
        <v>18.6615</v>
      </c>
      <c r="M257">
        <f t="shared" si="13"/>
        <v>8.5140854370000003</v>
      </c>
      <c r="N257" s="9"/>
      <c r="O257" s="22">
        <v>1.1437999999999999</v>
      </c>
      <c r="P257" s="22">
        <v>12.250500000000001</v>
      </c>
      <c r="Q257" s="22">
        <v>-9.1644299999999995E-3</v>
      </c>
      <c r="R257" s="22">
        <v>247</v>
      </c>
      <c r="S257" s="22">
        <v>1.1428799999999999</v>
      </c>
      <c r="T257">
        <f t="shared" si="14"/>
        <v>9.1644299999999994</v>
      </c>
      <c r="U257">
        <f t="shared" si="15"/>
        <v>10.482275033999999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7.1779200000000003</v>
      </c>
      <c r="I258" s="22">
        <v>-1.8689000000000001E-2</v>
      </c>
      <c r="J258" s="22">
        <v>248</v>
      </c>
      <c r="K258" s="22">
        <v>0.45034800000000003</v>
      </c>
      <c r="L258">
        <f t="shared" si="12"/>
        <v>18.689</v>
      </c>
      <c r="M258">
        <f t="shared" si="13"/>
        <v>8.4325141779999999</v>
      </c>
      <c r="N258" s="9"/>
      <c r="O258" s="22">
        <v>1.14883</v>
      </c>
      <c r="P258" s="22">
        <v>12.2605</v>
      </c>
      <c r="Q258" s="22">
        <v>-9.0789800000000004E-3</v>
      </c>
      <c r="R258" s="22">
        <v>248</v>
      </c>
      <c r="S258" s="22">
        <v>1.1480699999999999</v>
      </c>
      <c r="T258">
        <f t="shared" si="14"/>
        <v>9.0789799999999996</v>
      </c>
      <c r="U258">
        <f t="shared" si="15"/>
        <v>10.430204593399999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7.1879900000000001</v>
      </c>
      <c r="I259" s="22">
        <v>-1.8713400000000002E-2</v>
      </c>
      <c r="J259" s="22">
        <v>249</v>
      </c>
      <c r="K259" s="22">
        <v>0.44525100000000001</v>
      </c>
      <c r="L259">
        <f t="shared" si="12"/>
        <v>18.7134</v>
      </c>
      <c r="M259">
        <f t="shared" si="13"/>
        <v>8.3493015377999988</v>
      </c>
      <c r="N259" s="9"/>
      <c r="O259" s="22">
        <v>1.15387</v>
      </c>
      <c r="P259" s="22">
        <v>12.2706</v>
      </c>
      <c r="Q259" s="22">
        <v>-8.9935299999999996E-3</v>
      </c>
      <c r="R259" s="22">
        <v>249</v>
      </c>
      <c r="S259" s="22">
        <v>1.15265</v>
      </c>
      <c r="T259">
        <f t="shared" si="14"/>
        <v>8.9935299999999998</v>
      </c>
      <c r="U259">
        <f t="shared" si="15"/>
        <v>10.377364461099999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7.1980599999999999</v>
      </c>
      <c r="I260" s="22">
        <v>-1.8740799999999998E-2</v>
      </c>
      <c r="J260" s="22">
        <v>250</v>
      </c>
      <c r="K260" s="22">
        <v>0.440247</v>
      </c>
      <c r="L260">
        <f t="shared" si="12"/>
        <v>18.7408</v>
      </c>
      <c r="M260">
        <f t="shared" si="13"/>
        <v>8.2671665856000001</v>
      </c>
      <c r="N260" s="9"/>
      <c r="O260" s="22">
        <v>1.1589100000000001</v>
      </c>
      <c r="P260" s="22">
        <v>12.2807</v>
      </c>
      <c r="Q260" s="22">
        <v>-8.9050299999999995E-3</v>
      </c>
      <c r="R260" s="22">
        <v>250</v>
      </c>
      <c r="S260" s="22">
        <v>1.1575299999999999</v>
      </c>
      <c r="T260">
        <f t="shared" si="14"/>
        <v>8.90503</v>
      </c>
      <c r="U260">
        <f t="shared" si="15"/>
        <v>10.320128317300002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7.2081299999999997</v>
      </c>
      <c r="I261" s="22">
        <v>-1.8777499999999999E-2</v>
      </c>
      <c r="J261" s="22">
        <v>251</v>
      </c>
      <c r="K261" s="22">
        <v>0.43518099999999998</v>
      </c>
      <c r="L261">
        <f t="shared" si="12"/>
        <v>18.7775</v>
      </c>
      <c r="M261">
        <f t="shared" si="13"/>
        <v>8.1887926399999991</v>
      </c>
      <c r="N261" s="9"/>
      <c r="O261" s="22">
        <v>1.16394</v>
      </c>
      <c r="P261" s="22">
        <v>12.290699999999999</v>
      </c>
      <c r="Q261" s="22">
        <v>-8.8226299999999997E-3</v>
      </c>
      <c r="R261" s="22">
        <v>251</v>
      </c>
      <c r="S261" s="22">
        <v>1.16333</v>
      </c>
      <c r="T261">
        <f t="shared" si="14"/>
        <v>8.8226300000000002</v>
      </c>
      <c r="U261">
        <f t="shared" si="15"/>
        <v>10.2690119622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7.2182000000000004</v>
      </c>
      <c r="I262" s="22">
        <v>-1.8804899999999999E-2</v>
      </c>
      <c r="J262" s="22">
        <v>252</v>
      </c>
      <c r="K262" s="22">
        <v>0.430176</v>
      </c>
      <c r="L262">
        <f t="shared" si="12"/>
        <v>18.8049</v>
      </c>
      <c r="M262">
        <f t="shared" si="13"/>
        <v>8.1060589989</v>
      </c>
      <c r="N262" s="9"/>
      <c r="O262" s="22">
        <v>1.1689799999999999</v>
      </c>
      <c r="P262" s="22">
        <v>12.300800000000001</v>
      </c>
      <c r="Q262" s="22">
        <v>-8.7371800000000006E-3</v>
      </c>
      <c r="R262" s="22">
        <v>252</v>
      </c>
      <c r="S262" s="22">
        <v>1.16821</v>
      </c>
      <c r="T262">
        <f t="shared" si="14"/>
        <v>8.7371800000000004</v>
      </c>
      <c r="U262">
        <f t="shared" si="15"/>
        <v>10.213588676399999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7.2282700000000002</v>
      </c>
      <c r="I263" s="22">
        <v>-1.8835399999999999E-2</v>
      </c>
      <c r="J263" s="22">
        <v>253</v>
      </c>
      <c r="K263" s="22">
        <v>0.425201</v>
      </c>
      <c r="L263">
        <f t="shared" si="12"/>
        <v>18.8354</v>
      </c>
      <c r="M263">
        <f t="shared" si="13"/>
        <v>8.0243512849999998</v>
      </c>
      <c r="N263" s="9"/>
      <c r="O263" s="22">
        <v>1.17401</v>
      </c>
      <c r="P263" s="22">
        <v>12.3109</v>
      </c>
      <c r="Q263" s="22">
        <v>-8.6639400000000002E-3</v>
      </c>
      <c r="R263" s="22">
        <v>253</v>
      </c>
      <c r="S263" s="22">
        <v>1.1731</v>
      </c>
      <c r="T263">
        <f t="shared" si="14"/>
        <v>8.6639400000000002</v>
      </c>
      <c r="U263">
        <f t="shared" si="15"/>
        <v>10.171552199400001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7.2383499999999996</v>
      </c>
      <c r="I264" s="22">
        <v>-1.8862899999999998E-2</v>
      </c>
      <c r="J264" s="22">
        <v>254</v>
      </c>
      <c r="K264" s="22">
        <v>0.42019699999999999</v>
      </c>
      <c r="L264">
        <f t="shared" si="12"/>
        <v>18.8629</v>
      </c>
      <c r="M264">
        <f t="shared" si="13"/>
        <v>7.9410922709999996</v>
      </c>
      <c r="N264" s="9"/>
      <c r="O264" s="22">
        <v>1.1790499999999999</v>
      </c>
      <c r="P264" s="22">
        <v>12.321</v>
      </c>
      <c r="Q264" s="22">
        <v>-8.5845899999999996E-3</v>
      </c>
      <c r="R264" s="22">
        <v>254</v>
      </c>
      <c r="S264" s="22">
        <v>1.17767</v>
      </c>
      <c r="T264">
        <f t="shared" si="14"/>
        <v>8.5845900000000004</v>
      </c>
      <c r="U264">
        <f t="shared" si="15"/>
        <v>10.121660839500001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7.2484200000000003</v>
      </c>
      <c r="I265" s="22">
        <v>-1.8887299999999999E-2</v>
      </c>
      <c r="J265" s="22">
        <v>255</v>
      </c>
      <c r="K265" s="22">
        <v>0.41506999999999999</v>
      </c>
      <c r="L265">
        <f t="shared" si="12"/>
        <v>18.8873</v>
      </c>
      <c r="M265">
        <f t="shared" si="13"/>
        <v>7.8562668714999999</v>
      </c>
      <c r="N265" s="9"/>
      <c r="O265" s="22">
        <v>1.18408</v>
      </c>
      <c r="P265" s="22">
        <v>12.331</v>
      </c>
      <c r="Q265" s="22">
        <v>-8.4991500000000005E-3</v>
      </c>
      <c r="R265" s="22">
        <v>255</v>
      </c>
      <c r="S265" s="22">
        <v>1.18347</v>
      </c>
      <c r="T265">
        <f t="shared" si="14"/>
        <v>8.4991500000000002</v>
      </c>
      <c r="U265">
        <f t="shared" si="15"/>
        <v>10.063673532000001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7.2584900000000001</v>
      </c>
      <c r="I266" s="22">
        <v>-1.89117E-2</v>
      </c>
      <c r="J266" s="22">
        <v>256</v>
      </c>
      <c r="K266" s="22">
        <v>0.41009499999999999</v>
      </c>
      <c r="L266">
        <f t="shared" si="12"/>
        <v>18.9117</v>
      </c>
      <c r="M266">
        <f t="shared" si="13"/>
        <v>7.7711768522999991</v>
      </c>
      <c r="N266" s="9"/>
      <c r="O266" s="22">
        <v>1.18912</v>
      </c>
      <c r="P266" s="22">
        <v>12.341100000000001</v>
      </c>
      <c r="Q266" s="22">
        <v>-8.4197999999999999E-3</v>
      </c>
      <c r="R266" s="22">
        <v>256</v>
      </c>
      <c r="S266" s="22">
        <v>1.1880500000000001</v>
      </c>
      <c r="T266">
        <f t="shared" si="14"/>
        <v>8.4198000000000004</v>
      </c>
      <c r="U266">
        <f t="shared" si="15"/>
        <v>10.012152576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7.2685599999999999</v>
      </c>
      <c r="I267" s="22">
        <v>-1.89362E-2</v>
      </c>
      <c r="J267" s="22">
        <v>257</v>
      </c>
      <c r="K267" s="22">
        <v>0.404999</v>
      </c>
      <c r="L267">
        <f t="shared" si="12"/>
        <v>18.936199999999999</v>
      </c>
      <c r="M267">
        <f t="shared" si="13"/>
        <v>7.6859006008000001</v>
      </c>
      <c r="N267" s="9"/>
      <c r="O267" s="22">
        <v>1.19415</v>
      </c>
      <c r="P267" s="22">
        <v>12.3512</v>
      </c>
      <c r="Q267" s="22">
        <v>-8.3374E-3</v>
      </c>
      <c r="R267" s="22">
        <v>257</v>
      </c>
      <c r="S267" s="22">
        <v>1.19293</v>
      </c>
      <c r="T267">
        <f t="shared" si="14"/>
        <v>8.3374000000000006</v>
      </c>
      <c r="U267">
        <f t="shared" si="15"/>
        <v>9.9561062100000015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7.2786299999999997</v>
      </c>
      <c r="I268" s="22">
        <v>-1.8963600000000001E-2</v>
      </c>
      <c r="J268" s="22">
        <v>258</v>
      </c>
      <c r="K268" s="22">
        <v>0.39993299999999998</v>
      </c>
      <c r="L268">
        <f t="shared" ref="L268:L331" si="16">-I268/$F$2*1000</f>
        <v>18.9636</v>
      </c>
      <c r="M268">
        <f t="shared" ref="M268:M331" si="17">L268*G268</f>
        <v>7.6015211327999994</v>
      </c>
      <c r="N268" s="9"/>
      <c r="O268" s="22">
        <v>1.19919</v>
      </c>
      <c r="P268" s="22">
        <v>12.3612</v>
      </c>
      <c r="Q268" s="22">
        <v>-8.2519499999999992E-3</v>
      </c>
      <c r="R268" s="22">
        <v>258</v>
      </c>
      <c r="S268" s="22">
        <v>1.1981200000000001</v>
      </c>
      <c r="T268">
        <f t="shared" ref="T268:T331" si="18">-Q268/$F$2*1000</f>
        <v>8.251949999999999</v>
      </c>
      <c r="U268">
        <f t="shared" ref="U268:U331" si="19">T268*O268</f>
        <v>9.8956559204999994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7.2887000000000004</v>
      </c>
      <c r="I269" s="22">
        <v>-1.89911E-2</v>
      </c>
      <c r="J269" s="22">
        <v>259</v>
      </c>
      <c r="K269" s="22">
        <v>0.39486700000000002</v>
      </c>
      <c r="L269">
        <f t="shared" si="16"/>
        <v>18.991099999999999</v>
      </c>
      <c r="M269">
        <f t="shared" si="17"/>
        <v>7.5169242643</v>
      </c>
      <c r="N269" s="9"/>
      <c r="O269" s="22">
        <v>1.2042200000000001</v>
      </c>
      <c r="P269" s="22">
        <v>12.3713</v>
      </c>
      <c r="Q269" s="22">
        <v>-8.1726100000000003E-3</v>
      </c>
      <c r="R269" s="22">
        <v>259</v>
      </c>
      <c r="S269" s="22">
        <v>1.2030000000000001</v>
      </c>
      <c r="T269">
        <f t="shared" si="18"/>
        <v>8.1726100000000006</v>
      </c>
      <c r="U269">
        <f t="shared" si="19"/>
        <v>9.8416204142000012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7.2987700000000002</v>
      </c>
      <c r="I270" s="22">
        <v>-1.9015500000000001E-2</v>
      </c>
      <c r="J270" s="22">
        <v>260</v>
      </c>
      <c r="K270" s="22">
        <v>0.38986199999999999</v>
      </c>
      <c r="L270">
        <f t="shared" si="16"/>
        <v>19.015499999999999</v>
      </c>
      <c r="M270">
        <f t="shared" si="17"/>
        <v>7.4308390590000002</v>
      </c>
      <c r="N270" s="9"/>
      <c r="O270" s="22">
        <v>1.20926</v>
      </c>
      <c r="P270" s="22">
        <v>12.381399999999999</v>
      </c>
      <c r="Q270" s="22">
        <v>-8.0932599999999997E-3</v>
      </c>
      <c r="R270" s="22">
        <v>260</v>
      </c>
      <c r="S270" s="22">
        <v>1.2084999999999999</v>
      </c>
      <c r="T270">
        <f t="shared" si="18"/>
        <v>8.093259999999999</v>
      </c>
      <c r="U270">
        <f t="shared" si="19"/>
        <v>9.7868555875999981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7.30884</v>
      </c>
      <c r="I271" s="22">
        <v>-1.9043000000000001E-2</v>
      </c>
      <c r="J271" s="22">
        <v>261</v>
      </c>
      <c r="K271" s="22">
        <v>0.384857</v>
      </c>
      <c r="L271">
        <f t="shared" si="16"/>
        <v>19.042999999999999</v>
      </c>
      <c r="M271">
        <f t="shared" si="17"/>
        <v>7.3456849059999989</v>
      </c>
      <c r="N271" s="9"/>
      <c r="O271" s="22">
        <v>1.2142900000000001</v>
      </c>
      <c r="P271" s="22">
        <v>12.391500000000001</v>
      </c>
      <c r="Q271" s="22">
        <v>-8.01697E-3</v>
      </c>
      <c r="R271" s="22">
        <v>261</v>
      </c>
      <c r="S271" s="22">
        <v>1.2130700000000001</v>
      </c>
      <c r="T271">
        <f t="shared" si="18"/>
        <v>8.0169700000000006</v>
      </c>
      <c r="U271">
        <f t="shared" si="19"/>
        <v>9.7349265013000021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7.3189099999999998</v>
      </c>
      <c r="I272" s="22">
        <v>-1.9070400000000001E-2</v>
      </c>
      <c r="J272" s="22">
        <v>262</v>
      </c>
      <c r="K272" s="22">
        <v>0.37985200000000002</v>
      </c>
      <c r="L272">
        <f t="shared" si="16"/>
        <v>19.070400000000003</v>
      </c>
      <c r="M272">
        <f t="shared" si="17"/>
        <v>7.2602347728000014</v>
      </c>
      <c r="N272" s="9"/>
      <c r="O272" s="22">
        <v>1.21933</v>
      </c>
      <c r="P272" s="22">
        <v>12.4015</v>
      </c>
      <c r="Q272" s="22">
        <v>-7.9315199999999992E-3</v>
      </c>
      <c r="R272" s="22">
        <v>262</v>
      </c>
      <c r="S272" s="22">
        <v>1.2176499999999999</v>
      </c>
      <c r="T272">
        <f t="shared" si="18"/>
        <v>7.931519999999999</v>
      </c>
      <c r="U272">
        <f t="shared" si="19"/>
        <v>9.6711402815999996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7.3289799999999996</v>
      </c>
      <c r="I273" s="22">
        <v>-1.9091799999999999E-2</v>
      </c>
      <c r="J273" s="22">
        <v>263</v>
      </c>
      <c r="K273" s="22">
        <v>0.37484699999999999</v>
      </c>
      <c r="L273">
        <f t="shared" si="16"/>
        <v>19.091799999999999</v>
      </c>
      <c r="M273">
        <f t="shared" si="17"/>
        <v>7.1722355977999994</v>
      </c>
      <c r="N273" s="9"/>
      <c r="O273" s="22">
        <v>1.22437</v>
      </c>
      <c r="P273" s="22">
        <v>12.4116</v>
      </c>
      <c r="Q273" s="22">
        <v>-7.8521700000000003E-3</v>
      </c>
      <c r="R273" s="22">
        <v>263</v>
      </c>
      <c r="S273" s="22">
        <v>1.2234499999999999</v>
      </c>
      <c r="T273">
        <f t="shared" si="18"/>
        <v>7.8521700000000001</v>
      </c>
      <c r="U273">
        <f t="shared" si="19"/>
        <v>9.6139613828999995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7.3390599999999999</v>
      </c>
      <c r="I274" s="22">
        <v>-1.9107099999999998E-2</v>
      </c>
      <c r="J274" s="22">
        <v>264</v>
      </c>
      <c r="K274" s="22">
        <v>0.36978100000000003</v>
      </c>
      <c r="L274">
        <f t="shared" si="16"/>
        <v>19.107099999999999</v>
      </c>
      <c r="M274">
        <f t="shared" si="17"/>
        <v>7.0817791155999998</v>
      </c>
      <c r="N274" s="9"/>
      <c r="O274" s="22">
        <v>1.2294</v>
      </c>
      <c r="P274" s="22">
        <v>12.4217</v>
      </c>
      <c r="Q274" s="22">
        <v>-7.7728299999999997E-3</v>
      </c>
      <c r="R274" s="22">
        <v>264</v>
      </c>
      <c r="S274" s="22">
        <v>1.2277199999999999</v>
      </c>
      <c r="T274">
        <f t="shared" si="18"/>
        <v>7.7728299999999999</v>
      </c>
      <c r="U274">
        <f t="shared" si="19"/>
        <v>9.5559172019999998</v>
      </c>
    </row>
    <row r="275" spans="6:101">
      <c r="F275" s="9"/>
      <c r="G275" s="22">
        <v>0.36560100000000001</v>
      </c>
      <c r="H275" s="22">
        <v>7.3491299999999997</v>
      </c>
      <c r="I275" s="22">
        <v>-1.91284E-2</v>
      </c>
      <c r="J275" s="22">
        <v>265</v>
      </c>
      <c r="K275" s="22">
        <v>0.36477700000000002</v>
      </c>
      <c r="L275">
        <f t="shared" si="16"/>
        <v>19.128399999999999</v>
      </c>
      <c r="M275">
        <f t="shared" si="17"/>
        <v>6.9933621684</v>
      </c>
      <c r="N275" s="9"/>
      <c r="O275" s="22">
        <v>1.23444</v>
      </c>
      <c r="P275" s="22">
        <v>12.431699999999999</v>
      </c>
      <c r="Q275" s="22">
        <v>-7.6873799999999997E-3</v>
      </c>
      <c r="R275" s="22">
        <v>265</v>
      </c>
      <c r="S275" s="22">
        <v>1.23322</v>
      </c>
      <c r="T275">
        <f t="shared" si="18"/>
        <v>7.6873800000000001</v>
      </c>
      <c r="U275">
        <f t="shared" si="19"/>
        <v>9.4896093671999999</v>
      </c>
    </row>
    <row r="276" spans="6:101">
      <c r="F276" s="9"/>
      <c r="G276" s="22">
        <v>0.36056500000000002</v>
      </c>
      <c r="H276" s="22">
        <v>7.3592000000000004</v>
      </c>
      <c r="I276" s="22">
        <v>-1.91437E-2</v>
      </c>
      <c r="J276" s="22">
        <v>266</v>
      </c>
      <c r="K276" s="22">
        <v>0.359711</v>
      </c>
      <c r="L276">
        <f t="shared" si="16"/>
        <v>19.143699999999999</v>
      </c>
      <c r="M276">
        <f t="shared" si="17"/>
        <v>6.9025481905000001</v>
      </c>
      <c r="N276" s="9"/>
      <c r="O276" s="22">
        <v>1.2394700000000001</v>
      </c>
      <c r="P276" s="22">
        <v>12.441800000000001</v>
      </c>
      <c r="Q276" s="22">
        <v>-7.6019299999999998E-3</v>
      </c>
      <c r="R276" s="22">
        <v>266</v>
      </c>
      <c r="S276" s="22">
        <v>1.23871</v>
      </c>
      <c r="T276">
        <f t="shared" si="18"/>
        <v>7.6019299999999994</v>
      </c>
      <c r="U276">
        <f t="shared" si="19"/>
        <v>9.4223641771000004</v>
      </c>
    </row>
    <row r="277" spans="6:101">
      <c r="F277" s="9"/>
      <c r="G277" s="22">
        <v>0.35553000000000001</v>
      </c>
      <c r="H277" s="22">
        <v>7.3692700000000002</v>
      </c>
      <c r="I277" s="22">
        <v>-1.9165000000000001E-2</v>
      </c>
      <c r="J277" s="22">
        <v>267</v>
      </c>
      <c r="K277" s="22">
        <v>0.354767</v>
      </c>
      <c r="L277">
        <f t="shared" si="16"/>
        <v>19.165000000000003</v>
      </c>
      <c r="M277">
        <f t="shared" si="17"/>
        <v>6.8137324500000016</v>
      </c>
      <c r="N277" s="9"/>
      <c r="O277" s="22">
        <v>1.24451</v>
      </c>
      <c r="P277" s="22">
        <v>12.4519</v>
      </c>
      <c r="Q277" s="22">
        <v>-7.5164799999999999E-3</v>
      </c>
      <c r="R277" s="22">
        <v>267</v>
      </c>
      <c r="S277" s="22">
        <v>1.24359</v>
      </c>
      <c r="T277">
        <f t="shared" si="18"/>
        <v>7.5164799999999996</v>
      </c>
      <c r="U277">
        <f t="shared" si="19"/>
        <v>9.3543345247999987</v>
      </c>
    </row>
    <row r="278" spans="6:101">
      <c r="F278" s="9"/>
      <c r="G278" s="22">
        <v>0.35049400000000003</v>
      </c>
      <c r="H278" s="22">
        <v>7.37934</v>
      </c>
      <c r="I278" s="22">
        <v>-1.9186399999999999E-2</v>
      </c>
      <c r="J278" s="22">
        <v>268</v>
      </c>
      <c r="K278" s="22">
        <v>0.34970099999999998</v>
      </c>
      <c r="L278">
        <f t="shared" si="16"/>
        <v>19.186399999999999</v>
      </c>
      <c r="M278">
        <f t="shared" si="17"/>
        <v>6.7247180815999998</v>
      </c>
      <c r="N278" s="9"/>
      <c r="O278" s="22">
        <v>1.2495400000000001</v>
      </c>
      <c r="P278" s="22">
        <v>12.462</v>
      </c>
      <c r="Q278" s="22">
        <v>-7.4310299999999999E-3</v>
      </c>
      <c r="R278" s="22">
        <v>268</v>
      </c>
      <c r="S278" s="22">
        <v>1.24908</v>
      </c>
      <c r="T278">
        <f t="shared" si="18"/>
        <v>7.4310299999999998</v>
      </c>
      <c r="U278">
        <f t="shared" si="19"/>
        <v>9.2853692262000003</v>
      </c>
    </row>
    <row r="279" spans="6:101">
      <c r="F279" s="9"/>
      <c r="G279" s="22">
        <v>0.34545900000000002</v>
      </c>
      <c r="H279" s="22">
        <v>7.3894099999999998</v>
      </c>
      <c r="I279" s="22">
        <v>-1.9204700000000002E-2</v>
      </c>
      <c r="J279" s="22">
        <v>269</v>
      </c>
      <c r="K279" s="22">
        <v>0.34463500000000002</v>
      </c>
      <c r="L279">
        <f t="shared" si="16"/>
        <v>19.204700000000003</v>
      </c>
      <c r="M279">
        <f t="shared" si="17"/>
        <v>6.6344364573000014</v>
      </c>
      <c r="N279" s="9"/>
      <c r="O279" s="22">
        <v>1.25458</v>
      </c>
      <c r="P279" s="22">
        <v>12.472</v>
      </c>
      <c r="Q279" s="22">
        <v>-7.3486300000000001E-3</v>
      </c>
      <c r="R279" s="22">
        <v>269</v>
      </c>
      <c r="S279" s="22">
        <v>1.25397</v>
      </c>
      <c r="T279">
        <f t="shared" si="18"/>
        <v>7.34863</v>
      </c>
      <c r="U279">
        <f t="shared" si="19"/>
        <v>9.2194442254000002</v>
      </c>
    </row>
    <row r="280" spans="6:101">
      <c r="F280" s="9"/>
      <c r="G280" s="22">
        <v>0.340424</v>
      </c>
      <c r="H280" s="22">
        <v>7.3994799999999996</v>
      </c>
      <c r="I280" s="22">
        <v>-1.9226099999999999E-2</v>
      </c>
      <c r="J280" s="22">
        <v>270</v>
      </c>
      <c r="K280" s="22">
        <v>0.33960000000000001</v>
      </c>
      <c r="L280">
        <f t="shared" si="16"/>
        <v>19.226099999999999</v>
      </c>
      <c r="M280">
        <f t="shared" si="17"/>
        <v>6.5450258663999996</v>
      </c>
      <c r="N280" s="9"/>
      <c r="O280" s="22">
        <v>1.2596099999999999</v>
      </c>
      <c r="P280" s="22">
        <v>12.482100000000001</v>
      </c>
      <c r="Q280" s="22">
        <v>-7.2631800000000002E-3</v>
      </c>
      <c r="R280" s="22">
        <v>270</v>
      </c>
      <c r="S280" s="22">
        <v>1.25824</v>
      </c>
      <c r="T280">
        <f t="shared" si="18"/>
        <v>7.2631800000000002</v>
      </c>
      <c r="U280">
        <f t="shared" si="19"/>
        <v>9.1487741598000003</v>
      </c>
    </row>
    <row r="281" spans="6:101">
      <c r="F281" s="9"/>
      <c r="G281" s="22">
        <v>0.33538800000000002</v>
      </c>
      <c r="H281" s="22">
        <v>7.4095500000000003</v>
      </c>
      <c r="I281" s="22">
        <v>-1.9244399999999998E-2</v>
      </c>
      <c r="J281" s="22">
        <v>271</v>
      </c>
      <c r="K281" s="22">
        <v>0.33447300000000002</v>
      </c>
      <c r="L281">
        <f t="shared" si="16"/>
        <v>19.244399999999999</v>
      </c>
      <c r="M281">
        <f t="shared" si="17"/>
        <v>6.4543408272000002</v>
      </c>
      <c r="N281" s="9"/>
      <c r="O281" s="22">
        <v>1.2646500000000001</v>
      </c>
      <c r="P281" s="22">
        <v>12.4922</v>
      </c>
      <c r="Q281" s="22">
        <v>-7.1777300000000002E-3</v>
      </c>
      <c r="R281" s="22">
        <v>271</v>
      </c>
      <c r="S281" s="22">
        <v>1.2634300000000001</v>
      </c>
      <c r="T281">
        <f t="shared" si="18"/>
        <v>7.1777300000000004</v>
      </c>
      <c r="U281">
        <f t="shared" si="19"/>
        <v>9.0773162445000004</v>
      </c>
    </row>
    <row r="282" spans="6:101">
      <c r="F282" s="9"/>
      <c r="G282" s="22">
        <v>0.33035300000000001</v>
      </c>
      <c r="H282" s="22">
        <v>7.4196200000000001</v>
      </c>
      <c r="I282" s="22">
        <v>-1.9259600000000002E-2</v>
      </c>
      <c r="J282" s="22">
        <v>272</v>
      </c>
      <c r="K282" s="22">
        <v>0.32949800000000001</v>
      </c>
      <c r="L282">
        <f t="shared" si="16"/>
        <v>19.259600000000002</v>
      </c>
      <c r="M282">
        <f t="shared" si="17"/>
        <v>6.3624666388000009</v>
      </c>
      <c r="N282" s="9"/>
      <c r="O282" s="22">
        <v>1.2696799999999999</v>
      </c>
      <c r="P282" s="22">
        <v>12.5022</v>
      </c>
      <c r="Q282" s="22">
        <v>-7.0953400000000003E-3</v>
      </c>
      <c r="R282" s="22">
        <v>272</v>
      </c>
      <c r="S282" s="22">
        <v>1.2692300000000001</v>
      </c>
      <c r="T282">
        <f t="shared" si="18"/>
        <v>7.0953400000000002</v>
      </c>
      <c r="U282">
        <f t="shared" si="19"/>
        <v>9.0088112911999989</v>
      </c>
    </row>
    <row r="283" spans="6:101">
      <c r="F283" s="9"/>
      <c r="G283" s="22">
        <v>0.32531700000000002</v>
      </c>
      <c r="H283" s="22">
        <v>7.4296899999999999</v>
      </c>
      <c r="I283" s="22">
        <v>-1.9274900000000001E-2</v>
      </c>
      <c r="J283" s="22">
        <v>273</v>
      </c>
      <c r="K283" s="22">
        <v>0.324432</v>
      </c>
      <c r="L283">
        <f t="shared" si="16"/>
        <v>19.274900000000002</v>
      </c>
      <c r="M283">
        <f t="shared" si="17"/>
        <v>6.2704526433000014</v>
      </c>
      <c r="N283" s="9"/>
      <c r="O283" s="22">
        <v>1.2747200000000001</v>
      </c>
      <c r="P283" s="22">
        <v>12.5123</v>
      </c>
      <c r="Q283" s="22">
        <v>-7.0098900000000004E-3</v>
      </c>
      <c r="R283" s="22">
        <v>273</v>
      </c>
      <c r="S283" s="22">
        <v>1.2735000000000001</v>
      </c>
      <c r="T283">
        <f t="shared" si="18"/>
        <v>7.0098900000000004</v>
      </c>
      <c r="U283">
        <f t="shared" si="19"/>
        <v>8.9356469808000014</v>
      </c>
    </row>
    <row r="284" spans="6:101">
      <c r="F284" s="9"/>
      <c r="G284" s="22">
        <v>0.32028200000000001</v>
      </c>
      <c r="H284" s="22">
        <v>7.4397700000000002</v>
      </c>
      <c r="I284" s="22">
        <v>-1.92902E-2</v>
      </c>
      <c r="J284" s="22">
        <v>274</v>
      </c>
      <c r="K284" s="22">
        <v>0.31939699999999999</v>
      </c>
      <c r="L284">
        <f t="shared" si="16"/>
        <v>19.290199999999999</v>
      </c>
      <c r="M284">
        <f t="shared" si="17"/>
        <v>6.1783038363999996</v>
      </c>
      <c r="N284" s="9"/>
      <c r="O284" s="22">
        <v>1.2797499999999999</v>
      </c>
      <c r="P284" s="22">
        <v>12.522399999999999</v>
      </c>
      <c r="Q284" s="22">
        <v>-6.9274899999999997E-3</v>
      </c>
      <c r="R284" s="22">
        <v>274</v>
      </c>
      <c r="S284" s="22">
        <v>1.2789900000000001</v>
      </c>
      <c r="T284">
        <f t="shared" si="18"/>
        <v>6.9274899999999997</v>
      </c>
      <c r="U284">
        <f t="shared" si="19"/>
        <v>8.8654553274999994</v>
      </c>
    </row>
    <row r="285" spans="6:101">
      <c r="F285" s="9"/>
      <c r="G285" s="22">
        <v>0.315247</v>
      </c>
      <c r="H285" s="22">
        <v>7.44984</v>
      </c>
      <c r="I285" s="22">
        <v>-1.93054E-2</v>
      </c>
      <c r="J285" s="22">
        <v>275</v>
      </c>
      <c r="K285" s="22">
        <v>0.314392</v>
      </c>
      <c r="L285">
        <f t="shared" si="16"/>
        <v>19.305399999999999</v>
      </c>
      <c r="M285">
        <f t="shared" si="17"/>
        <v>6.0859694337999999</v>
      </c>
      <c r="N285" s="9"/>
      <c r="O285" s="22">
        <v>1.2847900000000001</v>
      </c>
      <c r="P285" s="22">
        <v>12.532400000000001</v>
      </c>
      <c r="Q285" s="22">
        <v>-6.84814E-3</v>
      </c>
      <c r="R285" s="22">
        <v>275</v>
      </c>
      <c r="S285" s="22">
        <v>1.2838700000000001</v>
      </c>
      <c r="T285">
        <f t="shared" si="18"/>
        <v>6.8481399999999999</v>
      </c>
      <c r="U285">
        <f t="shared" si="19"/>
        <v>8.7984217906000008</v>
      </c>
    </row>
    <row r="286" spans="6:101">
      <c r="F286" s="9"/>
      <c r="G286" s="22">
        <v>0.31021100000000001</v>
      </c>
      <c r="H286" s="22">
        <v>7.4599099999999998</v>
      </c>
      <c r="I286" s="22">
        <v>-1.9329800000000001E-2</v>
      </c>
      <c r="J286" s="22">
        <v>276</v>
      </c>
      <c r="K286" s="22">
        <v>0.30938700000000002</v>
      </c>
      <c r="L286">
        <f t="shared" si="16"/>
        <v>19.329800000000002</v>
      </c>
      <c r="M286">
        <f t="shared" si="17"/>
        <v>5.9963165878000009</v>
      </c>
      <c r="N286" s="9"/>
      <c r="O286" s="22">
        <v>1.28983</v>
      </c>
      <c r="P286" s="22">
        <v>12.5425</v>
      </c>
      <c r="Q286" s="22">
        <v>-6.7627E-3</v>
      </c>
      <c r="R286" s="22">
        <v>276</v>
      </c>
      <c r="S286" s="22">
        <v>1.2884500000000001</v>
      </c>
      <c r="T286">
        <f t="shared" si="18"/>
        <v>6.7626999999999997</v>
      </c>
      <c r="U286">
        <f t="shared" si="19"/>
        <v>8.7227333409999996</v>
      </c>
    </row>
    <row r="287" spans="6:101">
      <c r="F287" s="9"/>
      <c r="G287" s="22">
        <v>0.305176</v>
      </c>
      <c r="H287" s="22">
        <v>7.4699799999999996</v>
      </c>
      <c r="I287" s="22">
        <v>-1.9354199999999998E-2</v>
      </c>
      <c r="J287" s="22">
        <v>277</v>
      </c>
      <c r="K287" s="22">
        <v>0.30435200000000001</v>
      </c>
      <c r="L287">
        <f t="shared" si="16"/>
        <v>19.354199999999999</v>
      </c>
      <c r="M287">
        <f t="shared" si="17"/>
        <v>5.9064373392</v>
      </c>
      <c r="N287" s="9"/>
      <c r="O287" s="22">
        <v>1.2948599999999999</v>
      </c>
      <c r="P287" s="22">
        <v>12.5526</v>
      </c>
      <c r="Q287" s="22">
        <v>-6.6803000000000001E-3</v>
      </c>
      <c r="R287" s="22">
        <v>277</v>
      </c>
      <c r="S287" s="22">
        <v>1.2939499999999999</v>
      </c>
      <c r="T287">
        <f t="shared" si="18"/>
        <v>6.6802999999999999</v>
      </c>
      <c r="U287">
        <f t="shared" si="19"/>
        <v>8.6500532579999998</v>
      </c>
    </row>
    <row r="288" spans="6:101">
      <c r="F288" s="9"/>
      <c r="G288" s="22">
        <v>0.30014000000000002</v>
      </c>
      <c r="H288" s="22">
        <v>7.4800500000000003</v>
      </c>
      <c r="I288" s="22">
        <v>-1.9369500000000001E-2</v>
      </c>
      <c r="J288" s="22">
        <v>278</v>
      </c>
      <c r="K288" s="22">
        <v>0.29934699999999997</v>
      </c>
      <c r="L288">
        <f t="shared" si="16"/>
        <v>19.369500000000002</v>
      </c>
      <c r="M288">
        <f t="shared" si="17"/>
        <v>5.8135617300000009</v>
      </c>
      <c r="N288" s="9"/>
      <c r="O288" s="22">
        <v>1.2999000000000001</v>
      </c>
      <c r="P288" s="22">
        <v>12.5627</v>
      </c>
      <c r="Q288" s="22">
        <v>-6.5948500000000002E-3</v>
      </c>
      <c r="R288" s="22">
        <v>278</v>
      </c>
      <c r="S288" s="22">
        <v>1.2988299999999999</v>
      </c>
      <c r="T288">
        <f t="shared" si="18"/>
        <v>6.5948500000000001</v>
      </c>
      <c r="U288">
        <f t="shared" si="19"/>
        <v>8.5726455150000014</v>
      </c>
    </row>
    <row r="289" spans="6:21">
      <c r="F289" s="9"/>
      <c r="G289" s="22">
        <v>0.29510500000000001</v>
      </c>
      <c r="H289" s="22">
        <v>7.4901200000000001</v>
      </c>
      <c r="I289" s="22">
        <v>-1.9393899999999999E-2</v>
      </c>
      <c r="J289" s="22">
        <v>279</v>
      </c>
      <c r="K289" s="22">
        <v>0.29421999999999998</v>
      </c>
      <c r="L289">
        <f t="shared" si="16"/>
        <v>19.393899999999999</v>
      </c>
      <c r="M289">
        <f t="shared" si="17"/>
        <v>5.7232368595000001</v>
      </c>
      <c r="N289" s="9"/>
      <c r="O289" s="22">
        <v>1.3049299999999999</v>
      </c>
      <c r="P289" s="22">
        <v>12.572699999999999</v>
      </c>
      <c r="Q289" s="22">
        <v>-6.5124500000000004E-3</v>
      </c>
      <c r="R289" s="22">
        <v>279</v>
      </c>
      <c r="S289" s="22">
        <v>1.3037099999999999</v>
      </c>
      <c r="T289">
        <f t="shared" si="18"/>
        <v>6.5124500000000003</v>
      </c>
      <c r="U289">
        <f t="shared" si="19"/>
        <v>8.4982913784999994</v>
      </c>
    </row>
    <row r="290" spans="6:21">
      <c r="F290" s="9"/>
      <c r="G290" s="22">
        <v>0.29006999999999999</v>
      </c>
      <c r="H290" s="22">
        <v>7.5001899999999999</v>
      </c>
      <c r="I290" s="22">
        <v>-1.9409200000000001E-2</v>
      </c>
      <c r="J290" s="22">
        <v>280</v>
      </c>
      <c r="K290" s="22">
        <v>0.289246</v>
      </c>
      <c r="L290">
        <f t="shared" si="16"/>
        <v>19.409200000000002</v>
      </c>
      <c r="M290">
        <f t="shared" si="17"/>
        <v>5.6300266440000009</v>
      </c>
      <c r="N290" s="9"/>
      <c r="O290" s="22">
        <v>1.3099700000000001</v>
      </c>
      <c r="P290" s="22">
        <v>12.582800000000001</v>
      </c>
      <c r="Q290" s="22">
        <v>-6.4270000000000004E-3</v>
      </c>
      <c r="R290" s="22">
        <v>280</v>
      </c>
      <c r="S290" s="22">
        <v>1.3091999999999999</v>
      </c>
      <c r="T290">
        <f t="shared" si="18"/>
        <v>6.4270000000000005</v>
      </c>
      <c r="U290">
        <f t="shared" si="19"/>
        <v>8.419177190000001</v>
      </c>
    </row>
    <row r="291" spans="6:21">
      <c r="F291" s="9"/>
      <c r="G291" s="22">
        <v>0.28503400000000001</v>
      </c>
      <c r="H291" s="22">
        <v>7.5102599999999997</v>
      </c>
      <c r="I291" s="22">
        <v>-1.94305E-2</v>
      </c>
      <c r="J291" s="22">
        <v>281</v>
      </c>
      <c r="K291" s="22">
        <v>0.28421000000000002</v>
      </c>
      <c r="L291">
        <f t="shared" si="16"/>
        <v>19.430499999999999</v>
      </c>
      <c r="M291">
        <f t="shared" si="17"/>
        <v>5.5383531369999996</v>
      </c>
      <c r="N291" s="9"/>
      <c r="O291" s="22">
        <v>1.3149999999999999</v>
      </c>
      <c r="P291" s="22">
        <v>12.5929</v>
      </c>
      <c r="Q291" s="22">
        <v>-6.3385000000000004E-3</v>
      </c>
      <c r="R291" s="22">
        <v>281</v>
      </c>
      <c r="S291" s="22">
        <v>1.3147</v>
      </c>
      <c r="T291">
        <f t="shared" si="18"/>
        <v>6.3385000000000007</v>
      </c>
      <c r="U291">
        <f t="shared" si="19"/>
        <v>8.3351275000000005</v>
      </c>
    </row>
    <row r="292" spans="6:21">
      <c r="F292" s="9"/>
      <c r="G292" s="22">
        <v>0.279999</v>
      </c>
      <c r="H292" s="22">
        <v>7.5203300000000004</v>
      </c>
      <c r="I292" s="22">
        <v>-1.9451900000000001E-2</v>
      </c>
      <c r="J292" s="22">
        <v>282</v>
      </c>
      <c r="K292" s="22">
        <v>0.27911399999999997</v>
      </c>
      <c r="L292">
        <f t="shared" si="16"/>
        <v>19.451900000000002</v>
      </c>
      <c r="M292">
        <f t="shared" si="17"/>
        <v>5.4465125481000003</v>
      </c>
      <c r="N292" s="9"/>
      <c r="O292" s="22">
        <v>1.3200400000000001</v>
      </c>
      <c r="P292" s="22">
        <v>12.6029</v>
      </c>
      <c r="Q292" s="22">
        <v>-6.2530499999999996E-3</v>
      </c>
      <c r="R292" s="22">
        <v>282</v>
      </c>
      <c r="S292" s="22">
        <v>1.3192699999999999</v>
      </c>
      <c r="T292">
        <f t="shared" si="18"/>
        <v>6.25305</v>
      </c>
      <c r="U292">
        <f t="shared" si="19"/>
        <v>8.2542761220000003</v>
      </c>
    </row>
    <row r="293" spans="6:21">
      <c r="F293" s="9"/>
      <c r="G293" s="22">
        <v>0.27496300000000001</v>
      </c>
      <c r="H293" s="22">
        <v>7.5304000000000002</v>
      </c>
      <c r="I293" s="22">
        <v>-1.9473299999999999E-2</v>
      </c>
      <c r="J293" s="22">
        <v>283</v>
      </c>
      <c r="K293" s="22">
        <v>0.27413900000000002</v>
      </c>
      <c r="L293">
        <f t="shared" si="16"/>
        <v>19.473299999999998</v>
      </c>
      <c r="M293">
        <f t="shared" si="17"/>
        <v>5.3544369878999998</v>
      </c>
      <c r="N293" s="9"/>
      <c r="O293" s="22">
        <v>1.32507</v>
      </c>
      <c r="P293" s="22">
        <v>12.613</v>
      </c>
      <c r="Q293" s="22">
        <v>-6.1675999999999996E-3</v>
      </c>
      <c r="R293" s="22">
        <v>283</v>
      </c>
      <c r="S293" s="22">
        <v>1.32355</v>
      </c>
      <c r="T293">
        <f t="shared" si="18"/>
        <v>6.1675999999999993</v>
      </c>
      <c r="U293">
        <f t="shared" si="19"/>
        <v>8.1725017319999989</v>
      </c>
    </row>
    <row r="294" spans="6:21">
      <c r="F294" s="9"/>
      <c r="G294" s="22">
        <v>0.269928</v>
      </c>
      <c r="H294" s="22">
        <v>7.5404799999999996</v>
      </c>
      <c r="I294" s="22">
        <v>-1.9488499999999999E-2</v>
      </c>
      <c r="J294" s="22">
        <v>284</v>
      </c>
      <c r="K294" s="22">
        <v>0.26910400000000001</v>
      </c>
      <c r="L294">
        <f t="shared" si="16"/>
        <v>19.488499999999998</v>
      </c>
      <c r="M294">
        <f t="shared" si="17"/>
        <v>5.2604918279999993</v>
      </c>
      <c r="N294" s="9"/>
      <c r="O294" s="22">
        <v>1.3301099999999999</v>
      </c>
      <c r="P294" s="22">
        <v>12.623100000000001</v>
      </c>
      <c r="Q294" s="22">
        <v>-6.0790999999999996E-3</v>
      </c>
      <c r="R294" s="22">
        <v>284</v>
      </c>
      <c r="S294" s="22">
        <v>1.32904</v>
      </c>
      <c r="T294">
        <f t="shared" si="18"/>
        <v>6.0790999999999995</v>
      </c>
      <c r="U294">
        <f t="shared" si="19"/>
        <v>8.0858717009999985</v>
      </c>
    </row>
    <row r="295" spans="6:21">
      <c r="F295" s="9"/>
      <c r="G295" s="22">
        <v>0.26489299999999999</v>
      </c>
      <c r="H295" s="22">
        <v>7.5505500000000003</v>
      </c>
      <c r="I295" s="22">
        <v>-1.9506800000000001E-2</v>
      </c>
      <c r="J295" s="22">
        <v>285</v>
      </c>
      <c r="K295" s="22">
        <v>0.26400800000000002</v>
      </c>
      <c r="L295">
        <f t="shared" si="16"/>
        <v>19.506800000000002</v>
      </c>
      <c r="M295">
        <f t="shared" si="17"/>
        <v>5.1672147724000004</v>
      </c>
      <c r="N295" s="9"/>
      <c r="O295" s="22">
        <v>1.33514</v>
      </c>
      <c r="P295" s="22">
        <v>12.6332</v>
      </c>
      <c r="Q295" s="22">
        <v>-5.9966999999999998E-3</v>
      </c>
      <c r="R295" s="22">
        <v>285</v>
      </c>
      <c r="S295" s="22">
        <v>1.33392</v>
      </c>
      <c r="T295">
        <f t="shared" si="18"/>
        <v>5.9966999999999997</v>
      </c>
      <c r="U295">
        <f t="shared" si="19"/>
        <v>8.0064340380000001</v>
      </c>
    </row>
    <row r="296" spans="6:21">
      <c r="F296" s="9"/>
      <c r="G296" s="22">
        <v>0.259857</v>
      </c>
      <c r="H296" s="22">
        <v>7.5606200000000001</v>
      </c>
      <c r="I296" s="22">
        <v>-1.9534300000000001E-2</v>
      </c>
      <c r="J296" s="22">
        <v>286</v>
      </c>
      <c r="K296" s="22">
        <v>0.25906400000000002</v>
      </c>
      <c r="L296">
        <f t="shared" si="16"/>
        <v>19.534300000000002</v>
      </c>
      <c r="M296">
        <f t="shared" si="17"/>
        <v>5.0761245951000005</v>
      </c>
      <c r="N296" s="9"/>
      <c r="O296" s="22">
        <v>1.3401799999999999</v>
      </c>
      <c r="P296" s="22">
        <v>12.6432</v>
      </c>
      <c r="Q296" s="22">
        <v>-5.9081999999999997E-3</v>
      </c>
      <c r="R296" s="22">
        <v>286</v>
      </c>
      <c r="S296" s="22">
        <v>1.3388100000000001</v>
      </c>
      <c r="T296">
        <f t="shared" si="18"/>
        <v>5.9081999999999999</v>
      </c>
      <c r="U296">
        <f t="shared" si="19"/>
        <v>7.9180514759999996</v>
      </c>
    </row>
    <row r="297" spans="6:21">
      <c r="F297" s="9"/>
      <c r="G297" s="22">
        <v>0.25482199999999999</v>
      </c>
      <c r="H297" s="22">
        <v>7.5706899999999999</v>
      </c>
      <c r="I297" s="22">
        <v>-1.9555699999999999E-2</v>
      </c>
      <c r="J297" s="22">
        <v>287</v>
      </c>
      <c r="K297" s="22">
        <v>0.25393700000000002</v>
      </c>
      <c r="L297">
        <f t="shared" si="16"/>
        <v>19.555699999999998</v>
      </c>
      <c r="M297">
        <f t="shared" si="17"/>
        <v>4.9832225853999992</v>
      </c>
      <c r="N297" s="9"/>
      <c r="O297" s="22">
        <v>1.34521</v>
      </c>
      <c r="P297" s="22">
        <v>12.6533</v>
      </c>
      <c r="Q297" s="22">
        <v>-5.8227499999999998E-3</v>
      </c>
      <c r="R297" s="22">
        <v>287</v>
      </c>
      <c r="S297" s="22">
        <v>1.3436900000000001</v>
      </c>
      <c r="T297">
        <f t="shared" si="18"/>
        <v>5.8227500000000001</v>
      </c>
      <c r="U297">
        <f t="shared" si="19"/>
        <v>7.8328215275000002</v>
      </c>
    </row>
    <row r="298" spans="6:21">
      <c r="F298" s="9"/>
      <c r="G298" s="22">
        <v>0.24978600000000001</v>
      </c>
      <c r="H298" s="22">
        <v>7.5807599999999997</v>
      </c>
      <c r="I298" s="22">
        <v>-1.9574000000000001E-2</v>
      </c>
      <c r="J298" s="22">
        <v>288</v>
      </c>
      <c r="K298" s="22">
        <v>0.24896199999999999</v>
      </c>
      <c r="L298">
        <f t="shared" si="16"/>
        <v>19.574000000000002</v>
      </c>
      <c r="M298">
        <f t="shared" si="17"/>
        <v>4.8893111640000004</v>
      </c>
      <c r="N298" s="9"/>
      <c r="O298" s="22">
        <v>1.35025</v>
      </c>
      <c r="P298" s="22">
        <v>12.663399999999999</v>
      </c>
      <c r="Q298" s="22">
        <v>-5.7403599999999999E-3</v>
      </c>
      <c r="R298" s="22">
        <v>288</v>
      </c>
      <c r="S298" s="22">
        <v>1.3488800000000001</v>
      </c>
      <c r="T298">
        <f t="shared" si="18"/>
        <v>5.7403599999999999</v>
      </c>
      <c r="U298">
        <f t="shared" si="19"/>
        <v>7.7509210899999994</v>
      </c>
    </row>
    <row r="299" spans="6:21">
      <c r="F299" s="9"/>
      <c r="G299" s="22">
        <v>0.244751</v>
      </c>
      <c r="H299" s="22">
        <v>7.5908300000000004</v>
      </c>
      <c r="I299" s="22">
        <v>-1.9598399999999998E-2</v>
      </c>
      <c r="J299" s="22">
        <v>289</v>
      </c>
      <c r="K299" s="22">
        <v>0.243927</v>
      </c>
      <c r="L299">
        <f t="shared" si="16"/>
        <v>19.598399999999998</v>
      </c>
      <c r="M299">
        <f t="shared" si="17"/>
        <v>4.7967279983999997</v>
      </c>
      <c r="N299" s="9"/>
      <c r="O299" s="22">
        <v>1.3552900000000001</v>
      </c>
      <c r="P299" s="22">
        <v>12.673400000000001</v>
      </c>
      <c r="Q299" s="22">
        <v>-5.65491E-3</v>
      </c>
      <c r="R299" s="22">
        <v>289</v>
      </c>
      <c r="S299" s="22">
        <v>1.3546800000000001</v>
      </c>
      <c r="T299">
        <f t="shared" si="18"/>
        <v>5.6549100000000001</v>
      </c>
      <c r="U299">
        <f t="shared" si="19"/>
        <v>7.6640429739000009</v>
      </c>
    </row>
    <row r="300" spans="6:21">
      <c r="F300" s="9"/>
      <c r="G300" s="22">
        <v>0.23971600000000001</v>
      </c>
      <c r="H300" s="22">
        <v>7.6009000000000002</v>
      </c>
      <c r="I300" s="22">
        <v>-1.9616700000000001E-2</v>
      </c>
      <c r="J300" s="22">
        <v>290</v>
      </c>
      <c r="K300" s="22">
        <v>0.23889199999999999</v>
      </c>
      <c r="L300">
        <f t="shared" si="16"/>
        <v>19.616700000000002</v>
      </c>
      <c r="M300">
        <f t="shared" si="17"/>
        <v>4.7024368572000004</v>
      </c>
      <c r="N300" s="9"/>
      <c r="O300" s="22">
        <v>1.36032</v>
      </c>
      <c r="P300" s="22">
        <v>12.6835</v>
      </c>
      <c r="Q300" s="22">
        <v>-5.5664099999999999E-3</v>
      </c>
      <c r="R300" s="22">
        <v>290</v>
      </c>
      <c r="S300" s="22">
        <v>1.3601700000000001</v>
      </c>
      <c r="T300">
        <f t="shared" si="18"/>
        <v>5.5664100000000003</v>
      </c>
      <c r="U300">
        <f t="shared" si="19"/>
        <v>7.5720988512000007</v>
      </c>
    </row>
    <row r="301" spans="6:21">
      <c r="F301" s="9"/>
      <c r="G301" s="22">
        <v>0.23468</v>
      </c>
      <c r="H301" s="22">
        <v>7.61097</v>
      </c>
      <c r="I301" s="22">
        <v>-1.9635E-2</v>
      </c>
      <c r="J301" s="22">
        <v>291</v>
      </c>
      <c r="K301" s="22">
        <v>0.23382600000000001</v>
      </c>
      <c r="L301">
        <f t="shared" si="16"/>
        <v>19.634999999999998</v>
      </c>
      <c r="M301">
        <f t="shared" si="17"/>
        <v>4.6079417999999999</v>
      </c>
      <c r="N301" s="9"/>
      <c r="O301" s="22">
        <v>1.3653599999999999</v>
      </c>
      <c r="P301" s="22">
        <v>12.6936</v>
      </c>
      <c r="Q301" s="22">
        <v>-5.4779099999999999E-3</v>
      </c>
      <c r="R301" s="22">
        <v>291</v>
      </c>
      <c r="S301" s="22">
        <v>1.3641399999999999</v>
      </c>
      <c r="T301">
        <f t="shared" si="18"/>
        <v>5.4779099999999996</v>
      </c>
      <c r="U301">
        <f t="shared" si="19"/>
        <v>7.4793191975999989</v>
      </c>
    </row>
    <row r="302" spans="6:21">
      <c r="F302" s="9"/>
      <c r="G302" s="22">
        <v>0.22964499999999999</v>
      </c>
      <c r="H302" s="22">
        <v>7.6210399999999998</v>
      </c>
      <c r="I302" s="22">
        <v>-1.9650299999999999E-2</v>
      </c>
      <c r="J302" s="22">
        <v>292</v>
      </c>
      <c r="K302" s="22">
        <v>0.228821</v>
      </c>
      <c r="L302">
        <f t="shared" si="16"/>
        <v>19.650299999999998</v>
      </c>
      <c r="M302">
        <f t="shared" si="17"/>
        <v>4.5125931434999993</v>
      </c>
      <c r="N302" s="9"/>
      <c r="O302" s="22">
        <v>1.37039</v>
      </c>
      <c r="P302" s="22">
        <v>12.7037</v>
      </c>
      <c r="Q302" s="22">
        <v>-5.3893999999999999E-3</v>
      </c>
      <c r="R302" s="22">
        <v>292</v>
      </c>
      <c r="S302" s="22">
        <v>1.3696299999999999</v>
      </c>
      <c r="T302">
        <f t="shared" si="18"/>
        <v>5.3894000000000002</v>
      </c>
      <c r="U302">
        <f t="shared" si="19"/>
        <v>7.3855798660000005</v>
      </c>
    </row>
    <row r="303" spans="6:21">
      <c r="F303" s="9"/>
      <c r="G303" s="22">
        <v>0.224609</v>
      </c>
      <c r="H303" s="22">
        <v>7.6311099999999996</v>
      </c>
      <c r="I303" s="22">
        <v>-1.9671600000000001E-2</v>
      </c>
      <c r="J303" s="22">
        <v>293</v>
      </c>
      <c r="K303" s="22">
        <v>0.22381599999999999</v>
      </c>
      <c r="L303">
        <f t="shared" si="16"/>
        <v>19.671600000000002</v>
      </c>
      <c r="M303">
        <f t="shared" si="17"/>
        <v>4.4184184044000006</v>
      </c>
      <c r="N303" s="9"/>
      <c r="O303" s="22">
        <v>1.3754299999999999</v>
      </c>
      <c r="P303" s="22">
        <v>12.713699999999999</v>
      </c>
      <c r="Q303" s="22">
        <v>-5.2978499999999998E-3</v>
      </c>
      <c r="R303" s="22">
        <v>293</v>
      </c>
      <c r="S303" s="22">
        <v>1.3742099999999999</v>
      </c>
      <c r="T303">
        <f t="shared" si="18"/>
        <v>5.2978499999999995</v>
      </c>
      <c r="U303">
        <f t="shared" si="19"/>
        <v>7.2868218254999988</v>
      </c>
    </row>
    <row r="304" spans="6:21">
      <c r="F304" s="9"/>
      <c r="G304" s="22">
        <v>0.21957399999999999</v>
      </c>
      <c r="H304" s="22">
        <v>7.6411899999999999</v>
      </c>
      <c r="I304" s="22">
        <v>-1.96899E-2</v>
      </c>
      <c r="J304" s="22">
        <v>294</v>
      </c>
      <c r="K304" s="22">
        <v>0.21875</v>
      </c>
      <c r="L304">
        <f t="shared" si="16"/>
        <v>19.689900000000002</v>
      </c>
      <c r="M304">
        <f t="shared" si="17"/>
        <v>4.3233901026000003</v>
      </c>
      <c r="N304" s="9"/>
      <c r="O304" s="22">
        <v>1.38046</v>
      </c>
      <c r="P304" s="22">
        <v>12.723800000000001</v>
      </c>
      <c r="Q304" s="22">
        <v>-5.2062999999999996E-3</v>
      </c>
      <c r="R304" s="22">
        <v>294</v>
      </c>
      <c r="S304" s="22">
        <v>1.3796999999999999</v>
      </c>
      <c r="T304">
        <f t="shared" si="18"/>
        <v>5.2062999999999997</v>
      </c>
      <c r="U304">
        <f t="shared" si="19"/>
        <v>7.1870888979999998</v>
      </c>
    </row>
    <row r="305" spans="6:21">
      <c r="F305" s="9"/>
      <c r="G305" s="22">
        <v>0.21453900000000001</v>
      </c>
      <c r="H305" s="22">
        <v>7.6512599999999997</v>
      </c>
      <c r="I305" s="22">
        <v>-1.9708300000000002E-2</v>
      </c>
      <c r="J305" s="22">
        <v>295</v>
      </c>
      <c r="K305" s="22">
        <v>0.21371499999999999</v>
      </c>
      <c r="L305">
        <f t="shared" si="16"/>
        <v>19.708300000000001</v>
      </c>
      <c r="M305">
        <f t="shared" si="17"/>
        <v>4.2281989737000005</v>
      </c>
      <c r="N305" s="9"/>
      <c r="O305" s="22">
        <v>1.3855</v>
      </c>
      <c r="P305" s="22">
        <v>12.7339</v>
      </c>
      <c r="Q305" s="22">
        <v>-5.1208499999999997E-3</v>
      </c>
      <c r="R305" s="22">
        <v>295</v>
      </c>
      <c r="S305" s="22">
        <v>1.38428</v>
      </c>
      <c r="T305">
        <f t="shared" si="18"/>
        <v>5.1208499999999999</v>
      </c>
      <c r="U305">
        <f t="shared" si="19"/>
        <v>7.0949376749999997</v>
      </c>
    </row>
    <row r="306" spans="6:21">
      <c r="F306" s="9"/>
      <c r="G306" s="22">
        <v>0.20950299999999999</v>
      </c>
      <c r="H306" s="22">
        <v>7.6613300000000004</v>
      </c>
      <c r="I306" s="22">
        <v>-1.97266E-2</v>
      </c>
      <c r="J306" s="22">
        <v>296</v>
      </c>
      <c r="K306" s="22">
        <v>0.20877100000000001</v>
      </c>
      <c r="L306">
        <f t="shared" si="16"/>
        <v>19.726600000000001</v>
      </c>
      <c r="M306">
        <f t="shared" si="17"/>
        <v>4.1327818798000004</v>
      </c>
      <c r="N306" s="9"/>
      <c r="O306" s="22">
        <v>1.39053</v>
      </c>
      <c r="P306" s="22">
        <v>12.7439</v>
      </c>
      <c r="Q306" s="22">
        <v>-5.0353999999999998E-3</v>
      </c>
      <c r="R306" s="22">
        <v>296</v>
      </c>
      <c r="S306" s="22">
        <v>1.3897699999999999</v>
      </c>
      <c r="T306">
        <f t="shared" si="18"/>
        <v>5.0354000000000001</v>
      </c>
      <c r="U306">
        <f t="shared" si="19"/>
        <v>7.0018747619999999</v>
      </c>
    </row>
    <row r="307" spans="6:21">
      <c r="F307" s="9"/>
      <c r="G307" s="22">
        <v>0.20446800000000001</v>
      </c>
      <c r="H307" s="22">
        <v>7.6714000000000002</v>
      </c>
      <c r="I307" s="22">
        <v>-1.9747899999999999E-2</v>
      </c>
      <c r="J307" s="22">
        <v>297</v>
      </c>
      <c r="K307" s="22">
        <v>0.20364399999999999</v>
      </c>
      <c r="L307">
        <f t="shared" si="16"/>
        <v>19.747899999999998</v>
      </c>
      <c r="M307">
        <f t="shared" si="17"/>
        <v>4.0378136171999994</v>
      </c>
      <c r="N307" s="9"/>
      <c r="O307" s="22">
        <v>1.39557</v>
      </c>
      <c r="P307" s="22">
        <v>12.754</v>
      </c>
      <c r="Q307" s="22">
        <v>-4.9529999999999999E-3</v>
      </c>
      <c r="R307" s="22">
        <v>297</v>
      </c>
      <c r="S307" s="22">
        <v>1.39435</v>
      </c>
      <c r="T307">
        <f t="shared" si="18"/>
        <v>4.9530000000000003</v>
      </c>
      <c r="U307">
        <f t="shared" si="19"/>
        <v>6.9122582100000001</v>
      </c>
    </row>
    <row r="308" spans="6:21">
      <c r="F308" s="9"/>
      <c r="G308" s="22">
        <v>0.199432</v>
      </c>
      <c r="H308" s="22">
        <v>7.68147</v>
      </c>
      <c r="I308" s="22">
        <v>-1.9766200000000001E-2</v>
      </c>
      <c r="J308" s="22">
        <v>298</v>
      </c>
      <c r="K308" s="22">
        <v>0.19863900000000001</v>
      </c>
      <c r="L308">
        <f t="shared" si="16"/>
        <v>19.766200000000001</v>
      </c>
      <c r="M308">
        <f t="shared" si="17"/>
        <v>3.9420127984000004</v>
      </c>
      <c r="N308" s="9"/>
      <c r="O308" s="22">
        <v>1.4006000000000001</v>
      </c>
      <c r="P308" s="22">
        <v>12.764099999999999</v>
      </c>
      <c r="Q308" s="22">
        <v>-4.8626700000000004E-3</v>
      </c>
      <c r="R308" s="22">
        <v>298</v>
      </c>
      <c r="S308" s="22">
        <v>1.39954</v>
      </c>
      <c r="T308">
        <f t="shared" si="18"/>
        <v>4.8626700000000005</v>
      </c>
      <c r="U308">
        <f t="shared" si="19"/>
        <v>6.8106556020000006</v>
      </c>
    </row>
    <row r="309" spans="6:21">
      <c r="F309" s="9"/>
      <c r="G309" s="22">
        <v>0.19439699999999999</v>
      </c>
      <c r="H309" s="22">
        <v>7.6915399999999998</v>
      </c>
      <c r="I309" s="22">
        <v>-1.9790599999999998E-2</v>
      </c>
      <c r="J309" s="22">
        <v>299</v>
      </c>
      <c r="K309" s="22">
        <v>0.193604</v>
      </c>
      <c r="L309">
        <f t="shared" si="16"/>
        <v>19.790599999999998</v>
      </c>
      <c r="M309">
        <f t="shared" si="17"/>
        <v>3.8472332681999992</v>
      </c>
      <c r="N309" s="9"/>
      <c r="O309" s="22">
        <v>1.40564</v>
      </c>
      <c r="P309" s="22">
        <v>12.7742</v>
      </c>
      <c r="Q309" s="22">
        <v>-4.7738600000000004E-3</v>
      </c>
      <c r="R309" s="22">
        <v>299</v>
      </c>
      <c r="S309" s="22">
        <v>1.40533</v>
      </c>
      <c r="T309">
        <f t="shared" si="18"/>
        <v>4.77386</v>
      </c>
      <c r="U309">
        <f t="shared" si="19"/>
        <v>6.7103285703999997</v>
      </c>
    </row>
    <row r="310" spans="6:21">
      <c r="F310" s="9"/>
      <c r="G310" s="22">
        <v>0.189362</v>
      </c>
      <c r="H310" s="22">
        <v>7.7016099999999996</v>
      </c>
      <c r="I310" s="22">
        <v>-1.9812E-2</v>
      </c>
      <c r="J310" s="22">
        <v>300</v>
      </c>
      <c r="K310" s="22">
        <v>0.18850700000000001</v>
      </c>
      <c r="L310">
        <f t="shared" si="16"/>
        <v>19.812000000000001</v>
      </c>
      <c r="M310">
        <f t="shared" si="17"/>
        <v>3.7516399440000003</v>
      </c>
      <c r="N310" s="9"/>
      <c r="O310" s="22">
        <v>1.4106799999999999</v>
      </c>
      <c r="P310" s="22">
        <v>12.7842</v>
      </c>
      <c r="Q310" s="22">
        <v>-4.6865800000000001E-3</v>
      </c>
      <c r="R310" s="22">
        <v>300</v>
      </c>
      <c r="S310" s="22">
        <v>1.40991</v>
      </c>
      <c r="T310">
        <f t="shared" si="18"/>
        <v>4.6865800000000002</v>
      </c>
      <c r="U310">
        <f t="shared" si="19"/>
        <v>6.6112646744000001</v>
      </c>
    </row>
    <row r="311" spans="6:21">
      <c r="F311" s="9"/>
      <c r="G311" s="22">
        <v>0.18432599999999999</v>
      </c>
      <c r="H311" s="22">
        <v>7.7116800000000003</v>
      </c>
      <c r="I311" s="22">
        <v>-1.9830299999999999E-2</v>
      </c>
      <c r="J311" s="22">
        <v>301</v>
      </c>
      <c r="K311" s="22">
        <v>0.183502</v>
      </c>
      <c r="L311">
        <f t="shared" si="16"/>
        <v>19.830299999999998</v>
      </c>
      <c r="M311">
        <f t="shared" si="17"/>
        <v>3.6552398777999993</v>
      </c>
      <c r="N311" s="9"/>
      <c r="O311" s="22">
        <v>1.41571</v>
      </c>
      <c r="P311" s="22">
        <v>12.7943</v>
      </c>
      <c r="Q311" s="22">
        <v>-4.5992999999999997E-3</v>
      </c>
      <c r="R311" s="22">
        <v>301</v>
      </c>
      <c r="S311" s="22">
        <v>1.41479</v>
      </c>
      <c r="T311">
        <f t="shared" si="18"/>
        <v>4.5992999999999995</v>
      </c>
      <c r="U311">
        <f t="shared" si="19"/>
        <v>6.5112750029999997</v>
      </c>
    </row>
    <row r="312" spans="6:21">
      <c r="F312" s="9"/>
      <c r="G312" s="22">
        <v>0.17929100000000001</v>
      </c>
      <c r="H312" s="22">
        <v>7.7217500000000001</v>
      </c>
      <c r="I312" s="22">
        <v>-1.9848600000000001E-2</v>
      </c>
      <c r="J312" s="22">
        <v>302</v>
      </c>
      <c r="K312" s="22">
        <v>0.17843600000000001</v>
      </c>
      <c r="L312">
        <f t="shared" si="16"/>
        <v>19.848600000000001</v>
      </c>
      <c r="M312">
        <f t="shared" si="17"/>
        <v>3.5586753426000004</v>
      </c>
      <c r="N312" s="9"/>
      <c r="O312" s="22">
        <v>1.42075</v>
      </c>
      <c r="P312" s="22">
        <v>12.804399999999999</v>
      </c>
      <c r="Q312" s="22">
        <v>-4.2804000000000002E-3</v>
      </c>
      <c r="R312" s="22">
        <v>302</v>
      </c>
      <c r="S312" s="22">
        <v>1.41998</v>
      </c>
      <c r="T312">
        <f t="shared" si="18"/>
        <v>4.2804000000000002</v>
      </c>
      <c r="U312">
        <f t="shared" si="19"/>
        <v>6.0813782999999999</v>
      </c>
    </row>
    <row r="313" spans="6:21">
      <c r="F313" s="9"/>
      <c r="G313" s="22">
        <v>0.17425499999999999</v>
      </c>
      <c r="H313" s="22">
        <v>7.7318199999999999</v>
      </c>
      <c r="I313" s="22">
        <v>-1.98639E-2</v>
      </c>
      <c r="J313" s="22">
        <v>303</v>
      </c>
      <c r="K313" s="22">
        <v>0.173431</v>
      </c>
      <c r="L313">
        <f t="shared" si="16"/>
        <v>19.863900000000001</v>
      </c>
      <c r="M313">
        <f t="shared" si="17"/>
        <v>3.4613838944999999</v>
      </c>
      <c r="N313" s="9"/>
      <c r="O313" s="22">
        <v>1.42578</v>
      </c>
      <c r="P313" s="22">
        <v>12.814399999999999</v>
      </c>
      <c r="Q313" s="22">
        <v>-4.1180399999999999E-3</v>
      </c>
      <c r="R313" s="22">
        <v>303</v>
      </c>
      <c r="S313" s="22">
        <v>1.4248700000000001</v>
      </c>
      <c r="T313">
        <f t="shared" si="18"/>
        <v>4.1180399999999997</v>
      </c>
      <c r="U313">
        <f t="shared" si="19"/>
        <v>5.8714190712000001</v>
      </c>
    </row>
    <row r="314" spans="6:21">
      <c r="F314" s="9"/>
      <c r="G314" s="22">
        <v>0.16922000000000001</v>
      </c>
      <c r="H314" s="22">
        <v>7.7419000000000002</v>
      </c>
      <c r="I314" s="22">
        <v>-1.98792E-2</v>
      </c>
      <c r="J314" s="22">
        <v>304</v>
      </c>
      <c r="K314" s="22">
        <v>0.16839599999999999</v>
      </c>
      <c r="L314">
        <f t="shared" si="16"/>
        <v>19.879200000000001</v>
      </c>
      <c r="M314">
        <f t="shared" si="17"/>
        <v>3.3639582240000006</v>
      </c>
      <c r="N314" s="9"/>
      <c r="O314" s="22">
        <v>1.43082</v>
      </c>
      <c r="P314" s="22">
        <v>12.8245</v>
      </c>
      <c r="Q314" s="22">
        <v>-3.9978000000000001E-3</v>
      </c>
      <c r="R314" s="22">
        <v>304</v>
      </c>
      <c r="S314" s="22">
        <v>1.43005</v>
      </c>
      <c r="T314">
        <f t="shared" si="18"/>
        <v>3.9978000000000002</v>
      </c>
      <c r="U314">
        <f t="shared" si="19"/>
        <v>5.7201321960000007</v>
      </c>
    </row>
    <row r="315" spans="6:21">
      <c r="F315" s="9"/>
      <c r="G315" s="22">
        <v>0.164185</v>
      </c>
      <c r="H315" s="22">
        <v>7.75197</v>
      </c>
      <c r="I315" s="22">
        <v>-1.9900500000000002E-2</v>
      </c>
      <c r="J315" s="22">
        <v>305</v>
      </c>
      <c r="K315" s="22">
        <v>0.16339100000000001</v>
      </c>
      <c r="L315">
        <f t="shared" si="16"/>
        <v>19.900500000000001</v>
      </c>
      <c r="M315">
        <f t="shared" si="17"/>
        <v>3.2673635925000002</v>
      </c>
      <c r="N315" s="9"/>
      <c r="O315" s="22">
        <v>1.4358500000000001</v>
      </c>
      <c r="P315" s="22">
        <v>12.8346</v>
      </c>
      <c r="Q315" s="22">
        <v>-3.9230300000000001E-3</v>
      </c>
      <c r="R315" s="22">
        <v>305</v>
      </c>
      <c r="S315" s="22">
        <v>1.4349400000000001</v>
      </c>
      <c r="T315">
        <f t="shared" si="18"/>
        <v>3.9230300000000002</v>
      </c>
      <c r="U315">
        <f t="shared" si="19"/>
        <v>5.6328826255000006</v>
      </c>
    </row>
    <row r="316" spans="6:21">
      <c r="F316" s="9"/>
      <c r="G316" s="22">
        <v>0.15914900000000001</v>
      </c>
      <c r="H316" s="22">
        <v>7.7620399999999998</v>
      </c>
      <c r="I316" s="22">
        <v>-1.9915800000000001E-2</v>
      </c>
      <c r="J316" s="22">
        <v>306</v>
      </c>
      <c r="K316" s="22">
        <v>0.158417</v>
      </c>
      <c r="L316">
        <f t="shared" si="16"/>
        <v>19.915800000000001</v>
      </c>
      <c r="M316">
        <f t="shared" si="17"/>
        <v>3.1695796542000005</v>
      </c>
      <c r="N316" s="9"/>
      <c r="O316" s="22">
        <v>1.44089</v>
      </c>
      <c r="P316" s="22">
        <v>12.8446</v>
      </c>
      <c r="Q316" s="22">
        <v>-3.9123500000000002E-3</v>
      </c>
      <c r="R316" s="22">
        <v>306</v>
      </c>
      <c r="S316" s="22">
        <v>1.4398200000000001</v>
      </c>
      <c r="T316">
        <f t="shared" si="18"/>
        <v>3.91235</v>
      </c>
      <c r="U316">
        <f t="shared" si="19"/>
        <v>5.6372659914999996</v>
      </c>
    </row>
    <row r="317" spans="6:21">
      <c r="F317" s="9"/>
      <c r="G317" s="22">
        <v>0.154114</v>
      </c>
      <c r="H317" s="22">
        <v>7.7721099999999996</v>
      </c>
      <c r="I317" s="22">
        <v>-1.99341E-2</v>
      </c>
      <c r="J317" s="22">
        <v>307</v>
      </c>
      <c r="K317" s="22">
        <v>0.15329000000000001</v>
      </c>
      <c r="L317">
        <f t="shared" si="16"/>
        <v>19.934100000000001</v>
      </c>
      <c r="M317">
        <f t="shared" si="17"/>
        <v>3.0721238874000001</v>
      </c>
      <c r="N317" s="9"/>
      <c r="O317" s="22">
        <v>1.4459200000000001</v>
      </c>
      <c r="P317" s="22">
        <v>12.854699999999999</v>
      </c>
      <c r="Q317" s="22">
        <v>-3.7744100000000002E-3</v>
      </c>
      <c r="R317" s="22">
        <v>307</v>
      </c>
      <c r="S317" s="22">
        <v>1.4450099999999999</v>
      </c>
      <c r="T317">
        <f t="shared" si="18"/>
        <v>3.77441</v>
      </c>
      <c r="U317">
        <f t="shared" si="19"/>
        <v>5.4574949072000001</v>
      </c>
    </row>
    <row r="318" spans="6:21">
      <c r="F318" s="9"/>
      <c r="G318" s="22">
        <v>0.14907799999999999</v>
      </c>
      <c r="H318" s="22">
        <v>7.7821800000000003</v>
      </c>
      <c r="I318" s="22">
        <v>-1.9952399999999999E-2</v>
      </c>
      <c r="J318" s="22">
        <v>308</v>
      </c>
      <c r="K318" s="22">
        <v>0.148315</v>
      </c>
      <c r="L318">
        <f t="shared" si="16"/>
        <v>19.952399999999997</v>
      </c>
      <c r="M318">
        <f t="shared" si="17"/>
        <v>2.9744638871999993</v>
      </c>
      <c r="N318" s="9"/>
      <c r="O318" s="22">
        <v>1.45096</v>
      </c>
      <c r="P318" s="22">
        <v>12.864800000000001</v>
      </c>
      <c r="Q318" s="22">
        <v>-3.6831699999999999E-3</v>
      </c>
      <c r="R318" s="22">
        <v>308</v>
      </c>
      <c r="S318" s="22">
        <v>1.4504999999999999</v>
      </c>
      <c r="T318">
        <f t="shared" si="18"/>
        <v>3.6831700000000001</v>
      </c>
      <c r="U318">
        <f t="shared" si="19"/>
        <v>5.3441323432000001</v>
      </c>
    </row>
    <row r="319" spans="6:21">
      <c r="F319" s="9"/>
      <c r="G319" s="22">
        <v>0.144043</v>
      </c>
      <c r="H319" s="22">
        <v>7.7922500000000001</v>
      </c>
      <c r="I319" s="22">
        <v>-1.99738E-2</v>
      </c>
      <c r="J319" s="22">
        <v>309</v>
      </c>
      <c r="K319" s="22">
        <v>0.14324999999999999</v>
      </c>
      <c r="L319">
        <f t="shared" si="16"/>
        <v>19.973800000000001</v>
      </c>
      <c r="M319">
        <f t="shared" si="17"/>
        <v>2.8770860734000001</v>
      </c>
      <c r="N319" s="9"/>
      <c r="O319" s="22">
        <v>1.4559899999999999</v>
      </c>
      <c r="P319" s="22">
        <v>12.8749</v>
      </c>
      <c r="Q319" s="22">
        <v>-3.6047399999999999E-3</v>
      </c>
      <c r="R319" s="22">
        <v>309</v>
      </c>
      <c r="S319" s="22">
        <v>1.4556899999999999</v>
      </c>
      <c r="T319">
        <f t="shared" si="18"/>
        <v>3.6047400000000001</v>
      </c>
      <c r="U319">
        <f t="shared" si="19"/>
        <v>5.2484653926</v>
      </c>
    </row>
    <row r="320" spans="6:21">
      <c r="F320" s="9"/>
      <c r="G320" s="22">
        <v>0.13900799999999999</v>
      </c>
      <c r="H320" s="22">
        <v>7.8023199999999999</v>
      </c>
      <c r="I320" s="22">
        <v>-1.9992099999999999E-2</v>
      </c>
      <c r="J320" s="22">
        <v>310</v>
      </c>
      <c r="K320" s="22">
        <v>0.138214</v>
      </c>
      <c r="L320">
        <f t="shared" si="16"/>
        <v>19.992099999999997</v>
      </c>
      <c r="M320">
        <f t="shared" si="17"/>
        <v>2.7790618367999995</v>
      </c>
      <c r="N320" s="9"/>
      <c r="O320" s="22">
        <v>1.4610300000000001</v>
      </c>
      <c r="P320" s="22">
        <v>12.8849</v>
      </c>
      <c r="Q320" s="22">
        <v>-3.5067700000000002E-3</v>
      </c>
      <c r="R320" s="22">
        <v>310</v>
      </c>
      <c r="S320" s="22">
        <v>1.46027</v>
      </c>
      <c r="T320">
        <f t="shared" si="18"/>
        <v>3.5067700000000004</v>
      </c>
      <c r="U320">
        <f t="shared" si="19"/>
        <v>5.1234961731000004</v>
      </c>
    </row>
    <row r="321" spans="6:21">
      <c r="F321" s="9"/>
      <c r="G321" s="22">
        <v>0.13397200000000001</v>
      </c>
      <c r="H321" s="22">
        <v>7.8123899999999997</v>
      </c>
      <c r="I321" s="22">
        <v>-2.0007299999999999E-2</v>
      </c>
      <c r="J321" s="22">
        <v>311</v>
      </c>
      <c r="K321" s="22">
        <v>0.13317899999999999</v>
      </c>
      <c r="L321">
        <f t="shared" si="16"/>
        <v>20.007299999999997</v>
      </c>
      <c r="M321">
        <f t="shared" si="17"/>
        <v>2.6804179955999996</v>
      </c>
      <c r="N321" s="9"/>
      <c r="O321" s="22">
        <v>1.4660599999999999</v>
      </c>
      <c r="P321" s="22">
        <v>12.895</v>
      </c>
      <c r="Q321" s="22">
        <v>-3.3654800000000001E-3</v>
      </c>
      <c r="R321" s="22">
        <v>311</v>
      </c>
      <c r="S321" s="22">
        <v>1.4648399999999999</v>
      </c>
      <c r="T321">
        <f t="shared" si="18"/>
        <v>3.3654800000000002</v>
      </c>
      <c r="U321">
        <f t="shared" si="19"/>
        <v>4.9339956088000001</v>
      </c>
    </row>
    <row r="322" spans="6:21">
      <c r="F322" s="9"/>
      <c r="G322" s="22">
        <v>0.128937</v>
      </c>
      <c r="H322" s="22">
        <v>7.8224600000000004</v>
      </c>
      <c r="I322" s="22">
        <v>-2.00287E-2</v>
      </c>
      <c r="J322" s="22">
        <v>312</v>
      </c>
      <c r="K322" s="22">
        <v>0.12814300000000001</v>
      </c>
      <c r="L322">
        <f t="shared" si="16"/>
        <v>20.028700000000001</v>
      </c>
      <c r="M322">
        <f t="shared" si="17"/>
        <v>2.5824404918999999</v>
      </c>
      <c r="N322" s="9"/>
      <c r="O322" s="22">
        <v>1.4711000000000001</v>
      </c>
      <c r="P322" s="22">
        <v>12.905099999999999</v>
      </c>
      <c r="Q322" s="22">
        <v>-3.2699600000000001E-3</v>
      </c>
      <c r="R322" s="22">
        <v>312</v>
      </c>
      <c r="S322" s="22">
        <v>1.47034</v>
      </c>
      <c r="T322">
        <f t="shared" si="18"/>
        <v>3.2699600000000002</v>
      </c>
      <c r="U322">
        <f t="shared" si="19"/>
        <v>4.8104381560000009</v>
      </c>
    </row>
    <row r="323" spans="6:21">
      <c r="F323" s="9"/>
      <c r="G323" s="22">
        <v>0.123901</v>
      </c>
      <c r="H323" s="22">
        <v>7.8325300000000002</v>
      </c>
      <c r="I323" s="22">
        <v>-2.0049999999999998E-2</v>
      </c>
      <c r="J323" s="22">
        <v>313</v>
      </c>
      <c r="K323" s="22">
        <v>0.123108</v>
      </c>
      <c r="L323">
        <f t="shared" si="16"/>
        <v>20.049999999999997</v>
      </c>
      <c r="M323">
        <f t="shared" si="17"/>
        <v>2.4842150499999995</v>
      </c>
      <c r="N323" s="9"/>
      <c r="O323" s="22">
        <v>1.47614</v>
      </c>
      <c r="P323" s="22">
        <v>12.915100000000001</v>
      </c>
      <c r="Q323" s="22">
        <v>-3.1744400000000002E-3</v>
      </c>
      <c r="R323" s="22">
        <v>313</v>
      </c>
      <c r="S323" s="22">
        <v>1.4749099999999999</v>
      </c>
      <c r="T323">
        <f t="shared" si="18"/>
        <v>3.1744400000000002</v>
      </c>
      <c r="U323">
        <f t="shared" si="19"/>
        <v>4.6859178616000001</v>
      </c>
    </row>
    <row r="324" spans="6:21">
      <c r="F324" s="9"/>
      <c r="G324" s="22">
        <v>0.118866</v>
      </c>
      <c r="H324" s="22">
        <v>7.8426099999999996</v>
      </c>
      <c r="I324" s="22">
        <v>-2.0065300000000001E-2</v>
      </c>
      <c r="J324" s="22">
        <v>314</v>
      </c>
      <c r="K324" s="22">
        <v>0.118073</v>
      </c>
      <c r="L324">
        <f t="shared" si="16"/>
        <v>20.065300000000001</v>
      </c>
      <c r="M324">
        <f t="shared" si="17"/>
        <v>2.3850819498</v>
      </c>
      <c r="N324" s="9"/>
      <c r="O324" s="22">
        <v>1.4811700000000001</v>
      </c>
      <c r="P324" s="22">
        <v>12.9252</v>
      </c>
      <c r="Q324" s="22">
        <v>-3.08472E-3</v>
      </c>
      <c r="R324" s="22">
        <v>314</v>
      </c>
      <c r="S324" s="22">
        <v>1.48071</v>
      </c>
      <c r="T324">
        <f t="shared" si="18"/>
        <v>3.0847199999999999</v>
      </c>
      <c r="U324">
        <f t="shared" si="19"/>
        <v>4.5689947224000003</v>
      </c>
    </row>
    <row r="325" spans="6:21">
      <c r="F325" s="9"/>
      <c r="G325" s="22">
        <v>0.113831</v>
      </c>
      <c r="H325" s="22">
        <v>7.8526800000000003</v>
      </c>
      <c r="I325" s="22">
        <v>-2.0077500000000002E-2</v>
      </c>
      <c r="J325" s="22">
        <v>315</v>
      </c>
      <c r="K325" s="22">
        <v>0.113007</v>
      </c>
      <c r="L325">
        <f t="shared" si="16"/>
        <v>20.077500000000001</v>
      </c>
      <c r="M325">
        <f t="shared" si="17"/>
        <v>2.2854419025000001</v>
      </c>
      <c r="N325" s="9"/>
      <c r="O325" s="22">
        <v>1.48621</v>
      </c>
      <c r="P325" s="22">
        <v>12.9353</v>
      </c>
      <c r="Q325" s="22">
        <v>-2.9931599999999999E-3</v>
      </c>
      <c r="R325" s="22">
        <v>315</v>
      </c>
      <c r="S325" s="22">
        <v>1.48529</v>
      </c>
      <c r="T325">
        <f t="shared" si="18"/>
        <v>2.99316</v>
      </c>
      <c r="U325">
        <f t="shared" si="19"/>
        <v>4.4484643236000005</v>
      </c>
    </row>
    <row r="326" spans="6:21">
      <c r="F326" s="9"/>
      <c r="G326" s="22">
        <v>0.108795</v>
      </c>
      <c r="H326" s="22">
        <v>7.8627500000000001</v>
      </c>
      <c r="I326" s="22">
        <v>-2.00958E-2</v>
      </c>
      <c r="J326" s="22">
        <v>316</v>
      </c>
      <c r="K326" s="22">
        <v>0.108032</v>
      </c>
      <c r="L326">
        <f t="shared" si="16"/>
        <v>20.095800000000001</v>
      </c>
      <c r="M326">
        <f t="shared" si="17"/>
        <v>2.1863225610000003</v>
      </c>
      <c r="N326" s="9"/>
      <c r="O326" s="22">
        <v>1.4912399999999999</v>
      </c>
      <c r="P326" s="22">
        <v>12.945399999999999</v>
      </c>
      <c r="Q326" s="22">
        <v>-2.9064899999999999E-3</v>
      </c>
      <c r="R326" s="22">
        <v>316</v>
      </c>
      <c r="S326" s="22">
        <v>1.48987</v>
      </c>
      <c r="T326">
        <f t="shared" si="18"/>
        <v>2.9064899999999998</v>
      </c>
      <c r="U326">
        <f t="shared" si="19"/>
        <v>4.3342741475999995</v>
      </c>
    </row>
    <row r="327" spans="6:21">
      <c r="F327" s="9"/>
      <c r="G327" s="22">
        <v>0.10376000000000001</v>
      </c>
      <c r="H327" s="22">
        <v>7.8728199999999999</v>
      </c>
      <c r="I327" s="22">
        <v>-2.01111E-2</v>
      </c>
      <c r="J327" s="22">
        <v>317</v>
      </c>
      <c r="K327" s="22">
        <v>0.10299700000000001</v>
      </c>
      <c r="L327">
        <f t="shared" si="16"/>
        <v>20.1111</v>
      </c>
      <c r="M327">
        <f t="shared" si="17"/>
        <v>2.0867277360000003</v>
      </c>
      <c r="N327" s="9"/>
      <c r="O327" s="22">
        <v>1.4962800000000001</v>
      </c>
      <c r="P327" s="22">
        <v>12.955399999999999</v>
      </c>
      <c r="Q327" s="22">
        <v>-2.81708E-3</v>
      </c>
      <c r="R327" s="22">
        <v>317</v>
      </c>
      <c r="S327" s="22">
        <v>1.49536</v>
      </c>
      <c r="T327">
        <f t="shared" si="18"/>
        <v>2.8170799999999998</v>
      </c>
      <c r="U327">
        <f t="shared" si="19"/>
        <v>4.2151404624</v>
      </c>
    </row>
    <row r="328" spans="6:21">
      <c r="F328" s="9"/>
      <c r="G328" s="22">
        <v>9.8724400000000004E-2</v>
      </c>
      <c r="H328" s="22">
        <v>7.8828899999999997</v>
      </c>
      <c r="I328" s="22">
        <v>-2.01263E-2</v>
      </c>
      <c r="J328" s="22">
        <v>318</v>
      </c>
      <c r="K328" s="22">
        <v>9.7900399999999999E-2</v>
      </c>
      <c r="L328">
        <f t="shared" si="16"/>
        <v>20.126300000000001</v>
      </c>
      <c r="M328">
        <f t="shared" si="17"/>
        <v>1.9869568917200002</v>
      </c>
      <c r="N328" s="9"/>
      <c r="O328" s="22">
        <v>1.5013099999999999</v>
      </c>
      <c r="P328" s="22">
        <v>12.9655</v>
      </c>
      <c r="Q328" s="22">
        <v>-2.7276599999999998E-3</v>
      </c>
      <c r="R328" s="22">
        <v>318</v>
      </c>
      <c r="S328" s="22">
        <v>1.50024</v>
      </c>
      <c r="T328">
        <f t="shared" si="18"/>
        <v>2.7276599999999998</v>
      </c>
      <c r="U328">
        <f t="shared" si="19"/>
        <v>4.0950632345999995</v>
      </c>
    </row>
    <row r="329" spans="6:21">
      <c r="F329" s="9"/>
      <c r="G329" s="22">
        <v>9.3688999999999995E-2</v>
      </c>
      <c r="H329" s="22">
        <v>7.8929600000000004</v>
      </c>
      <c r="I329" s="22">
        <v>-2.0147700000000001E-2</v>
      </c>
      <c r="J329" s="22">
        <v>319</v>
      </c>
      <c r="K329" s="22">
        <v>9.2925999999999995E-2</v>
      </c>
      <c r="L329">
        <f t="shared" si="16"/>
        <v>20.1477</v>
      </c>
      <c r="M329">
        <f t="shared" si="17"/>
        <v>1.8876178653</v>
      </c>
      <c r="N329" s="9"/>
      <c r="O329" s="22">
        <v>1.5063500000000001</v>
      </c>
      <c r="P329" s="22">
        <v>12.9756</v>
      </c>
      <c r="Q329" s="22">
        <v>-2.6403799999999999E-3</v>
      </c>
      <c r="R329" s="22">
        <v>319</v>
      </c>
      <c r="S329" s="22">
        <v>1.5051300000000001</v>
      </c>
      <c r="T329">
        <f t="shared" si="18"/>
        <v>2.6403799999999999</v>
      </c>
      <c r="U329">
        <f t="shared" si="19"/>
        <v>3.9773364130000002</v>
      </c>
    </row>
    <row r="330" spans="6:21">
      <c r="F330" s="9"/>
      <c r="G330" s="22">
        <v>8.8653599999999999E-2</v>
      </c>
      <c r="H330" s="22">
        <v>7.9030300000000002</v>
      </c>
      <c r="I330" s="22">
        <v>-2.0172099999999998E-2</v>
      </c>
      <c r="J330" s="22">
        <v>320</v>
      </c>
      <c r="K330" s="22">
        <v>8.7860099999999997E-2</v>
      </c>
      <c r="L330">
        <f t="shared" si="16"/>
        <v>20.172099999999997</v>
      </c>
      <c r="M330">
        <f t="shared" si="17"/>
        <v>1.7883292845599996</v>
      </c>
      <c r="N330" s="9"/>
      <c r="O330" s="22">
        <v>1.5113799999999999</v>
      </c>
      <c r="P330" s="22">
        <v>12.9856</v>
      </c>
      <c r="Q330" s="22">
        <v>-2.5509600000000001E-3</v>
      </c>
      <c r="R330" s="22">
        <v>320</v>
      </c>
      <c r="S330" s="22">
        <v>1.5106200000000001</v>
      </c>
      <c r="T330">
        <f t="shared" si="18"/>
        <v>2.5509600000000003</v>
      </c>
      <c r="U330">
        <f t="shared" si="19"/>
        <v>3.8554699248000004</v>
      </c>
    </row>
    <row r="331" spans="6:21">
      <c r="F331" s="9"/>
      <c r="G331" s="22">
        <v>8.3618200000000004E-2</v>
      </c>
      <c r="H331" s="22">
        <v>7.9131</v>
      </c>
      <c r="I331" s="22">
        <v>-2.0190400000000001E-2</v>
      </c>
      <c r="J331" s="22">
        <v>321</v>
      </c>
      <c r="K331" s="22">
        <v>8.2855200000000004E-2</v>
      </c>
      <c r="L331">
        <f t="shared" si="16"/>
        <v>20.1904</v>
      </c>
      <c r="M331">
        <f t="shared" si="17"/>
        <v>1.6882849052800002</v>
      </c>
      <c r="N331" s="9"/>
      <c r="O331" s="22">
        <v>1.5164200000000001</v>
      </c>
      <c r="P331" s="22">
        <v>12.995699999999999</v>
      </c>
      <c r="Q331" s="22">
        <v>-2.4618499999999998E-3</v>
      </c>
      <c r="R331" s="22">
        <v>321</v>
      </c>
      <c r="S331" s="22">
        <v>1.5152000000000001</v>
      </c>
      <c r="T331">
        <f t="shared" si="18"/>
        <v>2.4618499999999996</v>
      </c>
      <c r="U331">
        <f t="shared" si="19"/>
        <v>3.7331985769999996</v>
      </c>
    </row>
    <row r="332" spans="6:21">
      <c r="F332" s="9"/>
      <c r="G332" s="22">
        <v>7.8582799999999994E-2</v>
      </c>
      <c r="H332" s="22">
        <v>7.9231699999999998</v>
      </c>
      <c r="I332" s="22">
        <v>-2.02087E-2</v>
      </c>
      <c r="J332" s="22">
        <v>322</v>
      </c>
      <c r="K332" s="22">
        <v>7.7850299999999997E-2</v>
      </c>
      <c r="L332">
        <f t="shared" ref="L332:L368" si="20">-I332/$F$2*1000</f>
        <v>20.2087</v>
      </c>
      <c r="M332">
        <f t="shared" ref="M332:M368" si="21">L332*G332</f>
        <v>1.5880562303599999</v>
      </c>
      <c r="N332" s="9"/>
      <c r="O332" s="22">
        <v>1.52145</v>
      </c>
      <c r="P332" s="22">
        <v>13.005800000000001</v>
      </c>
      <c r="Q332" s="22">
        <v>-2.3727399999999999E-3</v>
      </c>
      <c r="R332" s="22">
        <v>322</v>
      </c>
      <c r="S332" s="22">
        <v>1.5206900000000001</v>
      </c>
      <c r="T332">
        <f t="shared" ref="T332:T368" si="22">-Q332/$F$2*1000</f>
        <v>2.3727399999999998</v>
      </c>
      <c r="U332">
        <f t="shared" ref="U332:U368" si="23">T332*O332</f>
        <v>3.6100052729999996</v>
      </c>
    </row>
    <row r="333" spans="6:21">
      <c r="F333" s="9"/>
      <c r="G333" s="22">
        <v>7.3547399999999999E-2</v>
      </c>
      <c r="H333" s="22">
        <v>7.9332399999999996</v>
      </c>
      <c r="I333" s="22">
        <v>-2.0223999999999999E-2</v>
      </c>
      <c r="J333" s="22">
        <v>323</v>
      </c>
      <c r="K333" s="22">
        <v>7.2784399999999999E-2</v>
      </c>
      <c r="L333">
        <f t="shared" si="20"/>
        <v>20.224</v>
      </c>
      <c r="M333">
        <f t="shared" si="21"/>
        <v>1.4874226176000001</v>
      </c>
      <c r="N333" s="9"/>
      <c r="O333" s="22">
        <v>1.5264899999999999</v>
      </c>
      <c r="P333" s="22">
        <v>13.0159</v>
      </c>
      <c r="Q333" s="22">
        <v>-2.2827099999999999E-3</v>
      </c>
      <c r="R333" s="22">
        <v>323</v>
      </c>
      <c r="S333" s="22">
        <v>1.5258799999999999</v>
      </c>
      <c r="T333">
        <f t="shared" si="22"/>
        <v>2.2827099999999998</v>
      </c>
      <c r="U333">
        <f t="shared" si="23"/>
        <v>3.4845339878999995</v>
      </c>
    </row>
    <row r="334" spans="6:21">
      <c r="F334" s="9"/>
      <c r="G334" s="22">
        <v>6.8512000000000003E-2</v>
      </c>
      <c r="H334" s="22">
        <v>7.9433199999999999</v>
      </c>
      <c r="I334" s="22">
        <v>-2.0236199999999999E-2</v>
      </c>
      <c r="J334" s="22">
        <v>324</v>
      </c>
      <c r="K334" s="22">
        <v>6.7749000000000004E-2</v>
      </c>
      <c r="L334">
        <f t="shared" si="20"/>
        <v>20.2362</v>
      </c>
      <c r="M334">
        <f t="shared" si="21"/>
        <v>1.3864225344000001</v>
      </c>
      <c r="N334" s="9"/>
      <c r="O334" s="22">
        <v>1.53152</v>
      </c>
      <c r="P334" s="22">
        <v>13.0259</v>
      </c>
      <c r="Q334" s="22">
        <v>-2.1936E-3</v>
      </c>
      <c r="R334" s="22">
        <v>324</v>
      </c>
      <c r="S334" s="22">
        <v>1.5304599999999999</v>
      </c>
      <c r="T334">
        <f t="shared" si="22"/>
        <v>2.1936</v>
      </c>
      <c r="U334">
        <f t="shared" si="23"/>
        <v>3.3595422720000001</v>
      </c>
    </row>
    <row r="335" spans="6:21">
      <c r="F335" s="9"/>
      <c r="G335" s="22">
        <v>6.3476599999999994E-2</v>
      </c>
      <c r="H335" s="22">
        <v>7.9533899999999997</v>
      </c>
      <c r="I335" s="22">
        <v>-2.0251499999999999E-2</v>
      </c>
      <c r="J335" s="22">
        <v>325</v>
      </c>
      <c r="K335" s="22">
        <v>6.2652600000000003E-2</v>
      </c>
      <c r="L335">
        <f t="shared" si="20"/>
        <v>20.2515</v>
      </c>
      <c r="M335">
        <f t="shared" si="21"/>
        <v>1.2854963649</v>
      </c>
      <c r="N335" s="9"/>
      <c r="O335" s="22">
        <v>1.5365599999999999</v>
      </c>
      <c r="P335" s="22">
        <v>13.036</v>
      </c>
      <c r="Q335" s="22">
        <v>-2.1023600000000002E-3</v>
      </c>
      <c r="R335" s="22">
        <v>325</v>
      </c>
      <c r="S335" s="22">
        <v>1.5353399999999999</v>
      </c>
      <c r="T335">
        <f t="shared" si="22"/>
        <v>2.10236</v>
      </c>
      <c r="U335">
        <f t="shared" si="23"/>
        <v>3.2304022816</v>
      </c>
    </row>
    <row r="336" spans="6:21">
      <c r="F336" s="9"/>
      <c r="G336" s="22">
        <v>5.8441199999999999E-2</v>
      </c>
      <c r="H336" s="22">
        <v>7.9634600000000004</v>
      </c>
      <c r="I336" s="22">
        <v>-2.0269800000000001E-2</v>
      </c>
      <c r="J336" s="22">
        <v>326</v>
      </c>
      <c r="K336" s="22">
        <v>5.7586699999999998E-2</v>
      </c>
      <c r="L336">
        <f t="shared" si="20"/>
        <v>20.2698</v>
      </c>
      <c r="M336">
        <f t="shared" si="21"/>
        <v>1.18459143576</v>
      </c>
      <c r="N336" s="9"/>
      <c r="O336" s="22">
        <v>1.5416000000000001</v>
      </c>
      <c r="P336" s="22">
        <v>13.046099999999999</v>
      </c>
      <c r="Q336" s="22">
        <v>-2.0123300000000001E-3</v>
      </c>
      <c r="R336" s="22">
        <v>326</v>
      </c>
      <c r="S336" s="22">
        <v>1.5408299999999999</v>
      </c>
      <c r="T336">
        <f t="shared" si="22"/>
        <v>2.01233</v>
      </c>
      <c r="U336">
        <f t="shared" si="23"/>
        <v>3.1022079279999999</v>
      </c>
    </row>
    <row r="337" spans="6:21">
      <c r="F337" s="9"/>
      <c r="G337" s="22">
        <v>5.3405800000000003E-2</v>
      </c>
      <c r="H337" s="22">
        <v>7.9735300000000002</v>
      </c>
      <c r="I337" s="22">
        <v>-2.0285000000000001E-2</v>
      </c>
      <c r="J337" s="22">
        <v>327</v>
      </c>
      <c r="K337" s="22">
        <v>5.2642799999999997E-2</v>
      </c>
      <c r="L337">
        <f t="shared" si="20"/>
        <v>20.285</v>
      </c>
      <c r="M337">
        <f t="shared" si="21"/>
        <v>1.0833366530000001</v>
      </c>
      <c r="N337" s="9"/>
      <c r="O337" s="22">
        <v>1.5466299999999999</v>
      </c>
      <c r="P337" s="22">
        <v>13.056100000000001</v>
      </c>
      <c r="Q337" s="22">
        <v>-1.92413E-3</v>
      </c>
      <c r="R337" s="22">
        <v>327</v>
      </c>
      <c r="S337" s="22">
        <v>1.5460199999999999</v>
      </c>
      <c r="T337">
        <f t="shared" si="22"/>
        <v>1.9241300000000001</v>
      </c>
      <c r="U337">
        <f t="shared" si="23"/>
        <v>2.9759171818999999</v>
      </c>
    </row>
    <row r="338" spans="6:21">
      <c r="F338" s="9"/>
      <c r="G338" s="22">
        <v>4.8370400000000001E-2</v>
      </c>
      <c r="H338" s="22">
        <v>7.9836</v>
      </c>
      <c r="I338" s="22">
        <v>-2.03033E-2</v>
      </c>
      <c r="J338" s="22">
        <v>328</v>
      </c>
      <c r="K338" s="22">
        <v>4.81293E-2</v>
      </c>
      <c r="L338">
        <f t="shared" si="20"/>
        <v>20.3033</v>
      </c>
      <c r="M338">
        <f t="shared" si="21"/>
        <v>0.98207874232000003</v>
      </c>
      <c r="N338" s="9"/>
      <c r="O338" s="22">
        <v>1.5516700000000001</v>
      </c>
      <c r="P338" s="22">
        <v>13.0662</v>
      </c>
      <c r="Q338" s="22">
        <v>-1.8350199999999999E-3</v>
      </c>
      <c r="R338" s="22">
        <v>328</v>
      </c>
      <c r="S338" s="22">
        <v>1.5508999999999999</v>
      </c>
      <c r="T338">
        <f t="shared" si="22"/>
        <v>1.8350199999999999</v>
      </c>
      <c r="U338">
        <f t="shared" si="23"/>
        <v>2.8473454833999998</v>
      </c>
    </row>
    <row r="339" spans="6:21">
      <c r="F339" s="9"/>
      <c r="G339" s="22">
        <v>4.3334999999999999E-2</v>
      </c>
      <c r="H339" s="22">
        <v>7.9936699999999998</v>
      </c>
      <c r="I339" s="22">
        <v>-2.0321700000000002E-2</v>
      </c>
      <c r="J339" s="22">
        <v>329</v>
      </c>
      <c r="K339" s="22">
        <v>4.3106100000000001E-2</v>
      </c>
      <c r="L339">
        <f t="shared" si="20"/>
        <v>20.3217</v>
      </c>
      <c r="M339">
        <f t="shared" si="21"/>
        <v>0.88064086949999998</v>
      </c>
      <c r="N339" s="9"/>
      <c r="O339" s="22">
        <v>1.5567</v>
      </c>
      <c r="P339" s="22">
        <v>13.0763</v>
      </c>
      <c r="Q339" s="22">
        <v>-1.74713E-3</v>
      </c>
      <c r="R339" s="22">
        <v>329</v>
      </c>
      <c r="S339" s="22">
        <v>1.55548</v>
      </c>
      <c r="T339">
        <f t="shared" si="22"/>
        <v>1.7471299999999998</v>
      </c>
      <c r="U339">
        <f t="shared" si="23"/>
        <v>2.7197572709999998</v>
      </c>
    </row>
    <row r="340" spans="6:21">
      <c r="F340" s="9"/>
      <c r="G340" s="22">
        <v>3.8299600000000003E-2</v>
      </c>
      <c r="H340" s="22">
        <v>8.0037400000000005</v>
      </c>
      <c r="I340" s="22">
        <v>-2.034E-2</v>
      </c>
      <c r="J340" s="22">
        <v>330</v>
      </c>
      <c r="K340" s="22">
        <v>3.8012700000000003E-2</v>
      </c>
      <c r="L340">
        <f t="shared" si="20"/>
        <v>20.34</v>
      </c>
      <c r="M340">
        <f t="shared" si="21"/>
        <v>0.77901386400000006</v>
      </c>
      <c r="N340" s="9"/>
      <c r="O340" s="22">
        <v>1.5617399999999999</v>
      </c>
      <c r="P340" s="22">
        <v>13.086399999999999</v>
      </c>
      <c r="Q340" s="22">
        <v>-1.65833E-3</v>
      </c>
      <c r="R340" s="22">
        <v>330</v>
      </c>
      <c r="S340" s="22">
        <v>1.56128</v>
      </c>
      <c r="T340">
        <f t="shared" si="22"/>
        <v>1.6583299999999999</v>
      </c>
      <c r="U340">
        <f t="shared" si="23"/>
        <v>2.5898802941999994</v>
      </c>
    </row>
    <row r="341" spans="6:21">
      <c r="F341" s="9"/>
      <c r="G341" s="22">
        <v>3.3264200000000001E-2</v>
      </c>
      <c r="H341" s="22">
        <v>8.0138099999999994</v>
      </c>
      <c r="I341" s="22">
        <v>-2.03552E-2</v>
      </c>
      <c r="J341" s="22">
        <v>331</v>
      </c>
      <c r="K341" s="22">
        <v>3.29956E-2</v>
      </c>
      <c r="L341">
        <f t="shared" si="20"/>
        <v>20.3552</v>
      </c>
      <c r="M341">
        <f t="shared" si="21"/>
        <v>0.67709944383999998</v>
      </c>
      <c r="N341" s="9"/>
      <c r="O341" s="22">
        <v>1.56677</v>
      </c>
      <c r="P341" s="22">
        <v>13.096399999999999</v>
      </c>
      <c r="Q341" s="22">
        <v>-1.5893599999999999E-3</v>
      </c>
      <c r="R341" s="22">
        <v>331</v>
      </c>
      <c r="S341" s="22">
        <v>1.56555</v>
      </c>
      <c r="T341">
        <f t="shared" si="22"/>
        <v>1.5893599999999999</v>
      </c>
      <c r="U341">
        <f t="shared" si="23"/>
        <v>2.4901615671999999</v>
      </c>
    </row>
    <row r="342" spans="6:21">
      <c r="F342" s="9"/>
      <c r="G342" s="22">
        <v>2.8228799999999998E-2</v>
      </c>
      <c r="H342" s="22">
        <v>8.0238800000000001</v>
      </c>
      <c r="I342" s="22">
        <v>-2.0373499999999999E-2</v>
      </c>
      <c r="J342" s="22">
        <v>332</v>
      </c>
      <c r="K342" s="22">
        <v>2.7981599999999999E-2</v>
      </c>
      <c r="L342">
        <f t="shared" si="20"/>
        <v>20.3735</v>
      </c>
      <c r="M342">
        <f t="shared" si="21"/>
        <v>0.57511945679999998</v>
      </c>
      <c r="N342" s="9"/>
      <c r="O342" s="22">
        <v>1.5718099999999999</v>
      </c>
      <c r="P342" s="22">
        <v>13.1065</v>
      </c>
      <c r="Q342" s="22">
        <v>-1.4898699999999999E-3</v>
      </c>
      <c r="R342" s="22">
        <v>332</v>
      </c>
      <c r="S342" s="22">
        <v>1.57135</v>
      </c>
      <c r="T342">
        <f t="shared" si="22"/>
        <v>1.4898699999999998</v>
      </c>
      <c r="U342">
        <f t="shared" si="23"/>
        <v>2.3417925646999995</v>
      </c>
    </row>
    <row r="343" spans="6:21">
      <c r="F343" s="9"/>
      <c r="G343" s="22">
        <v>2.3193399999999999E-2</v>
      </c>
      <c r="H343" s="22">
        <v>8.0339500000000008</v>
      </c>
      <c r="I343" s="22">
        <v>-2.0388799999999999E-2</v>
      </c>
      <c r="J343" s="22">
        <v>333</v>
      </c>
      <c r="K343" s="22">
        <v>2.28912E-2</v>
      </c>
      <c r="L343">
        <f t="shared" si="20"/>
        <v>20.3888</v>
      </c>
      <c r="M343">
        <f t="shared" si="21"/>
        <v>0.47288559391999996</v>
      </c>
      <c r="N343" s="9"/>
      <c r="O343" s="22">
        <v>1.57684</v>
      </c>
      <c r="P343" s="22">
        <v>13.1166</v>
      </c>
      <c r="Q343" s="22">
        <v>-1.3885499999999999E-3</v>
      </c>
      <c r="R343" s="22">
        <v>333</v>
      </c>
      <c r="S343" s="22">
        <v>1.57623</v>
      </c>
      <c r="T343">
        <f t="shared" si="22"/>
        <v>1.38855</v>
      </c>
      <c r="U343">
        <f t="shared" si="23"/>
        <v>2.189521182</v>
      </c>
    </row>
    <row r="344" spans="6:21">
      <c r="F344" s="9"/>
      <c r="G344" s="22">
        <v>1.8158000000000001E-2</v>
      </c>
      <c r="H344" s="22">
        <v>8.0440299999999993</v>
      </c>
      <c r="I344" s="22">
        <v>-2.0404100000000001E-2</v>
      </c>
      <c r="J344" s="22">
        <v>334</v>
      </c>
      <c r="K344" s="22">
        <v>1.78589E-2</v>
      </c>
      <c r="L344">
        <f t="shared" si="20"/>
        <v>20.4041</v>
      </c>
      <c r="M344">
        <f t="shared" si="21"/>
        <v>0.3704976478</v>
      </c>
      <c r="N344" s="9"/>
      <c r="O344" s="22">
        <v>1.58188</v>
      </c>
      <c r="P344" s="22">
        <v>13.1266</v>
      </c>
      <c r="Q344" s="22">
        <v>-1.2945599999999999E-3</v>
      </c>
      <c r="R344" s="22">
        <v>334</v>
      </c>
      <c r="S344" s="22">
        <v>1.58142</v>
      </c>
      <c r="T344">
        <f t="shared" si="22"/>
        <v>1.2945599999999999</v>
      </c>
      <c r="U344">
        <f t="shared" si="23"/>
        <v>2.0478385727999999</v>
      </c>
    </row>
    <row r="345" spans="6:21">
      <c r="F345" s="9"/>
      <c r="G345" s="22">
        <v>1.31226E-2</v>
      </c>
      <c r="H345" s="22">
        <v>8.0541</v>
      </c>
      <c r="I345" s="22">
        <v>-2.04224E-2</v>
      </c>
      <c r="J345" s="22">
        <v>335</v>
      </c>
      <c r="K345" s="22">
        <v>1.28448E-2</v>
      </c>
      <c r="L345">
        <f t="shared" si="20"/>
        <v>20.4224</v>
      </c>
      <c r="M345">
        <f t="shared" si="21"/>
        <v>0.26799498624000001</v>
      </c>
      <c r="N345" s="9"/>
      <c r="O345" s="22">
        <v>1.58691</v>
      </c>
      <c r="P345" s="22">
        <v>13.136699999999999</v>
      </c>
      <c r="Q345" s="22">
        <v>-1.2078900000000001E-3</v>
      </c>
      <c r="R345" s="22">
        <v>335</v>
      </c>
      <c r="S345" s="22">
        <v>1.5863</v>
      </c>
      <c r="T345">
        <f t="shared" si="22"/>
        <v>1.2078900000000001</v>
      </c>
      <c r="U345">
        <f t="shared" si="23"/>
        <v>1.9168127199000002</v>
      </c>
    </row>
    <row r="346" spans="6:21">
      <c r="F346" s="9"/>
      <c r="G346" s="22">
        <v>8.0871599999999995E-3</v>
      </c>
      <c r="H346" s="22">
        <v>8.0641700000000007</v>
      </c>
      <c r="I346" s="22">
        <v>-2.0440699999999999E-2</v>
      </c>
      <c r="J346" s="22">
        <v>336</v>
      </c>
      <c r="K346" s="22">
        <v>7.7636700000000003E-3</v>
      </c>
      <c r="L346">
        <f t="shared" si="20"/>
        <v>20.4407</v>
      </c>
      <c r="M346">
        <f t="shared" si="21"/>
        <v>0.165307211412</v>
      </c>
      <c r="N346" s="9"/>
      <c r="O346" s="22">
        <v>1.59195</v>
      </c>
      <c r="P346" s="22">
        <v>13.146800000000001</v>
      </c>
      <c r="Q346" s="22">
        <v>-1.11633E-3</v>
      </c>
      <c r="R346" s="22">
        <v>336</v>
      </c>
      <c r="S346" s="22">
        <v>1.5908800000000001</v>
      </c>
      <c r="T346">
        <f t="shared" si="22"/>
        <v>1.11633</v>
      </c>
      <c r="U346">
        <f t="shared" si="23"/>
        <v>1.7771415435</v>
      </c>
    </row>
    <row r="347" spans="6:21">
      <c r="F347" s="9"/>
      <c r="G347" s="22">
        <v>3.0517600000000001E-3</v>
      </c>
      <c r="H347" s="22">
        <v>8.0742399999999996</v>
      </c>
      <c r="I347" s="22">
        <v>-2.0459000000000001E-2</v>
      </c>
      <c r="J347" s="22">
        <v>337</v>
      </c>
      <c r="K347" s="22">
        <v>2.7374299999999999E-3</v>
      </c>
      <c r="L347">
        <f t="shared" si="20"/>
        <v>20.459000000000003</v>
      </c>
      <c r="M347">
        <f t="shared" si="21"/>
        <v>6.2435957840000014E-2</v>
      </c>
      <c r="N347" s="9"/>
      <c r="O347" s="22">
        <v>1.5969800000000001</v>
      </c>
      <c r="P347" s="22">
        <v>13.1569</v>
      </c>
      <c r="Q347" s="22">
        <v>-1.0272199999999999E-3</v>
      </c>
      <c r="R347" s="22">
        <v>337</v>
      </c>
      <c r="S347" s="22">
        <v>1.5963700000000001</v>
      </c>
      <c r="T347">
        <f t="shared" si="22"/>
        <v>1.02722</v>
      </c>
      <c r="U347">
        <f t="shared" si="23"/>
        <v>1.6404497956000001</v>
      </c>
    </row>
    <row r="348" spans="6:21">
      <c r="F348" s="9"/>
      <c r="G348" s="22">
        <v>-1.9836400000000001E-3</v>
      </c>
      <c r="H348" s="22">
        <v>8.0843100000000003</v>
      </c>
      <c r="I348" s="22">
        <v>-2.04773E-2</v>
      </c>
      <c r="J348" s="22">
        <v>338</v>
      </c>
      <c r="K348" s="22">
        <v>-2.3284899999999999E-3</v>
      </c>
      <c r="L348">
        <f t="shared" si="20"/>
        <v>20.4773</v>
      </c>
      <c r="M348">
        <f t="shared" si="21"/>
        <v>-4.0619591372000004E-2</v>
      </c>
      <c r="N348" s="9"/>
      <c r="O348" s="22">
        <v>1.60202</v>
      </c>
      <c r="P348" s="22">
        <v>13.1669</v>
      </c>
      <c r="Q348" s="22">
        <v>-9.38721E-4</v>
      </c>
      <c r="R348" s="22">
        <v>338</v>
      </c>
      <c r="S348" s="22">
        <v>1.6015600000000001</v>
      </c>
      <c r="T348">
        <f t="shared" si="22"/>
        <v>0.93872100000000003</v>
      </c>
      <c r="U348">
        <f t="shared" si="23"/>
        <v>1.50384981642</v>
      </c>
    </row>
    <row r="349" spans="6:21">
      <c r="F349" s="9"/>
      <c r="G349" s="22">
        <v>-7.0190399999999998E-3</v>
      </c>
      <c r="H349" s="22">
        <v>8.0943799999999992</v>
      </c>
      <c r="I349" s="22">
        <v>-2.04926E-2</v>
      </c>
      <c r="J349" s="22">
        <v>339</v>
      </c>
      <c r="K349" s="22">
        <v>-7.3944099999999997E-3</v>
      </c>
      <c r="L349">
        <f t="shared" si="20"/>
        <v>20.492599999999999</v>
      </c>
      <c r="M349">
        <f t="shared" si="21"/>
        <v>-0.14383837910399999</v>
      </c>
      <c r="N349" s="9"/>
      <c r="O349" s="22">
        <v>1.6070599999999999</v>
      </c>
      <c r="P349" s="22">
        <v>13.177</v>
      </c>
      <c r="Q349" s="22">
        <v>-8.4716800000000003E-4</v>
      </c>
      <c r="R349" s="22">
        <v>339</v>
      </c>
      <c r="S349" s="22">
        <v>1.6058300000000001</v>
      </c>
      <c r="T349">
        <f t="shared" si="22"/>
        <v>0.84716800000000003</v>
      </c>
      <c r="U349">
        <f t="shared" si="23"/>
        <v>1.36144980608</v>
      </c>
    </row>
    <row r="350" spans="6:21">
      <c r="F350" s="9"/>
      <c r="G350" s="22">
        <v>-1.20544E-2</v>
      </c>
      <c r="H350" s="22">
        <v>8.1044499999999999</v>
      </c>
      <c r="I350" s="22">
        <v>-2.05048E-2</v>
      </c>
      <c r="J350" s="22">
        <v>340</v>
      </c>
      <c r="K350" s="22">
        <v>-1.24847E-2</v>
      </c>
      <c r="L350">
        <f t="shared" si="20"/>
        <v>20.504799999999999</v>
      </c>
      <c r="M350">
        <f t="shared" si="21"/>
        <v>-0.24717306111999998</v>
      </c>
      <c r="N350" s="9"/>
      <c r="O350" s="22">
        <v>1.61209</v>
      </c>
      <c r="P350" s="22">
        <v>13.187099999999999</v>
      </c>
      <c r="Q350" s="22">
        <v>-7.5683599999999999E-4</v>
      </c>
      <c r="R350" s="22">
        <v>340</v>
      </c>
      <c r="S350" s="22">
        <v>1.6110199999999999</v>
      </c>
      <c r="T350">
        <f t="shared" si="22"/>
        <v>0.75683599999999995</v>
      </c>
      <c r="U350">
        <f t="shared" si="23"/>
        <v>1.22008774724</v>
      </c>
    </row>
    <row r="351" spans="6:21">
      <c r="F351" s="9"/>
      <c r="G351" s="22">
        <v>-1.7089799999999999E-2</v>
      </c>
      <c r="H351" s="22">
        <v>8.1145200000000006</v>
      </c>
      <c r="I351" s="22">
        <v>-2.052E-2</v>
      </c>
      <c r="J351" s="22">
        <v>341</v>
      </c>
      <c r="K351" s="22">
        <v>-1.7529300000000001E-2</v>
      </c>
      <c r="L351">
        <f t="shared" si="20"/>
        <v>20.52</v>
      </c>
      <c r="M351">
        <f t="shared" si="21"/>
        <v>-0.35068269599999996</v>
      </c>
      <c r="N351" s="9"/>
      <c r="O351" s="22">
        <v>1.61713</v>
      </c>
      <c r="P351" s="22">
        <v>13.197100000000001</v>
      </c>
      <c r="Q351" s="22">
        <v>-6.68945E-4</v>
      </c>
      <c r="R351" s="22">
        <v>341</v>
      </c>
      <c r="S351" s="22">
        <v>1.61591</v>
      </c>
      <c r="T351">
        <f t="shared" si="22"/>
        <v>0.66894500000000001</v>
      </c>
      <c r="U351">
        <f t="shared" si="23"/>
        <v>1.0817710278499999</v>
      </c>
    </row>
    <row r="352" spans="6:21">
      <c r="F352" s="9"/>
      <c r="G352" s="22">
        <v>-2.2125200000000001E-2</v>
      </c>
      <c r="H352" s="22">
        <v>8.1245899999999995</v>
      </c>
      <c r="I352" s="22">
        <v>-2.0535299999999999E-2</v>
      </c>
      <c r="J352" s="22">
        <v>342</v>
      </c>
      <c r="K352" s="22">
        <v>-2.2558600000000002E-2</v>
      </c>
      <c r="L352">
        <f t="shared" si="20"/>
        <v>20.535299999999999</v>
      </c>
      <c r="M352">
        <f t="shared" si="21"/>
        <v>-0.45434761956000003</v>
      </c>
      <c r="N352" s="9"/>
      <c r="O352" s="22">
        <v>1.62216</v>
      </c>
      <c r="P352" s="22">
        <v>13.2072</v>
      </c>
      <c r="Q352" s="22">
        <v>-5.8013900000000002E-4</v>
      </c>
      <c r="R352" s="22">
        <v>342</v>
      </c>
      <c r="S352" s="22">
        <v>1.6210899999999999</v>
      </c>
      <c r="T352">
        <f t="shared" si="22"/>
        <v>0.58013900000000007</v>
      </c>
      <c r="U352">
        <f t="shared" si="23"/>
        <v>0.94107828024000018</v>
      </c>
    </row>
    <row r="353" spans="6:21">
      <c r="F353" s="9"/>
      <c r="G353" s="22">
        <v>-2.71606E-2</v>
      </c>
      <c r="H353" s="22">
        <v>8.1346600000000002</v>
      </c>
      <c r="I353" s="22">
        <v>-2.0544400000000001E-2</v>
      </c>
      <c r="J353" s="22">
        <v>343</v>
      </c>
      <c r="K353" s="22">
        <v>-2.7603099999999998E-2</v>
      </c>
      <c r="L353">
        <f t="shared" si="20"/>
        <v>20.5444</v>
      </c>
      <c r="M353">
        <f t="shared" si="21"/>
        <v>-0.55799823063999998</v>
      </c>
      <c r="N353" s="9"/>
      <c r="O353" s="22">
        <v>1.6272</v>
      </c>
      <c r="P353" s="22">
        <v>13.2173</v>
      </c>
      <c r="Q353" s="22">
        <v>-4.9325599999999997E-4</v>
      </c>
      <c r="R353" s="22">
        <v>343</v>
      </c>
      <c r="S353" s="22">
        <v>1.6262799999999999</v>
      </c>
      <c r="T353">
        <f t="shared" si="22"/>
        <v>0.49325599999999997</v>
      </c>
      <c r="U353">
        <f t="shared" si="23"/>
        <v>0.80262616319999991</v>
      </c>
    </row>
    <row r="354" spans="6:21">
      <c r="F354" s="9"/>
      <c r="G354" s="22">
        <v>-3.2196000000000002E-2</v>
      </c>
      <c r="H354" s="22">
        <v>8.1447400000000005</v>
      </c>
      <c r="I354" s="22">
        <v>-2.05627E-2</v>
      </c>
      <c r="J354" s="22">
        <v>344</v>
      </c>
      <c r="K354" s="22">
        <v>-3.2644699999999999E-2</v>
      </c>
      <c r="L354">
        <f t="shared" si="20"/>
        <v>20.5627</v>
      </c>
      <c r="M354">
        <f t="shared" si="21"/>
        <v>-0.66203668920000003</v>
      </c>
      <c r="N354" s="9"/>
      <c r="O354" s="22">
        <v>1.6322300000000001</v>
      </c>
      <c r="P354" s="22">
        <v>13.2273</v>
      </c>
      <c r="Q354" s="22">
        <v>-4.0481600000000001E-4</v>
      </c>
      <c r="R354" s="22">
        <v>344</v>
      </c>
      <c r="S354" s="22">
        <v>1.63147</v>
      </c>
      <c r="T354">
        <f t="shared" si="22"/>
        <v>0.40481600000000001</v>
      </c>
      <c r="U354">
        <f t="shared" si="23"/>
        <v>0.66075281967999999</v>
      </c>
    </row>
    <row r="355" spans="6:21">
      <c r="F355" s="9"/>
      <c r="G355" s="22">
        <v>-3.7231399999999998E-2</v>
      </c>
      <c r="H355" s="22">
        <v>8.1548099999999994</v>
      </c>
      <c r="I355" s="22">
        <v>-2.0575E-2</v>
      </c>
      <c r="J355" s="22">
        <v>345</v>
      </c>
      <c r="K355" s="22">
        <v>-3.7692299999999998E-2</v>
      </c>
      <c r="L355">
        <f t="shared" si="20"/>
        <v>20.574999999999999</v>
      </c>
      <c r="M355">
        <f t="shared" si="21"/>
        <v>-0.76603605499999994</v>
      </c>
      <c r="N355" s="9"/>
      <c r="O355" s="22">
        <v>1.63727</v>
      </c>
      <c r="P355" s="22">
        <v>13.237399999999999</v>
      </c>
      <c r="Q355" s="22">
        <v>-3.18573E-4</v>
      </c>
      <c r="R355" s="22">
        <v>345</v>
      </c>
      <c r="S355" s="22">
        <v>1.63666</v>
      </c>
      <c r="T355">
        <f t="shared" si="22"/>
        <v>0.318573</v>
      </c>
      <c r="U355">
        <f t="shared" si="23"/>
        <v>0.52159001570999997</v>
      </c>
    </row>
    <row r="356" spans="6:21">
      <c r="F356" s="9"/>
      <c r="G356" s="22">
        <v>-4.22668E-2</v>
      </c>
      <c r="H356" s="22">
        <v>8.1648800000000001</v>
      </c>
      <c r="I356" s="22">
        <v>-2.0590199999999999E-2</v>
      </c>
      <c r="J356" s="22">
        <v>346</v>
      </c>
      <c r="K356" s="22">
        <v>-4.2739899999999997E-2</v>
      </c>
      <c r="L356">
        <f t="shared" si="20"/>
        <v>20.590199999999999</v>
      </c>
      <c r="M356">
        <f t="shared" si="21"/>
        <v>-0.87028186535999996</v>
      </c>
      <c r="N356" s="9"/>
      <c r="O356" s="22">
        <v>1.6423000000000001</v>
      </c>
      <c r="P356" s="22">
        <v>13.2475</v>
      </c>
      <c r="Q356" s="22">
        <v>-2.44904E-4</v>
      </c>
      <c r="R356" s="22">
        <v>346</v>
      </c>
      <c r="S356" s="22">
        <v>1.64154</v>
      </c>
      <c r="T356">
        <f t="shared" si="22"/>
        <v>0.24490400000000001</v>
      </c>
      <c r="U356">
        <f t="shared" si="23"/>
        <v>0.40220583920000003</v>
      </c>
    </row>
    <row r="357" spans="6:21">
      <c r="F357" s="9"/>
      <c r="G357" s="22">
        <v>-4.7302200000000003E-2</v>
      </c>
      <c r="H357" s="22">
        <v>8.1749500000000008</v>
      </c>
      <c r="I357" s="22">
        <v>-2.06024E-2</v>
      </c>
      <c r="J357" s="22">
        <v>347</v>
      </c>
      <c r="K357" s="22">
        <v>-4.7808799999999999E-2</v>
      </c>
      <c r="L357">
        <f t="shared" si="20"/>
        <v>20.602399999999999</v>
      </c>
      <c r="M357">
        <f t="shared" si="21"/>
        <v>-0.97453884528000001</v>
      </c>
      <c r="N357" s="9"/>
      <c r="O357" s="22">
        <v>1.64734</v>
      </c>
      <c r="P357" s="22">
        <v>13.2576</v>
      </c>
      <c r="Q357" s="22">
        <v>-1.6333E-4</v>
      </c>
      <c r="R357" s="22">
        <v>347</v>
      </c>
      <c r="S357" s="22">
        <v>1.64703</v>
      </c>
      <c r="T357">
        <f t="shared" si="22"/>
        <v>0.16333</v>
      </c>
      <c r="U357">
        <f t="shared" si="23"/>
        <v>0.26906004220000002</v>
      </c>
    </row>
    <row r="358" spans="6:21">
      <c r="F358" s="9"/>
      <c r="G358" s="22">
        <v>-5.2337599999999998E-2</v>
      </c>
      <c r="H358" s="22">
        <v>8.1850199999999997</v>
      </c>
      <c r="I358" s="22">
        <v>-2.0617699999999999E-2</v>
      </c>
      <c r="J358" s="22">
        <v>348</v>
      </c>
      <c r="K358" s="22">
        <v>-5.3070100000000002E-2</v>
      </c>
      <c r="L358">
        <f t="shared" si="20"/>
        <v>20.617699999999999</v>
      </c>
      <c r="M358">
        <f t="shared" si="21"/>
        <v>-1.07908093552</v>
      </c>
      <c r="N358" s="9"/>
      <c r="O358" s="22">
        <v>1.6523699999999999</v>
      </c>
      <c r="P358" s="22">
        <v>13.2676</v>
      </c>
      <c r="Q358" s="25">
        <v>-5.2795399999999999E-5</v>
      </c>
      <c r="R358" s="22">
        <v>348</v>
      </c>
      <c r="S358" s="22">
        <v>1.651</v>
      </c>
      <c r="T358">
        <f t="shared" si="22"/>
        <v>5.2795399999999999E-2</v>
      </c>
      <c r="U358">
        <f t="shared" si="23"/>
        <v>8.7237535097999988E-2</v>
      </c>
    </row>
    <row r="359" spans="6:21">
      <c r="F359" s="9"/>
      <c r="G359" s="22">
        <v>-5.7373E-2</v>
      </c>
      <c r="H359" s="22">
        <v>8.1950900000000004</v>
      </c>
      <c r="I359" s="22">
        <v>-2.0639000000000001E-2</v>
      </c>
      <c r="J359" s="22">
        <v>349</v>
      </c>
      <c r="K359" s="22">
        <v>-5.8136E-2</v>
      </c>
      <c r="L359">
        <f t="shared" si="20"/>
        <v>20.638999999999999</v>
      </c>
      <c r="M359">
        <f t="shared" si="21"/>
        <v>-1.184121347</v>
      </c>
      <c r="N359" s="9"/>
      <c r="O359" s="22">
        <v>1.65741</v>
      </c>
      <c r="P359" s="22">
        <v>13.277699999999999</v>
      </c>
      <c r="Q359" s="25">
        <v>2.9022200000000001E-5</v>
      </c>
      <c r="R359" s="22">
        <v>349</v>
      </c>
      <c r="S359" s="22">
        <v>1.6561900000000001</v>
      </c>
      <c r="T359">
        <f t="shared" si="22"/>
        <v>-2.9022200000000001E-2</v>
      </c>
      <c r="U359">
        <f t="shared" si="23"/>
        <v>-4.8101684502000003E-2</v>
      </c>
    </row>
    <row r="360" spans="6:21">
      <c r="F360" s="9"/>
      <c r="G360" s="22">
        <v>-6.2408400000000003E-2</v>
      </c>
      <c r="H360" s="22">
        <v>8.2051599999999993</v>
      </c>
      <c r="I360" s="22">
        <v>-2.0660399999999999E-2</v>
      </c>
      <c r="J360" s="22">
        <v>350</v>
      </c>
      <c r="K360" s="22">
        <v>-6.3171400000000003E-2</v>
      </c>
      <c r="L360">
        <f t="shared" si="20"/>
        <v>20.660399999999999</v>
      </c>
      <c r="M360">
        <f t="shared" si="21"/>
        <v>-1.28938250736</v>
      </c>
      <c r="N360" s="9"/>
      <c r="O360" s="22">
        <v>1.66245</v>
      </c>
      <c r="P360" s="22">
        <v>13.287800000000001</v>
      </c>
      <c r="Q360" s="22">
        <v>1.29395E-4</v>
      </c>
      <c r="R360" s="22">
        <v>350</v>
      </c>
      <c r="S360" s="22">
        <v>1.66168</v>
      </c>
      <c r="T360">
        <f t="shared" si="22"/>
        <v>-0.12939500000000001</v>
      </c>
      <c r="U360">
        <f t="shared" si="23"/>
        <v>-0.21511271775000002</v>
      </c>
    </row>
    <row r="361" spans="6:21">
      <c r="F361" s="9"/>
      <c r="G361" s="22">
        <v>-6.7443799999999998E-2</v>
      </c>
      <c r="H361" s="22">
        <v>8.21523</v>
      </c>
      <c r="I361" s="22">
        <v>-2.0672599999999999E-2</v>
      </c>
      <c r="J361" s="22">
        <v>351</v>
      </c>
      <c r="K361" s="22">
        <v>-6.8267800000000003E-2</v>
      </c>
      <c r="L361">
        <f t="shared" si="20"/>
        <v>20.672599999999999</v>
      </c>
      <c r="M361">
        <f t="shared" si="21"/>
        <v>-1.3942386998799998</v>
      </c>
      <c r="N361" s="9"/>
      <c r="O361" s="22">
        <v>1.6674800000000001</v>
      </c>
      <c r="P361" s="22">
        <v>13.297800000000001</v>
      </c>
      <c r="Q361" s="22">
        <v>-2.4002100000000001E-4</v>
      </c>
      <c r="R361" s="22">
        <v>351</v>
      </c>
      <c r="S361" s="22">
        <v>1.6662600000000001</v>
      </c>
      <c r="T361">
        <f t="shared" si="22"/>
        <v>0.24002100000000001</v>
      </c>
      <c r="U361">
        <f t="shared" si="23"/>
        <v>0.40023021708000006</v>
      </c>
    </row>
    <row r="362" spans="6:21">
      <c r="F362" s="9"/>
      <c r="G362" s="22">
        <v>-7.2479199999999994E-2</v>
      </c>
      <c r="H362" s="22">
        <v>8.2253000000000007</v>
      </c>
      <c r="I362" s="22">
        <v>-2.06848E-2</v>
      </c>
      <c r="J362" s="22">
        <v>352</v>
      </c>
      <c r="K362" s="22">
        <v>-7.3272699999999996E-2</v>
      </c>
      <c r="L362">
        <f t="shared" si="20"/>
        <v>20.684799999999999</v>
      </c>
      <c r="M362">
        <f t="shared" si="21"/>
        <v>-1.4992177561599997</v>
      </c>
      <c r="N362" s="9"/>
      <c r="O362" s="22">
        <v>1.67252</v>
      </c>
      <c r="P362" s="22">
        <v>13.3079</v>
      </c>
      <c r="Q362" s="22">
        <v>-1.5139799999999999E-4</v>
      </c>
      <c r="R362" s="22">
        <v>352</v>
      </c>
      <c r="S362" s="22">
        <v>1.6711400000000001</v>
      </c>
      <c r="T362">
        <f t="shared" si="22"/>
        <v>0.15139799999999998</v>
      </c>
      <c r="U362">
        <f t="shared" si="23"/>
        <v>0.25321618295999998</v>
      </c>
    </row>
    <row r="363" spans="6:21">
      <c r="F363" s="9"/>
      <c r="G363" s="22">
        <v>-7.7514600000000003E-2</v>
      </c>
      <c r="H363" s="22">
        <v>8.2353699999999996</v>
      </c>
      <c r="I363" s="22">
        <v>-2.0703099999999999E-2</v>
      </c>
      <c r="J363" s="22">
        <v>353</v>
      </c>
      <c r="K363" s="22">
        <v>-7.8216599999999997E-2</v>
      </c>
      <c r="L363">
        <f t="shared" si="20"/>
        <v>20.703099999999999</v>
      </c>
      <c r="M363">
        <f t="shared" si="21"/>
        <v>-1.60479251526</v>
      </c>
      <c r="N363" s="9"/>
      <c r="O363" s="22">
        <v>1.6775500000000001</v>
      </c>
      <c r="P363" s="22">
        <v>13.318</v>
      </c>
      <c r="Q363" s="25">
        <v>-6.5856899999999996E-5</v>
      </c>
      <c r="R363" s="22">
        <v>353</v>
      </c>
      <c r="S363" s="22">
        <v>1.6766399999999999</v>
      </c>
      <c r="T363">
        <f t="shared" si="22"/>
        <v>6.5856899999999996E-2</v>
      </c>
      <c r="U363">
        <f t="shared" si="23"/>
        <v>0.110478242595</v>
      </c>
    </row>
    <row r="364" spans="6:21">
      <c r="F364" s="9"/>
      <c r="G364" s="22">
        <v>-8.2549999999999998E-2</v>
      </c>
      <c r="H364" s="22">
        <v>8.2454499999999999</v>
      </c>
      <c r="I364" s="22">
        <v>-2.07245E-2</v>
      </c>
      <c r="J364" s="22">
        <v>354</v>
      </c>
      <c r="K364" s="22">
        <v>-8.3343500000000001E-2</v>
      </c>
      <c r="L364">
        <f t="shared" si="20"/>
        <v>20.724499999999999</v>
      </c>
      <c r="M364">
        <f t="shared" si="21"/>
        <v>-1.710807475</v>
      </c>
      <c r="N364" s="9"/>
      <c r="O364" s="22">
        <v>1.68259</v>
      </c>
      <c r="P364" s="22">
        <v>13.328099999999999</v>
      </c>
      <c r="Q364" s="25">
        <v>2.37122E-5</v>
      </c>
      <c r="R364" s="22">
        <v>354</v>
      </c>
      <c r="S364" s="22">
        <v>1.6818200000000001</v>
      </c>
      <c r="T364">
        <f t="shared" si="22"/>
        <v>-2.3712199999999999E-2</v>
      </c>
      <c r="U364">
        <f t="shared" si="23"/>
        <v>-3.9897910597999998E-2</v>
      </c>
    </row>
    <row r="365" spans="6:21">
      <c r="F365" s="9"/>
      <c r="G365" s="22">
        <v>-8.7585399999999994E-2</v>
      </c>
      <c r="H365" s="22">
        <v>8.2555200000000006</v>
      </c>
      <c r="I365" s="22">
        <v>-2.0742799999999999E-2</v>
      </c>
      <c r="J365" s="22">
        <v>355</v>
      </c>
      <c r="K365" s="22">
        <v>-8.8317900000000005E-2</v>
      </c>
      <c r="L365">
        <f t="shared" si="20"/>
        <v>20.742799999999999</v>
      </c>
      <c r="M365">
        <f t="shared" si="21"/>
        <v>-1.8167664351199997</v>
      </c>
      <c r="N365" s="9"/>
      <c r="O365" s="22">
        <v>1.6876199999999999</v>
      </c>
      <c r="P365" s="22">
        <v>13.338100000000001</v>
      </c>
      <c r="Q365" s="22">
        <v>1.09344E-4</v>
      </c>
      <c r="R365" s="22">
        <v>355</v>
      </c>
      <c r="S365" s="22">
        <v>1.6863999999999999</v>
      </c>
      <c r="T365">
        <f t="shared" si="22"/>
        <v>-0.109344</v>
      </c>
      <c r="U365">
        <f t="shared" si="23"/>
        <v>-0.18453112127999999</v>
      </c>
    </row>
    <row r="366" spans="6:21">
      <c r="F366" s="9"/>
      <c r="G366" s="22">
        <v>-9.2620800000000003E-2</v>
      </c>
      <c r="H366" s="22">
        <v>8.2655899999999995</v>
      </c>
      <c r="I366" s="22">
        <v>-2.0761100000000001E-2</v>
      </c>
      <c r="J366" s="22">
        <v>356</v>
      </c>
      <c r="K366" s="22">
        <v>-9.3414300000000006E-2</v>
      </c>
      <c r="L366">
        <f t="shared" si="20"/>
        <v>20.761100000000003</v>
      </c>
      <c r="M366">
        <f t="shared" si="21"/>
        <v>-1.9229096908800003</v>
      </c>
      <c r="N366" s="9"/>
      <c r="O366" s="22">
        <v>1.6926600000000001</v>
      </c>
      <c r="P366" s="22">
        <v>13.3482</v>
      </c>
      <c r="Q366" s="22">
        <v>1.9946300000000001E-4</v>
      </c>
      <c r="R366" s="22">
        <v>356</v>
      </c>
      <c r="S366" s="22">
        <v>1.6915899999999999</v>
      </c>
      <c r="T366">
        <f t="shared" si="22"/>
        <v>-0.199463</v>
      </c>
      <c r="U366">
        <f t="shared" si="23"/>
        <v>-0.33762304158000001</v>
      </c>
    </row>
    <row r="367" spans="6:21">
      <c r="F367" s="9"/>
      <c r="G367" s="22">
        <v>-9.7656300000000001E-2</v>
      </c>
      <c r="H367" s="22">
        <v>8.2756600000000002</v>
      </c>
      <c r="I367" s="22">
        <v>-2.07794E-2</v>
      </c>
      <c r="J367" s="22">
        <v>357</v>
      </c>
      <c r="K367" s="22">
        <v>-9.8449700000000001E-2</v>
      </c>
      <c r="L367">
        <f t="shared" si="20"/>
        <v>20.779399999999999</v>
      </c>
      <c r="M367">
        <f t="shared" si="21"/>
        <v>-2.0292393202199999</v>
      </c>
      <c r="N367" s="9"/>
      <c r="O367" s="22">
        <v>1.6976899999999999</v>
      </c>
      <c r="P367" s="22">
        <v>13.3583</v>
      </c>
      <c r="Q367" s="22">
        <v>2.8774999999999997E-4</v>
      </c>
      <c r="R367" s="22">
        <v>357</v>
      </c>
      <c r="S367" s="22">
        <v>1.6970799999999999</v>
      </c>
      <c r="T367">
        <f t="shared" si="22"/>
        <v>-0.28774999999999995</v>
      </c>
      <c r="U367">
        <f t="shared" si="23"/>
        <v>-0.48851029749999991</v>
      </c>
    </row>
    <row r="368" spans="6:21">
      <c r="F368" s="9"/>
      <c r="G368" s="22">
        <v>-0.10269200000000001</v>
      </c>
      <c r="H368" s="22">
        <v>8.2857299999999992</v>
      </c>
      <c r="I368" s="22">
        <v>-2.0797699999999999E-2</v>
      </c>
      <c r="J368" s="22">
        <v>358</v>
      </c>
      <c r="K368" s="22">
        <v>-0.103394</v>
      </c>
      <c r="L368">
        <f t="shared" si="20"/>
        <v>20.797699999999999</v>
      </c>
      <c r="M368">
        <f t="shared" si="21"/>
        <v>-2.1357574083999999</v>
      </c>
      <c r="N368" s="9"/>
      <c r="O368" s="22">
        <v>1.7027300000000001</v>
      </c>
      <c r="P368" s="22">
        <v>13.3683</v>
      </c>
      <c r="Q368" s="22">
        <v>3.8455199999999997E-4</v>
      </c>
      <c r="R368" s="22">
        <v>358</v>
      </c>
      <c r="S368" s="22">
        <v>1.7013499999999999</v>
      </c>
      <c r="T368">
        <f t="shared" si="22"/>
        <v>-0.38455199999999995</v>
      </c>
      <c r="U368">
        <f t="shared" si="23"/>
        <v>-0.65478822695999994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C5" sqref="C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1.7817115486244934</v>
      </c>
      <c r="C3">
        <f ca="1">INDEX(INDIRECT(A3&amp;"!B11"):INDIRECT(A3&amp;"!B21"),MATCH(E3,INDIRECT(A3&amp;"!D11"):INDIRECT(A3&amp;"!D21"),0))</f>
        <v>15.796141739786401</v>
      </c>
      <c r="D3">
        <f ca="1">INDEX(INDIRECT(A3&amp;"!C11"):INDIRECT(A3&amp;"!C21"),MATCH(E3,INDIRECT(A3&amp;"!D11"):INDIRECT(A3&amp;"!D21"),0))</f>
        <v>0.62191421503627498</v>
      </c>
      <c r="E3">
        <f t="shared" ref="E3" ca="1" si="0">MAX(INDIRECT(A3&amp; "!D11"),INDIRECT(A3 &amp; "!D13"),INDIRECT(A3 &amp; "!D15"),INDIRECT(A3 &amp; "!D17"),INDIRECT(A3 &amp; "!D19"),INDIRECT(A3 &amp; "!D21"))</f>
        <v>17.503258250000005</v>
      </c>
      <c r="G3">
        <f ca="1">INDEX(INDIRECT(A3&amp;"!A12"):INDIRECT(A3&amp;"!A22"),MATCH(J3,INDIRECT(A3&amp;"!D12"):INDIRECT(A3&amp;"!D22"),0))</f>
        <v>1.7829853490827716</v>
      </c>
      <c r="H3">
        <f ca="1">INDEX(INDIRECT(A3&amp;"!B12"):INDIRECT(A3&amp;"!B22"),MATCH(J3,INDIRECT(A3&amp;"!D12"):INDIRECT(A3&amp;"!D22"),0))</f>
        <v>15.897106194157208</v>
      </c>
      <c r="I3">
        <f ca="1">INDEX(INDIRECT(A3&amp;"!C12"):INDIRECT(A3&amp;"!C22"),MATCH(J3,INDIRECT(A3&amp;"!D12"):INDIRECT(A3&amp;"!D22"),0))</f>
        <v>0.60363245134959453</v>
      </c>
      <c r="J3">
        <f t="shared" ref="J3" ca="1" si="1">MAX(INDIRECT(A3&amp; "!D12"),INDIRECT(A3 &amp; "!D14"),INDIRECT(A3 &amp; "!D16"),INDIRECT(A3 &amp; "!D18"),INDIRECT(A3 &amp; "!D20"),,INDIRECT(A3 &amp; "!D22"))</f>
        <v>17.109543780000003</v>
      </c>
      <c r="L3">
        <f ca="1">INDEX(INDIRECT(A3&amp;"!E11"):INDIRECT(A3&amp;"!E21"),MATCH(E3,INDIRECT(A3&amp;"!D11"):INDIRECT(A3&amp;"!D21"),0))</f>
        <v>2.2493781693474268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1.6806882945996251</v>
      </c>
      <c r="C4">
        <f ca="1">INDEX(INDIRECT(A4&amp;"!B11"):INDIRECT(A4&amp;"!B21"),MATCH(E4,INDIRECT(A4&amp;"!D11"):INDIRECT(A4&amp;"!D21"),0))</f>
        <v>20.468888622204851</v>
      </c>
      <c r="D4">
        <f ca="1">INDEX(INDIRECT(A4&amp;"!C11"):INDIRECT(A4&amp;"!C21"),MATCH(E4,INDIRECT(A4&amp;"!D11"):INDIRECT(A4&amp;"!D21"),0))</f>
        <v>0.35438644808012604</v>
      </c>
      <c r="E4">
        <f t="shared" ref="E4" ca="1" si="2">MAX(INDIRECT(A4&amp; "!D11"),INDIRECT(A4 &amp; "!D13"),INDIRECT(A4 &amp; "!D15"),INDIRECT(A4 &amp; "!D17"),INDIRECT(A4 &amp; "!D19"),INDIRECT(A4 &amp; "!D21"))</f>
        <v>12.1915393327</v>
      </c>
      <c r="G4">
        <f ca="1">INDEX(INDIRECT(A4&amp;"!A12"):INDIRECT(A4&amp;"!A22"),MATCH(J4,INDIRECT(A4&amp;"!D12"):INDIRECT(A4&amp;"!D22"),0))</f>
        <v>1.6543490120218634</v>
      </c>
      <c r="H4">
        <f ca="1">INDEX(INDIRECT(A4&amp;"!B12"):INDIRECT(A4&amp;"!B22"),MATCH(J4,INDIRECT(A4&amp;"!D12"):INDIRECT(A4&amp;"!D22"),0))</f>
        <v>20.576678184330575</v>
      </c>
      <c r="I4">
        <f ca="1">INDEX(INDIRECT(A4&amp;"!C12"):INDIRECT(A4&amp;"!C22"),MATCH(J4,INDIRECT(A4&amp;"!D12"):INDIRECT(A4&amp;"!D22"),0))</f>
        <v>0.34535936112334081</v>
      </c>
      <c r="J4">
        <f t="shared" ref="J4" ca="1" si="3">MAX(INDIRECT(A4&amp; "!D12"),INDIRECT(A4 &amp; "!D14"),INDIRECT(A4 &amp; "!D16"),INDIRECT(A4 &amp; "!D18"),INDIRECT(A4 &amp; "!D20"),,INDIRECT(A4 &amp; "!D22"))</f>
        <v>11.756380507200001</v>
      </c>
      <c r="L4">
        <f ca="1">INDEX(INDIRECT(A4&amp;"!E11"):INDIRECT(A4&amp;"!E21"),MATCH(E4,INDIRECT(A4&amp;"!D11"):INDIRECT(A4&amp;"!D21"),0))</f>
        <v>3.5693509541721347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20230228T090000</vt:lpstr>
      <vt:lpstr>20230302T090000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2023-03-01T14:21:32Z</dcterms:modified>
</cp:coreProperties>
</file>