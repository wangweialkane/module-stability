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 s="1"/>
  <c r="AD222" i="68"/>
  <c r="AE222" i="68"/>
  <c r="AD223" i="68"/>
  <c r="AE223" i="68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 s="1"/>
  <c r="T241" i="68"/>
  <c r="U241" i="68"/>
  <c r="T242" i="68"/>
  <c r="U242" i="68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A6" i="63" a="1"/>
  <c r="A6" i="63" l="1"/>
  <c r="BE9" i="68"/>
  <c r="AW3" i="68"/>
  <c r="AW5" i="68"/>
  <c r="AU6" i="68"/>
  <c r="AQ2" i="68" s="1"/>
  <c r="AU3" i="68"/>
  <c r="AS6" i="68" s="1"/>
  <c r="A15" i="68" s="1"/>
  <c r="AG2" i="68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AV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A5" i="63" a="1"/>
  <c r="BE7" i="68" l="1"/>
  <c r="BE5" i="68"/>
  <c r="BE3" i="68"/>
  <c r="AY4" i="68"/>
  <c r="AM7" i="68"/>
  <c r="AM5" i="68"/>
  <c r="AM3" i="68"/>
  <c r="AL4" i="68" s="1"/>
  <c r="AC3" i="68"/>
  <c r="Y4" i="68" s="1"/>
  <c r="U7" i="68"/>
  <c r="U5" i="68"/>
  <c r="U3" i="68"/>
  <c r="M7" i="68"/>
  <c r="M3" i="68"/>
  <c r="M5" i="68"/>
  <c r="A20" i="68"/>
  <c r="CN4" i="68"/>
  <c r="A16" i="68"/>
  <c r="BD4" i="68"/>
  <c r="A12" i="68"/>
  <c r="T4" i="68"/>
  <c r="A22" i="68"/>
  <c r="DF4" i="68"/>
  <c r="A18" i="68"/>
  <c r="BV4" i="68"/>
  <c r="A14" i="68"/>
  <c r="AV4" i="68"/>
  <c r="CX4" i="68"/>
  <c r="CF4" i="68"/>
  <c r="CF2" i="68" s="1"/>
  <c r="L4" i="68"/>
  <c r="BN4" i="68"/>
  <c r="A5" i="63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E6" i="63"/>
  <c r="J6" i="63"/>
  <c r="A4" i="63" a="1"/>
  <c r="AA6" i="68" l="1"/>
  <c r="C17" i="68"/>
  <c r="C19" i="68"/>
  <c r="BN2" i="68"/>
  <c r="D19" i="68"/>
  <c r="CC9" i="68"/>
  <c r="E19" i="68" s="1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C11" i="68"/>
  <c r="L2" i="68"/>
  <c r="C15" i="68"/>
  <c r="AV2" i="68"/>
  <c r="BE7" i="67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G6" i="63"/>
  <c r="H6" i="63"/>
  <c r="L6" i="63"/>
  <c r="C6" i="63"/>
  <c r="I6" i="63"/>
  <c r="B6" i="63"/>
  <c r="D6" i="63"/>
  <c r="E5" i="63"/>
  <c r="J5" i="63"/>
  <c r="A13" i="68" l="1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D19" i="67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G5" i="63"/>
  <c r="L5" i="63"/>
  <c r="I5" i="63"/>
  <c r="D5" i="63"/>
  <c r="J4" i="63"/>
  <c r="C13" i="68" l="1"/>
  <c r="AD2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I4" i="63"/>
  <c r="H4" i="63"/>
  <c r="B4" i="63"/>
  <c r="L4" i="63"/>
  <c r="D4" i="63"/>
  <c r="C4" i="63"/>
  <c r="A3" i="63" a="1"/>
  <c r="D13" i="68" l="1"/>
  <c r="AA9" i="68"/>
  <c r="E13" i="68" s="1"/>
  <c r="D11" i="66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G3" i="63"/>
  <c r="I3" i="63"/>
  <c r="H2" i="63"/>
  <c r="D3" i="63"/>
  <c r="B3" i="63"/>
  <c r="C2" i="63"/>
  <c r="L2" i="63"/>
  <c r="H3" i="63"/>
  <c r="G2" i="63"/>
  <c r="I2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<sst xmlns="http://schemas.openxmlformats.org/spreadsheetml/2006/main" count="2056" uniqueCount="46">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</sst>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38">
        <f>(Q3-Q4)/(S3-S4)*(-S4)+Q4</f>
        <v>1.7829853490827716</v>
      </c>
      <c r="R6" s="38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38">
        <f>(Q3-Q4)/(S3-S4)*(-S4)+Q4</f>
        <v>1.6543490120218634</v>
      </c>
      <c r="R6" s="38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38">
        <f>(Q3-Q4)/(S3-S4)*(-S4)+Q4</f>
        <v>1.7112834363568399</v>
      </c>
      <c r="R6" s="38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38">
        <f>(AI3-AI4)/(AK3-AK4)*(-AK4)+AI4</f>
        <v>1.7159689521746027</v>
      </c>
      <c r="AJ6" s="38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38">
        <f>(BA3-BA4)/(BC3-BC4)*(-BC4)+BA4</f>
        <v>1.717244044058307</v>
      </c>
      <c r="BB6" s="38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3556.7741935485242</v>
      </c>
      <c r="H2" s="2"/>
      <c r="I2" s="6" t="s">
        <v>12</v>
      </c>
      <c r="J2" s="2"/>
      <c r="K2" s="7" t="s">
        <v>13</v>
      </c>
      <c r="L2" s="3">
        <f>L4*I6*L9/100*100</f>
        <v>22.784441130000005</v>
      </c>
      <c r="M2" s="8" t="s">
        <v>14</v>
      </c>
      <c r="N2" s="9"/>
      <c r="O2" s="2">
        <f>ABS(S7-S6)/ABS(T7-T6)*1000</f>
        <v>1600.1373333332724</v>
      </c>
      <c r="P2" s="2"/>
      <c r="Q2" s="6" t="s">
        <v>15</v>
      </c>
      <c r="R2" s="2"/>
      <c r="S2" s="7" t="s">
        <v>13</v>
      </c>
      <c r="T2" s="3">
        <f>T4*Q6*T9/100*100</f>
        <v>22.776818856000002</v>
      </c>
      <c r="U2" s="8" t="s">
        <v>14</v>
      </c>
      <c r="X2" s="9"/>
      <c r="Y2" s="2">
        <f>ABS(AC7-AC6)/ABS(AD7-AD6)*1000</f>
        <v>1618.4161290323204</v>
      </c>
      <c r="Z2" s="2"/>
      <c r="AA2" s="6" t="s">
        <v>12</v>
      </c>
      <c r="AB2" s="2"/>
      <c r="AC2" s="7" t="s">
        <v>13</v>
      </c>
      <c r="AD2" s="3">
        <f>AD4*AA6*AD9/100*100</f>
        <v>22.887619676000003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752.43278688524651</v>
      </c>
      <c r="AR2" s="2"/>
      <c r="AS2" s="6" t="s">
        <v>12</v>
      </c>
      <c r="AT2" s="2"/>
      <c r="AU2" s="7" t="s">
        <v>13</v>
      </c>
      <c r="AV2" s="3">
        <f>AV4*AS6*AV9/100*100</f>
        <v>22.787751525000004</v>
      </c>
      <c r="AW2" s="8" t="s">
        <v>14</v>
      </c>
      <c r="AX2" s="9"/>
      <c r="AY2" s="2">
        <f>ABS(BC7-BC6)/ABS(BD7-BD6)*1000</f>
        <v>905.52163934426301</v>
      </c>
      <c r="AZ2" s="2"/>
      <c r="BA2" s="6" t="s">
        <v>15</v>
      </c>
      <c r="BB2" s="2"/>
      <c r="BC2" s="7" t="s">
        <v>13</v>
      </c>
      <c r="BD2" s="3">
        <f>BD4*BA6*BD9/100*100</f>
        <v>22.472948550000002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1.7392000000000001</v>
      </c>
      <c r="J3" s="2"/>
      <c r="K3" s="10">
        <f>INDEX(L11:L1056,MATCH(I3,K11:K1056,0))</f>
        <v>-0.19216900000000001</v>
      </c>
      <c r="L3" s="37" t="s">
        <v>16</v>
      </c>
      <c r="M3" s="11">
        <f>M9</f>
        <v>22.784441130000001</v>
      </c>
      <c r="N3" s="9"/>
      <c r="O3" s="2" t="s">
        <v>44</v>
      </c>
      <c r="P3" s="2"/>
      <c r="Q3" s="2">
        <f>INDEX(S11:S1056,MATCH(0,T11:T1056,-1))</f>
        <v>1.7367600000000001</v>
      </c>
      <c r="R3" s="2"/>
      <c r="S3" s="10">
        <f>INDEX(T11:T1056,MATCH(Q3,S11:S1056,0))</f>
        <v>0.23245199999999999</v>
      </c>
      <c r="T3" s="37" t="s">
        <v>16</v>
      </c>
      <c r="U3" s="11">
        <f>U9</f>
        <v>22.776818855999998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-0.441467</v>
      </c>
      <c r="AD3" s="37" t="s">
        <v>16</v>
      </c>
      <c r="AE3" s="11">
        <f>AE9</f>
        <v>22.887619676000003</v>
      </c>
      <c r="AF3" s="9"/>
      <c r="AG3" s="2" t="s">
        <v>44</v>
      </c>
      <c r="AH3" s="2"/>
      <c r="AI3" s="2">
        <f>INDEX(AK11:AK1056,MATCH(0,AL11:AL1056,-1))</f>
        <v>1.73767</v>
      </c>
      <c r="AJ3" s="2"/>
      <c r="AK3" s="10">
        <f>INDEX(AL11:AL1056,MATCH(AI3,AK11:AK1056,0))</f>
        <v>0.35525499999999999</v>
      </c>
      <c r="AL3" s="37" t="s">
        <v>16</v>
      </c>
      <c r="AM3" s="11">
        <f>AM9</f>
        <v>22.669115325000003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-0.64605699999999999</v>
      </c>
      <c r="AV3" s="37" t="s">
        <v>16</v>
      </c>
      <c r="AW3" s="11">
        <f>AW9</f>
        <v>22.787751525000004</v>
      </c>
      <c r="AX3" s="9"/>
      <c r="AY3" s="2" t="s">
        <v>44</v>
      </c>
      <c r="AZ3" s="2"/>
      <c r="BA3" s="2">
        <f>INDEX(BC11:BC1056,MATCH(0,BD11:BD1056,-1))</f>
        <v>1.7367600000000001</v>
      </c>
      <c r="BB3" s="2"/>
      <c r="BC3" s="10">
        <f>INDEX(BD11:BD1056,MATCH(BA3,BC11:BC1056,0))</f>
        <v>0.50231899999999996</v>
      </c>
      <c r="BD3" s="37" t="s">
        <v>16</v>
      </c>
      <c r="BE3" s="11">
        <f>BE9</f>
        <v>22.472948550000002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6.0057905541296783</v>
      </c>
      <c r="H4" s="2"/>
      <c r="I4" s="2">
        <f>INDEX(K11:K1000,1+MATCH(0,L11:L856,1))</f>
        <v>1.7340100000000001</v>
      </c>
      <c r="J4" s="2"/>
      <c r="K4" s="10">
        <f>INDEX(L11:L1056,MATCH(I4,K11:K1056,0))</f>
        <v>0.67199700000000007</v>
      </c>
      <c r="L4" s="36">
        <f>M3/(I6*L9)</f>
        <v>0.71022660176113894</v>
      </c>
      <c r="M4" s="8" t="s">
        <v>17</v>
      </c>
      <c r="N4" s="9"/>
      <c r="O4" s="2">
        <f>ABS(Q3-Q4)/ABS(S3-S4)*1000</f>
        <v>7.1173327334613736</v>
      </c>
      <c r="P4" s="2"/>
      <c r="Q4" s="2">
        <f>INDEX(S11:S856,1+MATCH(0,T11:T856,-1))</f>
        <v>1.74255</v>
      </c>
      <c r="R4" s="2"/>
      <c r="S4" s="10">
        <f>INDEX(T11:T856,MATCH(Q4,S11:S856,0))</f>
        <v>-0.58105499999999999</v>
      </c>
      <c r="T4" s="36">
        <f>U3/(Q6*T9)</f>
        <v>0.71043714561015447</v>
      </c>
      <c r="U4" s="8" t="s">
        <v>17</v>
      </c>
      <c r="X4" s="9"/>
      <c r="Y4" s="2">
        <f>ABS(AA3-AA4)/ABS(AC3-AC4)*1000</f>
        <v>6.1973138592515404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0.39437899999999998</v>
      </c>
      <c r="AD4" s="36">
        <f>AE3/(AA6*AD9)</f>
        <v>0.71040819253006915</v>
      </c>
      <c r="AE4" s="8" t="s">
        <v>17</v>
      </c>
      <c r="AF4" s="9"/>
      <c r="AG4" s="2">
        <f>ABS(AI3-AI4)/ABS(AK3-AK4)*1000</f>
        <v>5.8287072741758088</v>
      </c>
      <c r="AH4" s="2"/>
      <c r="AI4" s="2">
        <f>INDEX(AK11:AK856,1+MATCH(0,AL11:AL856,-1))</f>
        <v>1.7422500000000001</v>
      </c>
      <c r="AJ4" s="2"/>
      <c r="AK4" s="10">
        <f>INDEX(AL11:AL856,MATCH(AI4,AK11:AK856,0))</f>
        <v>-0.43051100000000003</v>
      </c>
      <c r="AL4" s="36" t="e">
        <f>AM3/(AI6*AL9)</f>
        <v>#DIV/0!</v>
      </c>
      <c r="AM4" s="8" t="s">
        <v>17</v>
      </c>
      <c r="AP4" s="9"/>
      <c r="AQ4" s="2">
        <f>ABS(AS3-AS4)/ABS(AU3-AU4)*1000</f>
        <v>5.702364047904803</v>
      </c>
      <c r="AR4" s="2"/>
      <c r="AS4" s="2">
        <f>INDEX(AU11:AU1000,1+MATCH(0,AV11:AV856,1))</f>
        <v>1.7392000000000001</v>
      </c>
      <c r="AT4" s="2"/>
      <c r="AU4" s="10">
        <f>INDEX(AV11:AV1056,MATCH(AS4,AU11:AU1056,0))</f>
        <v>0.155365</v>
      </c>
      <c r="AV4" s="36">
        <f>AW3/(AS6*AV9)</f>
        <v>0.7081388607104947</v>
      </c>
      <c r="AW4" s="8" t="s">
        <v>17</v>
      </c>
      <c r="AX4" s="9"/>
      <c r="AY4" s="2">
        <f>ABS(BA3-BA4)/ABS(BC3-BC4)*1000</f>
        <v>7.2862017388673008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-0.25115999999999999</v>
      </c>
      <c r="BD4" s="36">
        <f>BE3/(BA6*BD9)</f>
        <v>0.69874185428623825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16.186499999999999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16.320799999999998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16.259800000000002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16.302500000000002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16.305500000000002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16.220100000000002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1.7380458732350035</v>
      </c>
      <c r="J6" s="36"/>
      <c r="K6" s="13">
        <f>INDEX(K11:K1056,MATCH(L6,L11:L1056,0))</f>
        <v>2.88696E-3</v>
      </c>
      <c r="L6" s="10">
        <f>INDEX(L11:L1056,MATCH(0,K11:K1056,-1))</f>
        <v>18.457000000000001</v>
      </c>
      <c r="M6" s="8" t="s">
        <v>22</v>
      </c>
      <c r="N6" s="9"/>
      <c r="O6" s="2"/>
      <c r="P6" s="2"/>
      <c r="Q6" s="38">
        <f>(Q3-Q4)/(S3-S4)*(-S4)+Q4</f>
        <v>1.7384144382285587</v>
      </c>
      <c r="R6" s="38"/>
      <c r="S6" s="13">
        <f>INDEX(S11:S1056,MATCH(T6,T11:T1056,0))</f>
        <v>-4.0679899999999996E-3</v>
      </c>
      <c r="T6" s="10">
        <f>INDEX(T11:T1056,MATCH(0,S11:S1056,1))</f>
        <v>18.444800000000001</v>
      </c>
      <c r="U6" s="8" t="s">
        <v>22</v>
      </c>
      <c r="X6" s="9"/>
      <c r="Y6" s="2"/>
      <c r="Z6" s="2"/>
      <c r="AA6" s="36">
        <f>(AA3-AA4)/(AC3-AC4)*(-AC4)+AA4</f>
        <v>1.7416440904424979</v>
      </c>
      <c r="AB6" s="36"/>
      <c r="AC6" s="13">
        <f>INDEX(AC11:AC1056,MATCH(AD6,AD11:AD1056,0))</f>
        <v>2.6886000000000002E-3</v>
      </c>
      <c r="AD6" s="10">
        <f>INDEX(AD11:AD1056,MATCH(0,AC11:AC1056,-1))</f>
        <v>18.496700000000001</v>
      </c>
      <c r="AE6" s="8" t="s">
        <v>22</v>
      </c>
      <c r="AF6" s="9"/>
      <c r="AG6" s="2"/>
      <c r="AH6" s="2"/>
      <c r="AI6" s="38">
        <f>(AI3-AI4)/(AK3-AK4)*(-AK4)+AI4</f>
        <v>1.7397406774026873</v>
      </c>
      <c r="AJ6" s="38"/>
      <c r="AK6" s="13">
        <f>INDEX(AK11:AK1056,MATCH(AL6,AL11:AL1056,0))</f>
        <v>-4.3395999999999999E-3</v>
      </c>
      <c r="AL6" s="10">
        <f>INDEX(AL11:AL1056,MATCH(0,AK11:AK1056,1))</f>
        <v>18.484500000000001</v>
      </c>
      <c r="AM6" s="8" t="s">
        <v>22</v>
      </c>
      <c r="AP6" s="9"/>
      <c r="AQ6" s="2"/>
      <c r="AR6" s="2"/>
      <c r="AS6" s="36">
        <f>(AS3-AS4)/(AU3-AU4)*(-AU4)+AS4</f>
        <v>1.7400859477903028</v>
      </c>
      <c r="AT6" s="36"/>
      <c r="AU6" s="13">
        <f>INDEX(AU11:AU1056,MATCH(AV6,AV11:AV1056,0))</f>
        <v>1.9653299999999999E-3</v>
      </c>
      <c r="AV6" s="10">
        <f>INDEX(AV11:AV1056,MATCH(0,AU11:AU1056,-1))</f>
        <v>18.490600000000001</v>
      </c>
      <c r="AW6" s="8" t="s">
        <v>22</v>
      </c>
      <c r="AX6" s="9"/>
      <c r="AY6" s="2"/>
      <c r="AZ6" s="2"/>
      <c r="BA6" s="38">
        <f>(BA3-BA4)/(BC3-BC4)*(-BC4)+BA4</f>
        <v>1.7404199975712662</v>
      </c>
      <c r="BB6" s="38"/>
      <c r="BC6" s="13">
        <f>INDEX(BC11:BC1056,MATCH(BD6,BD11:BD1056,0))</f>
        <v>-4.5654299999999997E-3</v>
      </c>
      <c r="BD6" s="10">
        <f>INDEX(BD11:BD1056,MATCH(0,BC11:BC1056,1))</f>
        <v>18.484500000000001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-8.1390400000000002E-3</v>
      </c>
      <c r="L7" s="10">
        <f>INDEX(L11:L856,1+MATCH(0,K11:K856,-1))</f>
        <v>18.460100000000001</v>
      </c>
      <c r="M7" s="12">
        <f>INDEX(K11:K1056,MATCH(M9,M11:M1056,0))</f>
        <v>1.40686</v>
      </c>
      <c r="N7" s="9"/>
      <c r="O7" s="2"/>
      <c r="P7" s="2"/>
      <c r="Q7" s="2"/>
      <c r="R7" s="2"/>
      <c r="S7" s="13">
        <f>INDEX(S11:S1056,MATCH(T7,T11:T1056,0))</f>
        <v>7.3242200000000004E-4</v>
      </c>
      <c r="T7" s="10">
        <f>INDEX(T11:T1056,1+MATCH(0,S11:S1056,1))</f>
        <v>18.441800000000001</v>
      </c>
      <c r="U7" s="12">
        <f>INDEX(S11:S1056,MATCH(U9,U11:U1056,0))</f>
        <v>1.39435</v>
      </c>
      <c r="X7" s="9"/>
      <c r="Y7" s="2"/>
      <c r="Z7" s="2"/>
      <c r="AA7" s="2"/>
      <c r="AB7" s="2"/>
      <c r="AC7" s="13">
        <f>INDEX(AC11:AC856,MATCH(AD7,AD11:AD856,1))</f>
        <v>-2.3284899999999999E-3</v>
      </c>
      <c r="AD7" s="10">
        <f>INDEX(AD11:AD856,1+MATCH(0,AC11:AC856,-1))</f>
        <v>18.4998</v>
      </c>
      <c r="AE7" s="12">
        <f>INDEX(AC11:AC1056,MATCH(AE9,AE11:AE1056,0))</f>
        <v>1.40686</v>
      </c>
      <c r="AF7" s="9"/>
      <c r="AG7" s="2"/>
      <c r="AH7" s="2"/>
      <c r="AI7" s="2"/>
      <c r="AJ7" s="2"/>
      <c r="AK7" s="13">
        <f>INDEX(AK11:AK1056,MATCH(AL7,AL11:AL1056,0))</f>
        <v>-4.3395999999999999E-3</v>
      </c>
      <c r="AL7" s="10">
        <f>INDEX(AL11:AL1056,1+MATCH(0,AK11:AK1056,1))</f>
        <v>18.484500000000001</v>
      </c>
      <c r="AM7" s="12">
        <f>INDEX(AK11:AK1056,MATCH(AM9,AM11:AM1056,0))</f>
        <v>1.3897699999999999</v>
      </c>
      <c r="AP7" s="9"/>
      <c r="AQ7" s="2"/>
      <c r="AR7" s="2"/>
      <c r="AS7" s="2"/>
      <c r="AT7" s="2"/>
      <c r="AU7" s="13">
        <f>INDEX(AU11:AU856,MATCH(AV7,AV11:AV856,1))</f>
        <v>-2.62451E-3</v>
      </c>
      <c r="AV7" s="10">
        <f>INDEX(AV11:AV856,1+MATCH(0,AU11:AU856,-1))</f>
        <v>18.496700000000001</v>
      </c>
      <c r="AW7" s="12">
        <f>INDEX(AU11:AU1056,MATCH(AW9,AW11:AW1056,0))</f>
        <v>1.39679</v>
      </c>
      <c r="AX7" s="9"/>
      <c r="AY7" s="2"/>
      <c r="AZ7" s="2"/>
      <c r="BA7" s="2"/>
      <c r="BB7" s="2"/>
      <c r="BC7" s="13">
        <f>INDEX(BC11:BC1056,MATCH(BD7,BD11:BD1056,0))</f>
        <v>9.5825200000000004E-4</v>
      </c>
      <c r="BD7" s="10">
        <f>INDEX(BD11:BD1056,1+MATCH(0,BC11:BC1056,1))</f>
        <v>18.478400000000001</v>
      </c>
      <c r="BE7" s="12">
        <f>INDEX(BC11:BC1056,MATCH(BE9,BE11:BE1056,0))</f>
        <v>1.38489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3.3453855446849409E-2</v>
      </c>
      <c r="J9" s="2"/>
      <c r="K9" s="2"/>
      <c r="L9" s="3">
        <f>(L6-L7)/(K6-K7)*(-K7)+L7</f>
        <v>18.457811679303465</v>
      </c>
      <c r="M9" s="16">
        <f>MAX(M11:M1056)</f>
        <v>22.784441130000001</v>
      </c>
      <c r="N9" s="9"/>
      <c r="O9" s="2"/>
      <c r="P9" s="2"/>
      <c r="Q9" s="2"/>
      <c r="R9" s="2"/>
      <c r="S9" s="2"/>
      <c r="T9" s="3">
        <f>(T6-T7)/(S6-S7)*(-S7)+T7</f>
        <v>18.442257724461985</v>
      </c>
      <c r="U9" s="16">
        <f>MAX(U11:U1056)</f>
        <v>22.776818855999998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18.498361253834396</v>
      </c>
      <c r="AE9" s="16">
        <f>MAX(AE11:AE1056)</f>
        <v>22.887619676000003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22.669115325000003</v>
      </c>
      <c r="AP9" s="9"/>
      <c r="AQ9" s="2"/>
      <c r="AR9" s="2"/>
      <c r="AS9" s="15">
        <f>(MAX(AV2,BD2)-MIN(AV2,BD2))/MAX(AV2,BD2)%</f>
        <v>1.3814569403858843</v>
      </c>
      <c r="AT9" s="2"/>
      <c r="AU9" s="2"/>
      <c r="AV9" s="3">
        <f>(AV6-AV7)/(AU6-AU7)*(-AU7)+AV7</f>
        <v>18.493211967519567</v>
      </c>
      <c r="AW9" s="16">
        <f>MAX(AW11:AW1056)</f>
        <v>22.787751525000004</v>
      </c>
      <c r="AX9" s="9"/>
      <c r="AY9" s="2"/>
      <c r="AZ9" s="2"/>
      <c r="BA9" s="2"/>
      <c r="BB9" s="2"/>
      <c r="BC9" s="2"/>
      <c r="BD9" s="3">
        <f>(BD6-BD7)/(BC6-BC7)*(-BC7)+BD7</f>
        <v>18.479458232027117</v>
      </c>
      <c r="BE9" s="16">
        <f>MAX(BE11:BE1056)</f>
        <v>22.472948550000002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1.7380458732350035</v>
      </c>
      <c r="B11" s="19">
        <f>IFERROR(L9,0)</f>
        <v>18.457811679303465</v>
      </c>
      <c r="C11" s="20">
        <f>IFERROR(L4,0)</f>
        <v>0.71022660176113894</v>
      </c>
      <c r="D11" s="21">
        <f>IFERROR(L2,0)</f>
        <v>22.784441130000005</v>
      </c>
      <c r="E11" s="21">
        <f>IFERROR(I9,0)</f>
        <v>3.3453855446849409E-2</v>
      </c>
      <c r="F11" s="9"/>
      <c r="G11" s="22">
        <v>1.7450000000000001</v>
      </c>
      <c r="H11" s="22">
        <v>10.9055</v>
      </c>
      <c r="I11" s="22">
        <v>1.08063E-3</v>
      </c>
      <c r="J11" s="22">
        <v>1</v>
      </c>
      <c r="K11" s="22">
        <v>1.7440800000000001</v>
      </c>
      <c r="L11">
        <f>-I11/$F$2*1000</f>
        <v>-1.08063</v>
      </c>
      <c r="M11">
        <f>L11*G11</f>
        <v>-1.8856993500000001</v>
      </c>
      <c r="N11" s="9"/>
      <c r="O11" s="22">
        <v>-9.49097E-2</v>
      </c>
      <c r="P11" s="22">
        <v>23.793299999999999</v>
      </c>
      <c r="Q11" s="22">
        <v>-1.8508899999999998E-2</v>
      </c>
      <c r="R11" s="22">
        <v>1</v>
      </c>
      <c r="S11" s="22">
        <v>-9.5397899999999994E-2</v>
      </c>
      <c r="T11">
        <f>-Q11/$F$2*1000</f>
        <v>18.508899999999997</v>
      </c>
      <c r="U11">
        <f>T11*O11</f>
        <v>-1.7566741463299997</v>
      </c>
      <c r="V11" s="23"/>
      <c r="W11" s="24"/>
      <c r="X11" s="9"/>
      <c r="Y11" s="22">
        <v>1.7450000000000001</v>
      </c>
      <c r="Z11" s="22">
        <v>31.1769</v>
      </c>
      <c r="AA11" s="22">
        <v>4.4146700000000002E-4</v>
      </c>
      <c r="AB11" s="22">
        <v>1</v>
      </c>
      <c r="AC11" s="22">
        <v>1.74438</v>
      </c>
      <c r="AD11">
        <f>-AA11/$F$2*1000</f>
        <v>-0.441467</v>
      </c>
      <c r="AE11">
        <f>AD11*Y11</f>
        <v>-0.77035991500000001</v>
      </c>
      <c r="AF11" s="9"/>
      <c r="AG11" s="22">
        <v>-9.49097E-2</v>
      </c>
      <c r="AH11" s="22">
        <v>36.080500000000001</v>
      </c>
      <c r="AI11" s="22">
        <v>-1.8551600000000001E-2</v>
      </c>
      <c r="AJ11" s="22">
        <v>1</v>
      </c>
      <c r="AK11" s="22">
        <v>-9.5214800000000002E-2</v>
      </c>
      <c r="AL11">
        <f>-AI11/$F$2*1000</f>
        <v>18.551600000000001</v>
      </c>
      <c r="AM11">
        <f>AL11*AG11</f>
        <v>-1.7607267905200001</v>
      </c>
      <c r="AP11" s="9"/>
      <c r="AQ11" s="22">
        <v>1.7450000000000001</v>
      </c>
      <c r="AR11" s="22">
        <v>40.914099999999998</v>
      </c>
      <c r="AS11" s="22">
        <v>6.4605700000000001E-4</v>
      </c>
      <c r="AT11" s="22">
        <v>1</v>
      </c>
      <c r="AU11" s="22">
        <v>1.74377</v>
      </c>
      <c r="AV11">
        <f>-AS11/$F$2*1000</f>
        <v>-0.64605699999999999</v>
      </c>
      <c r="AW11">
        <f>AV11*AQ11</f>
        <v>-1.1273694650000001</v>
      </c>
      <c r="AX11" s="9"/>
      <c r="AY11" s="22">
        <v>-9.49097E-2</v>
      </c>
      <c r="AZ11" s="22">
        <v>45.653700000000001</v>
      </c>
      <c r="BA11" s="22">
        <v>-1.8560799999999999E-2</v>
      </c>
      <c r="BB11" s="22">
        <v>1</v>
      </c>
      <c r="BC11" s="22">
        <v>-9.5581100000000002E-2</v>
      </c>
      <c r="BD11">
        <f>-BA11/$F$2*1000</f>
        <v>18.5608</v>
      </c>
      <c r="BE11">
        <f>BD11*AY11</f>
        <v>-1.7615999597600001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1.7384144382285587</v>
      </c>
      <c r="B12" s="19">
        <f>IFERROR(T9,0)</f>
        <v>18.442257724461985</v>
      </c>
      <c r="C12" s="20">
        <f>IFERROR(T4,0)</f>
        <v>0.71043714561015447</v>
      </c>
      <c r="D12" s="21">
        <f>IFERROR(T2,0)</f>
        <v>22.776818856000002</v>
      </c>
      <c r="E12" s="21"/>
      <c r="F12" s="9"/>
      <c r="G12" s="22">
        <v>1.73996</v>
      </c>
      <c r="H12" s="22">
        <v>10.9156</v>
      </c>
      <c r="I12" s="22">
        <v>1.9216900000000001E-4</v>
      </c>
      <c r="J12" s="22">
        <v>2</v>
      </c>
      <c r="K12" s="22">
        <v>1.7392000000000001</v>
      </c>
      <c r="L12">
        <f t="shared" ref="L12:L75" si="0">-I12/$F$2*1000</f>
        <v>-0.19216900000000001</v>
      </c>
      <c r="M12">
        <f t="shared" ref="M12:M75" si="1">L12*G12</f>
        <v>-0.33436637324000001</v>
      </c>
      <c r="N12" s="9"/>
      <c r="O12" s="22">
        <v>-8.9874300000000004E-2</v>
      </c>
      <c r="P12" s="22">
        <v>23.8033</v>
      </c>
      <c r="Q12" s="22">
        <v>-1.8508899999999998E-2</v>
      </c>
      <c r="R12" s="22">
        <v>2</v>
      </c>
      <c r="S12" s="22">
        <v>-9.0209999999999999E-2</v>
      </c>
      <c r="T12">
        <f t="shared" ref="T12:T75" si="2">-Q12/$F$2*1000</f>
        <v>18.508899999999997</v>
      </c>
      <c r="U12">
        <f t="shared" ref="U12:U75" si="3">T12*O12</f>
        <v>-1.6634744312699998</v>
      </c>
      <c r="V12" s="23"/>
      <c r="W12" s="24"/>
      <c r="X12" s="9"/>
      <c r="Y12" s="22">
        <v>1.73996</v>
      </c>
      <c r="Z12" s="22">
        <v>31.187000000000001</v>
      </c>
      <c r="AA12" s="22">
        <v>-3.9437899999999999E-4</v>
      </c>
      <c r="AB12" s="22">
        <v>2</v>
      </c>
      <c r="AC12" s="22">
        <v>1.7392000000000001</v>
      </c>
      <c r="AD12">
        <f t="shared" ref="AD12:AD75" si="4">-AA12/$F$2*1000</f>
        <v>0.39437899999999998</v>
      </c>
      <c r="AE12">
        <f t="shared" ref="AE12:AE75" si="5">AD12*Y12</f>
        <v>0.68620368483999994</v>
      </c>
      <c r="AF12" s="9"/>
      <c r="AG12" s="22">
        <v>-8.9874300000000004E-2</v>
      </c>
      <c r="AH12" s="22">
        <v>36.090600000000002</v>
      </c>
      <c r="AI12" s="22">
        <v>-1.8548599999999998E-2</v>
      </c>
      <c r="AJ12" s="22">
        <v>2</v>
      </c>
      <c r="AK12" s="22">
        <v>-9.0423600000000007E-2</v>
      </c>
      <c r="AL12">
        <f t="shared" ref="AL12:AL75" si="6">-AI12/$F$2*1000</f>
        <v>18.548599999999997</v>
      </c>
      <c r="AM12">
        <f t="shared" ref="AM12:AM75" si="7">AL12*AG12</f>
        <v>-1.6670424409799998</v>
      </c>
      <c r="AP12" s="9"/>
      <c r="AQ12" s="22">
        <v>1.73996</v>
      </c>
      <c r="AR12" s="22">
        <v>40.924199999999999</v>
      </c>
      <c r="AS12" s="22">
        <v>-1.55365E-4</v>
      </c>
      <c r="AT12" s="22">
        <v>2</v>
      </c>
      <c r="AU12" s="22">
        <v>1.7392000000000001</v>
      </c>
      <c r="AV12">
        <f t="shared" ref="AV12:AV75" si="8">-AS12/$F$2*1000</f>
        <v>0.155365</v>
      </c>
      <c r="AW12">
        <f t="shared" ref="AW12:AW75" si="9">AV12*AQ12</f>
        <v>0.2703288854</v>
      </c>
      <c r="AX12" s="9"/>
      <c r="AY12" s="22">
        <v>-8.9874300000000004E-2</v>
      </c>
      <c r="AZ12" s="22">
        <v>45.663800000000002</v>
      </c>
      <c r="BA12" s="22">
        <v>-1.85577E-2</v>
      </c>
      <c r="BB12" s="22">
        <v>2</v>
      </c>
      <c r="BC12" s="22">
        <v>-9.0026900000000007E-2</v>
      </c>
      <c r="BD12">
        <f t="shared" ref="BD12:BD75" si="10">-BA12/$F$2*1000</f>
        <v>18.557700000000001</v>
      </c>
      <c r="BE12">
        <f t="shared" ref="BE12:BE75" si="11">BD12*AY12</f>
        <v>-1.6678602971100001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1.7416440904424979</v>
      </c>
      <c r="B13" s="19">
        <f>IFERROR(AD9,0)</f>
        <v>18.498361253834396</v>
      </c>
      <c r="C13" s="20">
        <f>IFERROR(AD4,0)</f>
        <v>0.71040819253006915</v>
      </c>
      <c r="D13" s="21">
        <f>IFERROR(AD2,0)</f>
        <v>22.887619676000003</v>
      </c>
      <c r="E13" s="21">
        <f>IFERROR(AA9,0)</f>
        <v>0</v>
      </c>
      <c r="F13" s="9"/>
      <c r="G13" s="22">
        <v>1.73492</v>
      </c>
      <c r="H13" s="22">
        <v>10.925599999999999</v>
      </c>
      <c r="I13" s="22">
        <v>-6.7199700000000002E-4</v>
      </c>
      <c r="J13" s="22">
        <v>3</v>
      </c>
      <c r="K13" s="22">
        <v>1.7340100000000001</v>
      </c>
      <c r="L13">
        <f t="shared" si="0"/>
        <v>0.67199700000000007</v>
      </c>
      <c r="M13">
        <f t="shared" si="1"/>
        <v>1.1658610352400001</v>
      </c>
      <c r="N13" s="9"/>
      <c r="O13" s="22">
        <v>-8.4838899999999995E-2</v>
      </c>
      <c r="P13" s="22">
        <v>23.813400000000001</v>
      </c>
      <c r="Q13" s="22">
        <v>-1.8505899999999999E-2</v>
      </c>
      <c r="R13" s="22">
        <v>3</v>
      </c>
      <c r="S13" s="22">
        <v>-8.4930400000000003E-2</v>
      </c>
      <c r="T13">
        <f t="shared" si="2"/>
        <v>18.5059</v>
      </c>
      <c r="U13">
        <f t="shared" si="3"/>
        <v>-1.57002019951</v>
      </c>
      <c r="V13" s="23"/>
      <c r="W13" s="24"/>
      <c r="X13" s="9"/>
      <c r="Y13" s="22">
        <v>1.73492</v>
      </c>
      <c r="Z13" s="22">
        <v>31.196999999999999</v>
      </c>
      <c r="AA13" s="22">
        <v>-1.1834700000000001E-3</v>
      </c>
      <c r="AB13" s="22">
        <v>3</v>
      </c>
      <c r="AC13" s="22">
        <v>1.7346200000000001</v>
      </c>
      <c r="AD13">
        <f t="shared" si="4"/>
        <v>1.18347</v>
      </c>
      <c r="AE13">
        <f t="shared" si="5"/>
        <v>2.0532257724000003</v>
      </c>
      <c r="AF13" s="9"/>
      <c r="AG13" s="22">
        <v>-8.4838899999999995E-2</v>
      </c>
      <c r="AH13" s="22">
        <v>36.1006</v>
      </c>
      <c r="AI13" s="22">
        <v>-1.8539400000000001E-2</v>
      </c>
      <c r="AJ13" s="22">
        <v>3</v>
      </c>
      <c r="AK13" s="22">
        <v>-8.5205100000000006E-2</v>
      </c>
      <c r="AL13">
        <f t="shared" si="6"/>
        <v>18.539400000000001</v>
      </c>
      <c r="AM13">
        <f t="shared" si="7"/>
        <v>-1.5728623026599999</v>
      </c>
      <c r="AP13" s="9"/>
      <c r="AQ13" s="22">
        <v>1.73492</v>
      </c>
      <c r="AR13" s="22">
        <v>40.934199999999997</v>
      </c>
      <c r="AS13" s="22">
        <v>-9.2834500000000002E-4</v>
      </c>
      <c r="AT13" s="22">
        <v>3</v>
      </c>
      <c r="AU13" s="22">
        <v>1.73431</v>
      </c>
      <c r="AV13">
        <f t="shared" si="8"/>
        <v>0.92834499999999998</v>
      </c>
      <c r="AW13">
        <f t="shared" si="9"/>
        <v>1.6106043074</v>
      </c>
      <c r="AX13" s="9"/>
      <c r="AY13" s="22">
        <v>-8.4838899999999995E-2</v>
      </c>
      <c r="AZ13" s="22">
        <v>45.6738</v>
      </c>
      <c r="BA13" s="22">
        <v>-1.8548599999999998E-2</v>
      </c>
      <c r="BB13" s="22">
        <v>3</v>
      </c>
      <c r="BC13" s="22">
        <v>-8.5266099999999997E-2</v>
      </c>
      <c r="BD13">
        <f t="shared" si="10"/>
        <v>18.548599999999997</v>
      </c>
      <c r="BE13">
        <f t="shared" si="11"/>
        <v>-1.5736428205399997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1.7397406774026873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10.935700000000001</v>
      </c>
      <c r="I14" s="22">
        <v>-1.4978000000000001E-3</v>
      </c>
      <c r="J14" s="22">
        <v>4</v>
      </c>
      <c r="K14" s="22">
        <v>1.72882</v>
      </c>
      <c r="L14">
        <f t="shared" si="0"/>
        <v>1.4978</v>
      </c>
      <c r="M14">
        <f t="shared" si="1"/>
        <v>2.5910292419999998</v>
      </c>
      <c r="N14" s="9"/>
      <c r="O14" s="22">
        <v>-7.9803499999999999E-2</v>
      </c>
      <c r="P14" s="22">
        <v>23.823499999999999</v>
      </c>
      <c r="Q14" s="22">
        <v>-1.85028E-2</v>
      </c>
      <c r="R14" s="22">
        <v>4</v>
      </c>
      <c r="S14" s="22">
        <v>-8.0993700000000002E-2</v>
      </c>
      <c r="T14">
        <f t="shared" si="2"/>
        <v>18.502800000000001</v>
      </c>
      <c r="U14">
        <f t="shared" si="3"/>
        <v>-1.4765881998000001</v>
      </c>
      <c r="V14" s="23"/>
      <c r="W14" s="24"/>
      <c r="X14" s="9"/>
      <c r="Y14" s="22">
        <v>1.7298899999999999</v>
      </c>
      <c r="Z14" s="22">
        <v>31.207100000000001</v>
      </c>
      <c r="AA14" s="22">
        <v>-1.9512900000000001E-3</v>
      </c>
      <c r="AB14" s="22">
        <v>4</v>
      </c>
      <c r="AC14" s="22">
        <v>1.72882</v>
      </c>
      <c r="AD14">
        <f t="shared" si="4"/>
        <v>1.95129</v>
      </c>
      <c r="AE14">
        <f t="shared" si="5"/>
        <v>3.3755170580999998</v>
      </c>
      <c r="AF14" s="9"/>
      <c r="AG14" s="22">
        <v>-7.9803499999999999E-2</v>
      </c>
      <c r="AH14" s="22">
        <v>36.110700000000001</v>
      </c>
      <c r="AI14" s="22">
        <v>-1.8536400000000001E-2</v>
      </c>
      <c r="AJ14" s="22">
        <v>4</v>
      </c>
      <c r="AK14" s="22">
        <v>-8.0169699999999997E-2</v>
      </c>
      <c r="AL14">
        <f t="shared" si="6"/>
        <v>18.5364</v>
      </c>
      <c r="AM14">
        <f t="shared" si="7"/>
        <v>-1.4792695974000001</v>
      </c>
      <c r="AP14" s="9"/>
      <c r="AQ14" s="22">
        <v>1.7298899999999999</v>
      </c>
      <c r="AR14" s="22">
        <v>40.944299999999998</v>
      </c>
      <c r="AS14" s="22">
        <v>-1.6647299999999999E-3</v>
      </c>
      <c r="AT14" s="22">
        <v>4</v>
      </c>
      <c r="AU14" s="22">
        <v>1.72821</v>
      </c>
      <c r="AV14">
        <f t="shared" si="8"/>
        <v>1.6647299999999998</v>
      </c>
      <c r="AW14">
        <f t="shared" si="9"/>
        <v>2.8797997796999995</v>
      </c>
      <c r="AX14" s="9"/>
      <c r="AY14" s="22">
        <v>-7.9803499999999999E-2</v>
      </c>
      <c r="AZ14" s="22">
        <v>45.683900000000001</v>
      </c>
      <c r="BA14" s="22">
        <v>-1.8545499999999999E-2</v>
      </c>
      <c r="BB14" s="22">
        <v>4</v>
      </c>
      <c r="BC14" s="22">
        <v>-8.0047599999999997E-2</v>
      </c>
      <c r="BD14">
        <f t="shared" si="10"/>
        <v>18.545500000000001</v>
      </c>
      <c r="BE14">
        <f t="shared" si="11"/>
        <v>-1.4799958092500001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1.7400859477903028</v>
      </c>
      <c r="B15" s="19">
        <f>IFERROR(AV9,0)</f>
        <v>18.493211967519567</v>
      </c>
      <c r="C15" s="20">
        <f>IFERROR(AV4,0)</f>
        <v>0.7081388607104947</v>
      </c>
      <c r="D15" s="21">
        <f>IFERROR(AV2,0)</f>
        <v>22.787751525000004</v>
      </c>
      <c r="E15" s="21">
        <f>IFERROR(AS9,0)</f>
        <v>1.3814569403858843</v>
      </c>
      <c r="F15" s="9"/>
      <c r="G15" s="22">
        <v>1.72485</v>
      </c>
      <c r="H15" s="22">
        <v>10.9458</v>
      </c>
      <c r="I15" s="22">
        <v>-2.2827099999999999E-3</v>
      </c>
      <c r="J15" s="22">
        <v>5</v>
      </c>
      <c r="K15" s="22">
        <v>1.72455</v>
      </c>
      <c r="L15">
        <f t="shared" si="0"/>
        <v>2.2827099999999998</v>
      </c>
      <c r="M15">
        <f t="shared" si="1"/>
        <v>3.9373323434999996</v>
      </c>
      <c r="N15" s="9"/>
      <c r="O15" s="22">
        <v>-7.4768100000000004E-2</v>
      </c>
      <c r="P15" s="22">
        <v>23.833500000000001</v>
      </c>
      <c r="Q15" s="22">
        <v>-1.8496700000000001E-2</v>
      </c>
      <c r="R15" s="22">
        <v>5</v>
      </c>
      <c r="S15" s="22">
        <v>-7.5378399999999998E-2</v>
      </c>
      <c r="T15">
        <f t="shared" si="2"/>
        <v>18.496700000000001</v>
      </c>
      <c r="U15">
        <f t="shared" si="3"/>
        <v>-1.3829631152700002</v>
      </c>
      <c r="V15" s="23"/>
      <c r="W15" s="24"/>
      <c r="X15" s="9"/>
      <c r="Y15" s="22">
        <v>1.72485</v>
      </c>
      <c r="Z15" s="22">
        <v>31.217199999999998</v>
      </c>
      <c r="AA15" s="22">
        <v>-2.6711999999999999E-3</v>
      </c>
      <c r="AB15" s="22">
        <v>5</v>
      </c>
      <c r="AC15" s="22">
        <v>1.72455</v>
      </c>
      <c r="AD15">
        <f t="shared" si="4"/>
        <v>2.6711999999999998</v>
      </c>
      <c r="AE15">
        <f t="shared" si="5"/>
        <v>4.60741932</v>
      </c>
      <c r="AF15" s="9"/>
      <c r="AG15" s="22">
        <v>-7.4768100000000004E-2</v>
      </c>
      <c r="AH15" s="22">
        <v>36.120800000000003</v>
      </c>
      <c r="AI15" s="22">
        <v>-1.8533299999999999E-2</v>
      </c>
      <c r="AJ15" s="22">
        <v>5</v>
      </c>
      <c r="AK15" s="22">
        <v>-7.4798600000000007E-2</v>
      </c>
      <c r="AL15">
        <f t="shared" si="6"/>
        <v>18.533300000000001</v>
      </c>
      <c r="AM15">
        <f t="shared" si="7"/>
        <v>-1.3856996277300002</v>
      </c>
      <c r="AP15" s="9"/>
      <c r="AQ15" s="22">
        <v>1.72485</v>
      </c>
      <c r="AR15" s="22">
        <v>40.9544</v>
      </c>
      <c r="AS15" s="22">
        <v>-2.3712199999999998E-3</v>
      </c>
      <c r="AT15" s="22">
        <v>5</v>
      </c>
      <c r="AU15" s="22">
        <v>1.72394</v>
      </c>
      <c r="AV15">
        <f t="shared" si="8"/>
        <v>2.3712199999999997</v>
      </c>
      <c r="AW15">
        <f t="shared" si="9"/>
        <v>4.0899988169999997</v>
      </c>
      <c r="AX15" s="9"/>
      <c r="AY15" s="22">
        <v>-7.4768100000000004E-2</v>
      </c>
      <c r="AZ15" s="22">
        <v>45.694000000000003</v>
      </c>
      <c r="BA15" s="22">
        <v>-1.8539400000000001E-2</v>
      </c>
      <c r="BB15" s="22">
        <v>5</v>
      </c>
      <c r="BC15" s="22">
        <v>-7.5378399999999998E-2</v>
      </c>
      <c r="BD15">
        <f t="shared" si="10"/>
        <v>18.539400000000001</v>
      </c>
      <c r="BE15">
        <f t="shared" si="11"/>
        <v>-1.3861557131400002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1.7404199975712662</v>
      </c>
      <c r="B16" s="19">
        <f>IFERROR(BD9,0)</f>
        <v>18.479458232027117</v>
      </c>
      <c r="C16" s="20">
        <f>IFERROR(BD4,0)</f>
        <v>0.69874185428623825</v>
      </c>
      <c r="D16" s="21">
        <f>IFERROR(BD2,0)</f>
        <v>22.472948550000002</v>
      </c>
      <c r="E16" s="21"/>
      <c r="F16" s="9"/>
      <c r="G16" s="22">
        <v>1.7198199999999999</v>
      </c>
      <c r="H16" s="22">
        <v>10.9559</v>
      </c>
      <c r="I16" s="22">
        <v>-3.0331400000000001E-3</v>
      </c>
      <c r="J16" s="22">
        <v>6</v>
      </c>
      <c r="K16" s="22">
        <v>1.71906</v>
      </c>
      <c r="L16">
        <f t="shared" si="0"/>
        <v>3.0331399999999999</v>
      </c>
      <c r="M16">
        <f t="shared" si="1"/>
        <v>5.2164548347999995</v>
      </c>
      <c r="N16" s="9"/>
      <c r="O16" s="22">
        <v>-6.9732699999999995E-2</v>
      </c>
      <c r="P16" s="22">
        <v>23.843599999999999</v>
      </c>
      <c r="Q16" s="22">
        <v>-1.8493699999999998E-2</v>
      </c>
      <c r="R16" s="22">
        <v>6</v>
      </c>
      <c r="S16" s="22">
        <v>-6.8908700000000003E-2</v>
      </c>
      <c r="T16">
        <f t="shared" si="2"/>
        <v>18.493699999999997</v>
      </c>
      <c r="U16">
        <f t="shared" si="3"/>
        <v>-1.2896156339899998</v>
      </c>
      <c r="V16" s="23"/>
      <c r="W16" s="24"/>
      <c r="X16" s="9"/>
      <c r="Y16" s="22">
        <v>1.7198199999999999</v>
      </c>
      <c r="Z16" s="22">
        <v>31.2272</v>
      </c>
      <c r="AA16" s="22">
        <v>-3.3606E-3</v>
      </c>
      <c r="AB16" s="22">
        <v>6</v>
      </c>
      <c r="AC16" s="22">
        <v>1.71875</v>
      </c>
      <c r="AD16">
        <f t="shared" si="4"/>
        <v>3.3606000000000003</v>
      </c>
      <c r="AE16">
        <f t="shared" si="5"/>
        <v>5.7796270920000001</v>
      </c>
      <c r="AF16" s="9"/>
      <c r="AG16" s="22">
        <v>-6.9732699999999995E-2</v>
      </c>
      <c r="AH16" s="22">
        <v>36.130899999999997</v>
      </c>
      <c r="AI16" s="22">
        <v>-1.85303E-2</v>
      </c>
      <c r="AJ16" s="22">
        <v>6</v>
      </c>
      <c r="AK16" s="22">
        <v>-7.01904E-2</v>
      </c>
      <c r="AL16">
        <f t="shared" si="6"/>
        <v>18.5303</v>
      </c>
      <c r="AM16">
        <f t="shared" si="7"/>
        <v>-1.2921678508099999</v>
      </c>
      <c r="AP16" s="9"/>
      <c r="AQ16" s="22">
        <v>1.7198199999999999</v>
      </c>
      <c r="AR16" s="22">
        <v>40.964399999999998</v>
      </c>
      <c r="AS16" s="22">
        <v>-3.0368000000000001E-3</v>
      </c>
      <c r="AT16" s="22">
        <v>6</v>
      </c>
      <c r="AU16" s="22">
        <v>1.71875</v>
      </c>
      <c r="AV16">
        <f t="shared" si="8"/>
        <v>3.0367999999999999</v>
      </c>
      <c r="AW16">
        <f t="shared" si="9"/>
        <v>5.2227493759999994</v>
      </c>
      <c r="AX16" s="9"/>
      <c r="AY16" s="22">
        <v>-6.9732699999999995E-2</v>
      </c>
      <c r="AZ16" s="22">
        <v>45.704000000000001</v>
      </c>
      <c r="BA16" s="22">
        <v>-1.8536400000000001E-2</v>
      </c>
      <c r="BB16" s="22">
        <v>6</v>
      </c>
      <c r="BC16" s="22">
        <v>-6.99158E-2</v>
      </c>
      <c r="BD16">
        <f t="shared" si="10"/>
        <v>18.5364</v>
      </c>
      <c r="BE16">
        <f t="shared" si="11"/>
        <v>-1.2925932202799999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10.9659</v>
      </c>
      <c r="I17" s="22">
        <v>-3.69324E-3</v>
      </c>
      <c r="J17" s="22">
        <v>7</v>
      </c>
      <c r="K17" s="22">
        <v>1.71356</v>
      </c>
      <c r="L17">
        <f t="shared" si="0"/>
        <v>3.6932399999999999</v>
      </c>
      <c r="M17">
        <f t="shared" si="1"/>
        <v>6.3330940871999992</v>
      </c>
      <c r="N17" s="9"/>
      <c r="O17" s="22">
        <v>-6.4697299999999999E-2</v>
      </c>
      <c r="P17" s="22">
        <v>23.8537</v>
      </c>
      <c r="Q17" s="22">
        <v>-1.8490599999999999E-2</v>
      </c>
      <c r="R17" s="22">
        <v>7</v>
      </c>
      <c r="S17" s="22">
        <v>-6.4880400000000005E-2</v>
      </c>
      <c r="T17">
        <f t="shared" si="2"/>
        <v>18.490600000000001</v>
      </c>
      <c r="U17">
        <f t="shared" si="3"/>
        <v>-1.1962918953799999</v>
      </c>
      <c r="V17" s="23"/>
      <c r="W17" s="24"/>
      <c r="X17" s="9"/>
      <c r="Y17" s="22">
        <v>1.71478</v>
      </c>
      <c r="Z17" s="22">
        <v>31.237300000000001</v>
      </c>
      <c r="AA17" s="22">
        <v>-4.0078700000000002E-3</v>
      </c>
      <c r="AB17" s="22">
        <v>7</v>
      </c>
      <c r="AC17" s="22">
        <v>1.71387</v>
      </c>
      <c r="AD17">
        <f t="shared" si="4"/>
        <v>4.0078700000000005</v>
      </c>
      <c r="AE17">
        <f t="shared" si="5"/>
        <v>6.8726153186000003</v>
      </c>
      <c r="AF17" s="9"/>
      <c r="AG17" s="22">
        <v>-6.4697299999999999E-2</v>
      </c>
      <c r="AH17" s="22">
        <v>36.140900000000002</v>
      </c>
      <c r="AI17" s="22">
        <v>-1.8527200000000001E-2</v>
      </c>
      <c r="AJ17" s="22">
        <v>7</v>
      </c>
      <c r="AK17" s="22">
        <v>-6.5093999999999999E-2</v>
      </c>
      <c r="AL17">
        <f t="shared" si="6"/>
        <v>18.527200000000001</v>
      </c>
      <c r="AM17">
        <f t="shared" si="7"/>
        <v>-1.19865981656</v>
      </c>
      <c r="AP17" s="9"/>
      <c r="AQ17" s="22">
        <v>1.71478</v>
      </c>
      <c r="AR17" s="22">
        <v>40.974499999999999</v>
      </c>
      <c r="AS17" s="22">
        <v>-3.6843900000000001E-3</v>
      </c>
      <c r="AT17" s="22">
        <v>7</v>
      </c>
      <c r="AU17" s="22">
        <v>1.71387</v>
      </c>
      <c r="AV17">
        <f t="shared" si="8"/>
        <v>3.6843900000000001</v>
      </c>
      <c r="AW17">
        <f t="shared" si="9"/>
        <v>6.3179182842000001</v>
      </c>
      <c r="AX17" s="9"/>
      <c r="AY17" s="22">
        <v>-6.4697299999999999E-2</v>
      </c>
      <c r="AZ17" s="22">
        <v>45.714100000000002</v>
      </c>
      <c r="BA17" s="22">
        <v>-1.8533299999999999E-2</v>
      </c>
      <c r="BB17" s="22">
        <v>7</v>
      </c>
      <c r="BC17" s="22">
        <v>-6.5155000000000005E-2</v>
      </c>
      <c r="BD17">
        <f t="shared" si="10"/>
        <v>18.533300000000001</v>
      </c>
      <c r="BE17">
        <f t="shared" si="11"/>
        <v>-1.1990544700900001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10.976000000000001</v>
      </c>
      <c r="I18" s="22">
        <v>-4.3454000000000001E-3</v>
      </c>
      <c r="J18" s="22">
        <v>8</v>
      </c>
      <c r="K18" s="22">
        <v>1.7083699999999999</v>
      </c>
      <c r="L18">
        <f t="shared" si="0"/>
        <v>4.3453999999999997</v>
      </c>
      <c r="M18">
        <f t="shared" si="1"/>
        <v>7.4295476499999999</v>
      </c>
      <c r="N18" s="9"/>
      <c r="O18" s="22">
        <v>-5.9661899999999997E-2</v>
      </c>
      <c r="P18" s="22">
        <v>23.863700000000001</v>
      </c>
      <c r="Q18" s="22">
        <v>-1.8484500000000001E-2</v>
      </c>
      <c r="R18" s="22">
        <v>8</v>
      </c>
      <c r="S18" s="22">
        <v>-5.9997599999999998E-2</v>
      </c>
      <c r="T18">
        <f t="shared" si="2"/>
        <v>18.484500000000001</v>
      </c>
      <c r="U18">
        <f t="shared" si="3"/>
        <v>-1.10282039055</v>
      </c>
      <c r="V18" s="23"/>
      <c r="W18" s="24"/>
      <c r="X18" s="9"/>
      <c r="Y18" s="22">
        <v>1.7097500000000001</v>
      </c>
      <c r="Z18" s="22">
        <v>31.247399999999999</v>
      </c>
      <c r="AA18" s="22">
        <v>-4.6157799999999999E-3</v>
      </c>
      <c r="AB18" s="22">
        <v>8</v>
      </c>
      <c r="AC18" s="22">
        <v>1.70868</v>
      </c>
      <c r="AD18">
        <f t="shared" si="4"/>
        <v>4.61578</v>
      </c>
      <c r="AE18">
        <f t="shared" si="5"/>
        <v>7.8918298550000001</v>
      </c>
      <c r="AF18" s="9"/>
      <c r="AG18" s="22">
        <v>-5.9661899999999997E-2</v>
      </c>
      <c r="AH18" s="22">
        <v>36.151000000000003</v>
      </c>
      <c r="AI18" s="22">
        <v>-1.8524200000000001E-2</v>
      </c>
      <c r="AJ18" s="22">
        <v>8</v>
      </c>
      <c r="AK18" s="22">
        <v>-6.0058599999999997E-2</v>
      </c>
      <c r="AL18">
        <f t="shared" si="6"/>
        <v>18.5242</v>
      </c>
      <c r="AM18">
        <f t="shared" si="7"/>
        <v>-1.10518896798</v>
      </c>
      <c r="AP18" s="9"/>
      <c r="AQ18" s="22">
        <v>1.7097500000000001</v>
      </c>
      <c r="AR18" s="22">
        <v>40.9846</v>
      </c>
      <c r="AS18" s="22">
        <v>-4.2819199999999998E-3</v>
      </c>
      <c r="AT18" s="22">
        <v>8</v>
      </c>
      <c r="AU18" s="22">
        <v>1.70868</v>
      </c>
      <c r="AV18">
        <f t="shared" si="8"/>
        <v>4.2819199999999995</v>
      </c>
      <c r="AW18">
        <f t="shared" si="9"/>
        <v>7.3210127199999997</v>
      </c>
      <c r="AX18" s="9"/>
      <c r="AY18" s="22">
        <v>-5.9661899999999997E-2</v>
      </c>
      <c r="AZ18" s="22">
        <v>45.724200000000003</v>
      </c>
      <c r="BA18" s="22">
        <v>-1.85303E-2</v>
      </c>
      <c r="BB18" s="22">
        <v>8</v>
      </c>
      <c r="BC18" s="22">
        <v>-5.9966999999999999E-2</v>
      </c>
      <c r="BD18">
        <f t="shared" si="10"/>
        <v>18.5303</v>
      </c>
      <c r="BE18">
        <f t="shared" si="11"/>
        <v>-1.10555290557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10.9861</v>
      </c>
      <c r="I19" s="22">
        <v>-4.9795500000000001E-3</v>
      </c>
      <c r="J19" s="22">
        <v>9</v>
      </c>
      <c r="K19" s="22">
        <v>1.7034899999999999</v>
      </c>
      <c r="L19">
        <f t="shared" si="0"/>
        <v>4.9795499999999997</v>
      </c>
      <c r="M19">
        <f t="shared" si="1"/>
        <v>8.4886886804999993</v>
      </c>
      <c r="N19" s="9"/>
      <c r="O19" s="22">
        <v>-5.4626500000000001E-2</v>
      </c>
      <c r="P19" s="22">
        <v>23.873799999999999</v>
      </c>
      <c r="Q19" s="22">
        <v>-1.8481399999999999E-2</v>
      </c>
      <c r="R19" s="22">
        <v>9</v>
      </c>
      <c r="S19" s="22">
        <v>-5.7189900000000002E-2</v>
      </c>
      <c r="T19">
        <f t="shared" si="2"/>
        <v>18.481399999999997</v>
      </c>
      <c r="U19">
        <f t="shared" si="3"/>
        <v>-1.0095741970999998</v>
      </c>
      <c r="V19" s="23"/>
      <c r="W19" s="24"/>
      <c r="X19" s="9"/>
      <c r="Y19" s="22">
        <v>1.7047099999999999</v>
      </c>
      <c r="Z19" s="22">
        <v>31.2575</v>
      </c>
      <c r="AA19" s="22">
        <v>-5.1727300000000004E-3</v>
      </c>
      <c r="AB19" s="22">
        <v>9</v>
      </c>
      <c r="AC19" s="22">
        <v>1.7034899999999999</v>
      </c>
      <c r="AD19">
        <f t="shared" si="4"/>
        <v>5.1727300000000005</v>
      </c>
      <c r="AE19">
        <f t="shared" si="5"/>
        <v>8.8180045583000002</v>
      </c>
      <c r="AF19" s="9"/>
      <c r="AG19" s="22">
        <v>-5.4626500000000001E-2</v>
      </c>
      <c r="AH19" s="22">
        <v>36.161099999999998</v>
      </c>
      <c r="AI19" s="22">
        <v>-1.8524200000000001E-2</v>
      </c>
      <c r="AJ19" s="22">
        <v>9</v>
      </c>
      <c r="AK19" s="22">
        <v>-5.5114700000000003E-2</v>
      </c>
      <c r="AL19">
        <f t="shared" si="6"/>
        <v>18.5242</v>
      </c>
      <c r="AM19">
        <f t="shared" si="7"/>
        <v>-1.0119122113000001</v>
      </c>
      <c r="AP19" s="9"/>
      <c r="AQ19" s="22">
        <v>1.7047099999999999</v>
      </c>
      <c r="AR19" s="22">
        <v>40.994700000000002</v>
      </c>
      <c r="AS19" s="22">
        <v>-4.8468000000000001E-3</v>
      </c>
      <c r="AT19" s="22">
        <v>9</v>
      </c>
      <c r="AU19" s="22">
        <v>1.7028799999999999</v>
      </c>
      <c r="AV19">
        <f t="shared" si="8"/>
        <v>4.8468</v>
      </c>
      <c r="AW19">
        <f t="shared" si="9"/>
        <v>8.2623884279999995</v>
      </c>
      <c r="AX19" s="9"/>
      <c r="AY19" s="22">
        <v>-5.4626500000000001E-2</v>
      </c>
      <c r="AZ19" s="22">
        <v>45.734299999999998</v>
      </c>
      <c r="BA19" s="22">
        <v>-1.8524200000000001E-2</v>
      </c>
      <c r="BB19" s="22">
        <v>9</v>
      </c>
      <c r="BC19" s="22">
        <v>-5.4992699999999999E-2</v>
      </c>
      <c r="BD19">
        <f t="shared" si="10"/>
        <v>18.5242</v>
      </c>
      <c r="BE19">
        <f t="shared" si="11"/>
        <v>-1.0119122113000001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10.9961</v>
      </c>
      <c r="I20" s="22">
        <v>-5.5053699999999999E-3</v>
      </c>
      <c r="J20" s="22">
        <v>10</v>
      </c>
      <c r="K20" s="22">
        <v>1.6989099999999999</v>
      </c>
      <c r="L20">
        <f t="shared" si="0"/>
        <v>5.5053700000000001</v>
      </c>
      <c r="M20">
        <f t="shared" si="1"/>
        <v>9.3573672816000002</v>
      </c>
      <c r="N20" s="9"/>
      <c r="O20" s="22">
        <v>-4.9591099999999999E-2</v>
      </c>
      <c r="P20" s="22">
        <v>23.883900000000001</v>
      </c>
      <c r="Q20" s="22">
        <v>-1.8478399999999999E-2</v>
      </c>
      <c r="R20" s="22">
        <v>10</v>
      </c>
      <c r="S20" s="22">
        <v>-4.9591099999999999E-2</v>
      </c>
      <c r="T20">
        <f t="shared" si="2"/>
        <v>18.478400000000001</v>
      </c>
      <c r="U20">
        <f t="shared" si="3"/>
        <v>-0.91636418224000005</v>
      </c>
      <c r="V20" s="23"/>
      <c r="W20" s="24"/>
      <c r="X20" s="9"/>
      <c r="Y20" s="22">
        <v>1.6996800000000001</v>
      </c>
      <c r="Z20" s="22">
        <v>31.267499999999998</v>
      </c>
      <c r="AA20" s="22">
        <v>-5.6793199999999999E-3</v>
      </c>
      <c r="AB20" s="22">
        <v>10</v>
      </c>
      <c r="AC20" s="22">
        <v>1.69861</v>
      </c>
      <c r="AD20">
        <f t="shared" si="4"/>
        <v>5.6793199999999997</v>
      </c>
      <c r="AE20">
        <f t="shared" si="5"/>
        <v>9.6530266176000001</v>
      </c>
      <c r="AF20" s="9"/>
      <c r="AG20" s="22">
        <v>-4.9591099999999999E-2</v>
      </c>
      <c r="AH20" s="22">
        <v>36.171100000000003</v>
      </c>
      <c r="AI20" s="22">
        <v>-1.8524200000000001E-2</v>
      </c>
      <c r="AJ20" s="22">
        <v>10</v>
      </c>
      <c r="AK20" s="22">
        <v>-5.02014E-2</v>
      </c>
      <c r="AL20">
        <f t="shared" si="6"/>
        <v>18.5242</v>
      </c>
      <c r="AM20">
        <f t="shared" si="7"/>
        <v>-0.91863545461999996</v>
      </c>
      <c r="AP20" s="9"/>
      <c r="AQ20" s="22">
        <v>1.6996800000000001</v>
      </c>
      <c r="AR20" s="22">
        <v>41.0047</v>
      </c>
      <c r="AS20" s="22">
        <v>-5.3558299999999998E-3</v>
      </c>
      <c r="AT20" s="22">
        <v>10</v>
      </c>
      <c r="AU20" s="22">
        <v>1.69861</v>
      </c>
      <c r="AV20">
        <f t="shared" si="8"/>
        <v>5.3558300000000001</v>
      </c>
      <c r="AW20">
        <f t="shared" si="9"/>
        <v>9.1031971344000002</v>
      </c>
      <c r="AX20" s="9"/>
      <c r="AY20" s="22">
        <v>-4.9591099999999999E-2</v>
      </c>
      <c r="AZ20" s="22">
        <v>45.744300000000003</v>
      </c>
      <c r="BA20" s="22">
        <v>-1.8521099999999999E-2</v>
      </c>
      <c r="BB20" s="22">
        <v>10</v>
      </c>
      <c r="BC20" s="22">
        <v>-4.98047E-2</v>
      </c>
      <c r="BD20">
        <f t="shared" si="10"/>
        <v>18.521099999999997</v>
      </c>
      <c r="BE20">
        <f t="shared" si="11"/>
        <v>-0.9184817222099998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11.0062</v>
      </c>
      <c r="I21" s="22">
        <v>-5.9875500000000003E-3</v>
      </c>
      <c r="J21" s="22">
        <v>11</v>
      </c>
      <c r="K21" s="22">
        <v>1.6934199999999999</v>
      </c>
      <c r="L21">
        <f t="shared" si="0"/>
        <v>5.9875500000000006</v>
      </c>
      <c r="M21">
        <f t="shared" si="1"/>
        <v>10.146741732000001</v>
      </c>
      <c r="N21" s="9"/>
      <c r="O21" s="22">
        <v>-4.4555699999999997E-2</v>
      </c>
      <c r="P21" s="22">
        <v>23.893999999999998</v>
      </c>
      <c r="Q21" s="22">
        <v>-1.84753E-2</v>
      </c>
      <c r="R21" s="22">
        <v>11</v>
      </c>
      <c r="S21" s="22">
        <v>-4.5123299999999998E-2</v>
      </c>
      <c r="T21">
        <f t="shared" si="2"/>
        <v>18.475300000000001</v>
      </c>
      <c r="U21">
        <f t="shared" si="3"/>
        <v>-0.82317992420999997</v>
      </c>
      <c r="V21" s="23"/>
      <c r="W21" s="24"/>
      <c r="X21" s="9"/>
      <c r="Y21" s="22">
        <v>1.6946399999999999</v>
      </c>
      <c r="Z21" s="22">
        <v>31.2776</v>
      </c>
      <c r="AA21" s="22">
        <v>-6.1401399999999997E-3</v>
      </c>
      <c r="AB21" s="22">
        <v>11</v>
      </c>
      <c r="AC21" s="22">
        <v>1.6934199999999999</v>
      </c>
      <c r="AD21">
        <f t="shared" si="4"/>
        <v>6.1401399999999997</v>
      </c>
      <c r="AE21">
        <f t="shared" si="5"/>
        <v>10.4053268496</v>
      </c>
      <c r="AF21" s="9"/>
      <c r="AG21" s="22">
        <v>-4.4555699999999997E-2</v>
      </c>
      <c r="AH21" s="22">
        <v>36.181199999999997</v>
      </c>
      <c r="AI21" s="22">
        <v>-1.8518099999999999E-2</v>
      </c>
      <c r="AJ21" s="22">
        <v>11</v>
      </c>
      <c r="AK21" s="22">
        <v>-4.4891399999999998E-2</v>
      </c>
      <c r="AL21">
        <f t="shared" si="6"/>
        <v>18.5181</v>
      </c>
      <c r="AM21">
        <f t="shared" si="7"/>
        <v>-0.82508690816999997</v>
      </c>
      <c r="AP21" s="9"/>
      <c r="AQ21" s="22">
        <v>1.6946399999999999</v>
      </c>
      <c r="AR21" s="22">
        <v>41.014800000000001</v>
      </c>
      <c r="AS21" s="22">
        <v>-5.8288599999999999E-3</v>
      </c>
      <c r="AT21" s="22">
        <v>11</v>
      </c>
      <c r="AU21" s="22">
        <v>1.6940299999999999</v>
      </c>
      <c r="AV21">
        <f t="shared" si="8"/>
        <v>5.8288599999999997</v>
      </c>
      <c r="AW21">
        <f t="shared" si="9"/>
        <v>9.8778193103999996</v>
      </c>
      <c r="AX21" s="9"/>
      <c r="AY21" s="22">
        <v>-4.4555699999999997E-2</v>
      </c>
      <c r="AZ21" s="22">
        <v>45.754399999999997</v>
      </c>
      <c r="BA21" s="22">
        <v>-1.8518099999999999E-2</v>
      </c>
      <c r="BB21" s="22">
        <v>11</v>
      </c>
      <c r="BC21" s="22">
        <v>-4.4702100000000002E-2</v>
      </c>
      <c r="BD21">
        <f t="shared" si="10"/>
        <v>18.5181</v>
      </c>
      <c r="BE21">
        <f t="shared" si="11"/>
        <v>-0.82508690816999997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11.016299999999999</v>
      </c>
      <c r="I22" s="22">
        <v>-6.41174E-3</v>
      </c>
      <c r="J22" s="22">
        <v>12</v>
      </c>
      <c r="K22" s="22">
        <v>1.6891499999999999</v>
      </c>
      <c r="L22">
        <f t="shared" si="0"/>
        <v>6.41174</v>
      </c>
      <c r="M22">
        <f t="shared" si="1"/>
        <v>10.8333400214</v>
      </c>
      <c r="N22" s="9"/>
      <c r="O22" s="22">
        <v>-3.9520300000000001E-2</v>
      </c>
      <c r="P22" s="22">
        <v>23.904</v>
      </c>
      <c r="Q22" s="22">
        <v>-1.8472300000000001E-2</v>
      </c>
      <c r="R22" s="22">
        <v>12</v>
      </c>
      <c r="S22" s="22">
        <v>-3.9807099999999998E-2</v>
      </c>
      <c r="T22">
        <f t="shared" si="2"/>
        <v>18.472300000000001</v>
      </c>
      <c r="U22">
        <f t="shared" si="3"/>
        <v>-0.7300308376900001</v>
      </c>
      <c r="V22" s="23"/>
      <c r="W22" s="24"/>
      <c r="X22" s="9"/>
      <c r="Y22" s="22">
        <v>1.6896100000000001</v>
      </c>
      <c r="Z22" s="22">
        <v>31.287700000000001</v>
      </c>
      <c r="AA22" s="22">
        <v>-6.55823E-3</v>
      </c>
      <c r="AB22" s="22">
        <v>12</v>
      </c>
      <c r="AC22" s="22">
        <v>1.6888399999999999</v>
      </c>
      <c r="AD22">
        <f t="shared" si="4"/>
        <v>6.55823</v>
      </c>
      <c r="AE22">
        <f t="shared" si="5"/>
        <v>11.0808509903</v>
      </c>
      <c r="AF22" s="9"/>
      <c r="AG22" s="22">
        <v>-3.9520300000000001E-2</v>
      </c>
      <c r="AH22" s="22">
        <v>36.191299999999998</v>
      </c>
      <c r="AI22" s="22">
        <v>-1.8512000000000001E-2</v>
      </c>
      <c r="AJ22" s="22">
        <v>12</v>
      </c>
      <c r="AK22" s="22">
        <v>-3.9621000000000003E-2</v>
      </c>
      <c r="AL22">
        <f t="shared" si="6"/>
        <v>18.512</v>
      </c>
      <c r="AM22">
        <f t="shared" si="7"/>
        <v>-0.73159979360000005</v>
      </c>
      <c r="AP22" s="9"/>
      <c r="AQ22" s="22">
        <v>1.6896100000000001</v>
      </c>
      <c r="AR22" s="22">
        <v>41.024900000000002</v>
      </c>
      <c r="AS22" s="22">
        <v>-6.2530499999999996E-3</v>
      </c>
      <c r="AT22" s="22">
        <v>12</v>
      </c>
      <c r="AU22" s="22">
        <v>1.6888399999999999</v>
      </c>
      <c r="AV22">
        <f t="shared" si="8"/>
        <v>6.25305</v>
      </c>
      <c r="AW22">
        <f t="shared" si="9"/>
        <v>10.5652158105</v>
      </c>
      <c r="AX22" s="9"/>
      <c r="AY22" s="22">
        <v>-3.9520300000000001E-2</v>
      </c>
      <c r="AZ22" s="22">
        <v>45.764499999999998</v>
      </c>
      <c r="BA22" s="22">
        <v>-1.8512000000000001E-2</v>
      </c>
      <c r="BB22" s="22">
        <v>12</v>
      </c>
      <c r="BC22" s="22">
        <v>-3.9804100000000002E-2</v>
      </c>
      <c r="BD22">
        <f t="shared" si="10"/>
        <v>18.512</v>
      </c>
      <c r="BE22">
        <f t="shared" si="11"/>
        <v>-0.73159979360000005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11.026400000000001</v>
      </c>
      <c r="I23" s="22">
        <v>-6.8054200000000004E-3</v>
      </c>
      <c r="J23" s="22">
        <v>13</v>
      </c>
      <c r="K23" s="22">
        <v>1.6833499999999999</v>
      </c>
      <c r="L23">
        <f t="shared" si="0"/>
        <v>6.8054200000000007</v>
      </c>
      <c r="M23">
        <f t="shared" si="1"/>
        <v>11.464206369400001</v>
      </c>
      <c r="N23" s="9"/>
      <c r="O23" s="22">
        <v>-3.4484899999999999E-2</v>
      </c>
      <c r="P23" s="22">
        <v>23.914100000000001</v>
      </c>
      <c r="Q23" s="22">
        <v>-1.8469200000000002E-2</v>
      </c>
      <c r="R23" s="22">
        <v>13</v>
      </c>
      <c r="S23" s="22">
        <v>-3.4600800000000001E-2</v>
      </c>
      <c r="T23">
        <f t="shared" si="2"/>
        <v>18.469200000000001</v>
      </c>
      <c r="U23">
        <f t="shared" si="3"/>
        <v>-0.63690851508000002</v>
      </c>
      <c r="V23" s="23"/>
      <c r="W23" s="24"/>
      <c r="X23" s="9"/>
      <c r="Y23" s="22">
        <v>1.6845699999999999</v>
      </c>
      <c r="Z23" s="22">
        <v>31.297699999999999</v>
      </c>
      <c r="AA23" s="22">
        <v>-6.9427500000000001E-3</v>
      </c>
      <c r="AB23" s="22">
        <v>13</v>
      </c>
      <c r="AC23" s="22">
        <v>1.6836500000000001</v>
      </c>
      <c r="AD23">
        <f t="shared" si="4"/>
        <v>6.9427500000000002</v>
      </c>
      <c r="AE23">
        <f t="shared" si="5"/>
        <v>11.695548367499999</v>
      </c>
      <c r="AF23" s="9"/>
      <c r="AG23" s="22">
        <v>-3.4484899999999999E-2</v>
      </c>
      <c r="AH23" s="22">
        <v>36.201300000000003</v>
      </c>
      <c r="AI23" s="22">
        <v>-1.8505899999999999E-2</v>
      </c>
      <c r="AJ23" s="22">
        <v>13</v>
      </c>
      <c r="AK23" s="22">
        <v>-3.4704600000000002E-2</v>
      </c>
      <c r="AL23">
        <f t="shared" si="6"/>
        <v>18.5059</v>
      </c>
      <c r="AM23">
        <f t="shared" si="7"/>
        <v>-0.63817411090999998</v>
      </c>
      <c r="AP23" s="9"/>
      <c r="AQ23" s="22">
        <v>1.6845699999999999</v>
      </c>
      <c r="AR23" s="22">
        <v>41.0349</v>
      </c>
      <c r="AS23" s="22">
        <v>-6.6528300000000002E-3</v>
      </c>
      <c r="AT23" s="22">
        <v>13</v>
      </c>
      <c r="AU23" s="22">
        <v>1.6836500000000001</v>
      </c>
      <c r="AV23">
        <f t="shared" si="8"/>
        <v>6.6528299999999998</v>
      </c>
      <c r="AW23">
        <f t="shared" si="9"/>
        <v>11.207157833099998</v>
      </c>
      <c r="AX23" s="9"/>
      <c r="AY23" s="22">
        <v>-3.4484899999999999E-2</v>
      </c>
      <c r="AZ23" s="22">
        <v>45.774500000000003</v>
      </c>
      <c r="BA23" s="22">
        <v>-1.8505899999999999E-2</v>
      </c>
      <c r="BB23" s="22">
        <v>13</v>
      </c>
      <c r="BC23" s="22">
        <v>-3.4759499999999999E-2</v>
      </c>
      <c r="BD23">
        <f t="shared" si="10"/>
        <v>18.5059</v>
      </c>
      <c r="BE23">
        <f t="shared" si="11"/>
        <v>-0.63817411090999998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11.0364</v>
      </c>
      <c r="I24" s="22">
        <v>-7.1624799999999997E-3</v>
      </c>
      <c r="J24" s="22">
        <v>14</v>
      </c>
      <c r="K24" s="22">
        <v>1.6784699999999999</v>
      </c>
      <c r="L24">
        <f t="shared" si="0"/>
        <v>7.1624799999999995</v>
      </c>
      <c r="M24">
        <f t="shared" si="1"/>
        <v>12.0296000344</v>
      </c>
      <c r="N24" s="9"/>
      <c r="O24" s="22">
        <v>-2.94495E-2</v>
      </c>
      <c r="P24" s="22">
        <v>23.924199999999999</v>
      </c>
      <c r="Q24" s="22">
        <v>-1.8466199999999999E-2</v>
      </c>
      <c r="R24" s="22">
        <v>14</v>
      </c>
      <c r="S24" s="22">
        <v>-2.9595900000000001E-2</v>
      </c>
      <c r="T24">
        <f t="shared" si="2"/>
        <v>18.466199999999997</v>
      </c>
      <c r="U24">
        <f t="shared" si="3"/>
        <v>-0.54382035689999997</v>
      </c>
      <c r="V24" s="23"/>
      <c r="W24" s="24"/>
      <c r="X24" s="9"/>
      <c r="Y24" s="22">
        <v>1.67953</v>
      </c>
      <c r="Z24" s="22">
        <v>31.3078</v>
      </c>
      <c r="AA24" s="22">
        <v>-7.2967500000000003E-3</v>
      </c>
      <c r="AB24" s="22">
        <v>14</v>
      </c>
      <c r="AC24" s="22">
        <v>1.6787700000000001</v>
      </c>
      <c r="AD24">
        <f t="shared" si="4"/>
        <v>7.2967500000000003</v>
      </c>
      <c r="AE24">
        <f t="shared" si="5"/>
        <v>12.255110527499999</v>
      </c>
      <c r="AF24" s="9"/>
      <c r="AG24" s="22">
        <v>-2.94495E-2</v>
      </c>
      <c r="AH24" s="22">
        <v>36.211399999999998</v>
      </c>
      <c r="AI24" s="22">
        <v>-1.85028E-2</v>
      </c>
      <c r="AJ24" s="22">
        <v>14</v>
      </c>
      <c r="AK24" s="22">
        <v>-2.9479999999999999E-2</v>
      </c>
      <c r="AL24">
        <f t="shared" si="6"/>
        <v>18.502800000000001</v>
      </c>
      <c r="AM24">
        <f t="shared" si="7"/>
        <v>-0.54489820860000004</v>
      </c>
      <c r="AP24" s="9"/>
      <c r="AQ24" s="22">
        <v>1.67953</v>
      </c>
      <c r="AR24" s="22">
        <v>41.045000000000002</v>
      </c>
      <c r="AS24" s="22">
        <v>-7.0068400000000003E-3</v>
      </c>
      <c r="AT24" s="22">
        <v>14</v>
      </c>
      <c r="AU24" s="22">
        <v>1.6784699999999999</v>
      </c>
      <c r="AV24">
        <f t="shared" si="8"/>
        <v>7.0068400000000004</v>
      </c>
      <c r="AW24">
        <f t="shared" si="9"/>
        <v>11.7681979852</v>
      </c>
      <c r="AX24" s="9"/>
      <c r="AY24" s="22">
        <v>-2.94495E-2</v>
      </c>
      <c r="AZ24" s="22">
        <v>45.784599999999998</v>
      </c>
      <c r="BA24" s="22">
        <v>-1.85028E-2</v>
      </c>
      <c r="BB24" s="22">
        <v>14</v>
      </c>
      <c r="BC24" s="22">
        <v>-2.9687499999999999E-2</v>
      </c>
      <c r="BD24">
        <f t="shared" si="10"/>
        <v>18.502800000000001</v>
      </c>
      <c r="BE24">
        <f t="shared" si="11"/>
        <v>-0.54489820860000004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11.0465</v>
      </c>
      <c r="I25" s="22">
        <v>-7.5164799999999999E-3</v>
      </c>
      <c r="J25" s="22">
        <v>15</v>
      </c>
      <c r="K25" s="22">
        <v>1.6726700000000001</v>
      </c>
      <c r="L25">
        <f t="shared" si="0"/>
        <v>7.5164799999999996</v>
      </c>
      <c r="M25">
        <f t="shared" si="1"/>
        <v>12.58634576</v>
      </c>
      <c r="N25" s="9"/>
      <c r="O25" s="22">
        <v>-2.4414100000000001E-2</v>
      </c>
      <c r="P25" s="22">
        <v>23.934200000000001</v>
      </c>
      <c r="Q25" s="22">
        <v>-1.84631E-2</v>
      </c>
      <c r="R25" s="22">
        <v>15</v>
      </c>
      <c r="S25" s="22">
        <v>-2.4520900000000002E-2</v>
      </c>
      <c r="T25">
        <f t="shared" si="2"/>
        <v>18.463100000000001</v>
      </c>
      <c r="U25">
        <f t="shared" si="3"/>
        <v>-0.45075996971000004</v>
      </c>
      <c r="V25" s="23"/>
      <c r="W25" s="24"/>
      <c r="X25" s="9"/>
      <c r="Y25" s="22">
        <v>1.6745000000000001</v>
      </c>
      <c r="Z25" s="22">
        <v>31.317900000000002</v>
      </c>
      <c r="AA25" s="22">
        <v>-7.6324499999999998E-3</v>
      </c>
      <c r="AB25" s="22">
        <v>15</v>
      </c>
      <c r="AC25" s="22">
        <v>1.6735800000000001</v>
      </c>
      <c r="AD25">
        <f t="shared" si="4"/>
        <v>7.6324499999999995</v>
      </c>
      <c r="AE25">
        <f t="shared" si="5"/>
        <v>12.780537525</v>
      </c>
      <c r="AF25" s="9"/>
      <c r="AG25" s="22">
        <v>-2.4414100000000001E-2</v>
      </c>
      <c r="AH25" s="22">
        <v>36.221499999999999</v>
      </c>
      <c r="AI25" s="22">
        <v>-1.84998E-2</v>
      </c>
      <c r="AJ25" s="22">
        <v>15</v>
      </c>
      <c r="AK25" s="22">
        <v>-2.4453699999999998E-2</v>
      </c>
      <c r="AL25">
        <f t="shared" si="6"/>
        <v>18.4998</v>
      </c>
      <c r="AM25">
        <f t="shared" si="7"/>
        <v>-0.45165596718000001</v>
      </c>
      <c r="AP25" s="9"/>
      <c r="AQ25" s="22">
        <v>1.6745000000000001</v>
      </c>
      <c r="AR25" s="22">
        <v>41.055100000000003</v>
      </c>
      <c r="AS25" s="22">
        <v>-7.3516800000000002E-3</v>
      </c>
      <c r="AT25" s="22">
        <v>15</v>
      </c>
      <c r="AU25" s="22">
        <v>1.6738900000000001</v>
      </c>
      <c r="AV25">
        <f t="shared" si="8"/>
        <v>7.35168</v>
      </c>
      <c r="AW25">
        <f t="shared" si="9"/>
        <v>12.31038816</v>
      </c>
      <c r="AX25" s="9"/>
      <c r="AY25" s="22">
        <v>-2.4414100000000001E-2</v>
      </c>
      <c r="AZ25" s="22">
        <v>45.794699999999999</v>
      </c>
      <c r="BA25" s="22">
        <v>-1.8496700000000001E-2</v>
      </c>
      <c r="BB25" s="22">
        <v>15</v>
      </c>
      <c r="BC25" s="22">
        <v>-2.42279E-2</v>
      </c>
      <c r="BD25">
        <f t="shared" si="10"/>
        <v>18.496700000000001</v>
      </c>
      <c r="BE25">
        <f t="shared" si="11"/>
        <v>-0.45158028347000001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11.0566</v>
      </c>
      <c r="I26" s="22">
        <v>-7.8399699999999999E-3</v>
      </c>
      <c r="J26" s="22">
        <v>16</v>
      </c>
      <c r="K26" s="22">
        <v>1.6684000000000001</v>
      </c>
      <c r="L26">
        <f t="shared" si="0"/>
        <v>7.8399700000000001</v>
      </c>
      <c r="M26">
        <f t="shared" si="1"/>
        <v>13.0885163162</v>
      </c>
      <c r="N26" s="9"/>
      <c r="O26" s="22">
        <v>-1.9378699999999999E-2</v>
      </c>
      <c r="P26" s="22">
        <v>23.944299999999998</v>
      </c>
      <c r="Q26" s="22">
        <v>-1.84601E-2</v>
      </c>
      <c r="R26" s="22">
        <v>16</v>
      </c>
      <c r="S26" s="22">
        <v>-1.9101E-2</v>
      </c>
      <c r="T26">
        <f t="shared" si="2"/>
        <v>18.460100000000001</v>
      </c>
      <c r="U26">
        <f t="shared" si="3"/>
        <v>-0.35773273986999998</v>
      </c>
      <c r="V26" s="23"/>
      <c r="W26" s="24"/>
      <c r="X26" s="9"/>
      <c r="Y26" s="22">
        <v>1.6694599999999999</v>
      </c>
      <c r="Z26" s="22">
        <v>31.3279</v>
      </c>
      <c r="AA26" s="22">
        <v>-7.9498299999999997E-3</v>
      </c>
      <c r="AB26" s="22">
        <v>16</v>
      </c>
      <c r="AC26" s="22">
        <v>1.6687000000000001</v>
      </c>
      <c r="AD26">
        <f t="shared" si="4"/>
        <v>7.9498299999999995</v>
      </c>
      <c r="AE26">
        <f t="shared" si="5"/>
        <v>13.271923191799999</v>
      </c>
      <c r="AF26" s="9"/>
      <c r="AG26" s="22">
        <v>-1.9378699999999999E-2</v>
      </c>
      <c r="AH26" s="22">
        <v>36.2316</v>
      </c>
      <c r="AI26" s="22">
        <v>-1.8496700000000001E-2</v>
      </c>
      <c r="AJ26" s="22">
        <v>16</v>
      </c>
      <c r="AK26" s="22">
        <v>-1.95251E-2</v>
      </c>
      <c r="AL26">
        <f t="shared" si="6"/>
        <v>18.496700000000001</v>
      </c>
      <c r="AM26">
        <f t="shared" si="7"/>
        <v>-0.35844200029000001</v>
      </c>
      <c r="AP26" s="9"/>
      <c r="AQ26" s="22">
        <v>1.6694599999999999</v>
      </c>
      <c r="AR26" s="22">
        <v>41.065100000000001</v>
      </c>
      <c r="AS26" s="22">
        <v>-7.6690700000000001E-3</v>
      </c>
      <c r="AT26" s="22">
        <v>16</v>
      </c>
      <c r="AU26" s="22">
        <v>1.6680900000000001</v>
      </c>
      <c r="AV26">
        <f t="shared" si="8"/>
        <v>7.6690699999999996</v>
      </c>
      <c r="AW26">
        <f t="shared" si="9"/>
        <v>12.803205602199998</v>
      </c>
      <c r="AX26" s="9"/>
      <c r="AY26" s="22">
        <v>-1.9378699999999999E-2</v>
      </c>
      <c r="AZ26" s="22">
        <v>45.8048</v>
      </c>
      <c r="BA26" s="22">
        <v>-1.8493699999999998E-2</v>
      </c>
      <c r="BB26" s="22">
        <v>16</v>
      </c>
      <c r="BC26" s="22">
        <v>-1.9308499999999999E-2</v>
      </c>
      <c r="BD26">
        <f t="shared" si="10"/>
        <v>18.493699999999997</v>
      </c>
      <c r="BE26">
        <f t="shared" si="11"/>
        <v>-0.3583838641899999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11.066599999999999</v>
      </c>
      <c r="I27" s="22">
        <v>-8.1542999999999997E-3</v>
      </c>
      <c r="J27" s="22">
        <v>17</v>
      </c>
      <c r="K27" s="22">
        <v>1.6632100000000001</v>
      </c>
      <c r="L27">
        <f t="shared" si="0"/>
        <v>8.1542999999999992</v>
      </c>
      <c r="M27">
        <f t="shared" si="1"/>
        <v>13.572261548999998</v>
      </c>
      <c r="N27" s="9"/>
      <c r="O27" s="22">
        <v>-1.43433E-2</v>
      </c>
      <c r="P27" s="22">
        <v>23.9544</v>
      </c>
      <c r="Q27" s="22">
        <v>-1.8457000000000001E-2</v>
      </c>
      <c r="R27" s="22">
        <v>17</v>
      </c>
      <c r="S27" s="22">
        <v>-1.37085E-2</v>
      </c>
      <c r="T27">
        <f t="shared" si="2"/>
        <v>18.457000000000001</v>
      </c>
      <c r="U27">
        <f t="shared" si="3"/>
        <v>-0.26473428809999999</v>
      </c>
      <c r="X27" s="9"/>
      <c r="Y27" s="22">
        <v>1.6644300000000001</v>
      </c>
      <c r="Z27" s="22">
        <v>31.338000000000001</v>
      </c>
      <c r="AA27" s="22">
        <v>-8.2550000000000002E-3</v>
      </c>
      <c r="AB27" s="22">
        <v>17</v>
      </c>
      <c r="AC27" s="22">
        <v>1.66351</v>
      </c>
      <c r="AD27">
        <f t="shared" si="4"/>
        <v>8.2550000000000008</v>
      </c>
      <c r="AE27">
        <f t="shared" si="5"/>
        <v>13.739869650000001</v>
      </c>
      <c r="AF27" s="9"/>
      <c r="AG27" s="22">
        <v>-1.43433E-2</v>
      </c>
      <c r="AH27" s="22">
        <v>36.241599999999998</v>
      </c>
      <c r="AI27" s="22">
        <v>-1.8490599999999999E-2</v>
      </c>
      <c r="AJ27" s="22">
        <v>17</v>
      </c>
      <c r="AK27" s="22">
        <v>-1.45416E-2</v>
      </c>
      <c r="AL27">
        <f t="shared" si="6"/>
        <v>18.490600000000001</v>
      </c>
      <c r="AM27">
        <f t="shared" si="7"/>
        <v>-0.26521622298000003</v>
      </c>
      <c r="AP27" s="9"/>
      <c r="AQ27" s="22">
        <v>1.6644300000000001</v>
      </c>
      <c r="AR27" s="22">
        <v>41.075200000000002</v>
      </c>
      <c r="AS27" s="22">
        <v>-7.9864500000000008E-3</v>
      </c>
      <c r="AT27" s="22">
        <v>17</v>
      </c>
      <c r="AU27" s="22">
        <v>1.6632100000000001</v>
      </c>
      <c r="AV27">
        <f t="shared" si="8"/>
        <v>7.9864500000000005</v>
      </c>
      <c r="AW27">
        <f t="shared" si="9"/>
        <v>13.292886973500002</v>
      </c>
      <c r="AX27" s="9"/>
      <c r="AY27" s="22">
        <v>-1.43433E-2</v>
      </c>
      <c r="AZ27" s="22">
        <v>45.814799999999998</v>
      </c>
      <c r="BA27" s="22">
        <v>-1.84875E-2</v>
      </c>
      <c r="BB27" s="22">
        <v>17</v>
      </c>
      <c r="BC27" s="22">
        <v>-1.45874E-2</v>
      </c>
      <c r="BD27">
        <f t="shared" si="10"/>
        <v>18.487500000000001</v>
      </c>
      <c r="BE27">
        <f t="shared" si="11"/>
        <v>-0.26517175874999999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11.076700000000001</v>
      </c>
      <c r="I28" s="22">
        <v>-8.4503200000000007E-3</v>
      </c>
      <c r="J28" s="22">
        <v>18</v>
      </c>
      <c r="K28" s="22">
        <v>1.65924</v>
      </c>
      <c r="L28">
        <f t="shared" si="0"/>
        <v>8.4503200000000014</v>
      </c>
      <c r="M28">
        <f t="shared" si="1"/>
        <v>14.022376504800002</v>
      </c>
      <c r="N28" s="9"/>
      <c r="O28" s="22">
        <v>-9.3078599999999994E-3</v>
      </c>
      <c r="P28" s="22">
        <v>23.964500000000001</v>
      </c>
      <c r="Q28" s="22">
        <v>-1.8450899999999999E-2</v>
      </c>
      <c r="R28" s="22">
        <v>18</v>
      </c>
      <c r="S28" s="22">
        <v>-9.6466099999999999E-3</v>
      </c>
      <c r="T28">
        <f t="shared" si="2"/>
        <v>18.450900000000001</v>
      </c>
      <c r="U28">
        <f t="shared" si="3"/>
        <v>-0.17173839407399999</v>
      </c>
      <c r="X28" s="9"/>
      <c r="Y28" s="22">
        <v>1.6593899999999999</v>
      </c>
      <c r="Z28" s="22">
        <v>31.348099999999999</v>
      </c>
      <c r="AA28" s="22">
        <v>-8.5510299999999994E-3</v>
      </c>
      <c r="AB28" s="22">
        <v>18</v>
      </c>
      <c r="AC28" s="22">
        <v>1.6583300000000001</v>
      </c>
      <c r="AD28">
        <f t="shared" si="4"/>
        <v>8.551029999999999</v>
      </c>
      <c r="AE28">
        <f t="shared" si="5"/>
        <v>14.189493671699998</v>
      </c>
      <c r="AF28" s="9"/>
      <c r="AG28" s="22">
        <v>-9.3078599999999994E-3</v>
      </c>
      <c r="AH28" s="22">
        <v>36.2517</v>
      </c>
      <c r="AI28" s="22">
        <v>-1.84875E-2</v>
      </c>
      <c r="AJ28" s="22">
        <v>18</v>
      </c>
      <c r="AK28" s="22">
        <v>-9.3109100000000004E-3</v>
      </c>
      <c r="AL28">
        <f t="shared" si="6"/>
        <v>18.487500000000001</v>
      </c>
      <c r="AM28">
        <f t="shared" si="7"/>
        <v>-0.17207906174999998</v>
      </c>
      <c r="AP28" s="9"/>
      <c r="AQ28" s="22">
        <v>1.6593899999999999</v>
      </c>
      <c r="AR28" s="22">
        <v>41.085299999999997</v>
      </c>
      <c r="AS28" s="22">
        <v>-8.2855199999999993E-3</v>
      </c>
      <c r="AT28" s="22">
        <v>18</v>
      </c>
      <c r="AU28" s="22">
        <v>1.65802</v>
      </c>
      <c r="AV28">
        <f t="shared" si="8"/>
        <v>8.28552</v>
      </c>
      <c r="AW28">
        <f t="shared" si="9"/>
        <v>13.748909032799999</v>
      </c>
      <c r="AX28" s="9"/>
      <c r="AY28" s="22">
        <v>-9.3078599999999994E-3</v>
      </c>
      <c r="AZ28" s="22">
        <v>45.8249</v>
      </c>
      <c r="BA28" s="22">
        <v>-1.84875E-2</v>
      </c>
      <c r="BB28" s="22">
        <v>18</v>
      </c>
      <c r="BC28" s="22">
        <v>-9.4116200000000007E-3</v>
      </c>
      <c r="BD28">
        <f t="shared" si="10"/>
        <v>18.487500000000001</v>
      </c>
      <c r="BE28">
        <f t="shared" si="11"/>
        <v>-0.17207906174999998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11.0868</v>
      </c>
      <c r="I29" s="22">
        <v>-8.7341299999999997E-3</v>
      </c>
      <c r="J29" s="22">
        <v>19</v>
      </c>
      <c r="K29" s="22">
        <v>1.65344</v>
      </c>
      <c r="L29">
        <f t="shared" si="0"/>
        <v>8.7341300000000004</v>
      </c>
      <c r="M29">
        <f t="shared" si="1"/>
        <v>14.449395306800001</v>
      </c>
      <c r="N29" s="9"/>
      <c r="O29" s="22">
        <v>-4.2724599999999996E-3</v>
      </c>
      <c r="P29" s="22">
        <v>23.974499999999999</v>
      </c>
      <c r="Q29" s="22">
        <v>-1.8444800000000001E-2</v>
      </c>
      <c r="R29" s="22">
        <v>19</v>
      </c>
      <c r="S29" s="22">
        <v>-4.0679899999999996E-3</v>
      </c>
      <c r="T29">
        <f t="shared" si="2"/>
        <v>18.444800000000001</v>
      </c>
      <c r="U29">
        <f t="shared" si="3"/>
        <v>-7.8804670207999999E-2</v>
      </c>
      <c r="X29" s="9"/>
      <c r="Y29" s="22">
        <v>1.6543600000000001</v>
      </c>
      <c r="Z29" s="22">
        <v>31.3582</v>
      </c>
      <c r="AA29" s="22">
        <v>-8.8287399999999999E-3</v>
      </c>
      <c r="AB29" s="22">
        <v>19</v>
      </c>
      <c r="AC29" s="22">
        <v>1.65344</v>
      </c>
      <c r="AD29">
        <f t="shared" si="4"/>
        <v>8.8287399999999998</v>
      </c>
      <c r="AE29">
        <f t="shared" si="5"/>
        <v>14.605914306400001</v>
      </c>
      <c r="AF29" s="9"/>
      <c r="AG29" s="22">
        <v>-4.2724599999999996E-3</v>
      </c>
      <c r="AH29" s="22">
        <v>36.261800000000001</v>
      </c>
      <c r="AI29" s="22">
        <v>-1.8484500000000001E-2</v>
      </c>
      <c r="AJ29" s="22">
        <v>19</v>
      </c>
      <c r="AK29" s="22">
        <v>-4.3395999999999999E-3</v>
      </c>
      <c r="AL29">
        <f t="shared" si="6"/>
        <v>18.484500000000001</v>
      </c>
      <c r="AM29">
        <f t="shared" si="7"/>
        <v>-7.8974286869999993E-2</v>
      </c>
      <c r="AP29" s="9"/>
      <c r="AQ29" s="22">
        <v>1.6543600000000001</v>
      </c>
      <c r="AR29" s="22">
        <v>41.095399999999998</v>
      </c>
      <c r="AS29" s="22">
        <v>-8.5784899999999994E-3</v>
      </c>
      <c r="AT29" s="22">
        <v>19</v>
      </c>
      <c r="AU29" s="22">
        <v>1.6537500000000001</v>
      </c>
      <c r="AV29">
        <f t="shared" si="8"/>
        <v>8.5784899999999986</v>
      </c>
      <c r="AW29">
        <f t="shared" si="9"/>
        <v>14.191910716399999</v>
      </c>
      <c r="AX29" s="9"/>
      <c r="AY29" s="22">
        <v>-4.2724599999999996E-3</v>
      </c>
      <c r="AZ29" s="22">
        <v>45.835000000000001</v>
      </c>
      <c r="BA29" s="22">
        <v>-1.8484500000000001E-2</v>
      </c>
      <c r="BB29" s="22">
        <v>19</v>
      </c>
      <c r="BC29" s="22">
        <v>-4.5654299999999997E-3</v>
      </c>
      <c r="BD29">
        <f t="shared" si="10"/>
        <v>18.484500000000001</v>
      </c>
      <c r="BE29">
        <f t="shared" si="11"/>
        <v>-7.8974286869999993E-2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11.0968</v>
      </c>
      <c r="I30" s="22">
        <v>-9.0087899999999992E-3</v>
      </c>
      <c r="J30" s="22">
        <v>20</v>
      </c>
      <c r="K30" s="22">
        <v>1.64886</v>
      </c>
      <c r="L30">
        <f t="shared" si="0"/>
        <v>9.0087899999999994</v>
      </c>
      <c r="M30">
        <f t="shared" si="1"/>
        <v>14.858377522799998</v>
      </c>
      <c r="N30" s="9"/>
      <c r="O30" s="22">
        <v>7.6293900000000002E-4</v>
      </c>
      <c r="P30" s="22">
        <v>23.9846</v>
      </c>
      <c r="Q30" s="22">
        <v>-1.8441800000000001E-2</v>
      </c>
      <c r="R30" s="22">
        <v>20</v>
      </c>
      <c r="S30" s="22">
        <v>7.3242200000000004E-4</v>
      </c>
      <c r="T30">
        <f t="shared" si="2"/>
        <v>18.441800000000001</v>
      </c>
      <c r="U30">
        <f t="shared" si="3"/>
        <v>1.4069968450200001E-2</v>
      </c>
      <c r="X30" s="9"/>
      <c r="Y30" s="22">
        <v>1.6493199999999999</v>
      </c>
      <c r="Z30" s="22">
        <v>31.368200000000002</v>
      </c>
      <c r="AA30" s="22">
        <v>-9.1094999999999995E-3</v>
      </c>
      <c r="AB30" s="22">
        <v>20</v>
      </c>
      <c r="AC30" s="22">
        <v>1.64795</v>
      </c>
      <c r="AD30">
        <f t="shared" si="4"/>
        <v>9.1094999999999988</v>
      </c>
      <c r="AE30">
        <f t="shared" si="5"/>
        <v>15.024480539999997</v>
      </c>
      <c r="AF30" s="9"/>
      <c r="AG30" s="22">
        <v>7.6293900000000002E-4</v>
      </c>
      <c r="AH30" s="22">
        <v>36.271799999999999</v>
      </c>
      <c r="AI30" s="22">
        <v>-1.8484500000000001E-2</v>
      </c>
      <c r="AJ30" s="22">
        <v>20</v>
      </c>
      <c r="AK30" s="22">
        <v>7.2937000000000002E-4</v>
      </c>
      <c r="AL30">
        <f t="shared" si="6"/>
        <v>18.484500000000001</v>
      </c>
      <c r="AM30">
        <f t="shared" si="7"/>
        <v>1.4102545945500001E-2</v>
      </c>
      <c r="AP30" s="9"/>
      <c r="AQ30" s="22">
        <v>1.6493199999999999</v>
      </c>
      <c r="AR30" s="22">
        <v>41.105400000000003</v>
      </c>
      <c r="AS30" s="22">
        <v>-8.8561999999999998E-3</v>
      </c>
      <c r="AT30" s="22">
        <v>20</v>
      </c>
      <c r="AU30" s="22">
        <v>1.64825</v>
      </c>
      <c r="AV30">
        <f t="shared" si="8"/>
        <v>8.8561999999999994</v>
      </c>
      <c r="AW30">
        <f t="shared" si="9"/>
        <v>14.606707783999997</v>
      </c>
      <c r="AX30" s="9"/>
      <c r="AY30" s="22">
        <v>7.6293900000000002E-4</v>
      </c>
      <c r="AZ30" s="22">
        <v>45.844999999999999</v>
      </c>
      <c r="BA30" s="22">
        <v>-1.8478399999999999E-2</v>
      </c>
      <c r="BB30" s="22">
        <v>20</v>
      </c>
      <c r="BC30" s="22">
        <v>9.5825200000000004E-4</v>
      </c>
      <c r="BD30">
        <f t="shared" si="10"/>
        <v>18.478400000000001</v>
      </c>
      <c r="BE30">
        <f t="shared" si="11"/>
        <v>1.40978920176E-2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11.1069</v>
      </c>
      <c r="I31" s="22">
        <v>-9.2742899999999993E-3</v>
      </c>
      <c r="J31" s="22">
        <v>21</v>
      </c>
      <c r="K31" s="22">
        <v>1.64398</v>
      </c>
      <c r="L31">
        <f t="shared" si="0"/>
        <v>9.2742899999999988</v>
      </c>
      <c r="M31">
        <f t="shared" si="1"/>
        <v>15.249622304099999</v>
      </c>
      <c r="N31" s="9"/>
      <c r="O31" s="22">
        <v>5.7983399999999999E-3</v>
      </c>
      <c r="P31" s="22">
        <v>23.994700000000002</v>
      </c>
      <c r="Q31" s="22">
        <v>-1.8438699999999999E-2</v>
      </c>
      <c r="R31" s="22">
        <v>21</v>
      </c>
      <c r="S31" s="22">
        <v>5.74341E-3</v>
      </c>
      <c r="T31">
        <f t="shared" si="2"/>
        <v>18.438699999999997</v>
      </c>
      <c r="U31">
        <f t="shared" si="3"/>
        <v>0.10691385175799999</v>
      </c>
      <c r="X31" s="9"/>
      <c r="Y31" s="22">
        <v>1.64429</v>
      </c>
      <c r="Z31" s="22">
        <v>31.378299999999999</v>
      </c>
      <c r="AA31" s="22">
        <v>-9.3719500000000004E-3</v>
      </c>
      <c r="AB31" s="22">
        <v>21</v>
      </c>
      <c r="AC31" s="22">
        <v>1.64368</v>
      </c>
      <c r="AD31">
        <f t="shared" si="4"/>
        <v>9.37195</v>
      </c>
      <c r="AE31">
        <f t="shared" si="5"/>
        <v>15.410203665500001</v>
      </c>
      <c r="AF31" s="9"/>
      <c r="AG31" s="22">
        <v>5.7983399999999999E-3</v>
      </c>
      <c r="AH31" s="22">
        <v>36.2819</v>
      </c>
      <c r="AI31" s="22">
        <v>-1.8478399999999999E-2</v>
      </c>
      <c r="AJ31" s="22">
        <v>21</v>
      </c>
      <c r="AK31" s="22">
        <v>5.3100600000000001E-3</v>
      </c>
      <c r="AL31">
        <f t="shared" si="6"/>
        <v>18.478400000000001</v>
      </c>
      <c r="AM31">
        <f t="shared" si="7"/>
        <v>0.107144045856</v>
      </c>
      <c r="AP31" s="9"/>
      <c r="AQ31" s="22">
        <v>1.64429</v>
      </c>
      <c r="AR31" s="22">
        <v>41.115499999999997</v>
      </c>
      <c r="AS31" s="22">
        <v>-9.1308599999999993E-3</v>
      </c>
      <c r="AT31" s="22">
        <v>21</v>
      </c>
      <c r="AU31" s="22">
        <v>1.64337</v>
      </c>
      <c r="AV31">
        <f t="shared" si="8"/>
        <v>9.1308600000000002</v>
      </c>
      <c r="AW31">
        <f t="shared" si="9"/>
        <v>15.013781789400001</v>
      </c>
      <c r="AX31" s="9"/>
      <c r="AY31" s="22">
        <v>5.7983399999999999E-3</v>
      </c>
      <c r="AZ31" s="22">
        <v>45.8551</v>
      </c>
      <c r="BA31" s="22">
        <v>-1.8472300000000001E-2</v>
      </c>
      <c r="BB31" s="22">
        <v>21</v>
      </c>
      <c r="BC31" s="22">
        <v>5.8471699999999996E-3</v>
      </c>
      <c r="BD31">
        <f t="shared" si="10"/>
        <v>18.472300000000001</v>
      </c>
      <c r="BE31">
        <f t="shared" si="11"/>
        <v>0.107108675982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11.117000000000001</v>
      </c>
      <c r="I32" s="22">
        <v>-9.5275900000000007E-3</v>
      </c>
      <c r="J32" s="22">
        <v>22</v>
      </c>
      <c r="K32" s="22">
        <v>1.63818</v>
      </c>
      <c r="L32">
        <f t="shared" si="0"/>
        <v>9.52759</v>
      </c>
      <c r="M32">
        <f t="shared" si="1"/>
        <v>15.618101907500002</v>
      </c>
      <c r="N32" s="9"/>
      <c r="O32" s="22">
        <v>1.08337E-2</v>
      </c>
      <c r="P32" s="22">
        <v>24.0047</v>
      </c>
      <c r="Q32" s="22">
        <v>-1.84326E-2</v>
      </c>
      <c r="R32" s="22">
        <v>22</v>
      </c>
      <c r="S32" s="22">
        <v>1.0931400000000001E-2</v>
      </c>
      <c r="T32">
        <f t="shared" si="2"/>
        <v>18.432600000000001</v>
      </c>
      <c r="U32">
        <f t="shared" si="3"/>
        <v>0.19969325862000001</v>
      </c>
      <c r="X32" s="9"/>
      <c r="Y32" s="22">
        <v>1.6392500000000001</v>
      </c>
      <c r="Z32" s="22">
        <v>31.388400000000001</v>
      </c>
      <c r="AA32" s="22">
        <v>-9.6313500000000003E-3</v>
      </c>
      <c r="AB32" s="22">
        <v>22</v>
      </c>
      <c r="AC32" s="22">
        <v>1.63849</v>
      </c>
      <c r="AD32">
        <f t="shared" si="4"/>
        <v>9.6313500000000012</v>
      </c>
      <c r="AE32">
        <f t="shared" si="5"/>
        <v>15.788190487500003</v>
      </c>
      <c r="AF32" s="9"/>
      <c r="AG32" s="22">
        <v>1.08337E-2</v>
      </c>
      <c r="AH32" s="22">
        <v>36.292000000000002</v>
      </c>
      <c r="AI32" s="22">
        <v>-1.84753E-2</v>
      </c>
      <c r="AJ32" s="22">
        <v>22</v>
      </c>
      <c r="AK32" s="22">
        <v>1.0794099999999999E-2</v>
      </c>
      <c r="AL32">
        <f t="shared" si="6"/>
        <v>18.475300000000001</v>
      </c>
      <c r="AM32">
        <f t="shared" si="7"/>
        <v>0.20015585761000002</v>
      </c>
      <c r="AP32" s="9"/>
      <c r="AQ32" s="22">
        <v>1.6392500000000001</v>
      </c>
      <c r="AR32" s="22">
        <v>41.125599999999999</v>
      </c>
      <c r="AS32" s="22">
        <v>-9.3902599999999992E-3</v>
      </c>
      <c r="AT32" s="22">
        <v>22</v>
      </c>
      <c r="AU32" s="22">
        <v>1.63849</v>
      </c>
      <c r="AV32">
        <f t="shared" si="8"/>
        <v>9.3902599999999996</v>
      </c>
      <c r="AW32">
        <f t="shared" si="9"/>
        <v>15.392983705000001</v>
      </c>
      <c r="AX32" s="9"/>
      <c r="AY32" s="22">
        <v>1.08337E-2</v>
      </c>
      <c r="AZ32" s="22">
        <v>45.865200000000002</v>
      </c>
      <c r="BA32" s="22">
        <v>-1.8469200000000002E-2</v>
      </c>
      <c r="BB32" s="22">
        <v>22</v>
      </c>
      <c r="BC32" s="22">
        <v>1.08948E-2</v>
      </c>
      <c r="BD32">
        <f t="shared" si="10"/>
        <v>18.469200000000001</v>
      </c>
      <c r="BE32">
        <f t="shared" si="11"/>
        <v>0.20008977204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11.1271</v>
      </c>
      <c r="I33" s="22">
        <v>-9.7778299999999995E-3</v>
      </c>
      <c r="J33" s="22">
        <v>23</v>
      </c>
      <c r="K33" s="22">
        <v>1.633</v>
      </c>
      <c r="L33">
        <f t="shared" si="0"/>
        <v>9.7778299999999998</v>
      </c>
      <c r="M33">
        <f t="shared" si="1"/>
        <v>15.9791253426</v>
      </c>
      <c r="N33" s="9"/>
      <c r="O33" s="22">
        <v>1.5869100000000001E-2</v>
      </c>
      <c r="P33" s="22">
        <v>24.014800000000001</v>
      </c>
      <c r="Q33" s="22">
        <v>-1.8429600000000001E-2</v>
      </c>
      <c r="R33" s="22">
        <v>23</v>
      </c>
      <c r="S33" s="22">
        <v>1.6119399999999999E-2</v>
      </c>
      <c r="T33">
        <f t="shared" si="2"/>
        <v>18.429600000000001</v>
      </c>
      <c r="U33">
        <f t="shared" si="3"/>
        <v>0.29246116536</v>
      </c>
      <c r="X33" s="9"/>
      <c r="Y33" s="22">
        <v>1.63422</v>
      </c>
      <c r="Z33" s="22">
        <v>31.398399999999999</v>
      </c>
      <c r="AA33" s="22">
        <v>-9.8815900000000009E-3</v>
      </c>
      <c r="AB33" s="22">
        <v>23</v>
      </c>
      <c r="AC33" s="22">
        <v>1.6333</v>
      </c>
      <c r="AD33">
        <f t="shared" si="4"/>
        <v>9.881590000000001</v>
      </c>
      <c r="AE33">
        <f t="shared" si="5"/>
        <v>16.148692009800001</v>
      </c>
      <c r="AF33" s="9"/>
      <c r="AG33" s="22">
        <v>1.5869100000000001E-2</v>
      </c>
      <c r="AH33" s="22">
        <v>36.302100000000003</v>
      </c>
      <c r="AI33" s="22">
        <v>-1.8469200000000002E-2</v>
      </c>
      <c r="AJ33" s="22">
        <v>23</v>
      </c>
      <c r="AK33" s="22">
        <v>1.57745E-2</v>
      </c>
      <c r="AL33">
        <f t="shared" si="6"/>
        <v>18.469200000000001</v>
      </c>
      <c r="AM33">
        <f t="shared" si="7"/>
        <v>0.29308958172000005</v>
      </c>
      <c r="AP33" s="9"/>
      <c r="AQ33" s="22">
        <v>1.63422</v>
      </c>
      <c r="AR33" s="22">
        <v>41.135599999999997</v>
      </c>
      <c r="AS33" s="22">
        <v>-9.6466099999999999E-3</v>
      </c>
      <c r="AT33" s="22">
        <v>23</v>
      </c>
      <c r="AU33" s="22">
        <v>1.633</v>
      </c>
      <c r="AV33">
        <f t="shared" si="8"/>
        <v>9.646609999999999</v>
      </c>
      <c r="AW33">
        <f t="shared" si="9"/>
        <v>15.764682994199999</v>
      </c>
      <c r="AX33" s="9"/>
      <c r="AY33" s="22">
        <v>1.5869100000000001E-2</v>
      </c>
      <c r="AZ33" s="22">
        <v>45.875300000000003</v>
      </c>
      <c r="BA33" s="22">
        <v>-1.8466199999999999E-2</v>
      </c>
      <c r="BB33" s="22">
        <v>23</v>
      </c>
      <c r="BC33" s="22">
        <v>1.5701300000000001E-2</v>
      </c>
      <c r="BD33">
        <f t="shared" si="10"/>
        <v>18.466199999999997</v>
      </c>
      <c r="BE33">
        <f t="shared" si="11"/>
        <v>0.29304197441999996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11.1371</v>
      </c>
      <c r="I34" s="22">
        <v>-1.0024999999999999E-2</v>
      </c>
      <c r="J34" s="22">
        <v>24</v>
      </c>
      <c r="K34" s="22">
        <v>1.6287199999999999</v>
      </c>
      <c r="L34">
        <f t="shared" si="0"/>
        <v>10.024999999999999</v>
      </c>
      <c r="M34">
        <f t="shared" si="1"/>
        <v>16.3325295</v>
      </c>
      <c r="N34" s="9"/>
      <c r="O34" s="22">
        <v>2.0904499999999999E-2</v>
      </c>
      <c r="P34" s="22">
        <v>24.024899999999999</v>
      </c>
      <c r="Q34" s="22">
        <v>-1.8429600000000001E-2</v>
      </c>
      <c r="R34" s="22">
        <v>24</v>
      </c>
      <c r="S34" s="22">
        <v>1.9989E-2</v>
      </c>
      <c r="T34">
        <f t="shared" si="2"/>
        <v>18.429600000000001</v>
      </c>
      <c r="U34">
        <f t="shared" si="3"/>
        <v>0.38526157319999998</v>
      </c>
      <c r="X34" s="9"/>
      <c r="Y34" s="22">
        <v>1.6291800000000001</v>
      </c>
      <c r="Z34" s="22">
        <v>31.4085</v>
      </c>
      <c r="AA34" s="22">
        <v>-1.01257E-2</v>
      </c>
      <c r="AB34" s="22">
        <v>24</v>
      </c>
      <c r="AC34" s="22">
        <v>1.6281099999999999</v>
      </c>
      <c r="AD34">
        <f t="shared" si="4"/>
        <v>10.1257</v>
      </c>
      <c r="AE34">
        <f t="shared" si="5"/>
        <v>16.496587926</v>
      </c>
      <c r="AF34" s="9"/>
      <c r="AG34" s="22">
        <v>2.0904499999999999E-2</v>
      </c>
      <c r="AH34" s="22">
        <v>36.312100000000001</v>
      </c>
      <c r="AI34" s="22">
        <v>-1.8466199999999999E-2</v>
      </c>
      <c r="AJ34" s="22">
        <v>24</v>
      </c>
      <c r="AK34" s="22">
        <v>2.0761100000000001E-2</v>
      </c>
      <c r="AL34">
        <f t="shared" si="6"/>
        <v>18.466199999999997</v>
      </c>
      <c r="AM34">
        <f t="shared" si="7"/>
        <v>0.38602667789999995</v>
      </c>
      <c r="AP34" s="9"/>
      <c r="AQ34" s="22">
        <v>1.6291800000000001</v>
      </c>
      <c r="AR34" s="22">
        <v>41.145699999999998</v>
      </c>
      <c r="AS34" s="22">
        <v>-9.8937999999999995E-3</v>
      </c>
      <c r="AT34" s="22">
        <v>24</v>
      </c>
      <c r="AU34" s="22">
        <v>1.62842</v>
      </c>
      <c r="AV34">
        <f t="shared" si="8"/>
        <v>9.8937999999999988</v>
      </c>
      <c r="AW34">
        <f t="shared" si="9"/>
        <v>16.118781083999998</v>
      </c>
      <c r="AX34" s="9"/>
      <c r="AY34" s="22">
        <v>2.0904499999999999E-2</v>
      </c>
      <c r="AZ34" s="22">
        <v>45.885300000000001</v>
      </c>
      <c r="BA34" s="22">
        <v>-1.84601E-2</v>
      </c>
      <c r="BB34" s="22">
        <v>24</v>
      </c>
      <c r="BC34" s="22">
        <v>2.09412E-2</v>
      </c>
      <c r="BD34">
        <f t="shared" si="10"/>
        <v>18.460100000000001</v>
      </c>
      <c r="BE34">
        <f t="shared" si="11"/>
        <v>0.38589916045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11.1472</v>
      </c>
      <c r="I35" s="22">
        <v>-1.02661E-2</v>
      </c>
      <c r="J35" s="22">
        <v>25</v>
      </c>
      <c r="K35" s="22">
        <v>1.62354</v>
      </c>
      <c r="L35">
        <f t="shared" si="0"/>
        <v>10.2661</v>
      </c>
      <c r="M35">
        <f t="shared" si="1"/>
        <v>16.673686315000001</v>
      </c>
      <c r="N35" s="9"/>
      <c r="O35" s="22">
        <v>2.5939899999999998E-2</v>
      </c>
      <c r="P35" s="22">
        <v>24.035</v>
      </c>
      <c r="Q35" s="22">
        <v>-1.8426499999999998E-2</v>
      </c>
      <c r="R35" s="22">
        <v>25</v>
      </c>
      <c r="S35" s="22">
        <v>2.58759E-2</v>
      </c>
      <c r="T35">
        <f t="shared" si="2"/>
        <v>18.426499999999997</v>
      </c>
      <c r="U35">
        <f t="shared" si="3"/>
        <v>0.47798156734999991</v>
      </c>
      <c r="X35" s="9"/>
      <c r="Y35" s="22">
        <v>1.62415</v>
      </c>
      <c r="Z35" s="22">
        <v>31.418600000000001</v>
      </c>
      <c r="AA35" s="22">
        <v>-1.0366800000000001E-2</v>
      </c>
      <c r="AB35" s="22">
        <v>25</v>
      </c>
      <c r="AC35" s="22">
        <v>1.6229199999999999</v>
      </c>
      <c r="AD35">
        <f t="shared" si="4"/>
        <v>10.366800000000001</v>
      </c>
      <c r="AE35">
        <f t="shared" si="5"/>
        <v>16.837238220000003</v>
      </c>
      <c r="AF35" s="9"/>
      <c r="AG35" s="22">
        <v>2.5939899999999998E-2</v>
      </c>
      <c r="AH35" s="22">
        <v>36.322200000000002</v>
      </c>
      <c r="AI35" s="22">
        <v>-1.84601E-2</v>
      </c>
      <c r="AJ35" s="22">
        <v>25</v>
      </c>
      <c r="AK35" s="22">
        <v>2.5842299999999999E-2</v>
      </c>
      <c r="AL35">
        <f t="shared" si="6"/>
        <v>18.460100000000001</v>
      </c>
      <c r="AM35">
        <f t="shared" si="7"/>
        <v>0.47885314799000001</v>
      </c>
      <c r="AP35" s="9"/>
      <c r="AQ35" s="22">
        <v>1.62415</v>
      </c>
      <c r="AR35" s="22">
        <v>41.155799999999999</v>
      </c>
      <c r="AS35" s="22">
        <v>-1.0141000000000001E-2</v>
      </c>
      <c r="AT35" s="22">
        <v>25</v>
      </c>
      <c r="AU35" s="22">
        <v>1.62384</v>
      </c>
      <c r="AV35">
        <f t="shared" si="8"/>
        <v>10.141</v>
      </c>
      <c r="AW35">
        <f t="shared" si="9"/>
        <v>16.470505150000001</v>
      </c>
      <c r="AX35" s="9"/>
      <c r="AY35" s="22">
        <v>2.5939899999999998E-2</v>
      </c>
      <c r="AZ35" s="22">
        <v>45.895400000000002</v>
      </c>
      <c r="BA35" s="22">
        <v>-1.8457000000000001E-2</v>
      </c>
      <c r="BB35" s="22">
        <v>25</v>
      </c>
      <c r="BC35" s="22">
        <v>2.5762899999999998E-2</v>
      </c>
      <c r="BD35">
        <f t="shared" si="10"/>
        <v>18.457000000000001</v>
      </c>
      <c r="BE35">
        <f t="shared" si="11"/>
        <v>0.4787727343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11.157299999999999</v>
      </c>
      <c r="I36" s="22">
        <v>-1.0495000000000001E-2</v>
      </c>
      <c r="J36" s="22">
        <v>26</v>
      </c>
      <c r="K36" s="22">
        <v>1.6180399999999999</v>
      </c>
      <c r="L36">
        <f t="shared" si="0"/>
        <v>10.495000000000001</v>
      </c>
      <c r="M36">
        <f t="shared" si="1"/>
        <v>16.992559450000002</v>
      </c>
      <c r="N36" s="9"/>
      <c r="O36" s="22">
        <v>3.0975300000000001E-2</v>
      </c>
      <c r="P36" s="22">
        <v>24.045000000000002</v>
      </c>
      <c r="Q36" s="22">
        <v>-1.8423499999999999E-2</v>
      </c>
      <c r="R36" s="22">
        <v>26</v>
      </c>
      <c r="S36" s="22">
        <v>3.1008899999999999E-2</v>
      </c>
      <c r="T36">
        <f t="shared" si="2"/>
        <v>18.423500000000001</v>
      </c>
      <c r="U36">
        <f t="shared" si="3"/>
        <v>0.57067343955000005</v>
      </c>
      <c r="X36" s="9"/>
      <c r="Y36" s="22">
        <v>1.61911</v>
      </c>
      <c r="Z36" s="22">
        <v>31.428699999999999</v>
      </c>
      <c r="AA36" s="22">
        <v>-1.06049E-2</v>
      </c>
      <c r="AB36" s="22">
        <v>26</v>
      </c>
      <c r="AC36" s="22">
        <v>1.61835</v>
      </c>
      <c r="AD36">
        <f t="shared" si="4"/>
        <v>10.604900000000001</v>
      </c>
      <c r="AE36">
        <f t="shared" si="5"/>
        <v>17.170499639000003</v>
      </c>
      <c r="AF36" s="9"/>
      <c r="AG36" s="22">
        <v>3.0975300000000001E-2</v>
      </c>
      <c r="AH36" s="22">
        <v>36.332299999999996</v>
      </c>
      <c r="AI36" s="22">
        <v>-1.8457000000000001E-2</v>
      </c>
      <c r="AJ36" s="22">
        <v>26</v>
      </c>
      <c r="AK36" s="22">
        <v>3.1161500000000002E-2</v>
      </c>
      <c r="AL36">
        <f t="shared" si="6"/>
        <v>18.457000000000001</v>
      </c>
      <c r="AM36">
        <f t="shared" si="7"/>
        <v>0.57171111210000003</v>
      </c>
      <c r="AP36" s="9"/>
      <c r="AQ36" s="22">
        <v>1.61911</v>
      </c>
      <c r="AR36" s="22">
        <v>41.165900000000001</v>
      </c>
      <c r="AS36" s="22">
        <v>-1.0378999999999999E-2</v>
      </c>
      <c r="AT36" s="22">
        <v>26</v>
      </c>
      <c r="AU36" s="22">
        <v>1.6180399999999999</v>
      </c>
      <c r="AV36">
        <f t="shared" si="8"/>
        <v>10.379</v>
      </c>
      <c r="AW36">
        <f t="shared" si="9"/>
        <v>16.804742690000001</v>
      </c>
      <c r="AX36" s="9"/>
      <c r="AY36" s="22">
        <v>3.0975300000000001E-2</v>
      </c>
      <c r="AZ36" s="22">
        <v>45.905500000000004</v>
      </c>
      <c r="BA36" s="22">
        <v>-1.8454000000000002E-2</v>
      </c>
      <c r="BB36" s="22">
        <v>26</v>
      </c>
      <c r="BC36" s="22">
        <v>3.0865500000000001E-2</v>
      </c>
      <c r="BD36">
        <f t="shared" si="10"/>
        <v>18.454000000000001</v>
      </c>
      <c r="BE36">
        <f t="shared" si="11"/>
        <v>0.57161818620000004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11.167299999999999</v>
      </c>
      <c r="I37" s="22">
        <v>-1.07239E-2</v>
      </c>
      <c r="J37" s="22">
        <v>27</v>
      </c>
      <c r="K37" s="22">
        <v>1.6134599999999999</v>
      </c>
      <c r="L37">
        <f t="shared" si="0"/>
        <v>10.7239</v>
      </c>
      <c r="M37">
        <f t="shared" si="1"/>
        <v>17.309125272999999</v>
      </c>
      <c r="N37" s="9"/>
      <c r="O37" s="22">
        <v>3.60107E-2</v>
      </c>
      <c r="P37" s="22">
        <v>24.055099999999999</v>
      </c>
      <c r="Q37" s="22">
        <v>-1.84204E-2</v>
      </c>
      <c r="R37" s="22">
        <v>27</v>
      </c>
      <c r="S37" s="22">
        <v>3.5974100000000002E-2</v>
      </c>
      <c r="T37">
        <f t="shared" si="2"/>
        <v>18.420400000000001</v>
      </c>
      <c r="U37">
        <f t="shared" si="3"/>
        <v>0.66333149828000004</v>
      </c>
      <c r="X37" s="9"/>
      <c r="Y37" s="22">
        <v>1.6140699999999999</v>
      </c>
      <c r="Z37" s="22">
        <v>31.438700000000001</v>
      </c>
      <c r="AA37" s="22">
        <v>-1.08276E-2</v>
      </c>
      <c r="AB37" s="22">
        <v>27</v>
      </c>
      <c r="AC37" s="22">
        <v>1.6131599999999999</v>
      </c>
      <c r="AD37">
        <f t="shared" si="4"/>
        <v>10.8276</v>
      </c>
      <c r="AE37">
        <f t="shared" si="5"/>
        <v>17.476504332000001</v>
      </c>
      <c r="AF37" s="9"/>
      <c r="AG37" s="22">
        <v>3.60107E-2</v>
      </c>
      <c r="AH37" s="22">
        <v>36.342300000000002</v>
      </c>
      <c r="AI37" s="22">
        <v>-1.8450899999999999E-2</v>
      </c>
      <c r="AJ37" s="22">
        <v>27</v>
      </c>
      <c r="AK37" s="22">
        <v>3.5763499999999997E-2</v>
      </c>
      <c r="AL37">
        <f t="shared" si="6"/>
        <v>18.450900000000001</v>
      </c>
      <c r="AM37">
        <f t="shared" si="7"/>
        <v>0.66442982463</v>
      </c>
      <c r="AP37" s="9"/>
      <c r="AQ37" s="22">
        <v>1.6140699999999999</v>
      </c>
      <c r="AR37" s="22">
        <v>41.175899999999999</v>
      </c>
      <c r="AS37" s="22">
        <v>-1.0611000000000001E-2</v>
      </c>
      <c r="AT37" s="22">
        <v>27</v>
      </c>
      <c r="AU37" s="22">
        <v>1.6131599999999999</v>
      </c>
      <c r="AV37">
        <f t="shared" si="8"/>
        <v>10.611000000000001</v>
      </c>
      <c r="AW37">
        <f t="shared" si="9"/>
        <v>17.126896769999998</v>
      </c>
      <c r="AX37" s="9"/>
      <c r="AY37" s="22">
        <v>3.60107E-2</v>
      </c>
      <c r="AZ37" s="22">
        <v>45.915500000000002</v>
      </c>
      <c r="BA37" s="22">
        <v>-1.8450899999999999E-2</v>
      </c>
      <c r="BB37" s="22">
        <v>27</v>
      </c>
      <c r="BC37" s="22">
        <v>3.5140999999999999E-2</v>
      </c>
      <c r="BD37">
        <f t="shared" si="10"/>
        <v>18.450900000000001</v>
      </c>
      <c r="BE37">
        <f t="shared" si="11"/>
        <v>0.66442982463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11.1774</v>
      </c>
      <c r="I38" s="22">
        <v>-1.09436E-2</v>
      </c>
      <c r="J38" s="22">
        <v>28</v>
      </c>
      <c r="K38" s="22">
        <v>1.6082799999999999</v>
      </c>
      <c r="L38">
        <f t="shared" si="0"/>
        <v>10.9436</v>
      </c>
      <c r="M38">
        <f t="shared" si="1"/>
        <v>17.608690144000001</v>
      </c>
      <c r="N38" s="9"/>
      <c r="O38" s="22">
        <v>4.1046100000000002E-2</v>
      </c>
      <c r="P38" s="22">
        <v>24.065200000000001</v>
      </c>
      <c r="Q38" s="22">
        <v>-1.84174E-2</v>
      </c>
      <c r="R38" s="22">
        <v>28</v>
      </c>
      <c r="S38" s="22">
        <v>4.1183499999999998E-2</v>
      </c>
      <c r="T38">
        <f t="shared" si="2"/>
        <v>18.417400000000001</v>
      </c>
      <c r="U38">
        <f t="shared" si="3"/>
        <v>0.75596244214000008</v>
      </c>
      <c r="X38" s="9"/>
      <c r="Y38" s="22">
        <v>1.60904</v>
      </c>
      <c r="Z38" s="22">
        <v>31.448799999999999</v>
      </c>
      <c r="AA38" s="22">
        <v>-1.10504E-2</v>
      </c>
      <c r="AB38" s="22">
        <v>28</v>
      </c>
      <c r="AC38" s="22">
        <v>1.6082799999999999</v>
      </c>
      <c r="AD38">
        <f t="shared" si="4"/>
        <v>11.0504</v>
      </c>
      <c r="AE38">
        <f t="shared" si="5"/>
        <v>17.780535616000002</v>
      </c>
      <c r="AF38" s="9"/>
      <c r="AG38" s="22">
        <v>4.1046100000000002E-2</v>
      </c>
      <c r="AH38" s="22">
        <v>36.352400000000003</v>
      </c>
      <c r="AI38" s="22">
        <v>-1.84479E-2</v>
      </c>
      <c r="AJ38" s="22">
        <v>28</v>
      </c>
      <c r="AK38" s="22">
        <v>4.1095E-2</v>
      </c>
      <c r="AL38">
        <f t="shared" si="6"/>
        <v>18.447900000000001</v>
      </c>
      <c r="AM38">
        <f t="shared" si="7"/>
        <v>0.75721434819000011</v>
      </c>
      <c r="AP38" s="9"/>
      <c r="AQ38" s="22">
        <v>1.60904</v>
      </c>
      <c r="AR38" s="22">
        <v>41.186</v>
      </c>
      <c r="AS38" s="22">
        <v>-1.0836800000000001E-2</v>
      </c>
      <c r="AT38" s="22">
        <v>28</v>
      </c>
      <c r="AU38" s="22">
        <v>1.6076699999999999</v>
      </c>
      <c r="AV38">
        <f t="shared" si="8"/>
        <v>10.8368</v>
      </c>
      <c r="AW38">
        <f t="shared" si="9"/>
        <v>17.436844671999999</v>
      </c>
      <c r="AX38" s="9"/>
      <c r="AY38" s="22">
        <v>4.1046100000000002E-2</v>
      </c>
      <c r="AZ38" s="22">
        <v>45.925600000000003</v>
      </c>
      <c r="BA38" s="22">
        <v>-1.84479E-2</v>
      </c>
      <c r="BB38" s="22">
        <v>28</v>
      </c>
      <c r="BC38" s="22">
        <v>4.1210900000000002E-2</v>
      </c>
      <c r="BD38">
        <f t="shared" si="10"/>
        <v>18.447900000000001</v>
      </c>
      <c r="BE38">
        <f t="shared" si="11"/>
        <v>0.75721434819000011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11.1875</v>
      </c>
      <c r="I39" s="22">
        <v>-1.11542E-2</v>
      </c>
      <c r="J39" s="22">
        <v>29</v>
      </c>
      <c r="K39" s="22">
        <v>1.6030899999999999</v>
      </c>
      <c r="L39">
        <f t="shared" si="0"/>
        <v>11.154199999999999</v>
      </c>
      <c r="M39">
        <f t="shared" si="1"/>
        <v>17.891336800000001</v>
      </c>
      <c r="N39" s="9"/>
      <c r="O39" s="22">
        <v>4.6081499999999997E-2</v>
      </c>
      <c r="P39" s="22">
        <v>24.075199999999999</v>
      </c>
      <c r="Q39" s="22">
        <v>-1.8411299999999999E-2</v>
      </c>
      <c r="R39" s="22">
        <v>29</v>
      </c>
      <c r="S39" s="22">
        <v>4.5956400000000001E-2</v>
      </c>
      <c r="T39">
        <f t="shared" si="2"/>
        <v>18.411299999999997</v>
      </c>
      <c r="U39">
        <f t="shared" si="3"/>
        <v>0.84842032094999986</v>
      </c>
      <c r="X39" s="9"/>
      <c r="Y39" s="22">
        <v>1.6040000000000001</v>
      </c>
      <c r="Z39" s="22">
        <v>31.4589</v>
      </c>
      <c r="AA39" s="22">
        <v>-1.1264E-2</v>
      </c>
      <c r="AB39" s="22">
        <v>29</v>
      </c>
      <c r="AC39" s="22">
        <v>1.6027800000000001</v>
      </c>
      <c r="AD39">
        <f t="shared" si="4"/>
        <v>11.263999999999999</v>
      </c>
      <c r="AE39">
        <f t="shared" si="5"/>
        <v>18.067456</v>
      </c>
      <c r="AF39" s="9"/>
      <c r="AG39" s="22">
        <v>4.6081499999999997E-2</v>
      </c>
      <c r="AH39" s="22">
        <v>36.362499999999997</v>
      </c>
      <c r="AI39" s="22">
        <v>-1.8444800000000001E-2</v>
      </c>
      <c r="AJ39" s="22">
        <v>29</v>
      </c>
      <c r="AK39" s="22">
        <v>4.6133399999999998E-2</v>
      </c>
      <c r="AL39">
        <f t="shared" si="6"/>
        <v>18.444800000000001</v>
      </c>
      <c r="AM39">
        <f t="shared" si="7"/>
        <v>0.84996405119999996</v>
      </c>
      <c r="AP39" s="9"/>
      <c r="AQ39" s="22">
        <v>1.6040000000000001</v>
      </c>
      <c r="AR39" s="22">
        <v>41.196100000000001</v>
      </c>
      <c r="AS39" s="22">
        <v>-1.10565E-2</v>
      </c>
      <c r="AT39" s="22">
        <v>29</v>
      </c>
      <c r="AU39" s="22">
        <v>1.6033900000000001</v>
      </c>
      <c r="AV39">
        <f t="shared" si="8"/>
        <v>11.0565</v>
      </c>
      <c r="AW39">
        <f t="shared" si="9"/>
        <v>17.734626000000002</v>
      </c>
      <c r="AX39" s="9"/>
      <c r="AY39" s="22">
        <v>4.6081499999999997E-2</v>
      </c>
      <c r="AZ39" s="22">
        <v>45.935699999999997</v>
      </c>
      <c r="BA39" s="22">
        <v>-1.8444800000000001E-2</v>
      </c>
      <c r="BB39" s="22">
        <v>29</v>
      </c>
      <c r="BC39" s="22">
        <v>4.6038799999999998E-2</v>
      </c>
      <c r="BD39">
        <f t="shared" si="10"/>
        <v>18.444800000000001</v>
      </c>
      <c r="BE39">
        <f t="shared" si="11"/>
        <v>0.84996405119999996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11.1976</v>
      </c>
      <c r="I40" s="22">
        <v>-1.1361700000000001E-2</v>
      </c>
      <c r="J40" s="22">
        <v>30</v>
      </c>
      <c r="K40" s="22">
        <v>1.5982099999999999</v>
      </c>
      <c r="L40">
        <f t="shared" si="0"/>
        <v>11.361700000000001</v>
      </c>
      <c r="M40">
        <f t="shared" si="1"/>
        <v>18.167017449000003</v>
      </c>
      <c r="N40" s="9"/>
      <c r="O40" s="22">
        <v>5.11169E-2</v>
      </c>
      <c r="P40" s="22">
        <v>24.0853</v>
      </c>
      <c r="Q40" s="22">
        <v>-1.84052E-2</v>
      </c>
      <c r="R40" s="22">
        <v>30</v>
      </c>
      <c r="S40" s="22">
        <v>5.1080300000000002E-2</v>
      </c>
      <c r="T40">
        <f t="shared" si="2"/>
        <v>18.405200000000001</v>
      </c>
      <c r="U40">
        <f t="shared" si="3"/>
        <v>0.94081676788000002</v>
      </c>
      <c r="X40" s="9"/>
      <c r="Y40" s="22">
        <v>1.59897</v>
      </c>
      <c r="Z40" s="22">
        <v>31.468900000000001</v>
      </c>
      <c r="AA40" s="22">
        <v>-1.14746E-2</v>
      </c>
      <c r="AB40" s="22">
        <v>30</v>
      </c>
      <c r="AC40" s="22">
        <v>1.5985100000000001</v>
      </c>
      <c r="AD40">
        <f t="shared" si="4"/>
        <v>11.474600000000001</v>
      </c>
      <c r="AE40">
        <f t="shared" si="5"/>
        <v>18.347541162000002</v>
      </c>
      <c r="AF40" s="9"/>
      <c r="AG40" s="22">
        <v>5.11169E-2</v>
      </c>
      <c r="AH40" s="22">
        <v>36.372599999999998</v>
      </c>
      <c r="AI40" s="22">
        <v>-1.8444800000000001E-2</v>
      </c>
      <c r="AJ40" s="22">
        <v>30</v>
      </c>
      <c r="AK40" s="22">
        <v>5.0637799999999997E-2</v>
      </c>
      <c r="AL40">
        <f t="shared" si="6"/>
        <v>18.444800000000001</v>
      </c>
      <c r="AM40">
        <f t="shared" si="7"/>
        <v>0.94284099712000002</v>
      </c>
      <c r="AP40" s="9"/>
      <c r="AQ40" s="22">
        <v>1.59897</v>
      </c>
      <c r="AR40" s="22">
        <v>41.206099999999999</v>
      </c>
      <c r="AS40" s="22">
        <v>-1.12701E-2</v>
      </c>
      <c r="AT40" s="22">
        <v>30</v>
      </c>
      <c r="AU40" s="22">
        <v>1.5982099999999999</v>
      </c>
      <c r="AV40">
        <f t="shared" si="8"/>
        <v>11.270099999999999</v>
      </c>
      <c r="AW40">
        <f t="shared" si="9"/>
        <v>18.020551797</v>
      </c>
      <c r="AX40" s="9"/>
      <c r="AY40" s="22">
        <v>5.11169E-2</v>
      </c>
      <c r="AZ40" s="22">
        <v>45.945799999999998</v>
      </c>
      <c r="BA40" s="22">
        <v>-1.8441800000000001E-2</v>
      </c>
      <c r="BB40" s="22">
        <v>30</v>
      </c>
      <c r="BC40" s="22">
        <v>5.1229900000000002E-2</v>
      </c>
      <c r="BD40">
        <f t="shared" si="10"/>
        <v>18.441800000000001</v>
      </c>
      <c r="BE40">
        <f t="shared" si="11"/>
        <v>0.94268764642000002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11.207599999999999</v>
      </c>
      <c r="I41" s="22">
        <v>-1.15662E-2</v>
      </c>
      <c r="J41" s="22">
        <v>31</v>
      </c>
      <c r="K41" s="22">
        <v>1.5927100000000001</v>
      </c>
      <c r="L41">
        <f t="shared" si="0"/>
        <v>11.5662</v>
      </c>
      <c r="M41">
        <f t="shared" si="1"/>
        <v>18.435713166000003</v>
      </c>
      <c r="N41" s="9"/>
      <c r="O41" s="22">
        <v>5.6152300000000002E-2</v>
      </c>
      <c r="P41" s="22">
        <v>24.095400000000001</v>
      </c>
      <c r="Q41" s="22">
        <v>-1.8402100000000001E-2</v>
      </c>
      <c r="R41" s="22">
        <v>31</v>
      </c>
      <c r="S41" s="22">
        <v>5.57251E-2</v>
      </c>
      <c r="T41">
        <f t="shared" si="2"/>
        <v>18.402100000000001</v>
      </c>
      <c r="U41">
        <f t="shared" si="3"/>
        <v>1.0333202398300001</v>
      </c>
      <c r="X41" s="9"/>
      <c r="Y41" s="22">
        <v>1.5939300000000001</v>
      </c>
      <c r="Z41" s="22">
        <v>31.478999999999999</v>
      </c>
      <c r="AA41" s="22">
        <v>-1.1676000000000001E-2</v>
      </c>
      <c r="AB41" s="22">
        <v>31</v>
      </c>
      <c r="AC41" s="22">
        <v>1.5936300000000001</v>
      </c>
      <c r="AD41">
        <f t="shared" si="4"/>
        <v>11.676</v>
      </c>
      <c r="AE41">
        <f t="shared" si="5"/>
        <v>18.610726680000003</v>
      </c>
      <c r="AF41" s="9"/>
      <c r="AG41" s="22">
        <v>5.6152300000000002E-2</v>
      </c>
      <c r="AH41" s="22">
        <v>36.382599999999996</v>
      </c>
      <c r="AI41" s="22">
        <v>-1.8441800000000001E-2</v>
      </c>
      <c r="AJ41" s="22">
        <v>31</v>
      </c>
      <c r="AK41" s="22">
        <v>5.5572499999999997E-2</v>
      </c>
      <c r="AL41">
        <f t="shared" si="6"/>
        <v>18.441800000000001</v>
      </c>
      <c r="AM41">
        <f t="shared" si="7"/>
        <v>1.0355494861400001</v>
      </c>
      <c r="AP41" s="9"/>
      <c r="AQ41" s="22">
        <v>1.5939300000000001</v>
      </c>
      <c r="AR41" s="22">
        <v>41.216200000000001</v>
      </c>
      <c r="AS41" s="22">
        <v>-1.14807E-2</v>
      </c>
      <c r="AT41" s="22">
        <v>31</v>
      </c>
      <c r="AU41" s="22">
        <v>1.5924100000000001</v>
      </c>
      <c r="AV41">
        <f t="shared" si="8"/>
        <v>11.480700000000001</v>
      </c>
      <c r="AW41">
        <f t="shared" si="9"/>
        <v>18.299432151000001</v>
      </c>
      <c r="AX41" s="9"/>
      <c r="AY41" s="22">
        <v>5.6152300000000002E-2</v>
      </c>
      <c r="AZ41" s="22">
        <v>45.955800000000004</v>
      </c>
      <c r="BA41" s="22">
        <v>-1.8435699999999999E-2</v>
      </c>
      <c r="BB41" s="22">
        <v>31</v>
      </c>
      <c r="BC41" s="22">
        <v>5.5877700000000002E-2</v>
      </c>
      <c r="BD41">
        <f t="shared" si="10"/>
        <v>18.435700000000001</v>
      </c>
      <c r="BE41">
        <f t="shared" si="11"/>
        <v>1.03520695711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11.217700000000001</v>
      </c>
      <c r="I42" s="22">
        <v>-1.17584E-2</v>
      </c>
      <c r="J42" s="22">
        <v>32</v>
      </c>
      <c r="K42" s="22">
        <v>1.5872200000000001</v>
      </c>
      <c r="L42">
        <f t="shared" si="0"/>
        <v>11.7584</v>
      </c>
      <c r="M42">
        <f t="shared" si="1"/>
        <v>18.682921759999999</v>
      </c>
      <c r="N42" s="9"/>
      <c r="O42" s="22">
        <v>6.1187699999999998E-2</v>
      </c>
      <c r="P42" s="22">
        <v>24.105499999999999</v>
      </c>
      <c r="Q42" s="22">
        <v>-1.8398999999999999E-2</v>
      </c>
      <c r="R42" s="22">
        <v>32</v>
      </c>
      <c r="S42" s="22">
        <v>6.0424800000000001E-2</v>
      </c>
      <c r="T42">
        <f t="shared" si="2"/>
        <v>18.398999999999997</v>
      </c>
      <c r="U42">
        <f t="shared" si="3"/>
        <v>1.1257924922999998</v>
      </c>
      <c r="X42" s="9"/>
      <c r="Y42" s="22">
        <v>1.5889</v>
      </c>
      <c r="Z42" s="22">
        <v>31.489100000000001</v>
      </c>
      <c r="AA42" s="22">
        <v>-1.18744E-2</v>
      </c>
      <c r="AB42" s="22">
        <v>32</v>
      </c>
      <c r="AC42" s="22">
        <v>1.58813</v>
      </c>
      <c r="AD42">
        <f t="shared" si="4"/>
        <v>11.8744</v>
      </c>
      <c r="AE42">
        <f t="shared" si="5"/>
        <v>18.867234159999999</v>
      </c>
      <c r="AF42" s="9"/>
      <c r="AG42" s="22">
        <v>6.1187699999999998E-2</v>
      </c>
      <c r="AH42" s="22">
        <v>36.392699999999998</v>
      </c>
      <c r="AI42" s="22">
        <v>-1.8435699999999999E-2</v>
      </c>
      <c r="AJ42" s="22">
        <v>32</v>
      </c>
      <c r="AK42" s="22">
        <v>6.0546900000000001E-2</v>
      </c>
      <c r="AL42">
        <f t="shared" si="6"/>
        <v>18.435700000000001</v>
      </c>
      <c r="AM42">
        <f t="shared" si="7"/>
        <v>1.1280380808899999</v>
      </c>
      <c r="AP42" s="9"/>
      <c r="AQ42" s="22">
        <v>1.5889</v>
      </c>
      <c r="AR42" s="22">
        <v>41.226300000000002</v>
      </c>
      <c r="AS42" s="22">
        <v>-1.1682100000000001E-2</v>
      </c>
      <c r="AT42" s="22">
        <v>32</v>
      </c>
      <c r="AU42" s="22">
        <v>1.5878300000000001</v>
      </c>
      <c r="AV42">
        <f t="shared" si="8"/>
        <v>11.6821</v>
      </c>
      <c r="AW42">
        <f t="shared" si="9"/>
        <v>18.56168869</v>
      </c>
      <c r="AX42" s="9"/>
      <c r="AY42" s="22">
        <v>6.1187699999999998E-2</v>
      </c>
      <c r="AZ42" s="22">
        <v>45.965899999999998</v>
      </c>
      <c r="BA42" s="22">
        <v>-1.8435699999999999E-2</v>
      </c>
      <c r="BB42" s="22">
        <v>32</v>
      </c>
      <c r="BC42" s="22">
        <v>6.0485799999999999E-2</v>
      </c>
      <c r="BD42">
        <f t="shared" si="10"/>
        <v>18.435700000000001</v>
      </c>
      <c r="BE42">
        <f t="shared" si="11"/>
        <v>1.1280380808899999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11.2278</v>
      </c>
      <c r="I43" s="22">
        <v>-1.1953699999999999E-2</v>
      </c>
      <c r="J43" s="22">
        <v>33</v>
      </c>
      <c r="K43" s="22">
        <v>1.58264</v>
      </c>
      <c r="L43">
        <f t="shared" si="0"/>
        <v>11.9537</v>
      </c>
      <c r="M43">
        <f t="shared" si="1"/>
        <v>18.932987281999999</v>
      </c>
      <c r="N43" s="9"/>
      <c r="O43" s="22">
        <v>6.6223099999999993E-2</v>
      </c>
      <c r="P43" s="22">
        <v>24.115500000000001</v>
      </c>
      <c r="Q43" s="22">
        <v>-1.8395999999999999E-2</v>
      </c>
      <c r="R43" s="22">
        <v>33</v>
      </c>
      <c r="S43" s="22">
        <v>6.5612799999999999E-2</v>
      </c>
      <c r="T43">
        <f t="shared" si="2"/>
        <v>18.396000000000001</v>
      </c>
      <c r="U43">
        <f t="shared" si="3"/>
        <v>1.2182401476</v>
      </c>
      <c r="X43" s="9"/>
      <c r="Y43" s="22">
        <v>1.58386</v>
      </c>
      <c r="Z43" s="22">
        <v>31.499199999999998</v>
      </c>
      <c r="AA43" s="22">
        <v>-1.20728E-2</v>
      </c>
      <c r="AB43" s="22">
        <v>33</v>
      </c>
      <c r="AC43" s="22">
        <v>1.58264</v>
      </c>
      <c r="AD43">
        <f t="shared" si="4"/>
        <v>12.072799999999999</v>
      </c>
      <c r="AE43">
        <f t="shared" si="5"/>
        <v>19.121625007999999</v>
      </c>
      <c r="AF43" s="9"/>
      <c r="AG43" s="22">
        <v>6.6223099999999993E-2</v>
      </c>
      <c r="AH43" s="22">
        <v>36.402799999999999</v>
      </c>
      <c r="AI43" s="22">
        <v>-1.84326E-2</v>
      </c>
      <c r="AJ43" s="22">
        <v>33</v>
      </c>
      <c r="AK43" s="22">
        <v>6.5734899999999999E-2</v>
      </c>
      <c r="AL43">
        <f t="shared" si="6"/>
        <v>18.432600000000001</v>
      </c>
      <c r="AM43">
        <f t="shared" si="7"/>
        <v>1.2206639130599999</v>
      </c>
      <c r="AP43" s="9"/>
      <c r="AQ43" s="22">
        <v>1.58386</v>
      </c>
      <c r="AR43" s="22">
        <v>41.236400000000003</v>
      </c>
      <c r="AS43" s="22">
        <v>-1.18805E-2</v>
      </c>
      <c r="AT43" s="22">
        <v>33</v>
      </c>
      <c r="AU43" s="22">
        <v>1.5835600000000001</v>
      </c>
      <c r="AV43">
        <f t="shared" si="8"/>
        <v>11.8805</v>
      </c>
      <c r="AW43">
        <f t="shared" si="9"/>
        <v>18.81704873</v>
      </c>
      <c r="AX43" s="9"/>
      <c r="AY43" s="22">
        <v>6.6223099999999993E-2</v>
      </c>
      <c r="AZ43" s="22">
        <v>45.975999999999999</v>
      </c>
      <c r="BA43" s="22">
        <v>-1.84326E-2</v>
      </c>
      <c r="BB43" s="22">
        <v>33</v>
      </c>
      <c r="BC43" s="22">
        <v>6.5826399999999993E-2</v>
      </c>
      <c r="BD43">
        <f t="shared" si="10"/>
        <v>18.432600000000001</v>
      </c>
      <c r="BE43">
        <f t="shared" si="11"/>
        <v>1.2206639130599999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11.2378</v>
      </c>
      <c r="I44" s="22">
        <v>-1.21429E-2</v>
      </c>
      <c r="J44" s="22">
        <v>34</v>
      </c>
      <c r="K44" s="22">
        <v>1.57745</v>
      </c>
      <c r="L44">
        <f t="shared" si="0"/>
        <v>12.142899999999999</v>
      </c>
      <c r="M44">
        <f t="shared" si="1"/>
        <v>19.171574806999999</v>
      </c>
      <c r="N44" s="9"/>
      <c r="O44" s="22">
        <v>7.1258500000000002E-2</v>
      </c>
      <c r="P44" s="22">
        <v>24.125599999999999</v>
      </c>
      <c r="Q44" s="22">
        <v>-1.83929E-2</v>
      </c>
      <c r="R44" s="22">
        <v>34</v>
      </c>
      <c r="S44" s="22">
        <v>7.0770299999999994E-2</v>
      </c>
      <c r="T44">
        <f t="shared" si="2"/>
        <v>18.392900000000001</v>
      </c>
      <c r="U44">
        <f t="shared" si="3"/>
        <v>1.3106504646500001</v>
      </c>
      <c r="X44" s="9"/>
      <c r="Y44" s="22">
        <v>1.57883</v>
      </c>
      <c r="Z44" s="22">
        <v>31.5092</v>
      </c>
      <c r="AA44" s="22">
        <v>-1.2262E-2</v>
      </c>
      <c r="AB44" s="22">
        <v>34</v>
      </c>
      <c r="AC44" s="22">
        <v>1.57806</v>
      </c>
      <c r="AD44">
        <f t="shared" si="4"/>
        <v>12.262</v>
      </c>
      <c r="AE44">
        <f t="shared" si="5"/>
        <v>19.359613459999998</v>
      </c>
      <c r="AF44" s="9"/>
      <c r="AG44" s="22">
        <v>7.1258500000000002E-2</v>
      </c>
      <c r="AH44" s="22">
        <v>36.412799999999997</v>
      </c>
      <c r="AI44" s="22">
        <v>-1.8429600000000001E-2</v>
      </c>
      <c r="AJ44" s="22">
        <v>34</v>
      </c>
      <c r="AK44" s="22">
        <v>7.0739700000000003E-2</v>
      </c>
      <c r="AL44">
        <f t="shared" si="6"/>
        <v>18.429600000000001</v>
      </c>
      <c r="AM44">
        <f t="shared" si="7"/>
        <v>1.3132656516000001</v>
      </c>
      <c r="AP44" s="9"/>
      <c r="AQ44" s="22">
        <v>1.57883</v>
      </c>
      <c r="AR44" s="22">
        <v>41.246400000000001</v>
      </c>
      <c r="AS44" s="22">
        <v>-1.2075799999999999E-2</v>
      </c>
      <c r="AT44" s="22">
        <v>34</v>
      </c>
      <c r="AU44" s="22">
        <v>1.57867</v>
      </c>
      <c r="AV44">
        <f t="shared" si="8"/>
        <v>12.075799999999999</v>
      </c>
      <c r="AW44">
        <f t="shared" si="9"/>
        <v>19.065635313999998</v>
      </c>
      <c r="AX44" s="9"/>
      <c r="AY44" s="22">
        <v>7.1258500000000002E-2</v>
      </c>
      <c r="AZ44" s="22">
        <v>45.985999999999997</v>
      </c>
      <c r="BA44" s="22">
        <v>-1.8426499999999998E-2</v>
      </c>
      <c r="BB44" s="22">
        <v>34</v>
      </c>
      <c r="BC44" s="22">
        <v>7.0892300000000005E-2</v>
      </c>
      <c r="BD44">
        <f t="shared" si="10"/>
        <v>18.426499999999997</v>
      </c>
      <c r="BE44">
        <f t="shared" si="11"/>
        <v>1.3130447502499998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11.2479</v>
      </c>
      <c r="I45" s="22">
        <v>-1.2329100000000001E-2</v>
      </c>
      <c r="J45" s="22">
        <v>35</v>
      </c>
      <c r="K45" s="22">
        <v>1.57257</v>
      </c>
      <c r="L45">
        <f t="shared" si="0"/>
        <v>12.3291</v>
      </c>
      <c r="M45">
        <f t="shared" si="1"/>
        <v>19.403414289000001</v>
      </c>
      <c r="N45" s="9"/>
      <c r="O45" s="22">
        <v>7.6293899999999998E-2</v>
      </c>
      <c r="P45" s="22">
        <v>24.1357</v>
      </c>
      <c r="Q45" s="22">
        <v>-1.8386799999999998E-2</v>
      </c>
      <c r="R45" s="22">
        <v>35</v>
      </c>
      <c r="S45" s="22">
        <v>7.5775099999999998E-2</v>
      </c>
      <c r="T45">
        <f t="shared" si="2"/>
        <v>18.386799999999997</v>
      </c>
      <c r="U45">
        <f t="shared" si="3"/>
        <v>1.4028006805199997</v>
      </c>
      <c r="X45" s="9"/>
      <c r="Y45" s="22">
        <v>1.57379</v>
      </c>
      <c r="Z45" s="22">
        <v>31.519300000000001</v>
      </c>
      <c r="AA45" s="22">
        <v>-1.24481E-2</v>
      </c>
      <c r="AB45" s="22">
        <v>35</v>
      </c>
      <c r="AC45" s="22">
        <v>1.5722700000000001</v>
      </c>
      <c r="AD45">
        <f t="shared" si="4"/>
        <v>12.4481</v>
      </c>
      <c r="AE45">
        <f t="shared" si="5"/>
        <v>19.590695299</v>
      </c>
      <c r="AF45" s="9"/>
      <c r="AG45" s="22">
        <v>7.6293899999999998E-2</v>
      </c>
      <c r="AH45" s="22">
        <v>36.422899999999998</v>
      </c>
      <c r="AI45" s="22">
        <v>-1.8429600000000001E-2</v>
      </c>
      <c r="AJ45" s="22">
        <v>35</v>
      </c>
      <c r="AK45" s="22">
        <v>7.5775099999999998E-2</v>
      </c>
      <c r="AL45">
        <f t="shared" si="6"/>
        <v>18.429600000000001</v>
      </c>
      <c r="AM45">
        <f t="shared" si="7"/>
        <v>1.4060660594400001</v>
      </c>
      <c r="AP45" s="9"/>
      <c r="AQ45" s="22">
        <v>1.57379</v>
      </c>
      <c r="AR45" s="22">
        <v>41.256500000000003</v>
      </c>
      <c r="AS45" s="22">
        <v>-1.22711E-2</v>
      </c>
      <c r="AT45" s="22">
        <v>35</v>
      </c>
      <c r="AU45" s="22">
        <v>1.5728800000000001</v>
      </c>
      <c r="AV45">
        <f t="shared" si="8"/>
        <v>12.271100000000001</v>
      </c>
      <c r="AW45">
        <f t="shared" si="9"/>
        <v>19.312134469</v>
      </c>
      <c r="AX45" s="9"/>
      <c r="AY45" s="22">
        <v>7.6293899999999998E-2</v>
      </c>
      <c r="AZ45" s="22">
        <v>45.996099999999998</v>
      </c>
      <c r="BA45" s="22">
        <v>-1.8423499999999999E-2</v>
      </c>
      <c r="BB45" s="22">
        <v>35</v>
      </c>
      <c r="BC45" s="22">
        <v>7.5775099999999998E-2</v>
      </c>
      <c r="BD45">
        <f t="shared" si="10"/>
        <v>18.423500000000001</v>
      </c>
      <c r="BE45">
        <f t="shared" si="11"/>
        <v>1.4056006666500001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11.257999999999999</v>
      </c>
      <c r="I46" s="22">
        <v>-1.2506099999999999E-2</v>
      </c>
      <c r="J46" s="22">
        <v>36</v>
      </c>
      <c r="K46" s="22">
        <v>1.56769</v>
      </c>
      <c r="L46">
        <f t="shared" si="0"/>
        <v>12.5061</v>
      </c>
      <c r="M46">
        <f t="shared" si="1"/>
        <v>19.619069436</v>
      </c>
      <c r="N46" s="9"/>
      <c r="O46" s="22">
        <v>8.1329299999999993E-2</v>
      </c>
      <c r="P46" s="22">
        <v>24.145700000000001</v>
      </c>
      <c r="Q46" s="22">
        <v>-1.8386799999999998E-2</v>
      </c>
      <c r="R46" s="22">
        <v>36</v>
      </c>
      <c r="S46" s="22">
        <v>8.0749500000000002E-2</v>
      </c>
      <c r="T46">
        <f t="shared" si="2"/>
        <v>18.386799999999997</v>
      </c>
      <c r="U46">
        <f t="shared" si="3"/>
        <v>1.4953855732399997</v>
      </c>
      <c r="X46" s="9"/>
      <c r="Y46" s="22">
        <v>1.5687599999999999</v>
      </c>
      <c r="Z46" s="22">
        <v>31.529399999999999</v>
      </c>
      <c r="AA46" s="22">
        <v>-1.2637300000000001E-2</v>
      </c>
      <c r="AB46" s="22">
        <v>36</v>
      </c>
      <c r="AC46" s="22">
        <v>1.56769</v>
      </c>
      <c r="AD46">
        <f t="shared" si="4"/>
        <v>12.6373</v>
      </c>
      <c r="AE46">
        <f t="shared" si="5"/>
        <v>19.824890747999998</v>
      </c>
      <c r="AF46" s="9"/>
      <c r="AG46" s="22">
        <v>8.1329299999999993E-2</v>
      </c>
      <c r="AH46" s="22">
        <v>36.433</v>
      </c>
      <c r="AI46" s="22">
        <v>-1.8426499999999998E-2</v>
      </c>
      <c r="AJ46" s="22">
        <v>36</v>
      </c>
      <c r="AK46" s="22">
        <v>8.1054699999999993E-2</v>
      </c>
      <c r="AL46">
        <f t="shared" si="6"/>
        <v>18.426499999999997</v>
      </c>
      <c r="AM46">
        <f t="shared" si="7"/>
        <v>1.4986143464499997</v>
      </c>
      <c r="AP46" s="9"/>
      <c r="AQ46" s="22">
        <v>1.5687599999999999</v>
      </c>
      <c r="AR46" s="22">
        <v>41.266599999999997</v>
      </c>
      <c r="AS46" s="22">
        <v>-1.2451200000000001E-2</v>
      </c>
      <c r="AT46" s="22">
        <v>36</v>
      </c>
      <c r="AU46" s="22">
        <v>1.56738</v>
      </c>
      <c r="AV46">
        <f t="shared" si="8"/>
        <v>12.4512</v>
      </c>
      <c r="AW46">
        <f t="shared" si="9"/>
        <v>19.532944512</v>
      </c>
      <c r="AX46" s="9"/>
      <c r="AY46" s="22">
        <v>8.1329299999999993E-2</v>
      </c>
      <c r="AZ46" s="22">
        <v>46.0062</v>
      </c>
      <c r="BA46" s="22">
        <v>-1.84174E-2</v>
      </c>
      <c r="BB46" s="22">
        <v>36</v>
      </c>
      <c r="BC46" s="22">
        <v>8.0993700000000002E-2</v>
      </c>
      <c r="BD46">
        <f t="shared" si="10"/>
        <v>18.417400000000001</v>
      </c>
      <c r="BE46">
        <f t="shared" si="11"/>
        <v>1.4978742498199999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11.2681</v>
      </c>
      <c r="I47" s="22">
        <v>-1.2683099999999999E-2</v>
      </c>
      <c r="J47" s="22">
        <v>37</v>
      </c>
      <c r="K47" s="22">
        <v>1.56281</v>
      </c>
      <c r="L47">
        <f t="shared" si="0"/>
        <v>12.6831</v>
      </c>
      <c r="M47">
        <f t="shared" si="1"/>
        <v>19.832817131999999</v>
      </c>
      <c r="N47" s="9"/>
      <c r="O47" s="22">
        <v>8.6364700000000003E-2</v>
      </c>
      <c r="P47" s="22">
        <v>24.155799999999999</v>
      </c>
      <c r="Q47" s="22">
        <v>-1.8383799999999999E-2</v>
      </c>
      <c r="R47" s="22">
        <v>37</v>
      </c>
      <c r="S47" s="22">
        <v>8.5693400000000003E-2</v>
      </c>
      <c r="T47">
        <f t="shared" si="2"/>
        <v>18.383799999999997</v>
      </c>
      <c r="U47">
        <f t="shared" si="3"/>
        <v>1.5877113718599998</v>
      </c>
      <c r="X47" s="9"/>
      <c r="Y47" s="22">
        <v>1.56372</v>
      </c>
      <c r="Z47" s="22">
        <v>31.539400000000001</v>
      </c>
      <c r="AA47" s="22">
        <v>-1.28174E-2</v>
      </c>
      <c r="AB47" s="22">
        <v>37</v>
      </c>
      <c r="AC47" s="22">
        <v>1.56281</v>
      </c>
      <c r="AD47">
        <f t="shared" si="4"/>
        <v>12.817399999999999</v>
      </c>
      <c r="AE47">
        <f t="shared" si="5"/>
        <v>20.042824727999999</v>
      </c>
      <c r="AF47" s="9"/>
      <c r="AG47" s="22">
        <v>8.6364700000000003E-2</v>
      </c>
      <c r="AH47" s="22">
        <v>36.443100000000001</v>
      </c>
      <c r="AI47" s="22">
        <v>-1.84204E-2</v>
      </c>
      <c r="AJ47" s="22">
        <v>37</v>
      </c>
      <c r="AK47" s="22">
        <v>8.54187E-2</v>
      </c>
      <c r="AL47">
        <f t="shared" si="6"/>
        <v>18.420400000000001</v>
      </c>
      <c r="AM47">
        <f t="shared" si="7"/>
        <v>1.5908723198800001</v>
      </c>
      <c r="AP47" s="9"/>
      <c r="AQ47" s="22">
        <v>1.56372</v>
      </c>
      <c r="AR47" s="22">
        <v>41.276600000000002</v>
      </c>
      <c r="AS47" s="22">
        <v>-1.2634299999999999E-2</v>
      </c>
      <c r="AT47" s="22">
        <v>37</v>
      </c>
      <c r="AU47" s="22">
        <v>1.56311</v>
      </c>
      <c r="AV47">
        <f t="shared" si="8"/>
        <v>12.6343</v>
      </c>
      <c r="AW47">
        <f t="shared" si="9"/>
        <v>19.756507595999999</v>
      </c>
      <c r="AX47" s="9"/>
      <c r="AY47" s="22">
        <v>8.6364700000000003E-2</v>
      </c>
      <c r="AZ47" s="22">
        <v>46.016199999999998</v>
      </c>
      <c r="BA47" s="22">
        <v>-1.8414300000000002E-2</v>
      </c>
      <c r="BB47" s="22">
        <v>37</v>
      </c>
      <c r="BC47" s="22">
        <v>8.5632299999999995E-2</v>
      </c>
      <c r="BD47">
        <f t="shared" si="10"/>
        <v>18.414300000000001</v>
      </c>
      <c r="BE47">
        <f t="shared" si="11"/>
        <v>1.59034549521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11.2781</v>
      </c>
      <c r="I48" s="22">
        <v>-1.2851E-2</v>
      </c>
      <c r="J48" s="22">
        <v>38</v>
      </c>
      <c r="K48" s="22">
        <v>1.55762</v>
      </c>
      <c r="L48">
        <f t="shared" si="0"/>
        <v>12.850999999999999</v>
      </c>
      <c r="M48">
        <f t="shared" si="1"/>
        <v>20.030725189999998</v>
      </c>
      <c r="N48" s="9"/>
      <c r="O48" s="22">
        <v>9.1400099999999998E-2</v>
      </c>
      <c r="P48" s="22">
        <v>24.165900000000001</v>
      </c>
      <c r="Q48" s="22">
        <v>-1.83807E-2</v>
      </c>
      <c r="R48" s="22">
        <v>38</v>
      </c>
      <c r="S48" s="22">
        <v>9.0881299999999998E-2</v>
      </c>
      <c r="T48">
        <f t="shared" si="2"/>
        <v>18.380700000000001</v>
      </c>
      <c r="U48">
        <f t="shared" si="3"/>
        <v>1.6799978180700001</v>
      </c>
      <c r="X48" s="9"/>
      <c r="Y48" s="22">
        <v>1.5586899999999999</v>
      </c>
      <c r="Z48" s="22">
        <v>31.549499999999998</v>
      </c>
      <c r="AA48" s="22">
        <v>-1.29944E-2</v>
      </c>
      <c r="AB48" s="22">
        <v>38</v>
      </c>
      <c r="AC48" s="22">
        <v>1.55762</v>
      </c>
      <c r="AD48">
        <f t="shared" si="4"/>
        <v>12.994399999999999</v>
      </c>
      <c r="AE48">
        <f t="shared" si="5"/>
        <v>20.254241335999996</v>
      </c>
      <c r="AF48" s="9"/>
      <c r="AG48" s="22">
        <v>9.1400099999999998E-2</v>
      </c>
      <c r="AH48" s="22">
        <v>36.453099999999999</v>
      </c>
      <c r="AI48" s="22">
        <v>-1.8414300000000002E-2</v>
      </c>
      <c r="AJ48" s="22">
        <v>38</v>
      </c>
      <c r="AK48" s="22">
        <v>9.0972899999999995E-2</v>
      </c>
      <c r="AL48">
        <f t="shared" si="6"/>
        <v>18.414300000000001</v>
      </c>
      <c r="AM48">
        <f t="shared" si="7"/>
        <v>1.68306886143</v>
      </c>
      <c r="AP48" s="9"/>
      <c r="AQ48" s="22">
        <v>1.5586899999999999</v>
      </c>
      <c r="AR48" s="22">
        <v>41.286700000000003</v>
      </c>
      <c r="AS48" s="22">
        <v>-1.28082E-2</v>
      </c>
      <c r="AT48" s="22">
        <v>38</v>
      </c>
      <c r="AU48" s="22">
        <v>1.55823</v>
      </c>
      <c r="AV48">
        <f t="shared" si="8"/>
        <v>12.808200000000001</v>
      </c>
      <c r="AW48">
        <f t="shared" si="9"/>
        <v>19.964013258000001</v>
      </c>
      <c r="AX48" s="9"/>
      <c r="AY48" s="22">
        <v>9.1400099999999998E-2</v>
      </c>
      <c r="AZ48" s="22">
        <v>46.026299999999999</v>
      </c>
      <c r="BA48" s="22">
        <v>-1.8411299999999999E-2</v>
      </c>
      <c r="BB48" s="22">
        <v>38</v>
      </c>
      <c r="BC48" s="22">
        <v>9.0911900000000004E-2</v>
      </c>
      <c r="BD48">
        <f t="shared" si="10"/>
        <v>18.411299999999997</v>
      </c>
      <c r="BE48">
        <f t="shared" si="11"/>
        <v>1.6827946611299998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11.2882</v>
      </c>
      <c r="I49" s="22">
        <v>-1.3018800000000001E-2</v>
      </c>
      <c r="J49" s="22">
        <v>39</v>
      </c>
      <c r="K49" s="22">
        <v>1.55304</v>
      </c>
      <c r="L49">
        <f t="shared" si="0"/>
        <v>13.018800000000001</v>
      </c>
      <c r="M49">
        <f t="shared" si="1"/>
        <v>20.226658620000002</v>
      </c>
      <c r="N49" s="9"/>
      <c r="O49" s="22">
        <v>9.6435499999999993E-2</v>
      </c>
      <c r="P49" s="22">
        <v>24.175899999999999</v>
      </c>
      <c r="Q49" s="22">
        <v>-1.83777E-2</v>
      </c>
      <c r="R49" s="22">
        <v>39</v>
      </c>
      <c r="S49" s="22">
        <v>9.6221899999999999E-2</v>
      </c>
      <c r="T49">
        <f t="shared" si="2"/>
        <v>18.377700000000001</v>
      </c>
      <c r="U49">
        <f t="shared" si="3"/>
        <v>1.7722626883499999</v>
      </c>
      <c r="X49" s="9"/>
      <c r="Y49" s="22">
        <v>1.55365</v>
      </c>
      <c r="Z49" s="22">
        <v>31.5596</v>
      </c>
      <c r="AA49" s="22">
        <v>-1.31561E-2</v>
      </c>
      <c r="AB49" s="22">
        <v>39</v>
      </c>
      <c r="AC49" s="22">
        <v>1.55304</v>
      </c>
      <c r="AD49">
        <f t="shared" si="4"/>
        <v>13.1561</v>
      </c>
      <c r="AE49">
        <f t="shared" si="5"/>
        <v>20.439974764999999</v>
      </c>
      <c r="AF49" s="9"/>
      <c r="AG49" s="22">
        <v>9.6435499999999993E-2</v>
      </c>
      <c r="AH49" s="22">
        <v>36.463200000000001</v>
      </c>
      <c r="AI49" s="22">
        <v>-1.8411299999999999E-2</v>
      </c>
      <c r="AJ49" s="22">
        <v>39</v>
      </c>
      <c r="AK49" s="22">
        <v>9.5825199999999999E-2</v>
      </c>
      <c r="AL49">
        <f t="shared" si="6"/>
        <v>18.411299999999997</v>
      </c>
      <c r="AM49">
        <f t="shared" si="7"/>
        <v>1.7755029211499995</v>
      </c>
      <c r="AP49" s="9"/>
      <c r="AQ49" s="22">
        <v>1.55365</v>
      </c>
      <c r="AR49" s="22">
        <v>41.296799999999998</v>
      </c>
      <c r="AS49" s="22">
        <v>-1.2976100000000001E-2</v>
      </c>
      <c r="AT49" s="22">
        <v>39</v>
      </c>
      <c r="AU49" s="22">
        <v>1.55243</v>
      </c>
      <c r="AV49">
        <f t="shared" si="8"/>
        <v>12.976100000000001</v>
      </c>
      <c r="AW49">
        <f t="shared" si="9"/>
        <v>20.160317765000002</v>
      </c>
      <c r="AX49" s="9"/>
      <c r="AY49" s="22">
        <v>9.6435499999999993E-2</v>
      </c>
      <c r="AZ49" s="22">
        <v>46.0364</v>
      </c>
      <c r="BA49" s="22">
        <v>-1.84052E-2</v>
      </c>
      <c r="BB49" s="22">
        <v>39</v>
      </c>
      <c r="BC49" s="22">
        <v>9.6191399999999996E-2</v>
      </c>
      <c r="BD49">
        <f t="shared" si="10"/>
        <v>18.405200000000001</v>
      </c>
      <c r="BE49">
        <f t="shared" si="11"/>
        <v>1.7749146646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11.298299999999999</v>
      </c>
      <c r="I50" s="22">
        <v>-1.31805E-2</v>
      </c>
      <c r="J50" s="22">
        <v>40</v>
      </c>
      <c r="K50" s="22">
        <v>1.54755</v>
      </c>
      <c r="L50">
        <f t="shared" si="0"/>
        <v>13.1805</v>
      </c>
      <c r="M50">
        <f t="shared" si="1"/>
        <v>20.411454105000001</v>
      </c>
      <c r="N50" s="9"/>
      <c r="O50" s="22">
        <v>0.10147100000000001</v>
      </c>
      <c r="P50" s="22">
        <v>24.186</v>
      </c>
      <c r="Q50" s="22">
        <v>-1.8374600000000001E-2</v>
      </c>
      <c r="R50" s="22">
        <v>40</v>
      </c>
      <c r="S50" s="22">
        <v>0.10131800000000001</v>
      </c>
      <c r="T50">
        <f t="shared" si="2"/>
        <v>18.374600000000001</v>
      </c>
      <c r="U50">
        <f t="shared" si="3"/>
        <v>1.8644890366000002</v>
      </c>
      <c r="X50" s="9"/>
      <c r="Y50" s="22">
        <v>1.54861</v>
      </c>
      <c r="Z50" s="22">
        <v>31.569700000000001</v>
      </c>
      <c r="AA50" s="22">
        <v>-1.3317900000000001E-2</v>
      </c>
      <c r="AB50" s="22">
        <v>40</v>
      </c>
      <c r="AC50" s="22">
        <v>1.54755</v>
      </c>
      <c r="AD50">
        <f t="shared" si="4"/>
        <v>13.3179</v>
      </c>
      <c r="AE50">
        <f t="shared" si="5"/>
        <v>20.624233118999999</v>
      </c>
      <c r="AF50" s="9"/>
      <c r="AG50" s="22">
        <v>0.10147100000000001</v>
      </c>
      <c r="AH50" s="22">
        <v>36.473300000000002</v>
      </c>
      <c r="AI50" s="22">
        <v>-1.84052E-2</v>
      </c>
      <c r="AJ50" s="22">
        <v>40</v>
      </c>
      <c r="AK50" s="22">
        <v>0.10101300000000001</v>
      </c>
      <c r="AL50">
        <f t="shared" si="6"/>
        <v>18.405200000000001</v>
      </c>
      <c r="AM50">
        <f t="shared" si="7"/>
        <v>1.8675940492000003</v>
      </c>
      <c r="AP50" s="9"/>
      <c r="AQ50" s="22">
        <v>1.54861</v>
      </c>
      <c r="AR50" s="22">
        <v>41.306899999999999</v>
      </c>
      <c r="AS50" s="22">
        <v>-1.31409E-2</v>
      </c>
      <c r="AT50" s="22">
        <v>40</v>
      </c>
      <c r="AU50" s="22">
        <v>1.5472399999999999</v>
      </c>
      <c r="AV50">
        <f t="shared" si="8"/>
        <v>13.1409</v>
      </c>
      <c r="AW50">
        <f t="shared" si="9"/>
        <v>20.350129149000001</v>
      </c>
      <c r="AX50" s="9"/>
      <c r="AY50" s="22">
        <v>0.10147100000000001</v>
      </c>
      <c r="AZ50" s="22">
        <v>46.046500000000002</v>
      </c>
      <c r="BA50" s="22">
        <v>-1.8395999999999999E-2</v>
      </c>
      <c r="BB50" s="22">
        <v>40</v>
      </c>
      <c r="BC50" s="22">
        <v>0.10055500000000001</v>
      </c>
      <c r="BD50">
        <f t="shared" si="10"/>
        <v>18.396000000000001</v>
      </c>
      <c r="BE50">
        <f t="shared" si="11"/>
        <v>1.8666605160000003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11.308299999999999</v>
      </c>
      <c r="I51" s="22">
        <v>-1.33423E-2</v>
      </c>
      <c r="J51" s="22">
        <v>41</v>
      </c>
      <c r="K51" s="22">
        <v>1.54297</v>
      </c>
      <c r="L51">
        <f t="shared" si="0"/>
        <v>13.3423</v>
      </c>
      <c r="M51">
        <f t="shared" si="1"/>
        <v>20.594907434</v>
      </c>
      <c r="N51" s="9"/>
      <c r="O51" s="22">
        <v>0.106506</v>
      </c>
      <c r="P51" s="22">
        <v>24.196100000000001</v>
      </c>
      <c r="Q51" s="22">
        <v>-1.8368499999999999E-2</v>
      </c>
      <c r="R51" s="22">
        <v>41</v>
      </c>
      <c r="S51" s="22">
        <v>0.10614</v>
      </c>
      <c r="T51">
        <f t="shared" si="2"/>
        <v>18.368500000000001</v>
      </c>
      <c r="U51">
        <f t="shared" si="3"/>
        <v>1.9563554610000002</v>
      </c>
      <c r="X51" s="9"/>
      <c r="Y51" s="22">
        <v>1.54358</v>
      </c>
      <c r="Z51" s="22">
        <v>31.579699999999999</v>
      </c>
      <c r="AA51" s="22">
        <v>-1.34705E-2</v>
      </c>
      <c r="AB51" s="22">
        <v>41</v>
      </c>
      <c r="AC51" s="22">
        <v>1.54297</v>
      </c>
      <c r="AD51">
        <f t="shared" si="4"/>
        <v>13.470499999999999</v>
      </c>
      <c r="AE51">
        <f t="shared" si="5"/>
        <v>20.792794389999997</v>
      </c>
      <c r="AF51" s="9"/>
      <c r="AG51" s="22">
        <v>0.106506</v>
      </c>
      <c r="AH51" s="22">
        <v>36.4833</v>
      </c>
      <c r="AI51" s="22">
        <v>-1.8398999999999999E-2</v>
      </c>
      <c r="AJ51" s="22">
        <v>41</v>
      </c>
      <c r="AK51" s="22">
        <v>0.105988</v>
      </c>
      <c r="AL51">
        <f t="shared" si="6"/>
        <v>18.398999999999997</v>
      </c>
      <c r="AM51">
        <f t="shared" si="7"/>
        <v>1.9596038939999998</v>
      </c>
      <c r="AP51" s="9"/>
      <c r="AQ51" s="22">
        <v>1.54358</v>
      </c>
      <c r="AR51" s="22">
        <v>41.316899999999997</v>
      </c>
      <c r="AS51" s="22">
        <v>-1.3302599999999999E-2</v>
      </c>
      <c r="AT51" s="22">
        <v>41</v>
      </c>
      <c r="AU51" s="22">
        <v>1.5426599999999999</v>
      </c>
      <c r="AV51">
        <f t="shared" si="8"/>
        <v>13.3026</v>
      </c>
      <c r="AW51">
        <f t="shared" si="9"/>
        <v>20.533627308</v>
      </c>
      <c r="AX51" s="9"/>
      <c r="AY51" s="22">
        <v>0.106506</v>
      </c>
      <c r="AZ51" s="22">
        <v>46.0565</v>
      </c>
      <c r="BA51" s="22">
        <v>-1.83929E-2</v>
      </c>
      <c r="BB51" s="22">
        <v>41</v>
      </c>
      <c r="BC51" s="22">
        <v>0.106262</v>
      </c>
      <c r="BD51">
        <f t="shared" si="10"/>
        <v>18.392900000000001</v>
      </c>
      <c r="BE51">
        <f t="shared" si="11"/>
        <v>1.9589542074000001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11.3184</v>
      </c>
      <c r="I52" s="22">
        <v>-1.3494900000000001E-2</v>
      </c>
      <c r="J52" s="22">
        <v>42</v>
      </c>
      <c r="K52" s="22">
        <v>1.5371699999999999</v>
      </c>
      <c r="L52">
        <f t="shared" si="0"/>
        <v>13.494900000000001</v>
      </c>
      <c r="M52">
        <f t="shared" si="1"/>
        <v>20.762443446000002</v>
      </c>
      <c r="N52" s="9"/>
      <c r="O52" s="22">
        <v>0.111542</v>
      </c>
      <c r="P52" s="22">
        <v>24.206199999999999</v>
      </c>
      <c r="Q52" s="22">
        <v>-1.8362400000000001E-2</v>
      </c>
      <c r="R52" s="22">
        <v>42</v>
      </c>
      <c r="S52" s="22">
        <v>0.11099199999999999</v>
      </c>
      <c r="T52">
        <f t="shared" si="2"/>
        <v>18.362400000000001</v>
      </c>
      <c r="U52">
        <f t="shared" si="3"/>
        <v>2.0481788208</v>
      </c>
      <c r="X52" s="9"/>
      <c r="Y52" s="22">
        <v>1.53854</v>
      </c>
      <c r="Z52" s="22">
        <v>31.5898</v>
      </c>
      <c r="AA52" s="22">
        <v>-1.36261E-2</v>
      </c>
      <c r="AB52" s="22">
        <v>42</v>
      </c>
      <c r="AC52" s="22">
        <v>1.5371699999999999</v>
      </c>
      <c r="AD52">
        <f t="shared" si="4"/>
        <v>13.626100000000001</v>
      </c>
      <c r="AE52">
        <f t="shared" si="5"/>
        <v>20.964299894000003</v>
      </c>
      <c r="AF52" s="9"/>
      <c r="AG52" s="22">
        <v>0.111542</v>
      </c>
      <c r="AH52" s="22">
        <v>36.493400000000001</v>
      </c>
      <c r="AI52" s="22">
        <v>-1.8395999999999999E-2</v>
      </c>
      <c r="AJ52" s="22">
        <v>42</v>
      </c>
      <c r="AK52" s="22">
        <v>0.111023</v>
      </c>
      <c r="AL52">
        <f t="shared" si="6"/>
        <v>18.396000000000001</v>
      </c>
      <c r="AM52">
        <f t="shared" si="7"/>
        <v>2.0519266320000003</v>
      </c>
      <c r="AP52" s="9"/>
      <c r="AQ52" s="22">
        <v>1.53854</v>
      </c>
      <c r="AR52" s="22">
        <v>41.326999999999998</v>
      </c>
      <c r="AS52" s="22">
        <v>-1.3458299999999999E-2</v>
      </c>
      <c r="AT52" s="22">
        <v>42</v>
      </c>
      <c r="AU52" s="22">
        <v>1.5371699999999999</v>
      </c>
      <c r="AV52">
        <f t="shared" si="8"/>
        <v>13.458299999999999</v>
      </c>
      <c r="AW52">
        <f t="shared" si="9"/>
        <v>20.706132881999999</v>
      </c>
      <c r="AX52" s="9"/>
      <c r="AY52" s="22">
        <v>0.111542</v>
      </c>
      <c r="AZ52" s="22">
        <v>46.066600000000001</v>
      </c>
      <c r="BA52" s="22">
        <v>-1.8386799999999998E-2</v>
      </c>
      <c r="BB52" s="22">
        <v>42</v>
      </c>
      <c r="BC52" s="22">
        <v>0.11096200000000001</v>
      </c>
      <c r="BD52">
        <f t="shared" si="10"/>
        <v>18.386799999999997</v>
      </c>
      <c r="BE52">
        <f t="shared" si="11"/>
        <v>2.0509004456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11.3285</v>
      </c>
      <c r="I53" s="22">
        <v>-1.3650499999999999E-2</v>
      </c>
      <c r="J53" s="22">
        <v>43</v>
      </c>
      <c r="K53" s="22">
        <v>1.5322899999999999</v>
      </c>
      <c r="L53">
        <f t="shared" si="0"/>
        <v>13.650499999999999</v>
      </c>
      <c r="M53">
        <f t="shared" si="1"/>
        <v>20.933178254999998</v>
      </c>
      <c r="N53" s="9"/>
      <c r="O53" s="22">
        <v>0.116577</v>
      </c>
      <c r="P53" s="22">
        <v>24.216200000000001</v>
      </c>
      <c r="Q53" s="22">
        <v>-1.8356299999999999E-2</v>
      </c>
      <c r="R53" s="22">
        <v>43</v>
      </c>
      <c r="S53" s="22">
        <v>0.115967</v>
      </c>
      <c r="T53">
        <f t="shared" si="2"/>
        <v>18.356299999999997</v>
      </c>
      <c r="U53">
        <f t="shared" si="3"/>
        <v>2.1399223850999998</v>
      </c>
      <c r="X53" s="9"/>
      <c r="Y53" s="22">
        <v>1.5335099999999999</v>
      </c>
      <c r="Z53" s="22">
        <v>31.599900000000002</v>
      </c>
      <c r="AA53" s="22">
        <v>-1.3772599999999999E-2</v>
      </c>
      <c r="AB53" s="22">
        <v>43</v>
      </c>
      <c r="AC53" s="22">
        <v>1.5325899999999999</v>
      </c>
      <c r="AD53">
        <f t="shared" si="4"/>
        <v>13.772599999999999</v>
      </c>
      <c r="AE53">
        <f t="shared" si="5"/>
        <v>21.120419825999996</v>
      </c>
      <c r="AF53" s="9"/>
      <c r="AG53" s="22">
        <v>0.116577</v>
      </c>
      <c r="AH53" s="22">
        <v>36.503500000000003</v>
      </c>
      <c r="AI53" s="22">
        <v>-1.8389900000000001E-2</v>
      </c>
      <c r="AJ53" s="22">
        <v>43</v>
      </c>
      <c r="AK53" s="22">
        <v>0.11587500000000001</v>
      </c>
      <c r="AL53">
        <f t="shared" si="6"/>
        <v>18.389900000000001</v>
      </c>
      <c r="AM53">
        <f t="shared" si="7"/>
        <v>2.1438393723</v>
      </c>
      <c r="AP53" s="9"/>
      <c r="AQ53" s="22">
        <v>1.5335099999999999</v>
      </c>
      <c r="AR53" s="22">
        <v>41.3371</v>
      </c>
      <c r="AS53" s="22">
        <v>-1.3610799999999999E-2</v>
      </c>
      <c r="AT53" s="22">
        <v>43</v>
      </c>
      <c r="AU53" s="22">
        <v>1.5325899999999999</v>
      </c>
      <c r="AV53">
        <f t="shared" si="8"/>
        <v>13.610799999999999</v>
      </c>
      <c r="AW53">
        <f t="shared" si="9"/>
        <v>20.872297907999997</v>
      </c>
      <c r="AX53" s="9"/>
      <c r="AY53" s="22">
        <v>0.116577</v>
      </c>
      <c r="AZ53" s="22">
        <v>46.076700000000002</v>
      </c>
      <c r="BA53" s="22">
        <v>-1.83807E-2</v>
      </c>
      <c r="BB53" s="22">
        <v>43</v>
      </c>
      <c r="BC53" s="22">
        <v>0.11621099999999999</v>
      </c>
      <c r="BD53">
        <f t="shared" si="10"/>
        <v>18.380700000000001</v>
      </c>
      <c r="BE53">
        <f t="shared" si="11"/>
        <v>2.1427668638999999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11.3386</v>
      </c>
      <c r="I54" s="22">
        <v>-1.3787799999999999E-2</v>
      </c>
      <c r="J54" s="22">
        <v>44</v>
      </c>
      <c r="K54" s="22">
        <v>1.5255700000000001</v>
      </c>
      <c r="L54">
        <f t="shared" si="0"/>
        <v>13.787799999999999</v>
      </c>
      <c r="M54">
        <f t="shared" si="1"/>
        <v>21.074238665999999</v>
      </c>
      <c r="N54" s="9"/>
      <c r="O54" s="22">
        <v>0.121613</v>
      </c>
      <c r="P54" s="22">
        <v>24.226299999999998</v>
      </c>
      <c r="Q54" s="22">
        <v>-1.8350200000000001E-2</v>
      </c>
      <c r="R54" s="22">
        <v>44</v>
      </c>
      <c r="S54" s="22">
        <v>0.120911</v>
      </c>
      <c r="T54">
        <f t="shared" si="2"/>
        <v>18.350200000000001</v>
      </c>
      <c r="U54">
        <f t="shared" si="3"/>
        <v>2.2316228726</v>
      </c>
      <c r="X54" s="9"/>
      <c r="Y54" s="22">
        <v>1.52847</v>
      </c>
      <c r="Z54" s="22">
        <v>31.6099</v>
      </c>
      <c r="AA54" s="22">
        <v>-1.39191E-2</v>
      </c>
      <c r="AB54" s="22">
        <v>44</v>
      </c>
      <c r="AC54" s="22">
        <v>1.5274000000000001</v>
      </c>
      <c r="AD54">
        <f t="shared" si="4"/>
        <v>13.9191</v>
      </c>
      <c r="AE54">
        <f t="shared" si="5"/>
        <v>21.274926777000001</v>
      </c>
      <c r="AF54" s="9"/>
      <c r="AG54" s="22">
        <v>0.121613</v>
      </c>
      <c r="AH54" s="22">
        <v>36.513500000000001</v>
      </c>
      <c r="AI54" s="22">
        <v>-1.8386799999999998E-2</v>
      </c>
      <c r="AJ54" s="22">
        <v>44</v>
      </c>
      <c r="AK54" s="22">
        <v>0.121277</v>
      </c>
      <c r="AL54">
        <f t="shared" si="6"/>
        <v>18.386799999999997</v>
      </c>
      <c r="AM54">
        <f t="shared" si="7"/>
        <v>2.2360739083999999</v>
      </c>
      <c r="AP54" s="9"/>
      <c r="AQ54" s="22">
        <v>1.52847</v>
      </c>
      <c r="AR54" s="22">
        <v>41.347099999999998</v>
      </c>
      <c r="AS54" s="22">
        <v>-1.37573E-2</v>
      </c>
      <c r="AT54" s="22">
        <v>44</v>
      </c>
      <c r="AU54" s="22">
        <v>1.5274000000000001</v>
      </c>
      <c r="AV54">
        <f t="shared" si="8"/>
        <v>13.757300000000001</v>
      </c>
      <c r="AW54">
        <f t="shared" si="9"/>
        <v>21.027620331000001</v>
      </c>
      <c r="AX54" s="9"/>
      <c r="AY54" s="22">
        <v>0.121613</v>
      </c>
      <c r="AZ54" s="22">
        <v>46.0867</v>
      </c>
      <c r="BA54" s="22">
        <v>-1.83777E-2</v>
      </c>
      <c r="BB54" s="22">
        <v>44</v>
      </c>
      <c r="BC54" s="22">
        <v>0.121002</v>
      </c>
      <c r="BD54">
        <f t="shared" si="10"/>
        <v>18.377700000000001</v>
      </c>
      <c r="BE54">
        <f t="shared" si="11"/>
        <v>2.2349672301000001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11.348599999999999</v>
      </c>
      <c r="I55" s="22">
        <v>-1.39221E-2</v>
      </c>
      <c r="J55" s="22">
        <v>45</v>
      </c>
      <c r="K55" s="22">
        <v>1.5237400000000001</v>
      </c>
      <c r="L55">
        <f t="shared" si="0"/>
        <v>13.9221</v>
      </c>
      <c r="M55">
        <f t="shared" si="1"/>
        <v>21.209484023999998</v>
      </c>
      <c r="N55" s="9"/>
      <c r="O55" s="22">
        <v>0.12664800000000001</v>
      </c>
      <c r="P55" s="22">
        <v>24.2364</v>
      </c>
      <c r="Q55" s="22">
        <v>-1.8344099999999999E-2</v>
      </c>
      <c r="R55" s="22">
        <v>45</v>
      </c>
      <c r="S55" s="22">
        <v>0.12603800000000001</v>
      </c>
      <c r="T55">
        <f t="shared" si="2"/>
        <v>18.344099999999997</v>
      </c>
      <c r="U55">
        <f t="shared" si="3"/>
        <v>2.3232435767999999</v>
      </c>
      <c r="X55" s="9"/>
      <c r="Y55" s="22">
        <v>1.5234399999999999</v>
      </c>
      <c r="Z55" s="22">
        <v>31.62</v>
      </c>
      <c r="AA55" s="22">
        <v>-1.40564E-2</v>
      </c>
      <c r="AB55" s="22">
        <v>45</v>
      </c>
      <c r="AC55" s="22">
        <v>1.5228299999999999</v>
      </c>
      <c r="AD55">
        <f t="shared" si="4"/>
        <v>14.0564</v>
      </c>
      <c r="AE55">
        <f t="shared" si="5"/>
        <v>21.414082015999998</v>
      </c>
      <c r="AF55" s="9"/>
      <c r="AG55" s="22">
        <v>0.12664800000000001</v>
      </c>
      <c r="AH55" s="22">
        <v>36.523600000000002</v>
      </c>
      <c r="AI55" s="22">
        <v>-1.83807E-2</v>
      </c>
      <c r="AJ55" s="22">
        <v>45</v>
      </c>
      <c r="AK55" s="22">
        <v>0.126556</v>
      </c>
      <c r="AL55">
        <f t="shared" si="6"/>
        <v>18.380700000000001</v>
      </c>
      <c r="AM55">
        <f t="shared" si="7"/>
        <v>2.3278788936000003</v>
      </c>
      <c r="AP55" s="9"/>
      <c r="AQ55" s="22">
        <v>1.5234399999999999</v>
      </c>
      <c r="AR55" s="22">
        <v>41.357199999999999</v>
      </c>
      <c r="AS55" s="22">
        <v>-1.39008E-2</v>
      </c>
      <c r="AT55" s="22">
        <v>45</v>
      </c>
      <c r="AU55" s="22">
        <v>1.5225200000000001</v>
      </c>
      <c r="AV55">
        <f t="shared" si="8"/>
        <v>13.9008</v>
      </c>
      <c r="AW55">
        <f t="shared" si="9"/>
        <v>21.177034752000001</v>
      </c>
      <c r="AX55" s="9"/>
      <c r="AY55" s="22">
        <v>0.12664800000000001</v>
      </c>
      <c r="AZ55" s="22">
        <v>46.096800000000002</v>
      </c>
      <c r="BA55" s="22">
        <v>-1.8371599999999998E-2</v>
      </c>
      <c r="BB55" s="22">
        <v>45</v>
      </c>
      <c r="BC55" s="22">
        <v>0.12603800000000001</v>
      </c>
      <c r="BD55">
        <f t="shared" si="10"/>
        <v>18.371599999999997</v>
      </c>
      <c r="BE55">
        <f t="shared" si="11"/>
        <v>2.3267263967999998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11.358700000000001</v>
      </c>
      <c r="I56" s="22">
        <v>-1.4068600000000001E-2</v>
      </c>
      <c r="J56" s="22">
        <v>46</v>
      </c>
      <c r="K56" s="22">
        <v>1.5176400000000001</v>
      </c>
      <c r="L56">
        <f t="shared" si="0"/>
        <v>14.0686</v>
      </c>
      <c r="M56">
        <f t="shared" si="1"/>
        <v>21.361762240000001</v>
      </c>
      <c r="N56" s="9"/>
      <c r="O56" s="22">
        <v>0.13168299999999999</v>
      </c>
      <c r="P56" s="22">
        <v>24.246400000000001</v>
      </c>
      <c r="Q56" s="22">
        <v>-1.8338E-2</v>
      </c>
      <c r="R56" s="22">
        <v>46</v>
      </c>
      <c r="S56" s="22">
        <v>0.13150000000000001</v>
      </c>
      <c r="T56">
        <f t="shared" si="2"/>
        <v>18.338000000000001</v>
      </c>
      <c r="U56">
        <f t="shared" si="3"/>
        <v>2.4148028539999999</v>
      </c>
      <c r="X56" s="9"/>
      <c r="Y56" s="22">
        <v>1.5184</v>
      </c>
      <c r="Z56" s="22">
        <v>31.630099999999999</v>
      </c>
      <c r="AA56" s="22">
        <v>-1.41937E-2</v>
      </c>
      <c r="AB56" s="22">
        <v>46</v>
      </c>
      <c r="AC56" s="22">
        <v>1.5179400000000001</v>
      </c>
      <c r="AD56">
        <f t="shared" si="4"/>
        <v>14.1937</v>
      </c>
      <c r="AE56">
        <f t="shared" si="5"/>
        <v>21.55171408</v>
      </c>
      <c r="AF56" s="9"/>
      <c r="AG56" s="22">
        <v>0.13168299999999999</v>
      </c>
      <c r="AH56" s="22">
        <v>36.533700000000003</v>
      </c>
      <c r="AI56" s="22">
        <v>-1.83777E-2</v>
      </c>
      <c r="AJ56" s="22">
        <v>46</v>
      </c>
      <c r="AK56" s="22">
        <v>0.131073</v>
      </c>
      <c r="AL56">
        <f t="shared" si="6"/>
        <v>18.377700000000001</v>
      </c>
      <c r="AM56">
        <f t="shared" si="7"/>
        <v>2.4200306691</v>
      </c>
      <c r="AP56" s="9"/>
      <c r="AQ56" s="22">
        <v>1.5184</v>
      </c>
      <c r="AR56" s="22">
        <v>41.3673</v>
      </c>
      <c r="AS56" s="22">
        <v>-1.4041100000000001E-2</v>
      </c>
      <c r="AT56" s="22">
        <v>46</v>
      </c>
      <c r="AU56" s="22">
        <v>1.5170300000000001</v>
      </c>
      <c r="AV56">
        <f t="shared" si="8"/>
        <v>14.0411</v>
      </c>
      <c r="AW56">
        <f t="shared" si="9"/>
        <v>21.320006240000001</v>
      </c>
      <c r="AX56" s="9"/>
      <c r="AY56" s="22">
        <v>0.13168299999999999</v>
      </c>
      <c r="AZ56" s="22">
        <v>46.106900000000003</v>
      </c>
      <c r="BA56" s="22">
        <v>-1.83655E-2</v>
      </c>
      <c r="BB56" s="22">
        <v>46</v>
      </c>
      <c r="BC56" s="22">
        <v>0.13122600000000001</v>
      </c>
      <c r="BD56">
        <f t="shared" si="10"/>
        <v>18.365500000000001</v>
      </c>
      <c r="BE56">
        <f t="shared" si="11"/>
        <v>2.4184241365000001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11.3688</v>
      </c>
      <c r="I57" s="22">
        <v>-1.42212E-2</v>
      </c>
      <c r="J57" s="22">
        <v>47</v>
      </c>
      <c r="K57" s="22">
        <v>1.5118400000000001</v>
      </c>
      <c r="L57">
        <f t="shared" si="0"/>
        <v>14.2212</v>
      </c>
      <c r="M57">
        <f t="shared" si="1"/>
        <v>21.521937444000002</v>
      </c>
      <c r="N57" s="9"/>
      <c r="O57" s="22">
        <v>0.13671900000000001</v>
      </c>
      <c r="P57" s="22">
        <v>24.256499999999999</v>
      </c>
      <c r="Q57" s="22">
        <v>-1.8335000000000001E-2</v>
      </c>
      <c r="R57" s="22">
        <v>47</v>
      </c>
      <c r="S57" s="22">
        <v>0.13610800000000001</v>
      </c>
      <c r="T57">
        <f t="shared" si="2"/>
        <v>18.335000000000001</v>
      </c>
      <c r="U57">
        <f t="shared" si="3"/>
        <v>2.5067428650000001</v>
      </c>
      <c r="X57" s="9"/>
      <c r="Y57" s="22">
        <v>1.5133700000000001</v>
      </c>
      <c r="Z57" s="22">
        <v>31.6401</v>
      </c>
      <c r="AA57" s="22">
        <v>-1.43219E-2</v>
      </c>
      <c r="AB57" s="22">
        <v>47</v>
      </c>
      <c r="AC57" s="22">
        <v>1.5121500000000001</v>
      </c>
      <c r="AD57">
        <f t="shared" si="4"/>
        <v>14.321899999999999</v>
      </c>
      <c r="AE57">
        <f t="shared" si="5"/>
        <v>21.674333803</v>
      </c>
      <c r="AF57" s="9"/>
      <c r="AG57" s="22">
        <v>0.13671900000000001</v>
      </c>
      <c r="AH57" s="22">
        <v>36.543799999999997</v>
      </c>
      <c r="AI57" s="22">
        <v>-1.83777E-2</v>
      </c>
      <c r="AJ57" s="22">
        <v>47</v>
      </c>
      <c r="AK57" s="22">
        <v>0.13647500000000001</v>
      </c>
      <c r="AL57">
        <f t="shared" si="6"/>
        <v>18.377700000000001</v>
      </c>
      <c r="AM57">
        <f t="shared" si="7"/>
        <v>2.5125807663000002</v>
      </c>
      <c r="AP57" s="9"/>
      <c r="AQ57" s="22">
        <v>1.5133700000000001</v>
      </c>
      <c r="AR57" s="22">
        <v>41.377299999999998</v>
      </c>
      <c r="AS57" s="22">
        <v>-1.41785E-2</v>
      </c>
      <c r="AT57" s="22">
        <v>47</v>
      </c>
      <c r="AU57" s="22">
        <v>1.5127600000000001</v>
      </c>
      <c r="AV57">
        <f t="shared" si="8"/>
        <v>14.1785</v>
      </c>
      <c r="AW57">
        <f t="shared" si="9"/>
        <v>21.457316545000001</v>
      </c>
      <c r="AX57" s="9"/>
      <c r="AY57" s="22">
        <v>0.13671900000000001</v>
      </c>
      <c r="AZ57" s="22">
        <v>46.116999999999997</v>
      </c>
      <c r="BA57" s="22">
        <v>-1.8362400000000001E-2</v>
      </c>
      <c r="BB57" s="22">
        <v>47</v>
      </c>
      <c r="BC57" s="22">
        <v>0.13558999999999999</v>
      </c>
      <c r="BD57">
        <f t="shared" si="10"/>
        <v>18.362400000000001</v>
      </c>
      <c r="BE57">
        <f t="shared" si="11"/>
        <v>2.5104889656000005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11.3788</v>
      </c>
      <c r="I58" s="22">
        <v>-1.4331099999999999E-2</v>
      </c>
      <c r="J58" s="22">
        <v>48</v>
      </c>
      <c r="K58" s="22">
        <v>1.5069600000000001</v>
      </c>
      <c r="L58">
        <f t="shared" si="0"/>
        <v>14.331099999999999</v>
      </c>
      <c r="M58">
        <f t="shared" si="1"/>
        <v>21.616028062999998</v>
      </c>
      <c r="N58" s="9"/>
      <c r="O58" s="22">
        <v>0.14175399999999999</v>
      </c>
      <c r="P58" s="22">
        <v>24.2666</v>
      </c>
      <c r="Q58" s="22">
        <v>-1.8335000000000001E-2</v>
      </c>
      <c r="R58" s="22">
        <v>48</v>
      </c>
      <c r="S58" s="22">
        <v>0.14083899999999999</v>
      </c>
      <c r="T58">
        <f t="shared" si="2"/>
        <v>18.335000000000001</v>
      </c>
      <c r="U58">
        <f t="shared" si="3"/>
        <v>2.59905959</v>
      </c>
      <c r="X58" s="9"/>
      <c r="Y58" s="22">
        <v>1.5083299999999999</v>
      </c>
      <c r="Z58" s="22">
        <v>31.650200000000002</v>
      </c>
      <c r="AA58" s="22">
        <v>-1.44501E-2</v>
      </c>
      <c r="AB58" s="22">
        <v>48</v>
      </c>
      <c r="AC58" s="22">
        <v>1.5075700000000001</v>
      </c>
      <c r="AD58">
        <f t="shared" si="4"/>
        <v>14.450100000000001</v>
      </c>
      <c r="AE58">
        <f t="shared" si="5"/>
        <v>21.795519333000001</v>
      </c>
      <c r="AF58" s="9"/>
      <c r="AG58" s="22">
        <v>0.14175399999999999</v>
      </c>
      <c r="AH58" s="22">
        <v>36.553800000000003</v>
      </c>
      <c r="AI58" s="22">
        <v>-1.8371599999999998E-2</v>
      </c>
      <c r="AJ58" s="22">
        <v>48</v>
      </c>
      <c r="AK58" s="22">
        <v>0.14086899999999999</v>
      </c>
      <c r="AL58">
        <f t="shared" si="6"/>
        <v>18.371599999999997</v>
      </c>
      <c r="AM58">
        <f t="shared" si="7"/>
        <v>2.6042477863999993</v>
      </c>
      <c r="AP58" s="9"/>
      <c r="AQ58" s="22">
        <v>1.5083299999999999</v>
      </c>
      <c r="AR58" s="22">
        <v>41.3874</v>
      </c>
      <c r="AS58" s="22">
        <v>-1.4306599999999999E-2</v>
      </c>
      <c r="AT58" s="22">
        <v>48</v>
      </c>
      <c r="AU58" s="22">
        <v>1.50726</v>
      </c>
      <c r="AV58">
        <f t="shared" si="8"/>
        <v>14.3066</v>
      </c>
      <c r="AW58">
        <f t="shared" si="9"/>
        <v>21.579073978</v>
      </c>
      <c r="AX58" s="9"/>
      <c r="AY58" s="22">
        <v>0.14175399999999999</v>
      </c>
      <c r="AZ58" s="22">
        <v>46.127000000000002</v>
      </c>
      <c r="BA58" s="22">
        <v>-1.8359400000000001E-2</v>
      </c>
      <c r="BB58" s="22">
        <v>48</v>
      </c>
      <c r="BC58" s="22">
        <v>0.141296</v>
      </c>
      <c r="BD58">
        <f t="shared" si="10"/>
        <v>18.359400000000001</v>
      </c>
      <c r="BE58">
        <f t="shared" si="11"/>
        <v>2.6025183876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11.3889</v>
      </c>
      <c r="I59" s="22">
        <v>-1.4462300000000001E-2</v>
      </c>
      <c r="J59" s="22">
        <v>49</v>
      </c>
      <c r="K59" s="22">
        <v>1.50238</v>
      </c>
      <c r="L59">
        <f t="shared" si="0"/>
        <v>14.462300000000001</v>
      </c>
      <c r="M59">
        <f t="shared" si="1"/>
        <v>21.741175590000001</v>
      </c>
      <c r="N59" s="9"/>
      <c r="O59" s="22">
        <v>0.14679</v>
      </c>
      <c r="P59" s="22">
        <v>24.276700000000002</v>
      </c>
      <c r="Q59" s="22">
        <v>-1.8328899999999999E-2</v>
      </c>
      <c r="R59" s="22">
        <v>49</v>
      </c>
      <c r="S59" s="22">
        <v>0.14572099999999999</v>
      </c>
      <c r="T59">
        <f t="shared" si="2"/>
        <v>18.328899999999997</v>
      </c>
      <c r="U59">
        <f t="shared" si="3"/>
        <v>2.6904992309999995</v>
      </c>
      <c r="X59" s="9"/>
      <c r="Y59" s="22">
        <v>1.5033000000000001</v>
      </c>
      <c r="Z59" s="22">
        <v>31.660299999999999</v>
      </c>
      <c r="AA59" s="22">
        <v>-1.4572099999999999E-2</v>
      </c>
      <c r="AB59" s="22">
        <v>49</v>
      </c>
      <c r="AC59" s="22">
        <v>1.5026900000000001</v>
      </c>
      <c r="AD59">
        <f t="shared" si="4"/>
        <v>14.572099999999999</v>
      </c>
      <c r="AE59">
        <f t="shared" si="5"/>
        <v>21.90623793</v>
      </c>
      <c r="AF59" s="9"/>
      <c r="AG59" s="22">
        <v>0.14679</v>
      </c>
      <c r="AH59" s="22">
        <v>36.563899999999997</v>
      </c>
      <c r="AI59" s="22">
        <v>-1.83655E-2</v>
      </c>
      <c r="AJ59" s="22">
        <v>49</v>
      </c>
      <c r="AK59" s="22">
        <v>0.146149</v>
      </c>
      <c r="AL59">
        <f t="shared" si="6"/>
        <v>18.365500000000001</v>
      </c>
      <c r="AM59">
        <f t="shared" si="7"/>
        <v>2.6958717450000003</v>
      </c>
      <c r="AP59" s="9"/>
      <c r="AQ59" s="22">
        <v>1.5033000000000001</v>
      </c>
      <c r="AR59" s="22">
        <v>41.397500000000001</v>
      </c>
      <c r="AS59" s="22">
        <v>-1.44318E-2</v>
      </c>
      <c r="AT59" s="22">
        <v>49</v>
      </c>
      <c r="AU59" s="22">
        <v>1.5020800000000001</v>
      </c>
      <c r="AV59">
        <f t="shared" si="8"/>
        <v>14.431799999999999</v>
      </c>
      <c r="AW59">
        <f t="shared" si="9"/>
        <v>21.695324939999999</v>
      </c>
      <c r="AX59" s="9"/>
      <c r="AY59" s="22">
        <v>0.14679</v>
      </c>
      <c r="AZ59" s="22">
        <v>46.137099999999997</v>
      </c>
      <c r="BA59" s="22">
        <v>-1.8353299999999999E-2</v>
      </c>
      <c r="BB59" s="22">
        <v>49</v>
      </c>
      <c r="BC59" s="22">
        <v>0.14593500000000001</v>
      </c>
      <c r="BD59">
        <f t="shared" si="10"/>
        <v>18.353300000000001</v>
      </c>
      <c r="BE59">
        <f t="shared" si="11"/>
        <v>2.694080907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11.398999999999999</v>
      </c>
      <c r="I60" s="22">
        <v>-1.4584400000000001E-2</v>
      </c>
      <c r="J60" s="22">
        <v>50</v>
      </c>
      <c r="K60" s="22">
        <v>1.49841</v>
      </c>
      <c r="L60">
        <f t="shared" si="0"/>
        <v>14.5844</v>
      </c>
      <c r="M60">
        <f t="shared" si="1"/>
        <v>21.851223143999999</v>
      </c>
      <c r="N60" s="9"/>
      <c r="O60" s="22">
        <v>0.15182499999999999</v>
      </c>
      <c r="P60" s="22">
        <v>24.2867</v>
      </c>
      <c r="Q60" s="22">
        <v>-1.83258E-2</v>
      </c>
      <c r="R60" s="22">
        <v>50</v>
      </c>
      <c r="S60" s="22">
        <v>0.15124499999999999</v>
      </c>
      <c r="T60">
        <f t="shared" si="2"/>
        <v>18.325800000000001</v>
      </c>
      <c r="U60">
        <f t="shared" si="3"/>
        <v>2.782314585</v>
      </c>
      <c r="X60" s="9"/>
      <c r="Y60" s="22">
        <v>1.4982599999999999</v>
      </c>
      <c r="Z60" s="22">
        <v>31.670400000000001</v>
      </c>
      <c r="AA60" s="22">
        <v>-1.46973E-2</v>
      </c>
      <c r="AB60" s="22">
        <v>50</v>
      </c>
      <c r="AC60" s="22">
        <v>1.49719</v>
      </c>
      <c r="AD60">
        <f t="shared" si="4"/>
        <v>14.6973</v>
      </c>
      <c r="AE60">
        <f t="shared" si="5"/>
        <v>22.020376698</v>
      </c>
      <c r="AF60" s="9"/>
      <c r="AG60" s="22">
        <v>0.15182499999999999</v>
      </c>
      <c r="AH60" s="22">
        <v>36.573999999999998</v>
      </c>
      <c r="AI60" s="22">
        <v>-1.8359400000000001E-2</v>
      </c>
      <c r="AJ60" s="22">
        <v>50</v>
      </c>
      <c r="AK60" s="22">
        <v>0.151306</v>
      </c>
      <c r="AL60">
        <f t="shared" si="6"/>
        <v>18.359400000000001</v>
      </c>
      <c r="AM60">
        <f t="shared" si="7"/>
        <v>2.787415905</v>
      </c>
      <c r="AP60" s="9"/>
      <c r="AQ60" s="22">
        <v>1.4982599999999999</v>
      </c>
      <c r="AR60" s="22">
        <v>41.407600000000002</v>
      </c>
      <c r="AS60" s="22">
        <v>-1.45538E-2</v>
      </c>
      <c r="AT60" s="22">
        <v>50</v>
      </c>
      <c r="AU60" s="22">
        <v>1.49719</v>
      </c>
      <c r="AV60">
        <f t="shared" si="8"/>
        <v>14.553800000000001</v>
      </c>
      <c r="AW60">
        <f t="shared" si="9"/>
        <v>21.805376387999999</v>
      </c>
      <c r="AX60" s="9"/>
      <c r="AY60" s="22">
        <v>0.15182499999999999</v>
      </c>
      <c r="AZ60" s="22">
        <v>46.147199999999998</v>
      </c>
      <c r="BA60" s="22">
        <v>-1.8353299999999999E-2</v>
      </c>
      <c r="BB60" s="22">
        <v>50</v>
      </c>
      <c r="BC60" s="22">
        <v>0.151337</v>
      </c>
      <c r="BD60">
        <f t="shared" si="10"/>
        <v>18.353300000000001</v>
      </c>
      <c r="BE60">
        <f t="shared" si="11"/>
        <v>2.7864897725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11.4091</v>
      </c>
      <c r="I61" s="22">
        <v>-1.47095E-2</v>
      </c>
      <c r="J61" s="22">
        <v>51</v>
      </c>
      <c r="K61" s="22">
        <v>1.49292</v>
      </c>
      <c r="L61">
        <f t="shared" si="0"/>
        <v>14.7095</v>
      </c>
      <c r="M61">
        <f t="shared" si="1"/>
        <v>21.964666685000001</v>
      </c>
      <c r="N61" s="9"/>
      <c r="O61" s="22">
        <v>0.15686</v>
      </c>
      <c r="P61" s="22">
        <v>24.296800000000001</v>
      </c>
      <c r="Q61" s="22">
        <v>-1.83228E-2</v>
      </c>
      <c r="R61" s="22">
        <v>51</v>
      </c>
      <c r="S61" s="22">
        <v>0.15618899999999999</v>
      </c>
      <c r="T61">
        <f t="shared" si="2"/>
        <v>18.322800000000001</v>
      </c>
      <c r="U61">
        <f t="shared" si="3"/>
        <v>2.8741144080000001</v>
      </c>
      <c r="X61" s="9"/>
      <c r="Y61" s="22">
        <v>1.4932300000000001</v>
      </c>
      <c r="Z61" s="22">
        <v>31.680399999999999</v>
      </c>
      <c r="AA61" s="22">
        <v>-1.4816299999999999E-2</v>
      </c>
      <c r="AB61" s="22">
        <v>51</v>
      </c>
      <c r="AC61" s="22">
        <v>1.49261</v>
      </c>
      <c r="AD61">
        <f t="shared" si="4"/>
        <v>14.8163</v>
      </c>
      <c r="AE61">
        <f t="shared" si="5"/>
        <v>22.124143649000001</v>
      </c>
      <c r="AF61" s="9"/>
      <c r="AG61" s="22">
        <v>0.15686</v>
      </c>
      <c r="AH61" s="22">
        <v>36.584000000000003</v>
      </c>
      <c r="AI61" s="22">
        <v>-1.8359400000000001E-2</v>
      </c>
      <c r="AJ61" s="22">
        <v>51</v>
      </c>
      <c r="AK61" s="22">
        <v>0.15631100000000001</v>
      </c>
      <c r="AL61">
        <f t="shared" si="6"/>
        <v>18.359400000000001</v>
      </c>
      <c r="AM61">
        <f t="shared" si="7"/>
        <v>2.8798554840000001</v>
      </c>
      <c r="AP61" s="9"/>
      <c r="AQ61" s="22">
        <v>1.4932300000000001</v>
      </c>
      <c r="AR61" s="22">
        <v>41.4176</v>
      </c>
      <c r="AS61" s="22">
        <v>-1.46698E-2</v>
      </c>
      <c r="AT61" s="22">
        <v>51</v>
      </c>
      <c r="AU61" s="22">
        <v>1.49261</v>
      </c>
      <c r="AV61">
        <f t="shared" si="8"/>
        <v>14.6698</v>
      </c>
      <c r="AW61">
        <f t="shared" si="9"/>
        <v>21.905385454000001</v>
      </c>
      <c r="AX61" s="9"/>
      <c r="AY61" s="22">
        <v>0.15686</v>
      </c>
      <c r="AZ61" s="22">
        <v>46.157200000000003</v>
      </c>
      <c r="BA61" s="22">
        <v>-1.8350200000000001E-2</v>
      </c>
      <c r="BB61" s="22">
        <v>51</v>
      </c>
      <c r="BC61" s="22">
        <v>0.15625</v>
      </c>
      <c r="BD61">
        <f t="shared" si="10"/>
        <v>18.350200000000001</v>
      </c>
      <c r="BE61">
        <f t="shared" si="11"/>
        <v>2.8784123720000001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11.4191</v>
      </c>
      <c r="I62" s="22">
        <v>-1.4819300000000001E-2</v>
      </c>
      <c r="J62" s="22">
        <v>52</v>
      </c>
      <c r="K62" s="22">
        <v>1.48743</v>
      </c>
      <c r="L62">
        <f t="shared" si="0"/>
        <v>14.8193</v>
      </c>
      <c r="M62">
        <f t="shared" si="1"/>
        <v>22.053934067</v>
      </c>
      <c r="N62" s="9"/>
      <c r="O62" s="22">
        <v>0.16189600000000001</v>
      </c>
      <c r="P62" s="22">
        <v>24.306899999999999</v>
      </c>
      <c r="Q62" s="22">
        <v>-1.8316700000000002E-2</v>
      </c>
      <c r="R62" s="22">
        <v>52</v>
      </c>
      <c r="S62" s="22">
        <v>0.16128500000000001</v>
      </c>
      <c r="T62">
        <f t="shared" si="2"/>
        <v>18.316700000000001</v>
      </c>
      <c r="U62">
        <f t="shared" si="3"/>
        <v>2.9654004632000004</v>
      </c>
      <c r="X62" s="9"/>
      <c r="Y62" s="22">
        <v>1.4881899999999999</v>
      </c>
      <c r="Z62" s="22">
        <v>31.6905</v>
      </c>
      <c r="AA62" s="22">
        <v>-1.49292E-2</v>
      </c>
      <c r="AB62" s="22">
        <v>52</v>
      </c>
      <c r="AC62" s="22">
        <v>1.48743</v>
      </c>
      <c r="AD62">
        <f t="shared" si="4"/>
        <v>14.9292</v>
      </c>
      <c r="AE62">
        <f t="shared" si="5"/>
        <v>22.217486147999999</v>
      </c>
      <c r="AF62" s="9"/>
      <c r="AG62" s="22">
        <v>0.16189600000000001</v>
      </c>
      <c r="AH62" s="22">
        <v>36.594099999999997</v>
      </c>
      <c r="AI62" s="22">
        <v>-1.8356299999999999E-2</v>
      </c>
      <c r="AJ62" s="22">
        <v>52</v>
      </c>
      <c r="AK62" s="22">
        <v>0.161438</v>
      </c>
      <c r="AL62">
        <f t="shared" si="6"/>
        <v>18.356299999999997</v>
      </c>
      <c r="AM62">
        <f t="shared" si="7"/>
        <v>2.9718115448</v>
      </c>
      <c r="AP62" s="9"/>
      <c r="AQ62" s="22">
        <v>1.4881899999999999</v>
      </c>
      <c r="AR62" s="22">
        <v>41.427700000000002</v>
      </c>
      <c r="AS62" s="22">
        <v>-1.47858E-2</v>
      </c>
      <c r="AT62" s="22">
        <v>52</v>
      </c>
      <c r="AU62" s="22">
        <v>1.48743</v>
      </c>
      <c r="AV62">
        <f t="shared" si="8"/>
        <v>14.7858</v>
      </c>
      <c r="AW62">
        <f t="shared" si="9"/>
        <v>22.004079701999999</v>
      </c>
      <c r="AX62" s="9"/>
      <c r="AY62" s="22">
        <v>0.16189600000000001</v>
      </c>
      <c r="AZ62" s="22">
        <v>46.167299999999997</v>
      </c>
      <c r="BA62" s="22">
        <v>-1.8347200000000001E-2</v>
      </c>
      <c r="BB62" s="22">
        <v>52</v>
      </c>
      <c r="BC62" s="22">
        <v>0.16131599999999999</v>
      </c>
      <c r="BD62">
        <f t="shared" si="10"/>
        <v>18.347200000000001</v>
      </c>
      <c r="BE62">
        <f t="shared" si="11"/>
        <v>2.9703382912000005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11.4292</v>
      </c>
      <c r="I63" s="22">
        <v>-1.49292E-2</v>
      </c>
      <c r="J63" s="22">
        <v>53</v>
      </c>
      <c r="K63" s="22">
        <v>1.48254</v>
      </c>
      <c r="L63">
        <f t="shared" si="0"/>
        <v>14.9292</v>
      </c>
      <c r="M63">
        <f t="shared" si="1"/>
        <v>22.142242979999999</v>
      </c>
      <c r="N63" s="9"/>
      <c r="O63" s="22">
        <v>0.166931</v>
      </c>
      <c r="P63" s="22">
        <v>24.3169</v>
      </c>
      <c r="Q63" s="22">
        <v>-1.8313599999999999E-2</v>
      </c>
      <c r="R63" s="22">
        <v>53</v>
      </c>
      <c r="S63" s="22">
        <v>0.166077</v>
      </c>
      <c r="T63">
        <f t="shared" si="2"/>
        <v>18.313600000000001</v>
      </c>
      <c r="U63">
        <f t="shared" si="3"/>
        <v>3.0571075616000001</v>
      </c>
      <c r="X63" s="9"/>
      <c r="Y63" s="22">
        <v>1.48315</v>
      </c>
      <c r="Z63" s="22">
        <v>31.700600000000001</v>
      </c>
      <c r="AA63" s="22">
        <v>-1.50391E-2</v>
      </c>
      <c r="AB63" s="22">
        <v>53</v>
      </c>
      <c r="AC63" s="22">
        <v>1.48224</v>
      </c>
      <c r="AD63">
        <f t="shared" si="4"/>
        <v>15.039099999999999</v>
      </c>
      <c r="AE63">
        <f t="shared" si="5"/>
        <v>22.305241164999998</v>
      </c>
      <c r="AF63" s="9"/>
      <c r="AG63" s="22">
        <v>0.166931</v>
      </c>
      <c r="AH63" s="22">
        <v>36.604199999999999</v>
      </c>
      <c r="AI63" s="22">
        <v>-1.8353299999999999E-2</v>
      </c>
      <c r="AJ63" s="22">
        <v>53</v>
      </c>
      <c r="AK63" s="22">
        <v>0.16625999999999999</v>
      </c>
      <c r="AL63">
        <f t="shared" si="6"/>
        <v>18.353300000000001</v>
      </c>
      <c r="AM63">
        <f t="shared" si="7"/>
        <v>3.0637347223</v>
      </c>
      <c r="AP63" s="9"/>
      <c r="AQ63" s="22">
        <v>1.48315</v>
      </c>
      <c r="AR63" s="22">
        <v>41.437800000000003</v>
      </c>
      <c r="AS63" s="22">
        <v>-1.4898700000000001E-2</v>
      </c>
      <c r="AT63" s="22">
        <v>53</v>
      </c>
      <c r="AU63" s="22">
        <v>1.48285</v>
      </c>
      <c r="AV63">
        <f t="shared" si="8"/>
        <v>14.898700000000002</v>
      </c>
      <c r="AW63">
        <f t="shared" si="9"/>
        <v>22.097006905000001</v>
      </c>
      <c r="AX63" s="9"/>
      <c r="AY63" s="22">
        <v>0.166931</v>
      </c>
      <c r="AZ63" s="22">
        <v>46.177399999999999</v>
      </c>
      <c r="BA63" s="22">
        <v>-1.8344099999999999E-2</v>
      </c>
      <c r="BB63" s="22">
        <v>53</v>
      </c>
      <c r="BC63" s="22">
        <v>0.166412</v>
      </c>
      <c r="BD63">
        <f t="shared" si="10"/>
        <v>18.344099999999997</v>
      </c>
      <c r="BE63">
        <f t="shared" si="11"/>
        <v>3.0621989570999997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11.439299999999999</v>
      </c>
      <c r="I64" s="22">
        <v>-1.50391E-2</v>
      </c>
      <c r="J64" s="22">
        <v>54</v>
      </c>
      <c r="K64" s="22">
        <v>1.47736</v>
      </c>
      <c r="L64">
        <f t="shared" si="0"/>
        <v>15.039099999999999</v>
      </c>
      <c r="M64">
        <f t="shared" si="1"/>
        <v>22.229594492</v>
      </c>
      <c r="N64" s="9"/>
      <c r="O64" s="22">
        <v>0.17196700000000001</v>
      </c>
      <c r="P64" s="22">
        <v>24.327000000000002</v>
      </c>
      <c r="Q64" s="22">
        <v>-1.83105E-2</v>
      </c>
      <c r="R64" s="22">
        <v>54</v>
      </c>
      <c r="S64" s="22">
        <v>0.17157</v>
      </c>
      <c r="T64">
        <f t="shared" si="2"/>
        <v>18.310500000000001</v>
      </c>
      <c r="U64">
        <f t="shared" si="3"/>
        <v>3.1488017535000004</v>
      </c>
      <c r="X64" s="9"/>
      <c r="Y64" s="22">
        <v>1.4781200000000001</v>
      </c>
      <c r="Z64" s="22">
        <v>31.710599999999999</v>
      </c>
      <c r="AA64" s="22">
        <v>-1.51489E-2</v>
      </c>
      <c r="AB64" s="22">
        <v>54</v>
      </c>
      <c r="AC64" s="22">
        <v>1.47705</v>
      </c>
      <c r="AD64">
        <f t="shared" si="4"/>
        <v>15.148899999999999</v>
      </c>
      <c r="AE64">
        <f t="shared" si="5"/>
        <v>22.391892068000001</v>
      </c>
      <c r="AF64" s="9"/>
      <c r="AG64" s="22">
        <v>0.17196700000000001</v>
      </c>
      <c r="AH64" s="22">
        <v>36.6143</v>
      </c>
      <c r="AI64" s="22">
        <v>-1.8347200000000001E-2</v>
      </c>
      <c r="AJ64" s="22">
        <v>54</v>
      </c>
      <c r="AK64" s="22">
        <v>0.171844</v>
      </c>
      <c r="AL64">
        <f t="shared" si="6"/>
        <v>18.347200000000001</v>
      </c>
      <c r="AM64">
        <f t="shared" si="7"/>
        <v>3.1551129424000002</v>
      </c>
      <c r="AP64" s="9"/>
      <c r="AQ64" s="22">
        <v>1.4781200000000001</v>
      </c>
      <c r="AR64" s="22">
        <v>41.447800000000001</v>
      </c>
      <c r="AS64" s="22">
        <v>-1.50055E-2</v>
      </c>
      <c r="AT64" s="22">
        <v>54</v>
      </c>
      <c r="AU64" s="22">
        <v>1.47766</v>
      </c>
      <c r="AV64">
        <f t="shared" si="8"/>
        <v>15.0055</v>
      </c>
      <c r="AW64">
        <f t="shared" si="9"/>
        <v>22.179929660000003</v>
      </c>
      <c r="AX64" s="9"/>
      <c r="AY64" s="22">
        <v>0.17196700000000001</v>
      </c>
      <c r="AZ64" s="22">
        <v>46.1875</v>
      </c>
      <c r="BA64" s="22">
        <v>-1.8338E-2</v>
      </c>
      <c r="BB64" s="22">
        <v>54</v>
      </c>
      <c r="BC64" s="22">
        <v>0.17089799999999999</v>
      </c>
      <c r="BD64">
        <f t="shared" si="10"/>
        <v>18.338000000000001</v>
      </c>
      <c r="BE64">
        <f t="shared" si="11"/>
        <v>3.1535308460000002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11.449299999999999</v>
      </c>
      <c r="I65" s="22">
        <v>-1.51489E-2</v>
      </c>
      <c r="J65" s="22">
        <v>55</v>
      </c>
      <c r="K65" s="22">
        <v>1.47217</v>
      </c>
      <c r="L65">
        <f t="shared" si="0"/>
        <v>15.148899999999999</v>
      </c>
      <c r="M65">
        <f t="shared" si="1"/>
        <v>22.315541611999997</v>
      </c>
      <c r="N65" s="9"/>
      <c r="O65" s="22">
        <v>0.17700199999999999</v>
      </c>
      <c r="P65" s="22">
        <v>24.3371</v>
      </c>
      <c r="Q65" s="22">
        <v>-1.8307500000000001E-2</v>
      </c>
      <c r="R65" s="22">
        <v>55</v>
      </c>
      <c r="S65" s="22">
        <v>0.17654400000000001</v>
      </c>
      <c r="T65">
        <f t="shared" si="2"/>
        <v>18.307500000000001</v>
      </c>
      <c r="U65">
        <f t="shared" si="3"/>
        <v>3.240464115</v>
      </c>
      <c r="X65" s="9"/>
      <c r="Y65" s="22">
        <v>1.4730799999999999</v>
      </c>
      <c r="Z65" s="22">
        <v>31.720700000000001</v>
      </c>
      <c r="AA65" s="22">
        <v>-1.52496E-2</v>
      </c>
      <c r="AB65" s="22">
        <v>55</v>
      </c>
      <c r="AC65" s="22">
        <v>1.4724699999999999</v>
      </c>
      <c r="AD65">
        <f t="shared" si="4"/>
        <v>15.249600000000001</v>
      </c>
      <c r="AE65">
        <f t="shared" si="5"/>
        <v>22.463880767999999</v>
      </c>
      <c r="AF65" s="9"/>
      <c r="AG65" s="22">
        <v>0.17700199999999999</v>
      </c>
      <c r="AH65" s="22">
        <v>36.624299999999998</v>
      </c>
      <c r="AI65" s="22">
        <v>-1.8347200000000001E-2</v>
      </c>
      <c r="AJ65" s="22">
        <v>55</v>
      </c>
      <c r="AK65" s="22">
        <v>0.17657500000000001</v>
      </c>
      <c r="AL65">
        <f t="shared" si="6"/>
        <v>18.347200000000001</v>
      </c>
      <c r="AM65">
        <f t="shared" si="7"/>
        <v>3.2474910943999999</v>
      </c>
      <c r="AP65" s="9"/>
      <c r="AQ65" s="22">
        <v>1.4730799999999999</v>
      </c>
      <c r="AR65" s="22">
        <v>41.457900000000002</v>
      </c>
      <c r="AS65" s="22">
        <v>-1.51123E-2</v>
      </c>
      <c r="AT65" s="22">
        <v>55</v>
      </c>
      <c r="AU65" s="22">
        <v>1.47217</v>
      </c>
      <c r="AV65">
        <f t="shared" si="8"/>
        <v>15.112300000000001</v>
      </c>
      <c r="AW65">
        <f t="shared" si="9"/>
        <v>22.261626884000002</v>
      </c>
      <c r="AX65" s="9"/>
      <c r="AY65" s="22">
        <v>0.17700199999999999</v>
      </c>
      <c r="AZ65" s="22">
        <v>46.197499999999998</v>
      </c>
      <c r="BA65" s="22">
        <v>-1.8335000000000001E-2</v>
      </c>
      <c r="BB65" s="22">
        <v>55</v>
      </c>
      <c r="BC65" s="22">
        <v>0.176422</v>
      </c>
      <c r="BD65">
        <f t="shared" si="10"/>
        <v>18.335000000000001</v>
      </c>
      <c r="BE65">
        <f t="shared" si="11"/>
        <v>3.2453316700000001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11.4594</v>
      </c>
      <c r="I66" s="22">
        <v>-1.52435E-2</v>
      </c>
      <c r="J66" s="22">
        <v>56</v>
      </c>
      <c r="K66" s="22">
        <v>1.46729</v>
      </c>
      <c r="L66">
        <f t="shared" si="0"/>
        <v>15.243500000000001</v>
      </c>
      <c r="M66">
        <f t="shared" si="1"/>
        <v>22.378220175000003</v>
      </c>
      <c r="N66" s="9"/>
      <c r="O66" s="22">
        <v>0.182037</v>
      </c>
      <c r="P66" s="22">
        <v>24.347200000000001</v>
      </c>
      <c r="Q66" s="22">
        <v>-1.8304399999999998E-2</v>
      </c>
      <c r="R66" s="22">
        <v>56</v>
      </c>
      <c r="S66" s="22">
        <v>0.18115200000000001</v>
      </c>
      <c r="T66">
        <f t="shared" si="2"/>
        <v>18.304399999999998</v>
      </c>
      <c r="U66">
        <f t="shared" si="3"/>
        <v>3.3320780627999995</v>
      </c>
      <c r="X66" s="9"/>
      <c r="Y66" s="22">
        <v>1.4680500000000001</v>
      </c>
      <c r="Z66" s="22">
        <v>31.730799999999999</v>
      </c>
      <c r="AA66" s="22">
        <v>-1.53534E-2</v>
      </c>
      <c r="AB66" s="22">
        <v>56</v>
      </c>
      <c r="AC66" s="22">
        <v>1.46698</v>
      </c>
      <c r="AD66">
        <f t="shared" si="4"/>
        <v>15.353399999999999</v>
      </c>
      <c r="AE66">
        <f t="shared" si="5"/>
        <v>22.53955887</v>
      </c>
      <c r="AF66" s="9"/>
      <c r="AG66" s="22">
        <v>0.182037</v>
      </c>
      <c r="AH66" s="22">
        <v>36.634399999999999</v>
      </c>
      <c r="AI66" s="22">
        <v>-1.8341099999999999E-2</v>
      </c>
      <c r="AJ66" s="22">
        <v>56</v>
      </c>
      <c r="AK66" s="22">
        <v>0.181427</v>
      </c>
      <c r="AL66">
        <f t="shared" si="6"/>
        <v>18.341099999999997</v>
      </c>
      <c r="AM66">
        <f t="shared" si="7"/>
        <v>3.3387588206999994</v>
      </c>
      <c r="AP66" s="9"/>
      <c r="AQ66" s="22">
        <v>1.4680500000000001</v>
      </c>
      <c r="AR66" s="22">
        <v>41.468000000000004</v>
      </c>
      <c r="AS66" s="22">
        <v>-1.52161E-2</v>
      </c>
      <c r="AT66" s="22">
        <v>56</v>
      </c>
      <c r="AU66" s="22">
        <v>1.46698</v>
      </c>
      <c r="AV66">
        <f t="shared" si="8"/>
        <v>15.216099999999999</v>
      </c>
      <c r="AW66">
        <f t="shared" si="9"/>
        <v>22.337995605</v>
      </c>
      <c r="AX66" s="9"/>
      <c r="AY66" s="22">
        <v>0.182037</v>
      </c>
      <c r="AZ66" s="22">
        <v>46.207599999999999</v>
      </c>
      <c r="BA66" s="22">
        <v>-1.8331900000000002E-2</v>
      </c>
      <c r="BB66" s="22">
        <v>56</v>
      </c>
      <c r="BC66" s="22">
        <v>0.181366</v>
      </c>
      <c r="BD66">
        <f t="shared" si="10"/>
        <v>18.331900000000001</v>
      </c>
      <c r="BE66">
        <f t="shared" si="11"/>
        <v>3.3370840803000004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11.4695</v>
      </c>
      <c r="I67" s="22">
        <v>-1.53534E-2</v>
      </c>
      <c r="J67" s="22">
        <v>57</v>
      </c>
      <c r="K67" s="22">
        <v>1.4623999999999999</v>
      </c>
      <c r="L67">
        <f t="shared" si="0"/>
        <v>15.353399999999999</v>
      </c>
      <c r="M67">
        <f t="shared" si="1"/>
        <v>22.462177733999997</v>
      </c>
      <c r="N67" s="9"/>
      <c r="O67" s="22">
        <v>0.18707299999999999</v>
      </c>
      <c r="P67" s="22">
        <v>24.357199999999999</v>
      </c>
      <c r="Q67" s="22">
        <v>-1.8301399999999999E-2</v>
      </c>
      <c r="R67" s="22">
        <v>57</v>
      </c>
      <c r="S67" s="22">
        <v>0.186615</v>
      </c>
      <c r="T67">
        <f t="shared" si="2"/>
        <v>18.301399999999997</v>
      </c>
      <c r="U67">
        <f t="shared" si="3"/>
        <v>3.4236978021999995</v>
      </c>
      <c r="X67" s="9"/>
      <c r="Y67" s="22">
        <v>1.4630099999999999</v>
      </c>
      <c r="Z67" s="22">
        <v>31.7409</v>
      </c>
      <c r="AA67" s="22">
        <v>-1.5448E-2</v>
      </c>
      <c r="AB67" s="22">
        <v>57</v>
      </c>
      <c r="AC67" s="22">
        <v>1.4623999999999999</v>
      </c>
      <c r="AD67">
        <f t="shared" si="4"/>
        <v>15.448</v>
      </c>
      <c r="AE67">
        <f t="shared" si="5"/>
        <v>22.600578479999999</v>
      </c>
      <c r="AF67" s="9"/>
      <c r="AG67" s="22">
        <v>0.18707299999999999</v>
      </c>
      <c r="AH67" s="22">
        <v>36.644500000000001</v>
      </c>
      <c r="AI67" s="22">
        <v>-1.8341099999999999E-2</v>
      </c>
      <c r="AJ67" s="22">
        <v>57</v>
      </c>
      <c r="AK67" s="22">
        <v>0.18637100000000001</v>
      </c>
      <c r="AL67">
        <f t="shared" si="6"/>
        <v>18.341099999999997</v>
      </c>
      <c r="AM67">
        <f t="shared" si="7"/>
        <v>3.4311246002999991</v>
      </c>
      <c r="AP67" s="9"/>
      <c r="AQ67" s="22">
        <v>1.4630099999999999</v>
      </c>
      <c r="AR67" s="22">
        <v>41.478099999999998</v>
      </c>
      <c r="AS67" s="22">
        <v>-1.53137E-2</v>
      </c>
      <c r="AT67" s="22">
        <v>57</v>
      </c>
      <c r="AU67" s="22">
        <v>1.4621</v>
      </c>
      <c r="AV67">
        <f t="shared" si="8"/>
        <v>15.313699999999999</v>
      </c>
      <c r="AW67">
        <f t="shared" si="9"/>
        <v>22.404096236999997</v>
      </c>
      <c r="AX67" s="9"/>
      <c r="AY67" s="22">
        <v>0.18707299999999999</v>
      </c>
      <c r="AZ67" s="22">
        <v>46.217700000000001</v>
      </c>
      <c r="BA67" s="22">
        <v>-1.83258E-2</v>
      </c>
      <c r="BB67" s="22">
        <v>57</v>
      </c>
      <c r="BC67" s="22">
        <v>0.18676799999999999</v>
      </c>
      <c r="BD67">
        <f t="shared" si="10"/>
        <v>18.325800000000001</v>
      </c>
      <c r="BE67">
        <f t="shared" si="11"/>
        <v>3.4282623833999999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11.4795</v>
      </c>
      <c r="I68" s="22">
        <v>-1.5429699999999999E-2</v>
      </c>
      <c r="J68" s="22">
        <v>58</v>
      </c>
      <c r="K68" s="22">
        <v>1.4572099999999999</v>
      </c>
      <c r="L68">
        <f t="shared" si="0"/>
        <v>15.429699999999999</v>
      </c>
      <c r="M68">
        <f t="shared" si="1"/>
        <v>22.496194006</v>
      </c>
      <c r="N68" s="9"/>
      <c r="O68" s="22">
        <v>0.192108</v>
      </c>
      <c r="P68" s="22">
        <v>24.3673</v>
      </c>
      <c r="Q68" s="22">
        <v>-1.82953E-2</v>
      </c>
      <c r="R68" s="22">
        <v>58</v>
      </c>
      <c r="S68" s="22">
        <v>0.19128400000000001</v>
      </c>
      <c r="T68">
        <f t="shared" si="2"/>
        <v>18.295300000000001</v>
      </c>
      <c r="U68">
        <f t="shared" si="3"/>
        <v>3.5146734924</v>
      </c>
      <c r="X68" s="9"/>
      <c r="Y68" s="22">
        <v>1.4579800000000001</v>
      </c>
      <c r="Z68" s="22">
        <v>31.750900000000001</v>
      </c>
      <c r="AA68" s="22">
        <v>-1.5539600000000001E-2</v>
      </c>
      <c r="AB68" s="22">
        <v>58</v>
      </c>
      <c r="AC68" s="22">
        <v>1.4575199999999999</v>
      </c>
      <c r="AD68">
        <f t="shared" si="4"/>
        <v>15.5396</v>
      </c>
      <c r="AE68">
        <f t="shared" si="5"/>
        <v>22.656426008</v>
      </c>
      <c r="AF68" s="9"/>
      <c r="AG68" s="22">
        <v>0.192108</v>
      </c>
      <c r="AH68" s="22">
        <v>36.654499999999999</v>
      </c>
      <c r="AI68" s="22">
        <v>-1.8338E-2</v>
      </c>
      <c r="AJ68" s="22">
        <v>58</v>
      </c>
      <c r="AK68" s="22">
        <v>0.19103999999999999</v>
      </c>
      <c r="AL68">
        <f t="shared" si="6"/>
        <v>18.338000000000001</v>
      </c>
      <c r="AM68">
        <f t="shared" si="7"/>
        <v>3.5228765040000001</v>
      </c>
      <c r="AP68" s="9"/>
      <c r="AQ68" s="22">
        <v>1.4579800000000001</v>
      </c>
      <c r="AR68" s="22">
        <v>41.488100000000003</v>
      </c>
      <c r="AS68" s="22">
        <v>-1.54083E-2</v>
      </c>
      <c r="AT68" s="22">
        <v>58</v>
      </c>
      <c r="AU68" s="22">
        <v>1.4569099999999999</v>
      </c>
      <c r="AV68">
        <f t="shared" si="8"/>
        <v>15.408300000000001</v>
      </c>
      <c r="AW68">
        <f t="shared" si="9"/>
        <v>22.464993234000001</v>
      </c>
      <c r="AX68" s="9"/>
      <c r="AY68" s="22">
        <v>0.192108</v>
      </c>
      <c r="AZ68" s="22">
        <v>46.227699999999999</v>
      </c>
      <c r="BA68" s="22">
        <v>-1.83228E-2</v>
      </c>
      <c r="BB68" s="22">
        <v>58</v>
      </c>
      <c r="BC68" s="22">
        <v>0.19168099999999999</v>
      </c>
      <c r="BD68">
        <f t="shared" si="10"/>
        <v>18.322800000000001</v>
      </c>
      <c r="BE68">
        <f t="shared" si="11"/>
        <v>3.5199564624000002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11.489599999999999</v>
      </c>
      <c r="I69" s="22">
        <v>-1.55151E-2</v>
      </c>
      <c r="J69" s="22">
        <v>59</v>
      </c>
      <c r="K69" s="22">
        <v>1.4523299999999999</v>
      </c>
      <c r="L69">
        <f t="shared" si="0"/>
        <v>15.5151</v>
      </c>
      <c r="M69">
        <f t="shared" si="1"/>
        <v>22.542509394</v>
      </c>
      <c r="N69" s="9"/>
      <c r="O69" s="22">
        <v>0.19714400000000001</v>
      </c>
      <c r="P69" s="22">
        <v>24.377400000000002</v>
      </c>
      <c r="Q69" s="22">
        <v>-1.8292200000000002E-2</v>
      </c>
      <c r="R69" s="22">
        <v>59</v>
      </c>
      <c r="S69" s="22">
        <v>0.196655</v>
      </c>
      <c r="T69">
        <f t="shared" si="2"/>
        <v>18.292200000000001</v>
      </c>
      <c r="U69">
        <f t="shared" si="3"/>
        <v>3.6061974768000007</v>
      </c>
      <c r="X69" s="9"/>
      <c r="Y69" s="22">
        <v>1.4529399999999999</v>
      </c>
      <c r="Z69" s="22">
        <v>31.760999999999999</v>
      </c>
      <c r="AA69" s="22">
        <v>-1.5625E-2</v>
      </c>
      <c r="AB69" s="22">
        <v>59</v>
      </c>
      <c r="AC69" s="22">
        <v>1.4520299999999999</v>
      </c>
      <c r="AD69">
        <f t="shared" si="4"/>
        <v>15.625</v>
      </c>
      <c r="AE69">
        <f t="shared" si="5"/>
        <v>22.702187499999997</v>
      </c>
      <c r="AF69" s="9"/>
      <c r="AG69" s="22">
        <v>0.19714400000000001</v>
      </c>
      <c r="AH69" s="22">
        <v>36.6646</v>
      </c>
      <c r="AI69" s="22">
        <v>-1.8331900000000002E-2</v>
      </c>
      <c r="AJ69" s="22">
        <v>59</v>
      </c>
      <c r="AK69" s="22">
        <v>0.196991</v>
      </c>
      <c r="AL69">
        <f t="shared" si="6"/>
        <v>18.331900000000001</v>
      </c>
      <c r="AM69">
        <f t="shared" si="7"/>
        <v>3.6140240936000003</v>
      </c>
      <c r="AP69" s="9"/>
      <c r="AQ69" s="22">
        <v>1.4529399999999999</v>
      </c>
      <c r="AR69" s="22">
        <v>41.498199999999997</v>
      </c>
      <c r="AS69" s="22">
        <v>-1.55029E-2</v>
      </c>
      <c r="AT69" s="22">
        <v>59</v>
      </c>
      <c r="AU69" s="22">
        <v>1.4523299999999999</v>
      </c>
      <c r="AV69">
        <f t="shared" si="8"/>
        <v>15.5029</v>
      </c>
      <c r="AW69">
        <f t="shared" si="9"/>
        <v>22.524783526</v>
      </c>
      <c r="AX69" s="9"/>
      <c r="AY69" s="22">
        <v>0.19714400000000001</v>
      </c>
      <c r="AZ69" s="22">
        <v>46.2378</v>
      </c>
      <c r="BA69" s="22">
        <v>-1.8319700000000001E-2</v>
      </c>
      <c r="BB69" s="22">
        <v>59</v>
      </c>
      <c r="BC69" s="22">
        <v>0.19644200000000001</v>
      </c>
      <c r="BD69">
        <f t="shared" si="10"/>
        <v>18.319700000000001</v>
      </c>
      <c r="BE69">
        <f t="shared" si="11"/>
        <v>3.6116189368000002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11.499700000000001</v>
      </c>
      <c r="I70" s="22">
        <v>-1.56036E-2</v>
      </c>
      <c r="J70" s="22">
        <v>60</v>
      </c>
      <c r="K70" s="22">
        <v>1.4468399999999999</v>
      </c>
      <c r="L70">
        <f t="shared" si="0"/>
        <v>15.6036</v>
      </c>
      <c r="M70">
        <f t="shared" si="1"/>
        <v>22.592608476000002</v>
      </c>
      <c r="N70" s="9"/>
      <c r="O70" s="22">
        <v>0.202179</v>
      </c>
      <c r="P70" s="22">
        <v>24.3874</v>
      </c>
      <c r="Q70" s="22">
        <v>-1.8289199999999999E-2</v>
      </c>
      <c r="R70" s="22">
        <v>60</v>
      </c>
      <c r="S70" s="22">
        <v>0.201599</v>
      </c>
      <c r="T70">
        <f t="shared" si="2"/>
        <v>18.289199999999997</v>
      </c>
      <c r="U70">
        <f t="shared" si="3"/>
        <v>3.6976921667999996</v>
      </c>
      <c r="X70" s="9"/>
      <c r="Y70" s="22">
        <v>1.44791</v>
      </c>
      <c r="Z70" s="22">
        <v>31.771100000000001</v>
      </c>
      <c r="AA70" s="22">
        <v>-1.57074E-2</v>
      </c>
      <c r="AB70" s="22">
        <v>60</v>
      </c>
      <c r="AC70" s="22">
        <v>1.4474499999999999</v>
      </c>
      <c r="AD70">
        <f t="shared" si="4"/>
        <v>15.7074</v>
      </c>
      <c r="AE70">
        <f t="shared" si="5"/>
        <v>22.742901534000001</v>
      </c>
      <c r="AF70" s="9"/>
      <c r="AG70" s="22">
        <v>0.202179</v>
      </c>
      <c r="AH70" s="22">
        <v>36.674700000000001</v>
      </c>
      <c r="AI70" s="22">
        <v>-1.83258E-2</v>
      </c>
      <c r="AJ70" s="22">
        <v>60</v>
      </c>
      <c r="AK70" s="22">
        <v>0.201324</v>
      </c>
      <c r="AL70">
        <f t="shared" si="6"/>
        <v>18.325800000000001</v>
      </c>
      <c r="AM70">
        <f t="shared" si="7"/>
        <v>3.7050919181999999</v>
      </c>
      <c r="AP70" s="9"/>
      <c r="AQ70" s="22">
        <v>1.44791</v>
      </c>
      <c r="AR70" s="22">
        <v>41.508299999999998</v>
      </c>
      <c r="AS70" s="22">
        <v>-1.5588400000000001E-2</v>
      </c>
      <c r="AT70" s="22">
        <v>60</v>
      </c>
      <c r="AU70" s="22">
        <v>1.4477500000000001</v>
      </c>
      <c r="AV70">
        <f t="shared" si="8"/>
        <v>15.5884</v>
      </c>
      <c r="AW70">
        <f t="shared" si="9"/>
        <v>22.570600244000001</v>
      </c>
      <c r="AX70" s="9"/>
      <c r="AY70" s="22">
        <v>0.202179</v>
      </c>
      <c r="AZ70" s="22">
        <v>46.247900000000001</v>
      </c>
      <c r="BA70" s="22">
        <v>-1.8313599999999999E-2</v>
      </c>
      <c r="BB70" s="22">
        <v>60</v>
      </c>
      <c r="BC70" s="22">
        <v>0.20153799999999999</v>
      </c>
      <c r="BD70">
        <f t="shared" si="10"/>
        <v>18.313600000000001</v>
      </c>
      <c r="BE70">
        <f t="shared" si="11"/>
        <v>3.7026253344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11.5098</v>
      </c>
      <c r="I71" s="22">
        <v>-1.56799E-2</v>
      </c>
      <c r="J71" s="22">
        <v>61</v>
      </c>
      <c r="K71" s="22">
        <v>1.4422600000000001</v>
      </c>
      <c r="L71">
        <f t="shared" si="0"/>
        <v>15.6799</v>
      </c>
      <c r="M71">
        <f t="shared" si="1"/>
        <v>22.624057313000002</v>
      </c>
      <c r="N71" s="9"/>
      <c r="O71" s="22">
        <v>0.20721400000000001</v>
      </c>
      <c r="P71" s="22">
        <v>24.397500000000001</v>
      </c>
      <c r="Q71" s="22">
        <v>-1.82831E-2</v>
      </c>
      <c r="R71" s="22">
        <v>61</v>
      </c>
      <c r="S71" s="22">
        <v>0.206757</v>
      </c>
      <c r="T71">
        <f t="shared" si="2"/>
        <v>18.283100000000001</v>
      </c>
      <c r="U71">
        <f t="shared" si="3"/>
        <v>3.7885142834000005</v>
      </c>
      <c r="X71" s="9"/>
      <c r="Y71" s="22">
        <v>1.4428700000000001</v>
      </c>
      <c r="Z71" s="22">
        <v>31.781099999999999</v>
      </c>
      <c r="AA71" s="22">
        <v>-1.5783700000000001E-2</v>
      </c>
      <c r="AB71" s="22">
        <v>61</v>
      </c>
      <c r="AC71" s="22">
        <v>1.4419599999999999</v>
      </c>
      <c r="AD71">
        <f t="shared" si="4"/>
        <v>15.783700000000001</v>
      </c>
      <c r="AE71">
        <f t="shared" si="5"/>
        <v>22.773827219000005</v>
      </c>
      <c r="AF71" s="9"/>
      <c r="AG71" s="22">
        <v>0.20721400000000001</v>
      </c>
      <c r="AH71" s="22">
        <v>36.684800000000003</v>
      </c>
      <c r="AI71" s="22">
        <v>-1.8319700000000001E-2</v>
      </c>
      <c r="AJ71" s="22">
        <v>61</v>
      </c>
      <c r="AK71" s="22">
        <v>0.20687900000000001</v>
      </c>
      <c r="AL71">
        <f t="shared" si="6"/>
        <v>18.319700000000001</v>
      </c>
      <c r="AM71">
        <f t="shared" si="7"/>
        <v>3.7960983158000006</v>
      </c>
      <c r="AP71" s="9"/>
      <c r="AQ71" s="22">
        <v>1.4428700000000001</v>
      </c>
      <c r="AR71" s="22">
        <v>41.518300000000004</v>
      </c>
      <c r="AS71" s="22">
        <v>-1.5673800000000002E-2</v>
      </c>
      <c r="AT71" s="22">
        <v>61</v>
      </c>
      <c r="AU71" s="22">
        <v>1.4425699999999999</v>
      </c>
      <c r="AV71">
        <f t="shared" si="8"/>
        <v>15.673800000000002</v>
      </c>
      <c r="AW71">
        <f t="shared" si="9"/>
        <v>22.615255806000004</v>
      </c>
      <c r="AX71" s="9"/>
      <c r="AY71" s="22">
        <v>0.20721400000000001</v>
      </c>
      <c r="AZ71" s="22">
        <v>46.258000000000003</v>
      </c>
      <c r="BA71" s="22">
        <v>-1.8307500000000001E-2</v>
      </c>
      <c r="BB71" s="22">
        <v>61</v>
      </c>
      <c r="BC71" s="22">
        <v>0.20694000000000001</v>
      </c>
      <c r="BD71">
        <f t="shared" si="10"/>
        <v>18.307500000000001</v>
      </c>
      <c r="BE71">
        <f t="shared" si="11"/>
        <v>3.7935703050000003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11.5198</v>
      </c>
      <c r="I72" s="22">
        <v>-1.5765399999999999E-2</v>
      </c>
      <c r="J72" s="22">
        <v>62</v>
      </c>
      <c r="K72" s="22">
        <v>1.4367700000000001</v>
      </c>
      <c r="L72">
        <f t="shared" si="0"/>
        <v>15.7654</v>
      </c>
      <c r="M72">
        <f t="shared" si="1"/>
        <v>22.668122736000001</v>
      </c>
      <c r="N72" s="9"/>
      <c r="O72" s="22">
        <v>0.21224999999999999</v>
      </c>
      <c r="P72" s="22">
        <v>24.407599999999999</v>
      </c>
      <c r="Q72" s="22">
        <v>-1.8280000000000001E-2</v>
      </c>
      <c r="R72" s="22">
        <v>62</v>
      </c>
      <c r="S72" s="22">
        <v>0.21160899999999999</v>
      </c>
      <c r="T72">
        <f t="shared" si="2"/>
        <v>18.28</v>
      </c>
      <c r="U72">
        <f t="shared" si="3"/>
        <v>3.8799300000000003</v>
      </c>
      <c r="X72" s="9"/>
      <c r="Y72" s="22">
        <v>1.43784</v>
      </c>
      <c r="Z72" s="22">
        <v>31.7912</v>
      </c>
      <c r="AA72" s="22">
        <v>-1.5859999999999999E-2</v>
      </c>
      <c r="AB72" s="22">
        <v>62</v>
      </c>
      <c r="AC72" s="22">
        <v>1.4370700000000001</v>
      </c>
      <c r="AD72">
        <f t="shared" si="4"/>
        <v>15.86</v>
      </c>
      <c r="AE72">
        <f t="shared" si="5"/>
        <v>22.8041424</v>
      </c>
      <c r="AF72" s="9"/>
      <c r="AG72" s="22">
        <v>0.21224999999999999</v>
      </c>
      <c r="AH72" s="22">
        <v>36.694800000000001</v>
      </c>
      <c r="AI72" s="22">
        <v>-1.8316700000000002E-2</v>
      </c>
      <c r="AJ72" s="22">
        <v>62</v>
      </c>
      <c r="AK72" s="22">
        <v>0.21157799999999999</v>
      </c>
      <c r="AL72">
        <f t="shared" si="6"/>
        <v>18.316700000000001</v>
      </c>
      <c r="AM72">
        <f t="shared" si="7"/>
        <v>3.8877195750000002</v>
      </c>
      <c r="AP72" s="9"/>
      <c r="AQ72" s="22">
        <v>1.43784</v>
      </c>
      <c r="AR72" s="22">
        <v>41.528399999999998</v>
      </c>
      <c r="AS72" s="22">
        <v>-1.5753199999999998E-2</v>
      </c>
      <c r="AT72" s="22">
        <v>62</v>
      </c>
      <c r="AU72" s="22">
        <v>1.4367700000000001</v>
      </c>
      <c r="AV72">
        <f t="shared" si="8"/>
        <v>15.753199999999998</v>
      </c>
      <c r="AW72">
        <f t="shared" si="9"/>
        <v>22.650581087999996</v>
      </c>
      <c r="AX72" s="9"/>
      <c r="AY72" s="22">
        <v>0.21224999999999999</v>
      </c>
      <c r="AZ72" s="22">
        <v>46.268000000000001</v>
      </c>
      <c r="BA72" s="22">
        <v>-1.8301399999999999E-2</v>
      </c>
      <c r="BB72" s="22">
        <v>62</v>
      </c>
      <c r="BC72" s="22">
        <v>0.211731</v>
      </c>
      <c r="BD72">
        <f t="shared" si="10"/>
        <v>18.301399999999997</v>
      </c>
      <c r="BE72">
        <f t="shared" si="11"/>
        <v>3.8844721499999992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11.5299</v>
      </c>
      <c r="I73" s="22">
        <v>-1.5838600000000001E-2</v>
      </c>
      <c r="J73" s="22">
        <v>63</v>
      </c>
      <c r="K73" s="22">
        <v>1.4315800000000001</v>
      </c>
      <c r="L73">
        <f t="shared" si="0"/>
        <v>15.838600000000001</v>
      </c>
      <c r="M73">
        <f t="shared" si="1"/>
        <v>22.693546080000004</v>
      </c>
      <c r="N73" s="9"/>
      <c r="O73" s="22">
        <v>0.21728500000000001</v>
      </c>
      <c r="P73" s="22">
        <v>24.4177</v>
      </c>
      <c r="Q73" s="22">
        <v>-1.8273899999999999E-2</v>
      </c>
      <c r="R73" s="22">
        <v>63</v>
      </c>
      <c r="S73" s="22">
        <v>0.216614</v>
      </c>
      <c r="T73">
        <f t="shared" si="2"/>
        <v>18.273899999999998</v>
      </c>
      <c r="U73">
        <f t="shared" si="3"/>
        <v>3.9706443614999998</v>
      </c>
      <c r="X73" s="9"/>
      <c r="Y73" s="22">
        <v>1.4328000000000001</v>
      </c>
      <c r="Z73" s="22">
        <v>31.801300000000001</v>
      </c>
      <c r="AA73" s="22">
        <v>-1.5930199999999999E-2</v>
      </c>
      <c r="AB73" s="22">
        <v>63</v>
      </c>
      <c r="AC73" s="22">
        <v>1.43188</v>
      </c>
      <c r="AD73">
        <f t="shared" si="4"/>
        <v>15.930199999999999</v>
      </c>
      <c r="AE73">
        <f t="shared" si="5"/>
        <v>22.82479056</v>
      </c>
      <c r="AF73" s="9"/>
      <c r="AG73" s="22">
        <v>0.21728500000000001</v>
      </c>
      <c r="AH73" s="22">
        <v>36.704900000000002</v>
      </c>
      <c r="AI73" s="22">
        <v>-1.83105E-2</v>
      </c>
      <c r="AJ73" s="22">
        <v>63</v>
      </c>
      <c r="AK73" s="22">
        <v>0.21667500000000001</v>
      </c>
      <c r="AL73">
        <f t="shared" si="6"/>
        <v>18.310500000000001</v>
      </c>
      <c r="AM73">
        <f t="shared" si="7"/>
        <v>3.9785969925000004</v>
      </c>
      <c r="AP73" s="9"/>
      <c r="AQ73" s="22">
        <v>1.4328000000000001</v>
      </c>
      <c r="AR73" s="22">
        <v>41.538499999999999</v>
      </c>
      <c r="AS73" s="22">
        <v>-1.58295E-2</v>
      </c>
      <c r="AT73" s="22">
        <v>63</v>
      </c>
      <c r="AU73" s="22">
        <v>1.4321900000000001</v>
      </c>
      <c r="AV73">
        <f t="shared" si="8"/>
        <v>15.829499999999999</v>
      </c>
      <c r="AW73">
        <f t="shared" si="9"/>
        <v>22.680507600000002</v>
      </c>
      <c r="AX73" s="9"/>
      <c r="AY73" s="22">
        <v>0.21728500000000001</v>
      </c>
      <c r="AZ73" s="22">
        <v>46.278100000000002</v>
      </c>
      <c r="BA73" s="22">
        <v>-1.82953E-2</v>
      </c>
      <c r="BB73" s="22">
        <v>63</v>
      </c>
      <c r="BC73" s="22">
        <v>0.21673600000000001</v>
      </c>
      <c r="BD73">
        <f t="shared" si="10"/>
        <v>18.295300000000001</v>
      </c>
      <c r="BE73">
        <f t="shared" si="11"/>
        <v>3.9752942605000001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11.54</v>
      </c>
      <c r="I74" s="22">
        <v>-1.5918000000000002E-2</v>
      </c>
      <c r="J74" s="22">
        <v>64</v>
      </c>
      <c r="K74" s="22">
        <v>1.427</v>
      </c>
      <c r="L74">
        <f t="shared" si="0"/>
        <v>15.918000000000001</v>
      </c>
      <c r="M74">
        <f t="shared" si="1"/>
        <v>22.72708368</v>
      </c>
      <c r="N74" s="9"/>
      <c r="O74" s="22">
        <v>0.22232099999999999</v>
      </c>
      <c r="P74" s="22">
        <v>24.427700000000002</v>
      </c>
      <c r="Q74" s="22">
        <v>-1.82709E-2</v>
      </c>
      <c r="R74" s="22">
        <v>64</v>
      </c>
      <c r="S74" s="22">
        <v>0.22189300000000001</v>
      </c>
      <c r="T74">
        <f t="shared" si="2"/>
        <v>18.270900000000001</v>
      </c>
      <c r="U74">
        <f t="shared" si="3"/>
        <v>4.0620047588999997</v>
      </c>
      <c r="X74" s="9"/>
      <c r="Y74" s="22">
        <v>1.4277599999999999</v>
      </c>
      <c r="Z74" s="22">
        <v>31.811399999999999</v>
      </c>
      <c r="AA74" s="22">
        <v>-1.60065E-2</v>
      </c>
      <c r="AB74" s="22">
        <v>64</v>
      </c>
      <c r="AC74" s="22">
        <v>1.4273100000000001</v>
      </c>
      <c r="AD74">
        <f t="shared" si="4"/>
        <v>16.006499999999999</v>
      </c>
      <c r="AE74">
        <f t="shared" si="5"/>
        <v>22.853440439999996</v>
      </c>
      <c r="AF74" s="9"/>
      <c r="AG74" s="22">
        <v>0.22232099999999999</v>
      </c>
      <c r="AH74" s="22">
        <v>36.715000000000003</v>
      </c>
      <c r="AI74" s="22">
        <v>-1.8304399999999998E-2</v>
      </c>
      <c r="AJ74" s="22">
        <v>64</v>
      </c>
      <c r="AK74" s="22">
        <v>0.221832</v>
      </c>
      <c r="AL74">
        <f t="shared" si="6"/>
        <v>18.304399999999998</v>
      </c>
      <c r="AM74">
        <f t="shared" si="7"/>
        <v>4.0694525123999989</v>
      </c>
      <c r="AP74" s="9"/>
      <c r="AQ74" s="22">
        <v>1.4277599999999999</v>
      </c>
      <c r="AR74" s="22">
        <v>41.5486</v>
      </c>
      <c r="AS74" s="22">
        <v>-1.5902699999999999E-2</v>
      </c>
      <c r="AT74" s="22">
        <v>64</v>
      </c>
      <c r="AU74" s="22">
        <v>1.4273100000000001</v>
      </c>
      <c r="AV74">
        <f t="shared" si="8"/>
        <v>15.902699999999999</v>
      </c>
      <c r="AW74">
        <f t="shared" si="9"/>
        <v>22.705238951999998</v>
      </c>
      <c r="AX74" s="9"/>
      <c r="AY74" s="22">
        <v>0.22232099999999999</v>
      </c>
      <c r="AZ74" s="22">
        <v>46.288200000000003</v>
      </c>
      <c r="BA74" s="22">
        <v>-1.8292200000000002E-2</v>
      </c>
      <c r="BB74" s="22">
        <v>64</v>
      </c>
      <c r="BC74" s="22">
        <v>0.22134400000000001</v>
      </c>
      <c r="BD74">
        <f t="shared" si="10"/>
        <v>18.292200000000001</v>
      </c>
      <c r="BE74">
        <f t="shared" si="11"/>
        <v>4.0667401962000005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11.55</v>
      </c>
      <c r="I75" s="22">
        <v>-1.5988200000000001E-2</v>
      </c>
      <c r="J75" s="22">
        <v>65</v>
      </c>
      <c r="K75" s="22">
        <v>1.4215100000000001</v>
      </c>
      <c r="L75">
        <f t="shared" si="0"/>
        <v>15.988200000000001</v>
      </c>
      <c r="M75">
        <f t="shared" si="1"/>
        <v>22.746891786000003</v>
      </c>
      <c r="N75" s="9"/>
      <c r="O75" s="22">
        <v>0.227356</v>
      </c>
      <c r="P75" s="22">
        <v>24.437799999999999</v>
      </c>
      <c r="Q75" s="22">
        <v>-1.8267800000000001E-2</v>
      </c>
      <c r="R75" s="22">
        <v>65</v>
      </c>
      <c r="S75" s="22">
        <v>0.226746</v>
      </c>
      <c r="T75">
        <f t="shared" si="2"/>
        <v>18.267800000000001</v>
      </c>
      <c r="U75">
        <f t="shared" si="3"/>
        <v>4.1532939367999999</v>
      </c>
      <c r="X75" s="9"/>
      <c r="Y75" s="22">
        <v>1.4227300000000001</v>
      </c>
      <c r="Z75" s="22">
        <v>31.821400000000001</v>
      </c>
      <c r="AA75" s="22">
        <v>-1.60736E-2</v>
      </c>
      <c r="AB75" s="22">
        <v>65</v>
      </c>
      <c r="AC75" s="22">
        <v>1.42181</v>
      </c>
      <c r="AD75">
        <f t="shared" si="4"/>
        <v>16.073599999999999</v>
      </c>
      <c r="AE75">
        <f t="shared" si="5"/>
        <v>22.868392927999999</v>
      </c>
      <c r="AF75" s="9"/>
      <c r="AG75" s="22">
        <v>0.227356</v>
      </c>
      <c r="AH75" s="22">
        <v>36.725000000000001</v>
      </c>
      <c r="AI75" s="22">
        <v>-1.8301399999999999E-2</v>
      </c>
      <c r="AJ75" s="22">
        <v>65</v>
      </c>
      <c r="AK75" s="22">
        <v>0.22680700000000001</v>
      </c>
      <c r="AL75">
        <f t="shared" si="6"/>
        <v>18.301399999999997</v>
      </c>
      <c r="AM75">
        <f t="shared" si="7"/>
        <v>4.1609330983999993</v>
      </c>
      <c r="AP75" s="9"/>
      <c r="AQ75" s="22">
        <v>1.4227300000000001</v>
      </c>
      <c r="AR75" s="22">
        <v>41.558599999999998</v>
      </c>
      <c r="AS75" s="22">
        <v>-1.5976000000000001E-2</v>
      </c>
      <c r="AT75" s="22">
        <v>65</v>
      </c>
      <c r="AU75" s="22">
        <v>1.42181</v>
      </c>
      <c r="AV75">
        <f t="shared" si="8"/>
        <v>15.976000000000001</v>
      </c>
      <c r="AW75">
        <f t="shared" si="9"/>
        <v>22.729534480000002</v>
      </c>
      <c r="AX75" s="9"/>
      <c r="AY75" s="22">
        <v>0.227356</v>
      </c>
      <c r="AZ75" s="22">
        <v>46.298200000000001</v>
      </c>
      <c r="BA75" s="22">
        <v>-1.82861E-2</v>
      </c>
      <c r="BB75" s="22">
        <v>65</v>
      </c>
      <c r="BC75" s="22">
        <v>0.22695899999999999</v>
      </c>
      <c r="BD75">
        <f t="shared" si="10"/>
        <v>18.286100000000001</v>
      </c>
      <c r="BE75">
        <f t="shared" si="11"/>
        <v>4.1574545515999999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11.5601</v>
      </c>
      <c r="I76" s="22">
        <v>-1.6058300000000001E-2</v>
      </c>
      <c r="J76" s="22">
        <v>66</v>
      </c>
      <c r="K76" s="22">
        <v>1.41693</v>
      </c>
      <c r="L76">
        <f t="shared" ref="L76:L139" si="12">-I76/$F$2*1000</f>
        <v>16.058300000000003</v>
      </c>
      <c r="M76">
        <f t="shared" ref="M76:M139" si="13">L76*G76</f>
        <v>22.765691327000003</v>
      </c>
      <c r="N76" s="9"/>
      <c r="O76" s="22">
        <v>0.23239099999999999</v>
      </c>
      <c r="P76" s="22">
        <v>24.447900000000001</v>
      </c>
      <c r="Q76" s="22">
        <v>-1.8267800000000001E-2</v>
      </c>
      <c r="R76" s="22">
        <v>66</v>
      </c>
      <c r="S76" s="22">
        <v>0.231934</v>
      </c>
      <c r="T76">
        <f t="shared" ref="T76:T139" si="14">-Q76/$F$2*1000</f>
        <v>18.267800000000001</v>
      </c>
      <c r="U76">
        <f t="shared" ref="U76:U139" si="15">T76*O76</f>
        <v>4.2452723097999998</v>
      </c>
      <c r="X76" s="9"/>
      <c r="Y76" s="22">
        <v>1.4176899999999999</v>
      </c>
      <c r="Z76" s="22">
        <v>31.831499999999998</v>
      </c>
      <c r="AA76" s="22">
        <v>-1.6140700000000001E-2</v>
      </c>
      <c r="AB76" s="22">
        <v>66</v>
      </c>
      <c r="AC76" s="22">
        <v>1.41693</v>
      </c>
      <c r="AD76">
        <f t="shared" ref="AD76:AD139" si="16">-AA76/$F$2*1000</f>
        <v>16.140700000000002</v>
      </c>
      <c r="AE76">
        <f t="shared" ref="AE76:AE139" si="17">AD76*Y76</f>
        <v>22.882508983000001</v>
      </c>
      <c r="AF76" s="9"/>
      <c r="AG76" s="22">
        <v>0.23239099999999999</v>
      </c>
      <c r="AH76" s="22">
        <v>36.735100000000003</v>
      </c>
      <c r="AI76" s="22">
        <v>-1.82953E-2</v>
      </c>
      <c r="AJ76" s="22">
        <v>66</v>
      </c>
      <c r="AK76" s="22">
        <v>0.23211699999999999</v>
      </c>
      <c r="AL76">
        <f t="shared" ref="AL76:AL139" si="18">-AI76/$F$2*1000</f>
        <v>18.295300000000001</v>
      </c>
      <c r="AM76">
        <f t="shared" ref="AM76:AM139" si="19">AL76*AG76</f>
        <v>4.2516630622999996</v>
      </c>
      <c r="AP76" s="9"/>
      <c r="AQ76" s="22">
        <v>1.4176899999999999</v>
      </c>
      <c r="AR76" s="22">
        <v>41.5687</v>
      </c>
      <c r="AS76" s="22">
        <v>-1.6046100000000001E-2</v>
      </c>
      <c r="AT76" s="22">
        <v>66</v>
      </c>
      <c r="AU76" s="22">
        <v>1.4172400000000001</v>
      </c>
      <c r="AV76">
        <f t="shared" ref="AV76:AV139" si="20">-AS76/$F$2*1000</f>
        <v>16.046099999999999</v>
      </c>
      <c r="AW76">
        <f t="shared" ref="AW76:AW139" si="21">AV76*AQ76</f>
        <v>22.748395508999998</v>
      </c>
      <c r="AX76" s="9"/>
      <c r="AY76" s="22">
        <v>0.23239099999999999</v>
      </c>
      <c r="AZ76" s="22">
        <v>46.308300000000003</v>
      </c>
      <c r="BA76" s="22">
        <v>-1.82861E-2</v>
      </c>
      <c r="BB76" s="22">
        <v>66</v>
      </c>
      <c r="BC76" s="22">
        <v>0.23141500000000001</v>
      </c>
      <c r="BD76">
        <f t="shared" ref="BD76:BD139" si="22">-BA76/$F$2*1000</f>
        <v>18.286100000000001</v>
      </c>
      <c r="BE76">
        <f t="shared" ref="BE76:BE139" si="23">BD76*AY76</f>
        <v>4.2495250651000003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11.5702</v>
      </c>
      <c r="I77" s="22">
        <v>-1.6125500000000001E-2</v>
      </c>
      <c r="J77" s="22">
        <v>67</v>
      </c>
      <c r="K77" s="22">
        <v>1.41144</v>
      </c>
      <c r="L77">
        <f t="shared" si="12"/>
        <v>16.125500000000002</v>
      </c>
      <c r="M77">
        <f t="shared" si="13"/>
        <v>22.779848830000002</v>
      </c>
      <c r="N77" s="9"/>
      <c r="O77" s="22">
        <v>0.237427</v>
      </c>
      <c r="P77" s="22">
        <v>24.457899999999999</v>
      </c>
      <c r="Q77" s="22">
        <v>-1.8264800000000001E-2</v>
      </c>
      <c r="R77" s="22">
        <v>67</v>
      </c>
      <c r="S77" s="22">
        <v>0.237091</v>
      </c>
      <c r="T77">
        <f t="shared" si="14"/>
        <v>18.264800000000001</v>
      </c>
      <c r="U77">
        <f t="shared" si="15"/>
        <v>4.3365566696000002</v>
      </c>
      <c r="X77" s="9"/>
      <c r="Y77" s="22">
        <v>1.41266</v>
      </c>
      <c r="Z77" s="22">
        <v>31.8416</v>
      </c>
      <c r="AA77" s="22">
        <v>-1.61987E-2</v>
      </c>
      <c r="AB77" s="22">
        <v>67</v>
      </c>
      <c r="AC77" s="22">
        <v>1.41205</v>
      </c>
      <c r="AD77">
        <f t="shared" si="16"/>
        <v>16.198699999999999</v>
      </c>
      <c r="AE77">
        <f t="shared" si="17"/>
        <v>22.883255541999997</v>
      </c>
      <c r="AF77" s="9"/>
      <c r="AG77" s="22">
        <v>0.237427</v>
      </c>
      <c r="AH77" s="22">
        <v>36.745199999999997</v>
      </c>
      <c r="AI77" s="22">
        <v>-1.82953E-2</v>
      </c>
      <c r="AJ77" s="22">
        <v>67</v>
      </c>
      <c r="AK77" s="22">
        <v>0.23663300000000001</v>
      </c>
      <c r="AL77">
        <f t="shared" si="18"/>
        <v>18.295300000000001</v>
      </c>
      <c r="AM77">
        <f t="shared" si="19"/>
        <v>4.3437981931000005</v>
      </c>
      <c r="AP77" s="9"/>
      <c r="AQ77" s="22">
        <v>1.41266</v>
      </c>
      <c r="AR77" s="22">
        <v>41.578800000000001</v>
      </c>
      <c r="AS77" s="22">
        <v>-1.6113300000000001E-2</v>
      </c>
      <c r="AT77" s="22">
        <v>67</v>
      </c>
      <c r="AU77" s="22">
        <v>1.41113</v>
      </c>
      <c r="AV77">
        <f t="shared" si="20"/>
        <v>16.113299999999999</v>
      </c>
      <c r="AW77">
        <f t="shared" si="21"/>
        <v>22.762614377999999</v>
      </c>
      <c r="AX77" s="9"/>
      <c r="AY77" s="22">
        <v>0.237427</v>
      </c>
      <c r="AZ77" s="22">
        <v>46.318399999999997</v>
      </c>
      <c r="BA77" s="22">
        <v>-1.8280000000000001E-2</v>
      </c>
      <c r="BB77" s="22">
        <v>67</v>
      </c>
      <c r="BC77" s="22">
        <v>0.235931</v>
      </c>
      <c r="BD77">
        <f t="shared" si="22"/>
        <v>18.28</v>
      </c>
      <c r="BE77">
        <f t="shared" si="23"/>
        <v>4.34016556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11.580299999999999</v>
      </c>
      <c r="I78" s="22">
        <v>-1.6186499999999999E-2</v>
      </c>
      <c r="J78" s="22">
        <v>68</v>
      </c>
      <c r="K78" s="22">
        <v>1.40686</v>
      </c>
      <c r="L78">
        <f t="shared" si="12"/>
        <v>16.186499999999999</v>
      </c>
      <c r="M78">
        <f t="shared" si="13"/>
        <v>22.784441130000001</v>
      </c>
      <c r="N78" s="9"/>
      <c r="O78" s="22">
        <v>0.24246200000000001</v>
      </c>
      <c r="P78" s="22">
        <v>24.468</v>
      </c>
      <c r="Q78" s="22">
        <v>-1.8261699999999999E-2</v>
      </c>
      <c r="R78" s="22">
        <v>68</v>
      </c>
      <c r="S78" s="22">
        <v>0.24197399999999999</v>
      </c>
      <c r="T78">
        <f t="shared" si="14"/>
        <v>18.261699999999998</v>
      </c>
      <c r="U78">
        <f t="shared" si="15"/>
        <v>4.4277683053999999</v>
      </c>
      <c r="X78" s="9"/>
      <c r="Y78" s="22">
        <v>1.4076200000000001</v>
      </c>
      <c r="Z78" s="22">
        <v>31.851600000000001</v>
      </c>
      <c r="AA78" s="22">
        <v>-1.6259800000000001E-2</v>
      </c>
      <c r="AB78" s="22">
        <v>68</v>
      </c>
      <c r="AC78" s="22">
        <v>1.40686</v>
      </c>
      <c r="AD78">
        <f t="shared" si="16"/>
        <v>16.259800000000002</v>
      </c>
      <c r="AE78">
        <f t="shared" si="17"/>
        <v>22.887619676000003</v>
      </c>
      <c r="AF78" s="9"/>
      <c r="AG78" s="22">
        <v>0.24246200000000001</v>
      </c>
      <c r="AH78" s="22">
        <v>36.755299999999998</v>
      </c>
      <c r="AI78" s="22">
        <v>-1.8289199999999999E-2</v>
      </c>
      <c r="AJ78" s="22">
        <v>68</v>
      </c>
      <c r="AK78" s="22">
        <v>0.24288899999999999</v>
      </c>
      <c r="AL78">
        <f t="shared" si="18"/>
        <v>18.289199999999997</v>
      </c>
      <c r="AM78">
        <f t="shared" si="19"/>
        <v>4.4344360103999998</v>
      </c>
      <c r="AP78" s="9"/>
      <c r="AQ78" s="22">
        <v>1.4076200000000001</v>
      </c>
      <c r="AR78" s="22">
        <v>41.588799999999999</v>
      </c>
      <c r="AS78" s="22">
        <v>-1.6177400000000002E-2</v>
      </c>
      <c r="AT78" s="22">
        <v>68</v>
      </c>
      <c r="AU78" s="22">
        <v>1.40686</v>
      </c>
      <c r="AV78">
        <f t="shared" si="20"/>
        <v>16.177400000000002</v>
      </c>
      <c r="AW78">
        <f t="shared" si="21"/>
        <v>22.771631788000004</v>
      </c>
      <c r="AX78" s="9"/>
      <c r="AY78" s="22">
        <v>0.24246200000000001</v>
      </c>
      <c r="AZ78" s="22">
        <v>46.328400000000002</v>
      </c>
      <c r="BA78" s="22">
        <v>-1.8277000000000002E-2</v>
      </c>
      <c r="BB78" s="22">
        <v>68</v>
      </c>
      <c r="BC78" s="22">
        <v>0.24209600000000001</v>
      </c>
      <c r="BD78">
        <f t="shared" si="22"/>
        <v>18.277000000000001</v>
      </c>
      <c r="BE78">
        <f t="shared" si="23"/>
        <v>4.4314779740000008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11.590299999999999</v>
      </c>
      <c r="I79" s="22">
        <v>-1.6244499999999999E-2</v>
      </c>
      <c r="J79" s="22">
        <v>69</v>
      </c>
      <c r="K79" s="22">
        <v>1.40198</v>
      </c>
      <c r="L79">
        <f t="shared" si="12"/>
        <v>16.244499999999999</v>
      </c>
      <c r="M79">
        <f t="shared" si="13"/>
        <v>22.784373254999998</v>
      </c>
      <c r="N79" s="9"/>
      <c r="O79" s="22">
        <v>0.247498</v>
      </c>
      <c r="P79" s="22">
        <v>24.478100000000001</v>
      </c>
      <c r="Q79" s="22">
        <v>-1.82556E-2</v>
      </c>
      <c r="R79" s="22">
        <v>69</v>
      </c>
      <c r="S79" s="22">
        <v>0.24734500000000001</v>
      </c>
      <c r="T79">
        <f t="shared" si="14"/>
        <v>18.255600000000001</v>
      </c>
      <c r="U79">
        <f t="shared" si="15"/>
        <v>4.5182244888000005</v>
      </c>
      <c r="X79" s="9"/>
      <c r="Y79" s="22">
        <v>1.40259</v>
      </c>
      <c r="Z79" s="22">
        <v>31.861699999999999</v>
      </c>
      <c r="AA79" s="22">
        <v>-1.6314700000000001E-2</v>
      </c>
      <c r="AB79" s="22">
        <v>69</v>
      </c>
      <c r="AC79" s="22">
        <v>1.40167</v>
      </c>
      <c r="AD79">
        <f t="shared" si="16"/>
        <v>16.314700000000002</v>
      </c>
      <c r="AE79">
        <f t="shared" si="17"/>
        <v>22.882835073000003</v>
      </c>
      <c r="AF79" s="9"/>
      <c r="AG79" s="22">
        <v>0.247498</v>
      </c>
      <c r="AH79" s="22">
        <v>36.765300000000003</v>
      </c>
      <c r="AI79" s="22">
        <v>-1.82861E-2</v>
      </c>
      <c r="AJ79" s="22">
        <v>69</v>
      </c>
      <c r="AK79" s="22">
        <v>0.24673500000000001</v>
      </c>
      <c r="AL79">
        <f t="shared" si="18"/>
        <v>18.286100000000001</v>
      </c>
      <c r="AM79">
        <f t="shared" si="19"/>
        <v>4.5257731778000005</v>
      </c>
      <c r="AP79" s="9"/>
      <c r="AQ79" s="22">
        <v>1.40259</v>
      </c>
      <c r="AR79" s="22">
        <v>41.5989</v>
      </c>
      <c r="AS79" s="22">
        <v>-1.62384E-2</v>
      </c>
      <c r="AT79" s="22">
        <v>69</v>
      </c>
      <c r="AU79" s="22">
        <v>1.40106</v>
      </c>
      <c r="AV79">
        <f t="shared" si="20"/>
        <v>16.238399999999999</v>
      </c>
      <c r="AW79">
        <f t="shared" si="21"/>
        <v>22.775817455999999</v>
      </c>
      <c r="AX79" s="9"/>
      <c r="AY79" s="22">
        <v>0.247498</v>
      </c>
      <c r="AZ79" s="22">
        <v>46.338500000000003</v>
      </c>
      <c r="BA79" s="22">
        <v>-1.8273899999999999E-2</v>
      </c>
      <c r="BB79" s="22">
        <v>69</v>
      </c>
      <c r="BC79" s="22">
        <v>0.246948</v>
      </c>
      <c r="BD79">
        <f t="shared" si="22"/>
        <v>18.273899999999998</v>
      </c>
      <c r="BE79">
        <f t="shared" si="23"/>
        <v>4.5227537021999993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11.6004</v>
      </c>
      <c r="I80" s="22">
        <v>-1.6302500000000001E-2</v>
      </c>
      <c r="J80" s="22">
        <v>70</v>
      </c>
      <c r="K80" s="22">
        <v>1.39679</v>
      </c>
      <c r="L80">
        <f t="shared" si="12"/>
        <v>16.302500000000002</v>
      </c>
      <c r="M80">
        <f t="shared" si="13"/>
        <v>22.783558875000004</v>
      </c>
      <c r="N80" s="9"/>
      <c r="O80" s="22">
        <v>0.25253300000000001</v>
      </c>
      <c r="P80" s="22">
        <v>24.488099999999999</v>
      </c>
      <c r="Q80" s="22">
        <v>-1.8249499999999998E-2</v>
      </c>
      <c r="R80" s="22">
        <v>70</v>
      </c>
      <c r="S80" s="22">
        <v>0.251892</v>
      </c>
      <c r="T80">
        <f t="shared" si="14"/>
        <v>18.249499999999998</v>
      </c>
      <c r="U80">
        <f t="shared" si="15"/>
        <v>4.6086009834999997</v>
      </c>
      <c r="X80" s="9"/>
      <c r="Y80" s="22">
        <v>1.3975500000000001</v>
      </c>
      <c r="Z80" s="22">
        <v>31.8718</v>
      </c>
      <c r="AA80" s="22">
        <v>-1.63727E-2</v>
      </c>
      <c r="AB80" s="22">
        <v>70</v>
      </c>
      <c r="AC80" s="22">
        <v>1.3970899999999999</v>
      </c>
      <c r="AD80">
        <f t="shared" si="16"/>
        <v>16.372700000000002</v>
      </c>
      <c r="AE80">
        <f t="shared" si="17"/>
        <v>22.881666885000005</v>
      </c>
      <c r="AF80" s="9"/>
      <c r="AG80" s="22">
        <v>0.25253300000000001</v>
      </c>
      <c r="AH80" s="22">
        <v>36.775399999999998</v>
      </c>
      <c r="AI80" s="22">
        <v>-1.8280000000000001E-2</v>
      </c>
      <c r="AJ80" s="22">
        <v>70</v>
      </c>
      <c r="AK80" s="22">
        <v>0.251892</v>
      </c>
      <c r="AL80">
        <f t="shared" si="18"/>
        <v>18.28</v>
      </c>
      <c r="AM80">
        <f t="shared" si="19"/>
        <v>4.6163032400000006</v>
      </c>
      <c r="AP80" s="9"/>
      <c r="AQ80" s="22">
        <v>1.3975500000000001</v>
      </c>
      <c r="AR80" s="22">
        <v>41.609000000000002</v>
      </c>
      <c r="AS80" s="22">
        <v>-1.6305500000000001E-2</v>
      </c>
      <c r="AT80" s="22">
        <v>70</v>
      </c>
      <c r="AU80" s="22">
        <v>1.39679</v>
      </c>
      <c r="AV80">
        <f t="shared" si="20"/>
        <v>16.305500000000002</v>
      </c>
      <c r="AW80">
        <f t="shared" si="21"/>
        <v>22.787751525000004</v>
      </c>
      <c r="AX80" s="9"/>
      <c r="AY80" s="22">
        <v>0.25253300000000001</v>
      </c>
      <c r="AZ80" s="22">
        <v>46.348599999999998</v>
      </c>
      <c r="BA80" s="22">
        <v>-1.8264800000000001E-2</v>
      </c>
      <c r="BB80" s="22">
        <v>70</v>
      </c>
      <c r="BC80" s="22">
        <v>0.252197</v>
      </c>
      <c r="BD80">
        <f t="shared" si="22"/>
        <v>18.264800000000001</v>
      </c>
      <c r="BE80">
        <f t="shared" si="23"/>
        <v>4.6124647384000008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11.6105</v>
      </c>
      <c r="I81" s="22">
        <v>-1.6351299999999999E-2</v>
      </c>
      <c r="J81" s="22">
        <v>71</v>
      </c>
      <c r="K81" s="22">
        <v>1.3915999999999999</v>
      </c>
      <c r="L81">
        <f t="shared" si="12"/>
        <v>16.351299999999998</v>
      </c>
      <c r="M81">
        <f t="shared" si="13"/>
        <v>22.769512275999997</v>
      </c>
      <c r="N81" s="9"/>
      <c r="O81" s="22">
        <v>0.25756800000000002</v>
      </c>
      <c r="P81" s="22">
        <v>24.498200000000001</v>
      </c>
      <c r="Q81" s="22">
        <v>-1.8246499999999999E-2</v>
      </c>
      <c r="R81" s="22">
        <v>71</v>
      </c>
      <c r="S81" s="22">
        <v>0.25695800000000002</v>
      </c>
      <c r="T81">
        <f t="shared" si="14"/>
        <v>18.246499999999997</v>
      </c>
      <c r="U81">
        <f t="shared" si="15"/>
        <v>4.6997145119999999</v>
      </c>
      <c r="X81" s="9"/>
      <c r="Y81" s="22">
        <v>1.39252</v>
      </c>
      <c r="Z81" s="22">
        <v>31.881900000000002</v>
      </c>
      <c r="AA81" s="22">
        <v>-1.6427600000000001E-2</v>
      </c>
      <c r="AB81" s="22">
        <v>71</v>
      </c>
      <c r="AC81" s="22">
        <v>1.3915999999999999</v>
      </c>
      <c r="AD81">
        <f t="shared" si="16"/>
        <v>16.427600000000002</v>
      </c>
      <c r="AE81">
        <f t="shared" si="17"/>
        <v>22.875761552000004</v>
      </c>
      <c r="AF81" s="9"/>
      <c r="AG81" s="22">
        <v>0.25756800000000002</v>
      </c>
      <c r="AH81" s="22">
        <v>36.785499999999999</v>
      </c>
      <c r="AI81" s="22">
        <v>-1.8277000000000002E-2</v>
      </c>
      <c r="AJ81" s="22">
        <v>71</v>
      </c>
      <c r="AK81" s="22">
        <v>0.25698900000000002</v>
      </c>
      <c r="AL81">
        <f t="shared" si="18"/>
        <v>18.277000000000001</v>
      </c>
      <c r="AM81">
        <f t="shared" si="19"/>
        <v>4.7075703360000007</v>
      </c>
      <c r="AP81" s="9"/>
      <c r="AQ81" s="22">
        <v>1.39252</v>
      </c>
      <c r="AR81" s="22">
        <v>41.619100000000003</v>
      </c>
      <c r="AS81" s="22">
        <v>-1.6351299999999999E-2</v>
      </c>
      <c r="AT81" s="22">
        <v>71</v>
      </c>
      <c r="AU81" s="22">
        <v>1.3922099999999999</v>
      </c>
      <c r="AV81">
        <f t="shared" si="20"/>
        <v>16.351299999999998</v>
      </c>
      <c r="AW81">
        <f t="shared" si="21"/>
        <v>22.769512275999997</v>
      </c>
      <c r="AX81" s="9"/>
      <c r="AY81" s="22">
        <v>0.25756800000000002</v>
      </c>
      <c r="AZ81" s="22">
        <v>46.358699999999999</v>
      </c>
      <c r="BA81" s="22">
        <v>-1.8261699999999999E-2</v>
      </c>
      <c r="BB81" s="22">
        <v>71</v>
      </c>
      <c r="BC81" s="22">
        <v>0.25747700000000001</v>
      </c>
      <c r="BD81">
        <f t="shared" si="22"/>
        <v>18.261699999999998</v>
      </c>
      <c r="BE81">
        <f t="shared" si="23"/>
        <v>4.7036295456000001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11.6205</v>
      </c>
      <c r="I82" s="22">
        <v>-1.64032E-2</v>
      </c>
      <c r="J82" s="22">
        <v>72</v>
      </c>
      <c r="K82" s="22">
        <v>1.3870199999999999</v>
      </c>
      <c r="L82">
        <f t="shared" si="12"/>
        <v>16.403199999999998</v>
      </c>
      <c r="M82">
        <f t="shared" si="13"/>
        <v>22.759111936</v>
      </c>
      <c r="N82" s="9"/>
      <c r="O82" s="22">
        <v>0.262604</v>
      </c>
      <c r="P82" s="22">
        <v>24.508299999999998</v>
      </c>
      <c r="Q82" s="22">
        <v>-1.82404E-2</v>
      </c>
      <c r="R82" s="22">
        <v>72</v>
      </c>
      <c r="S82" s="22">
        <v>0.26217699999999999</v>
      </c>
      <c r="T82">
        <f t="shared" si="14"/>
        <v>18.240400000000001</v>
      </c>
      <c r="U82">
        <f t="shared" si="15"/>
        <v>4.7900020016000004</v>
      </c>
      <c r="X82" s="9"/>
      <c r="Y82" s="22">
        <v>1.38748</v>
      </c>
      <c r="Z82" s="22">
        <v>31.8919</v>
      </c>
      <c r="AA82" s="22">
        <v>-1.6479500000000001E-2</v>
      </c>
      <c r="AB82" s="22">
        <v>72</v>
      </c>
      <c r="AC82" s="22">
        <v>1.38672</v>
      </c>
      <c r="AD82">
        <f t="shared" si="16"/>
        <v>16.479500000000002</v>
      </c>
      <c r="AE82">
        <f t="shared" si="17"/>
        <v>22.864976660000004</v>
      </c>
      <c r="AF82" s="9"/>
      <c r="AG82" s="22">
        <v>0.262604</v>
      </c>
      <c r="AH82" s="22">
        <v>36.795499999999997</v>
      </c>
      <c r="AI82" s="22">
        <v>-1.8277000000000002E-2</v>
      </c>
      <c r="AJ82" s="22">
        <v>72</v>
      </c>
      <c r="AK82" s="22">
        <v>0.26187100000000002</v>
      </c>
      <c r="AL82">
        <f t="shared" si="18"/>
        <v>18.277000000000001</v>
      </c>
      <c r="AM82">
        <f t="shared" si="19"/>
        <v>4.7996133080000005</v>
      </c>
      <c r="AP82" s="9"/>
      <c r="AQ82" s="22">
        <v>1.38748</v>
      </c>
      <c r="AR82" s="22">
        <v>41.629100000000001</v>
      </c>
      <c r="AS82" s="22">
        <v>-1.64032E-2</v>
      </c>
      <c r="AT82" s="22">
        <v>72</v>
      </c>
      <c r="AU82" s="22">
        <v>1.3864099999999999</v>
      </c>
      <c r="AV82">
        <f t="shared" si="20"/>
        <v>16.403199999999998</v>
      </c>
      <c r="AW82">
        <f t="shared" si="21"/>
        <v>22.759111936</v>
      </c>
      <c r="AX82" s="9"/>
      <c r="AY82" s="22">
        <v>0.262604</v>
      </c>
      <c r="AZ82" s="22">
        <v>46.368699999999997</v>
      </c>
      <c r="BA82" s="22">
        <v>-1.8258699999999999E-2</v>
      </c>
      <c r="BB82" s="22">
        <v>72</v>
      </c>
      <c r="BC82" s="22">
        <v>0.26263399999999998</v>
      </c>
      <c r="BD82">
        <f t="shared" si="22"/>
        <v>18.258699999999997</v>
      </c>
      <c r="BE82">
        <f t="shared" si="23"/>
        <v>4.7948076547999996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11.630599999999999</v>
      </c>
      <c r="I83" s="22">
        <v>-1.64429E-2</v>
      </c>
      <c r="J83" s="22">
        <v>73</v>
      </c>
      <c r="K83" s="22">
        <v>1.38123</v>
      </c>
      <c r="L83">
        <f t="shared" si="12"/>
        <v>16.442900000000002</v>
      </c>
      <c r="M83">
        <f t="shared" si="13"/>
        <v>22.731487105000003</v>
      </c>
      <c r="N83" s="9"/>
      <c r="O83" s="22">
        <v>0.26763900000000002</v>
      </c>
      <c r="P83" s="22">
        <v>24.5184</v>
      </c>
      <c r="Q83" s="22">
        <v>-1.8234299999999998E-2</v>
      </c>
      <c r="R83" s="22">
        <v>73</v>
      </c>
      <c r="S83" s="22">
        <v>0.26708999999999999</v>
      </c>
      <c r="T83">
        <f t="shared" si="14"/>
        <v>18.234299999999998</v>
      </c>
      <c r="U83">
        <f t="shared" si="15"/>
        <v>4.8802098177</v>
      </c>
      <c r="X83" s="9"/>
      <c r="Y83" s="22">
        <v>1.38245</v>
      </c>
      <c r="Z83" s="22">
        <v>31.902000000000001</v>
      </c>
      <c r="AA83" s="22">
        <v>-1.6528299999999999E-2</v>
      </c>
      <c r="AB83" s="22">
        <v>73</v>
      </c>
      <c r="AC83" s="22">
        <v>1.3815299999999999</v>
      </c>
      <c r="AD83">
        <f t="shared" si="16"/>
        <v>16.528299999999998</v>
      </c>
      <c r="AE83">
        <f t="shared" si="17"/>
        <v>22.849548334999998</v>
      </c>
      <c r="AF83" s="9"/>
      <c r="AG83" s="22">
        <v>0.26763900000000002</v>
      </c>
      <c r="AH83" s="22">
        <v>36.805599999999998</v>
      </c>
      <c r="AI83" s="22">
        <v>-1.8273899999999999E-2</v>
      </c>
      <c r="AJ83" s="22">
        <v>73</v>
      </c>
      <c r="AK83" s="22">
        <v>0.26681500000000002</v>
      </c>
      <c r="AL83">
        <f t="shared" si="18"/>
        <v>18.273899999999998</v>
      </c>
      <c r="AM83">
        <f t="shared" si="19"/>
        <v>4.8908083220999998</v>
      </c>
      <c r="AP83" s="9"/>
      <c r="AQ83" s="22">
        <v>1.38245</v>
      </c>
      <c r="AR83" s="22">
        <v>41.639200000000002</v>
      </c>
      <c r="AS83" s="22">
        <v>-1.6452000000000001E-2</v>
      </c>
      <c r="AT83" s="22">
        <v>73</v>
      </c>
      <c r="AU83" s="22">
        <v>1.38123</v>
      </c>
      <c r="AV83">
        <f t="shared" si="20"/>
        <v>16.452000000000002</v>
      </c>
      <c r="AW83">
        <f t="shared" si="21"/>
        <v>22.744067400000002</v>
      </c>
      <c r="AX83" s="9"/>
      <c r="AY83" s="22">
        <v>0.26763900000000002</v>
      </c>
      <c r="AZ83" s="22">
        <v>46.378799999999998</v>
      </c>
      <c r="BA83" s="22">
        <v>-1.82556E-2</v>
      </c>
      <c r="BB83" s="22">
        <v>73</v>
      </c>
      <c r="BC83" s="22">
        <v>0.26696799999999998</v>
      </c>
      <c r="BD83">
        <f t="shared" si="22"/>
        <v>18.255600000000001</v>
      </c>
      <c r="BE83">
        <f t="shared" si="23"/>
        <v>4.8859105284000002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11.640700000000001</v>
      </c>
      <c r="I84" s="22">
        <v>-1.64948E-2</v>
      </c>
      <c r="J84" s="22">
        <v>74</v>
      </c>
      <c r="K84" s="22">
        <v>1.3772599999999999</v>
      </c>
      <c r="L84">
        <f t="shared" si="12"/>
        <v>16.494800000000001</v>
      </c>
      <c r="M84">
        <f t="shared" si="13"/>
        <v>22.720102468000004</v>
      </c>
      <c r="N84" s="9"/>
      <c r="O84" s="22">
        <v>0.272675</v>
      </c>
      <c r="P84" s="22">
        <v>24.528400000000001</v>
      </c>
      <c r="Q84" s="22">
        <v>-1.8234299999999998E-2</v>
      </c>
      <c r="R84" s="22">
        <v>74</v>
      </c>
      <c r="S84" s="22">
        <v>0.272339</v>
      </c>
      <c r="T84">
        <f t="shared" si="14"/>
        <v>18.234299999999998</v>
      </c>
      <c r="U84">
        <f t="shared" si="15"/>
        <v>4.9720377524999995</v>
      </c>
      <c r="X84" s="9"/>
      <c r="Y84" s="22">
        <v>1.37741</v>
      </c>
      <c r="Z84" s="22">
        <v>31.912099999999999</v>
      </c>
      <c r="AA84" s="22">
        <v>-1.6570999999999999E-2</v>
      </c>
      <c r="AB84" s="22">
        <v>74</v>
      </c>
      <c r="AC84" s="22">
        <v>1.3760399999999999</v>
      </c>
      <c r="AD84">
        <f t="shared" si="16"/>
        <v>16.570999999999998</v>
      </c>
      <c r="AE84">
        <f t="shared" si="17"/>
        <v>22.825061109999996</v>
      </c>
      <c r="AF84" s="9"/>
      <c r="AG84" s="22">
        <v>0.272675</v>
      </c>
      <c r="AH84" s="22">
        <v>36.8157</v>
      </c>
      <c r="AI84" s="22">
        <v>-1.8267800000000001E-2</v>
      </c>
      <c r="AJ84" s="22">
        <v>74</v>
      </c>
      <c r="AK84" s="22">
        <v>0.27197300000000002</v>
      </c>
      <c r="AL84">
        <f t="shared" si="18"/>
        <v>18.267800000000001</v>
      </c>
      <c r="AM84">
        <f t="shared" si="19"/>
        <v>4.9811723649999999</v>
      </c>
      <c r="AP84" s="9"/>
      <c r="AQ84" s="22">
        <v>1.37741</v>
      </c>
      <c r="AR84" s="22">
        <v>41.649299999999997</v>
      </c>
      <c r="AS84" s="22">
        <v>-1.6503899999999998E-2</v>
      </c>
      <c r="AT84" s="22">
        <v>74</v>
      </c>
      <c r="AU84" s="22">
        <v>1.3766499999999999</v>
      </c>
      <c r="AV84">
        <f t="shared" si="20"/>
        <v>16.503899999999998</v>
      </c>
      <c r="AW84">
        <f t="shared" si="21"/>
        <v>22.732636898999999</v>
      </c>
      <c r="AX84" s="9"/>
      <c r="AY84" s="22">
        <v>0.272675</v>
      </c>
      <c r="AZ84" s="22">
        <v>46.3889</v>
      </c>
      <c r="BA84" s="22">
        <v>-1.82556E-2</v>
      </c>
      <c r="BB84" s="22">
        <v>74</v>
      </c>
      <c r="BC84" s="22">
        <v>0.27236900000000003</v>
      </c>
      <c r="BD84">
        <f t="shared" si="22"/>
        <v>18.255600000000001</v>
      </c>
      <c r="BE84">
        <f t="shared" si="23"/>
        <v>4.9778457300000003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11.6508</v>
      </c>
      <c r="I85" s="22">
        <v>-1.65375E-2</v>
      </c>
      <c r="J85" s="22">
        <v>75</v>
      </c>
      <c r="K85" s="22">
        <v>1.3717699999999999</v>
      </c>
      <c r="L85">
        <f t="shared" si="12"/>
        <v>16.537500000000001</v>
      </c>
      <c r="M85">
        <f t="shared" si="13"/>
        <v>22.695734250000001</v>
      </c>
      <c r="N85" s="9"/>
      <c r="O85" s="22">
        <v>0.27771000000000001</v>
      </c>
      <c r="P85" s="22">
        <v>24.538499999999999</v>
      </c>
      <c r="Q85" s="22">
        <v>-1.8231199999999999E-2</v>
      </c>
      <c r="R85" s="22">
        <v>75</v>
      </c>
      <c r="S85" s="22">
        <v>0.27712999999999999</v>
      </c>
      <c r="T85">
        <f t="shared" si="14"/>
        <v>18.231200000000001</v>
      </c>
      <c r="U85">
        <f t="shared" si="15"/>
        <v>5.0629865520000008</v>
      </c>
      <c r="X85" s="9"/>
      <c r="Y85" s="22">
        <v>1.3723799999999999</v>
      </c>
      <c r="Z85" s="22">
        <v>31.9221</v>
      </c>
      <c r="AA85" s="22">
        <v>-1.6613800000000001E-2</v>
      </c>
      <c r="AB85" s="22">
        <v>75</v>
      </c>
      <c r="AC85" s="22">
        <v>1.3723799999999999</v>
      </c>
      <c r="AD85">
        <f t="shared" si="16"/>
        <v>16.613800000000001</v>
      </c>
      <c r="AE85">
        <f t="shared" si="17"/>
        <v>22.800446844</v>
      </c>
      <c r="AF85" s="9"/>
      <c r="AG85" s="22">
        <v>0.27771000000000001</v>
      </c>
      <c r="AH85" s="22">
        <v>36.825699999999998</v>
      </c>
      <c r="AI85" s="22">
        <v>-1.8261699999999999E-2</v>
      </c>
      <c r="AJ85" s="22">
        <v>75</v>
      </c>
      <c r="AK85" s="22">
        <v>0.277283</v>
      </c>
      <c r="AL85">
        <f t="shared" si="18"/>
        <v>18.261699999999998</v>
      </c>
      <c r="AM85">
        <f t="shared" si="19"/>
        <v>5.0714567069999994</v>
      </c>
      <c r="AP85" s="9"/>
      <c r="AQ85" s="22">
        <v>1.3723799999999999</v>
      </c>
      <c r="AR85" s="22">
        <v>41.659300000000002</v>
      </c>
      <c r="AS85" s="22">
        <v>-1.6549700000000001E-2</v>
      </c>
      <c r="AT85" s="22">
        <v>75</v>
      </c>
      <c r="AU85" s="22">
        <v>1.3714599999999999</v>
      </c>
      <c r="AV85">
        <f t="shared" si="20"/>
        <v>16.549700000000001</v>
      </c>
      <c r="AW85">
        <f t="shared" si="21"/>
        <v>22.712477286000002</v>
      </c>
      <c r="AX85" s="9"/>
      <c r="AY85" s="22">
        <v>0.27771000000000001</v>
      </c>
      <c r="AZ85" s="22">
        <v>46.398899999999998</v>
      </c>
      <c r="BA85" s="22">
        <v>-1.8249499999999998E-2</v>
      </c>
      <c r="BB85" s="22">
        <v>75</v>
      </c>
      <c r="BC85" s="22">
        <v>0.27700799999999998</v>
      </c>
      <c r="BD85">
        <f t="shared" si="22"/>
        <v>18.249499999999998</v>
      </c>
      <c r="BE85">
        <f t="shared" si="23"/>
        <v>5.0680686449999994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11.6608</v>
      </c>
      <c r="I86" s="22">
        <v>-1.6583299999999999E-2</v>
      </c>
      <c r="J86" s="22">
        <v>76</v>
      </c>
      <c r="K86" s="22">
        <v>1.3665799999999999</v>
      </c>
      <c r="L86">
        <f t="shared" si="12"/>
        <v>16.583299999999998</v>
      </c>
      <c r="M86">
        <f t="shared" si="13"/>
        <v>22.675009421999995</v>
      </c>
      <c r="N86" s="9"/>
      <c r="O86" s="22">
        <v>0.28274500000000002</v>
      </c>
      <c r="P86" s="22">
        <v>24.5486</v>
      </c>
      <c r="Q86" s="22">
        <v>-1.8228100000000001E-2</v>
      </c>
      <c r="R86" s="22">
        <v>76</v>
      </c>
      <c r="S86" s="22">
        <v>0.28179900000000002</v>
      </c>
      <c r="T86">
        <f t="shared" si="14"/>
        <v>18.228100000000001</v>
      </c>
      <c r="U86">
        <f t="shared" si="15"/>
        <v>5.1539041345000012</v>
      </c>
      <c r="X86" s="9"/>
      <c r="Y86" s="22">
        <v>1.36734</v>
      </c>
      <c r="Z86" s="22">
        <v>31.932200000000002</v>
      </c>
      <c r="AA86" s="22">
        <v>-1.6656500000000001E-2</v>
      </c>
      <c r="AB86" s="22">
        <v>76</v>
      </c>
      <c r="AC86" s="22">
        <v>1.3665799999999999</v>
      </c>
      <c r="AD86">
        <f t="shared" si="16"/>
        <v>16.656500000000001</v>
      </c>
      <c r="AE86">
        <f t="shared" si="17"/>
        <v>22.775098710000002</v>
      </c>
      <c r="AF86" s="9"/>
      <c r="AG86" s="22">
        <v>0.28274500000000002</v>
      </c>
      <c r="AH86" s="22">
        <v>36.835799999999999</v>
      </c>
      <c r="AI86" s="22">
        <v>-1.8258699999999999E-2</v>
      </c>
      <c r="AJ86" s="22">
        <v>76</v>
      </c>
      <c r="AK86" s="22">
        <v>0.28222700000000001</v>
      </c>
      <c r="AL86">
        <f t="shared" si="18"/>
        <v>18.258699999999997</v>
      </c>
      <c r="AM86">
        <f t="shared" si="19"/>
        <v>5.1625561314999997</v>
      </c>
      <c r="AP86" s="9"/>
      <c r="AQ86" s="22">
        <v>1.36734</v>
      </c>
      <c r="AR86" s="22">
        <v>41.669400000000003</v>
      </c>
      <c r="AS86" s="22">
        <v>-1.6595499999999999E-2</v>
      </c>
      <c r="AT86" s="22">
        <v>76</v>
      </c>
      <c r="AU86" s="22">
        <v>1.3665799999999999</v>
      </c>
      <c r="AV86">
        <f t="shared" si="20"/>
        <v>16.595499999999998</v>
      </c>
      <c r="AW86">
        <f t="shared" si="21"/>
        <v>22.691690969999996</v>
      </c>
      <c r="AX86" s="9"/>
      <c r="AY86" s="22">
        <v>0.28274500000000002</v>
      </c>
      <c r="AZ86" s="22">
        <v>46.408999999999999</v>
      </c>
      <c r="BA86" s="22">
        <v>-1.8249499999999998E-2</v>
      </c>
      <c r="BB86" s="22">
        <v>76</v>
      </c>
      <c r="BC86" s="22">
        <v>0.28247100000000003</v>
      </c>
      <c r="BD86">
        <f t="shared" si="22"/>
        <v>18.249499999999998</v>
      </c>
      <c r="BE86">
        <f t="shared" si="23"/>
        <v>5.1599548774999997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11.6709</v>
      </c>
      <c r="I87" s="22">
        <v>-1.6625999999999998E-2</v>
      </c>
      <c r="J87" s="22">
        <v>77</v>
      </c>
      <c r="K87" s="22">
        <v>1.3613900000000001</v>
      </c>
      <c r="L87">
        <f t="shared" si="12"/>
        <v>16.625999999999998</v>
      </c>
      <c r="M87">
        <f t="shared" si="13"/>
        <v>22.649599799999997</v>
      </c>
      <c r="N87" s="9"/>
      <c r="O87" s="22">
        <v>0.28778100000000001</v>
      </c>
      <c r="P87" s="22">
        <v>24.558599999999998</v>
      </c>
      <c r="Q87" s="22">
        <v>-1.8225100000000001E-2</v>
      </c>
      <c r="R87" s="22">
        <v>77</v>
      </c>
      <c r="S87" s="22">
        <v>0.28689599999999998</v>
      </c>
      <c r="T87">
        <f t="shared" si="14"/>
        <v>18.225100000000001</v>
      </c>
      <c r="U87">
        <f t="shared" si="15"/>
        <v>5.2448375031000003</v>
      </c>
      <c r="X87" s="9"/>
      <c r="Y87" s="22">
        <v>1.3623000000000001</v>
      </c>
      <c r="Z87" s="22">
        <v>31.942299999999999</v>
      </c>
      <c r="AA87" s="22">
        <v>-1.6693099999999999E-2</v>
      </c>
      <c r="AB87" s="22">
        <v>77</v>
      </c>
      <c r="AC87" s="22">
        <v>1.3613900000000001</v>
      </c>
      <c r="AD87">
        <f t="shared" si="16"/>
        <v>16.693099999999998</v>
      </c>
      <c r="AE87">
        <f t="shared" si="17"/>
        <v>22.741010129999999</v>
      </c>
      <c r="AF87" s="9"/>
      <c r="AG87" s="22">
        <v>0.28778100000000001</v>
      </c>
      <c r="AH87" s="22">
        <v>36.8459</v>
      </c>
      <c r="AI87" s="22">
        <v>-1.8252600000000001E-2</v>
      </c>
      <c r="AJ87" s="22">
        <v>77</v>
      </c>
      <c r="AK87" s="22">
        <v>0.28716999999999998</v>
      </c>
      <c r="AL87">
        <f t="shared" si="18"/>
        <v>18.252600000000001</v>
      </c>
      <c r="AM87">
        <f t="shared" si="19"/>
        <v>5.2527514806000006</v>
      </c>
      <c r="AP87" s="9"/>
      <c r="AQ87" s="22">
        <v>1.3623000000000001</v>
      </c>
      <c r="AR87" s="22">
        <v>41.679499999999997</v>
      </c>
      <c r="AS87" s="22">
        <v>-1.6641199999999998E-2</v>
      </c>
      <c r="AT87" s="22">
        <v>77</v>
      </c>
      <c r="AU87" s="22">
        <v>1.3616900000000001</v>
      </c>
      <c r="AV87">
        <f t="shared" si="20"/>
        <v>16.641199999999998</v>
      </c>
      <c r="AW87">
        <f t="shared" si="21"/>
        <v>22.670306759999999</v>
      </c>
      <c r="AX87" s="9"/>
      <c r="AY87" s="22">
        <v>0.28778100000000001</v>
      </c>
      <c r="AZ87" s="22">
        <v>46.4191</v>
      </c>
      <c r="BA87" s="22">
        <v>-1.82434E-2</v>
      </c>
      <c r="BB87" s="22">
        <v>77</v>
      </c>
      <c r="BC87" s="22">
        <v>0.286499</v>
      </c>
      <c r="BD87">
        <f t="shared" si="22"/>
        <v>18.243400000000001</v>
      </c>
      <c r="BE87">
        <f t="shared" si="23"/>
        <v>5.2501038954000006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11.680999999999999</v>
      </c>
      <c r="I88" s="22">
        <v>-1.66626E-2</v>
      </c>
      <c r="J88" s="22">
        <v>78</v>
      </c>
      <c r="K88" s="22">
        <v>1.3565100000000001</v>
      </c>
      <c r="L88">
        <f t="shared" si="12"/>
        <v>16.662600000000001</v>
      </c>
      <c r="M88">
        <f t="shared" si="13"/>
        <v>22.615647102000001</v>
      </c>
      <c r="N88" s="9"/>
      <c r="O88" s="22">
        <v>0.29281600000000002</v>
      </c>
      <c r="P88" s="22">
        <v>24.5687</v>
      </c>
      <c r="Q88" s="22">
        <v>-1.8218999999999999E-2</v>
      </c>
      <c r="R88" s="22">
        <v>78</v>
      </c>
      <c r="S88" s="22">
        <v>0.29229699999999997</v>
      </c>
      <c r="T88">
        <f t="shared" si="14"/>
        <v>18.218999999999998</v>
      </c>
      <c r="U88">
        <f t="shared" si="15"/>
        <v>5.3348147039999994</v>
      </c>
      <c r="X88" s="9"/>
      <c r="Y88" s="22">
        <v>1.35727</v>
      </c>
      <c r="Z88" s="22">
        <v>31.952300000000001</v>
      </c>
      <c r="AA88" s="22">
        <v>-1.67297E-2</v>
      </c>
      <c r="AB88" s="22">
        <v>78</v>
      </c>
      <c r="AC88" s="22">
        <v>1.3571200000000001</v>
      </c>
      <c r="AD88">
        <f t="shared" si="16"/>
        <v>16.729700000000001</v>
      </c>
      <c r="AE88">
        <f t="shared" si="17"/>
        <v>22.706719919000001</v>
      </c>
      <c r="AF88" s="9"/>
      <c r="AG88" s="22">
        <v>0.29281600000000002</v>
      </c>
      <c r="AH88" s="22">
        <v>36.856000000000002</v>
      </c>
      <c r="AI88" s="22">
        <v>-1.8246499999999999E-2</v>
      </c>
      <c r="AJ88" s="22">
        <v>78</v>
      </c>
      <c r="AK88" s="22">
        <v>0.29244999999999999</v>
      </c>
      <c r="AL88">
        <f t="shared" si="18"/>
        <v>18.246499999999997</v>
      </c>
      <c r="AM88">
        <f t="shared" si="19"/>
        <v>5.3428671439999995</v>
      </c>
      <c r="AP88" s="9"/>
      <c r="AQ88" s="22">
        <v>1.35727</v>
      </c>
      <c r="AR88" s="22">
        <v>41.689599999999999</v>
      </c>
      <c r="AS88" s="22">
        <v>-1.6677899999999999E-2</v>
      </c>
      <c r="AT88" s="22">
        <v>78</v>
      </c>
      <c r="AU88" s="22">
        <v>1.3565100000000001</v>
      </c>
      <c r="AV88">
        <f t="shared" si="20"/>
        <v>16.677899999999998</v>
      </c>
      <c r="AW88">
        <f t="shared" si="21"/>
        <v>22.636413332999997</v>
      </c>
      <c r="AX88" s="9"/>
      <c r="AY88" s="22">
        <v>0.29281600000000002</v>
      </c>
      <c r="AZ88" s="22">
        <v>46.429200000000002</v>
      </c>
      <c r="BA88" s="22">
        <v>-1.8237300000000001E-2</v>
      </c>
      <c r="BB88" s="22">
        <v>78</v>
      </c>
      <c r="BC88" s="22">
        <v>0.292236</v>
      </c>
      <c r="BD88">
        <f t="shared" si="22"/>
        <v>18.237300000000001</v>
      </c>
      <c r="BE88">
        <f t="shared" si="23"/>
        <v>5.340173236800001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11.691000000000001</v>
      </c>
      <c r="I89" s="22">
        <v>-1.6696200000000001E-2</v>
      </c>
      <c r="J89" s="22">
        <v>79</v>
      </c>
      <c r="K89" s="22">
        <v>1.35162</v>
      </c>
      <c r="L89">
        <f t="shared" si="12"/>
        <v>16.696200000000001</v>
      </c>
      <c r="M89">
        <f t="shared" si="13"/>
        <v>22.577102526000001</v>
      </c>
      <c r="N89" s="9"/>
      <c r="O89" s="22">
        <v>0.29785200000000001</v>
      </c>
      <c r="P89" s="22">
        <v>24.578800000000001</v>
      </c>
      <c r="Q89" s="22">
        <v>-1.82159E-2</v>
      </c>
      <c r="R89" s="22">
        <v>79</v>
      </c>
      <c r="S89" s="22">
        <v>0.29715000000000003</v>
      </c>
      <c r="T89">
        <f t="shared" si="14"/>
        <v>18.215900000000001</v>
      </c>
      <c r="U89">
        <f t="shared" si="15"/>
        <v>5.4256422468000007</v>
      </c>
      <c r="X89" s="9"/>
      <c r="Y89" s="22">
        <v>1.35223</v>
      </c>
      <c r="Z89" s="22">
        <v>31.962399999999999</v>
      </c>
      <c r="AA89" s="22">
        <v>-1.6766400000000001E-2</v>
      </c>
      <c r="AB89" s="22">
        <v>79</v>
      </c>
      <c r="AC89" s="22">
        <v>1.35101</v>
      </c>
      <c r="AD89">
        <f t="shared" si="16"/>
        <v>16.766400000000001</v>
      </c>
      <c r="AE89">
        <f t="shared" si="17"/>
        <v>22.672029072000001</v>
      </c>
      <c r="AF89" s="9"/>
      <c r="AG89" s="22">
        <v>0.29785200000000001</v>
      </c>
      <c r="AH89" s="22">
        <v>36.866</v>
      </c>
      <c r="AI89" s="22">
        <v>-1.82434E-2</v>
      </c>
      <c r="AJ89" s="22">
        <v>79</v>
      </c>
      <c r="AK89" s="22">
        <v>0.29705799999999999</v>
      </c>
      <c r="AL89">
        <f t="shared" si="18"/>
        <v>18.243400000000001</v>
      </c>
      <c r="AM89">
        <f t="shared" si="19"/>
        <v>5.4338331768000003</v>
      </c>
      <c r="AP89" s="9"/>
      <c r="AQ89" s="22">
        <v>1.35223</v>
      </c>
      <c r="AR89" s="22">
        <v>41.699599999999997</v>
      </c>
      <c r="AS89" s="22">
        <v>-1.67175E-2</v>
      </c>
      <c r="AT89" s="22">
        <v>79</v>
      </c>
      <c r="AU89" s="22">
        <v>1.35162</v>
      </c>
      <c r="AV89">
        <f t="shared" si="20"/>
        <v>16.717500000000001</v>
      </c>
      <c r="AW89">
        <f t="shared" si="21"/>
        <v>22.605905025000002</v>
      </c>
      <c r="AX89" s="9"/>
      <c r="AY89" s="22">
        <v>0.29785200000000001</v>
      </c>
      <c r="AZ89" s="22">
        <v>46.4392</v>
      </c>
      <c r="BA89" s="22">
        <v>-1.8234299999999998E-2</v>
      </c>
      <c r="BB89" s="22">
        <v>79</v>
      </c>
      <c r="BC89" s="22">
        <v>0.297485</v>
      </c>
      <c r="BD89">
        <f t="shared" si="22"/>
        <v>18.234299999999998</v>
      </c>
      <c r="BE89">
        <f t="shared" si="23"/>
        <v>5.4311227235999997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11.7011</v>
      </c>
      <c r="I90" s="22">
        <v>-1.6726700000000001E-2</v>
      </c>
      <c r="J90" s="22">
        <v>80</v>
      </c>
      <c r="K90" s="22">
        <v>1.34613</v>
      </c>
      <c r="L90">
        <f t="shared" si="12"/>
        <v>16.726700000000001</v>
      </c>
      <c r="M90">
        <f t="shared" si="13"/>
        <v>22.53421024</v>
      </c>
      <c r="N90" s="9"/>
      <c r="O90" s="22">
        <v>0.30288700000000002</v>
      </c>
      <c r="P90" s="22">
        <v>24.588899999999999</v>
      </c>
      <c r="Q90" s="22">
        <v>-1.8209800000000002E-2</v>
      </c>
      <c r="R90" s="22">
        <v>80</v>
      </c>
      <c r="S90" s="22">
        <v>0.30209399999999997</v>
      </c>
      <c r="T90">
        <f t="shared" si="14"/>
        <v>18.209800000000001</v>
      </c>
      <c r="U90">
        <f t="shared" si="15"/>
        <v>5.5155116926000005</v>
      </c>
      <c r="X90" s="9"/>
      <c r="Y90" s="22">
        <v>1.3472</v>
      </c>
      <c r="Z90" s="22">
        <v>31.9725</v>
      </c>
      <c r="AA90" s="22">
        <v>-1.6802999999999998E-2</v>
      </c>
      <c r="AB90" s="22">
        <v>80</v>
      </c>
      <c r="AC90" s="22">
        <v>1.3464400000000001</v>
      </c>
      <c r="AD90">
        <f t="shared" si="16"/>
        <v>16.802999999999997</v>
      </c>
      <c r="AE90">
        <f t="shared" si="17"/>
        <v>22.637001599999994</v>
      </c>
      <c r="AF90" s="9"/>
      <c r="AG90" s="22">
        <v>0.30288700000000002</v>
      </c>
      <c r="AH90" s="22">
        <v>36.876100000000001</v>
      </c>
      <c r="AI90" s="22">
        <v>-1.82404E-2</v>
      </c>
      <c r="AJ90" s="22">
        <v>80</v>
      </c>
      <c r="AK90" s="22">
        <v>0.30239899999999997</v>
      </c>
      <c r="AL90">
        <f t="shared" si="18"/>
        <v>18.240400000000001</v>
      </c>
      <c r="AM90">
        <f t="shared" si="19"/>
        <v>5.5247800348000009</v>
      </c>
      <c r="AP90" s="9"/>
      <c r="AQ90" s="22">
        <v>1.3472</v>
      </c>
      <c r="AR90" s="22">
        <v>41.709699999999998</v>
      </c>
      <c r="AS90" s="22">
        <v>-1.67572E-2</v>
      </c>
      <c r="AT90" s="22">
        <v>80</v>
      </c>
      <c r="AU90" s="22">
        <v>1.3464400000000001</v>
      </c>
      <c r="AV90">
        <f t="shared" si="20"/>
        <v>16.757200000000001</v>
      </c>
      <c r="AW90">
        <f t="shared" si="21"/>
        <v>22.57529984</v>
      </c>
      <c r="AX90" s="9"/>
      <c r="AY90" s="22">
        <v>0.30288700000000002</v>
      </c>
      <c r="AZ90" s="22">
        <v>46.449300000000001</v>
      </c>
      <c r="BA90" s="22">
        <v>-1.8228100000000001E-2</v>
      </c>
      <c r="BB90" s="22">
        <v>80</v>
      </c>
      <c r="BC90" s="22">
        <v>0.30221599999999998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11.7112</v>
      </c>
      <c r="I91" s="22">
        <v>-1.67572E-2</v>
      </c>
      <c r="J91" s="22">
        <v>81</v>
      </c>
      <c r="K91" s="22">
        <v>1.3412500000000001</v>
      </c>
      <c r="L91">
        <f t="shared" si="12"/>
        <v>16.757200000000001</v>
      </c>
      <c r="M91">
        <f t="shared" si="13"/>
        <v>22.490843552000001</v>
      </c>
      <c r="N91" s="9"/>
      <c r="O91" s="22">
        <v>0.30792199999999997</v>
      </c>
      <c r="P91" s="22">
        <v>24.5989</v>
      </c>
      <c r="Q91" s="22">
        <v>-1.8206799999999999E-2</v>
      </c>
      <c r="R91" s="22">
        <v>81</v>
      </c>
      <c r="S91" s="22">
        <v>0.30752600000000002</v>
      </c>
      <c r="T91">
        <f t="shared" si="14"/>
        <v>18.206799999999998</v>
      </c>
      <c r="U91">
        <f t="shared" si="15"/>
        <v>5.6062742695999992</v>
      </c>
      <c r="X91" s="9"/>
      <c r="Y91" s="22">
        <v>1.34216</v>
      </c>
      <c r="Z91" s="22">
        <v>31.982600000000001</v>
      </c>
      <c r="AA91" s="22">
        <v>-1.6836500000000001E-2</v>
      </c>
      <c r="AB91" s="22">
        <v>81</v>
      </c>
      <c r="AC91" s="22">
        <v>1.34094</v>
      </c>
      <c r="AD91">
        <f t="shared" si="16"/>
        <v>16.836500000000001</v>
      </c>
      <c r="AE91">
        <f t="shared" si="17"/>
        <v>22.597276840000003</v>
      </c>
      <c r="AF91" s="9"/>
      <c r="AG91" s="22">
        <v>0.30792199999999997</v>
      </c>
      <c r="AH91" s="22">
        <v>36.886200000000002</v>
      </c>
      <c r="AI91" s="22">
        <v>-1.82404E-2</v>
      </c>
      <c r="AJ91" s="22">
        <v>81</v>
      </c>
      <c r="AK91" s="22">
        <v>0.30706800000000001</v>
      </c>
      <c r="AL91">
        <f t="shared" si="18"/>
        <v>18.240400000000001</v>
      </c>
      <c r="AM91">
        <f t="shared" si="19"/>
        <v>5.6166204488</v>
      </c>
      <c r="AP91" s="9"/>
      <c r="AQ91" s="22">
        <v>1.34216</v>
      </c>
      <c r="AR91" s="22">
        <v>41.719799999999999</v>
      </c>
      <c r="AS91" s="22">
        <v>-1.6787699999999999E-2</v>
      </c>
      <c r="AT91" s="22">
        <v>81</v>
      </c>
      <c r="AU91" s="22">
        <v>1.3412500000000001</v>
      </c>
      <c r="AV91">
        <f t="shared" si="20"/>
        <v>16.787699999999997</v>
      </c>
      <c r="AW91">
        <f t="shared" si="21"/>
        <v>22.531779431999997</v>
      </c>
      <c r="AX91" s="9"/>
      <c r="AY91" s="22">
        <v>0.30792199999999997</v>
      </c>
      <c r="AZ91" s="22">
        <v>46.459400000000002</v>
      </c>
      <c r="BA91" s="22">
        <v>-1.8221999999999999E-2</v>
      </c>
      <c r="BB91" s="22">
        <v>81</v>
      </c>
      <c r="BC91" s="22">
        <v>0.307037</v>
      </c>
      <c r="BD91">
        <f t="shared" si="22"/>
        <v>18.221999999999998</v>
      </c>
      <c r="BE91">
        <f t="shared" si="23"/>
        <v>5.6109546839999984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11.721299999999999</v>
      </c>
      <c r="I92" s="22">
        <v>-1.6790800000000002E-2</v>
      </c>
      <c r="J92" s="22">
        <v>82</v>
      </c>
      <c r="K92" s="22">
        <v>1.33575</v>
      </c>
      <c r="L92">
        <f t="shared" si="12"/>
        <v>16.790800000000001</v>
      </c>
      <c r="M92">
        <f t="shared" si="13"/>
        <v>22.451482404</v>
      </c>
      <c r="N92" s="9"/>
      <c r="O92" s="22">
        <v>0.31295800000000001</v>
      </c>
      <c r="P92" s="22">
        <v>24.609000000000002</v>
      </c>
      <c r="Q92" s="22">
        <v>-1.82037E-2</v>
      </c>
      <c r="R92" s="22">
        <v>82</v>
      </c>
      <c r="S92" s="22">
        <v>0.31225599999999998</v>
      </c>
      <c r="T92">
        <f t="shared" si="14"/>
        <v>18.203700000000001</v>
      </c>
      <c r="U92">
        <f t="shared" si="15"/>
        <v>5.6969935446000006</v>
      </c>
      <c r="X92" s="9"/>
      <c r="Y92" s="22">
        <v>1.3371299999999999</v>
      </c>
      <c r="Z92" s="22">
        <v>31.992599999999999</v>
      </c>
      <c r="AA92" s="22">
        <v>-1.6861000000000001E-2</v>
      </c>
      <c r="AB92" s="22">
        <v>82</v>
      </c>
      <c r="AC92" s="22">
        <v>1.3369800000000001</v>
      </c>
      <c r="AD92">
        <f t="shared" si="16"/>
        <v>16.861000000000001</v>
      </c>
      <c r="AE92">
        <f t="shared" si="17"/>
        <v>22.545348929999999</v>
      </c>
      <c r="AF92" s="9"/>
      <c r="AG92" s="22">
        <v>0.31295800000000001</v>
      </c>
      <c r="AH92" s="22">
        <v>36.8962</v>
      </c>
      <c r="AI92" s="22">
        <v>-1.8237300000000001E-2</v>
      </c>
      <c r="AJ92" s="22">
        <v>82</v>
      </c>
      <c r="AK92" s="22">
        <v>0.31222499999999997</v>
      </c>
      <c r="AL92">
        <f t="shared" si="18"/>
        <v>18.237300000000001</v>
      </c>
      <c r="AM92">
        <f t="shared" si="19"/>
        <v>5.7075089334000007</v>
      </c>
      <c r="AP92" s="9"/>
      <c r="AQ92" s="22">
        <v>1.3371299999999999</v>
      </c>
      <c r="AR92" s="22">
        <v>41.729799999999997</v>
      </c>
      <c r="AS92" s="22">
        <v>-1.68243E-2</v>
      </c>
      <c r="AT92" s="22">
        <v>82</v>
      </c>
      <c r="AU92" s="22">
        <v>1.33636</v>
      </c>
      <c r="AV92">
        <f t="shared" si="20"/>
        <v>16.824300000000001</v>
      </c>
      <c r="AW92">
        <f t="shared" si="21"/>
        <v>22.496276258999998</v>
      </c>
      <c r="AX92" s="9"/>
      <c r="AY92" s="22">
        <v>0.31295800000000001</v>
      </c>
      <c r="AZ92" s="22">
        <v>46.4694</v>
      </c>
      <c r="BA92" s="22">
        <v>-1.82159E-2</v>
      </c>
      <c r="BB92" s="22">
        <v>82</v>
      </c>
      <c r="BC92" s="22">
        <v>0.31243900000000002</v>
      </c>
      <c r="BD92">
        <f t="shared" si="22"/>
        <v>18.215900000000001</v>
      </c>
      <c r="BE92">
        <f t="shared" si="23"/>
        <v>5.7008116322000006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11.731299999999999</v>
      </c>
      <c r="I93" s="22">
        <v>-1.68243E-2</v>
      </c>
      <c r="J93" s="22">
        <v>83</v>
      </c>
      <c r="K93" s="22">
        <v>1.33148</v>
      </c>
      <c r="L93">
        <f t="shared" si="12"/>
        <v>16.824300000000001</v>
      </c>
      <c r="M93">
        <f t="shared" si="13"/>
        <v>22.411481787</v>
      </c>
      <c r="N93" s="9"/>
      <c r="O93" s="22">
        <v>0.31799300000000003</v>
      </c>
      <c r="P93" s="22">
        <v>24.6191</v>
      </c>
      <c r="Q93" s="22">
        <v>-1.8197600000000001E-2</v>
      </c>
      <c r="R93" s="22">
        <v>83</v>
      </c>
      <c r="S93" s="22">
        <v>0.31762699999999999</v>
      </c>
      <c r="T93">
        <f t="shared" si="14"/>
        <v>18.197600000000001</v>
      </c>
      <c r="U93">
        <f t="shared" si="15"/>
        <v>5.7867094168000008</v>
      </c>
      <c r="X93" s="9"/>
      <c r="Y93" s="22">
        <v>1.33209</v>
      </c>
      <c r="Z93" s="22">
        <v>32.002699999999997</v>
      </c>
      <c r="AA93" s="22">
        <v>-1.68915E-2</v>
      </c>
      <c r="AB93" s="22">
        <v>83</v>
      </c>
      <c r="AC93" s="22">
        <v>1.33118</v>
      </c>
      <c r="AD93">
        <f t="shared" si="16"/>
        <v>16.891500000000001</v>
      </c>
      <c r="AE93">
        <f t="shared" si="17"/>
        <v>22.500998235000001</v>
      </c>
      <c r="AF93" s="9"/>
      <c r="AG93" s="22">
        <v>0.31799300000000003</v>
      </c>
      <c r="AH93" s="22">
        <v>36.906300000000002</v>
      </c>
      <c r="AI93" s="22">
        <v>-1.8231199999999999E-2</v>
      </c>
      <c r="AJ93" s="22">
        <v>83</v>
      </c>
      <c r="AK93" s="22">
        <v>0.31652799999999998</v>
      </c>
      <c r="AL93">
        <f t="shared" si="18"/>
        <v>18.231200000000001</v>
      </c>
      <c r="AM93">
        <f t="shared" si="19"/>
        <v>5.7973939816000009</v>
      </c>
      <c r="AP93" s="9"/>
      <c r="AQ93" s="22">
        <v>1.33209</v>
      </c>
      <c r="AR93" s="22">
        <v>41.739899999999999</v>
      </c>
      <c r="AS93" s="22">
        <v>-1.6854899999999999E-2</v>
      </c>
      <c r="AT93" s="22">
        <v>83</v>
      </c>
      <c r="AU93" s="22">
        <v>1.33148</v>
      </c>
      <c r="AV93">
        <f t="shared" si="20"/>
        <v>16.854900000000001</v>
      </c>
      <c r="AW93">
        <f t="shared" si="21"/>
        <v>22.452243741</v>
      </c>
      <c r="AX93" s="9"/>
      <c r="AY93" s="22">
        <v>0.31799300000000003</v>
      </c>
      <c r="AZ93" s="22">
        <v>46.479500000000002</v>
      </c>
      <c r="BA93" s="22">
        <v>-1.8209800000000002E-2</v>
      </c>
      <c r="BB93" s="22">
        <v>83</v>
      </c>
      <c r="BC93" s="22">
        <v>0.317413</v>
      </c>
      <c r="BD93">
        <f t="shared" si="22"/>
        <v>18.209800000000001</v>
      </c>
      <c r="BE93">
        <f t="shared" si="23"/>
        <v>5.7905889314000012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11.741400000000001</v>
      </c>
      <c r="I94" s="22">
        <v>-1.68518E-2</v>
      </c>
      <c r="J94" s="22">
        <v>84</v>
      </c>
      <c r="K94" s="22">
        <v>1.32629</v>
      </c>
      <c r="L94">
        <f t="shared" si="12"/>
        <v>16.851800000000001</v>
      </c>
      <c r="M94">
        <f t="shared" si="13"/>
        <v>22.363349708000001</v>
      </c>
      <c r="N94" s="9"/>
      <c r="O94" s="22">
        <v>0.32302900000000001</v>
      </c>
      <c r="P94" s="22">
        <v>24.629100000000001</v>
      </c>
      <c r="Q94" s="22">
        <v>-1.8194599999999998E-2</v>
      </c>
      <c r="R94" s="22">
        <v>84</v>
      </c>
      <c r="S94" s="22">
        <v>0.32244899999999999</v>
      </c>
      <c r="T94">
        <f t="shared" si="14"/>
        <v>18.194599999999998</v>
      </c>
      <c r="U94">
        <f t="shared" si="15"/>
        <v>5.8773834433999994</v>
      </c>
      <c r="X94" s="9"/>
      <c r="Y94" s="22">
        <v>1.3270599999999999</v>
      </c>
      <c r="Z94" s="22">
        <v>32.012799999999999</v>
      </c>
      <c r="AA94" s="22">
        <v>-1.6915900000000001E-2</v>
      </c>
      <c r="AB94" s="22">
        <v>84</v>
      </c>
      <c r="AC94" s="22">
        <v>1.3266</v>
      </c>
      <c r="AD94">
        <f t="shared" si="16"/>
        <v>16.915900000000001</v>
      </c>
      <c r="AE94">
        <f t="shared" si="17"/>
        <v>22.448414253999999</v>
      </c>
      <c r="AF94" s="9"/>
      <c r="AG94" s="22">
        <v>0.32302900000000001</v>
      </c>
      <c r="AH94" s="22">
        <v>36.916400000000003</v>
      </c>
      <c r="AI94" s="22">
        <v>-1.8225100000000001E-2</v>
      </c>
      <c r="AJ94" s="22">
        <v>84</v>
      </c>
      <c r="AK94" s="22">
        <v>0.322357</v>
      </c>
      <c r="AL94">
        <f t="shared" si="18"/>
        <v>18.225100000000001</v>
      </c>
      <c r="AM94">
        <f t="shared" si="19"/>
        <v>5.8872358279000006</v>
      </c>
      <c r="AP94" s="9"/>
      <c r="AQ94" s="22">
        <v>1.3270599999999999</v>
      </c>
      <c r="AR94" s="22">
        <v>41.75</v>
      </c>
      <c r="AS94" s="22">
        <v>-1.68793E-2</v>
      </c>
      <c r="AT94" s="22">
        <v>84</v>
      </c>
      <c r="AU94" s="22">
        <v>1.32629</v>
      </c>
      <c r="AV94">
        <f t="shared" si="20"/>
        <v>16.879300000000001</v>
      </c>
      <c r="AW94">
        <f t="shared" si="21"/>
        <v>22.399843858000001</v>
      </c>
      <c r="AX94" s="9"/>
      <c r="AY94" s="22">
        <v>0.32302900000000001</v>
      </c>
      <c r="AZ94" s="22">
        <v>46.489600000000003</v>
      </c>
      <c r="BA94" s="22">
        <v>-1.82037E-2</v>
      </c>
      <c r="BB94" s="22">
        <v>84</v>
      </c>
      <c r="BC94" s="22">
        <v>0.322266</v>
      </c>
      <c r="BD94">
        <f t="shared" si="22"/>
        <v>18.203700000000001</v>
      </c>
      <c r="BE94">
        <f t="shared" si="23"/>
        <v>5.8803230073000003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11.7515</v>
      </c>
      <c r="I95" s="22">
        <v>-1.6882299999999999E-2</v>
      </c>
      <c r="J95" s="22">
        <v>85</v>
      </c>
      <c r="K95" s="22">
        <v>1.32141</v>
      </c>
      <c r="L95">
        <f t="shared" si="12"/>
        <v>16.882300000000001</v>
      </c>
      <c r="M95">
        <f t="shared" si="13"/>
        <v>22.318738245999999</v>
      </c>
      <c r="N95" s="9"/>
      <c r="O95" s="22">
        <v>0.32806400000000002</v>
      </c>
      <c r="P95" s="22">
        <v>24.639199999999999</v>
      </c>
      <c r="Q95" s="22">
        <v>-1.8185400000000001E-2</v>
      </c>
      <c r="R95" s="22">
        <v>85</v>
      </c>
      <c r="S95" s="22">
        <v>0.327515</v>
      </c>
      <c r="T95">
        <f t="shared" si="14"/>
        <v>18.185400000000001</v>
      </c>
      <c r="U95">
        <f t="shared" si="15"/>
        <v>5.9659750656000012</v>
      </c>
      <c r="X95" s="9"/>
      <c r="Y95" s="22">
        <v>1.32202</v>
      </c>
      <c r="Z95" s="22">
        <v>32.022799999999997</v>
      </c>
      <c r="AA95" s="22">
        <v>-1.6943400000000001E-2</v>
      </c>
      <c r="AB95" s="22">
        <v>85</v>
      </c>
      <c r="AC95" s="22">
        <v>1.32111</v>
      </c>
      <c r="AD95">
        <f t="shared" si="16"/>
        <v>16.9434</v>
      </c>
      <c r="AE95">
        <f t="shared" si="17"/>
        <v>22.399513668000001</v>
      </c>
      <c r="AF95" s="9"/>
      <c r="AG95" s="22">
        <v>0.32806400000000002</v>
      </c>
      <c r="AH95" s="22">
        <v>36.926499999999997</v>
      </c>
      <c r="AI95" s="22">
        <v>-1.8221999999999999E-2</v>
      </c>
      <c r="AJ95" s="22">
        <v>85</v>
      </c>
      <c r="AK95" s="22">
        <v>0.32742300000000002</v>
      </c>
      <c r="AL95">
        <f t="shared" si="18"/>
        <v>18.221999999999998</v>
      </c>
      <c r="AM95">
        <f t="shared" si="19"/>
        <v>5.9779822079999994</v>
      </c>
      <c r="AP95" s="9"/>
      <c r="AQ95" s="22">
        <v>1.32202</v>
      </c>
      <c r="AR95" s="22">
        <v>41.76</v>
      </c>
      <c r="AS95" s="22">
        <v>-1.6903700000000001E-2</v>
      </c>
      <c r="AT95" s="22">
        <v>85</v>
      </c>
      <c r="AU95" s="22">
        <v>1.32141</v>
      </c>
      <c r="AV95">
        <f t="shared" si="20"/>
        <v>16.903700000000001</v>
      </c>
      <c r="AW95">
        <f t="shared" si="21"/>
        <v>22.347029473999999</v>
      </c>
      <c r="AX95" s="9"/>
      <c r="AY95" s="22">
        <v>0.32806400000000002</v>
      </c>
      <c r="AZ95" s="22">
        <v>46.499699999999997</v>
      </c>
      <c r="BA95" s="22">
        <v>-1.82007E-2</v>
      </c>
      <c r="BB95" s="22">
        <v>85</v>
      </c>
      <c r="BC95" s="22">
        <v>0.32775900000000002</v>
      </c>
      <c r="BD95">
        <f t="shared" si="22"/>
        <v>18.200700000000001</v>
      </c>
      <c r="BE95">
        <f t="shared" si="23"/>
        <v>5.9709944448000005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11.7615</v>
      </c>
      <c r="I96" s="22">
        <v>-1.6903700000000001E-2</v>
      </c>
      <c r="J96" s="22">
        <v>86</v>
      </c>
      <c r="K96" s="22">
        <v>1.3162199999999999</v>
      </c>
      <c r="L96">
        <f t="shared" si="12"/>
        <v>16.903700000000001</v>
      </c>
      <c r="M96">
        <f t="shared" si="13"/>
        <v>22.262003863000004</v>
      </c>
      <c r="N96" s="9"/>
      <c r="O96" s="22">
        <v>0.33309899999999998</v>
      </c>
      <c r="P96" s="22">
        <v>24.6493</v>
      </c>
      <c r="Q96" s="22">
        <v>-1.8179299999999999E-2</v>
      </c>
      <c r="R96" s="22">
        <v>86</v>
      </c>
      <c r="S96" s="22">
        <v>0.33267200000000002</v>
      </c>
      <c r="T96">
        <f t="shared" si="14"/>
        <v>18.179299999999998</v>
      </c>
      <c r="U96">
        <f t="shared" si="15"/>
        <v>6.055506650699999</v>
      </c>
      <c r="X96" s="9"/>
      <c r="Y96" s="22">
        <v>1.3169900000000001</v>
      </c>
      <c r="Z96" s="22">
        <v>32.032899999999998</v>
      </c>
      <c r="AA96" s="22">
        <v>-1.6967800000000002E-2</v>
      </c>
      <c r="AB96" s="22">
        <v>86</v>
      </c>
      <c r="AC96" s="22">
        <v>1.31653</v>
      </c>
      <c r="AD96">
        <f t="shared" si="16"/>
        <v>16.9678</v>
      </c>
      <c r="AE96">
        <f t="shared" si="17"/>
        <v>22.346422922000002</v>
      </c>
      <c r="AF96" s="9"/>
      <c r="AG96" s="22">
        <v>0.33309899999999998</v>
      </c>
      <c r="AH96" s="22">
        <v>36.936500000000002</v>
      </c>
      <c r="AI96" s="22">
        <v>-1.8212900000000001E-2</v>
      </c>
      <c r="AJ96" s="22">
        <v>86</v>
      </c>
      <c r="AK96" s="22">
        <v>0.33215299999999998</v>
      </c>
      <c r="AL96">
        <f t="shared" si="18"/>
        <v>18.212900000000001</v>
      </c>
      <c r="AM96">
        <f t="shared" si="19"/>
        <v>6.0666987771000001</v>
      </c>
      <c r="AP96" s="9"/>
      <c r="AQ96" s="22">
        <v>1.3169900000000001</v>
      </c>
      <c r="AR96" s="22">
        <v>41.770099999999999</v>
      </c>
      <c r="AS96" s="22">
        <v>-1.69312E-2</v>
      </c>
      <c r="AT96" s="22">
        <v>86</v>
      </c>
      <c r="AU96" s="22">
        <v>1.3162199999999999</v>
      </c>
      <c r="AV96">
        <f t="shared" si="20"/>
        <v>16.9312</v>
      </c>
      <c r="AW96">
        <f t="shared" si="21"/>
        <v>22.298221088000002</v>
      </c>
      <c r="AX96" s="9"/>
      <c r="AY96" s="22">
        <v>0.33309899999999998</v>
      </c>
      <c r="AZ96" s="22">
        <v>46.509700000000002</v>
      </c>
      <c r="BA96" s="22">
        <v>-1.8197600000000001E-2</v>
      </c>
      <c r="BB96" s="22">
        <v>86</v>
      </c>
      <c r="BC96" s="22">
        <v>0.33230599999999999</v>
      </c>
      <c r="BD96">
        <f t="shared" si="22"/>
        <v>18.197600000000001</v>
      </c>
      <c r="BE96">
        <f t="shared" si="23"/>
        <v>6.0616023624000004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11.771599999999999</v>
      </c>
      <c r="I97" s="22">
        <v>-1.6924999999999999E-2</v>
      </c>
      <c r="J97" s="22">
        <v>87</v>
      </c>
      <c r="K97" s="22">
        <v>1.31104</v>
      </c>
      <c r="L97">
        <f t="shared" si="12"/>
        <v>16.925000000000001</v>
      </c>
      <c r="M97">
        <f t="shared" si="13"/>
        <v>22.204753750000002</v>
      </c>
      <c r="N97" s="9"/>
      <c r="O97" s="22">
        <v>0.33813500000000002</v>
      </c>
      <c r="P97" s="22">
        <v>24.659400000000002</v>
      </c>
      <c r="Q97" s="22">
        <v>-1.8179299999999999E-2</v>
      </c>
      <c r="R97" s="22">
        <v>87</v>
      </c>
      <c r="S97" s="22">
        <v>0.33752399999999999</v>
      </c>
      <c r="T97">
        <f t="shared" si="14"/>
        <v>18.179299999999998</v>
      </c>
      <c r="U97">
        <f t="shared" si="15"/>
        <v>6.1470576054999997</v>
      </c>
      <c r="X97" s="9"/>
      <c r="Y97" s="22">
        <v>1.3119499999999999</v>
      </c>
      <c r="Z97" s="22">
        <v>32.042999999999999</v>
      </c>
      <c r="AA97" s="22">
        <v>-1.69891E-2</v>
      </c>
      <c r="AB97" s="22">
        <v>87</v>
      </c>
      <c r="AC97" s="22">
        <v>1.31104</v>
      </c>
      <c r="AD97">
        <f t="shared" si="16"/>
        <v>16.989100000000001</v>
      </c>
      <c r="AE97">
        <f t="shared" si="17"/>
        <v>22.288849745</v>
      </c>
      <c r="AF97" s="9"/>
      <c r="AG97" s="22">
        <v>0.33813500000000002</v>
      </c>
      <c r="AH97" s="22">
        <v>36.946599999999997</v>
      </c>
      <c r="AI97" s="22">
        <v>-1.8206799999999999E-2</v>
      </c>
      <c r="AJ97" s="22">
        <v>87</v>
      </c>
      <c r="AK97" s="22">
        <v>0.33761600000000003</v>
      </c>
      <c r="AL97">
        <f t="shared" si="18"/>
        <v>18.206799999999998</v>
      </c>
      <c r="AM97">
        <f t="shared" si="19"/>
        <v>6.1563563179999994</v>
      </c>
      <c r="AP97" s="9"/>
      <c r="AQ97" s="22">
        <v>1.3119499999999999</v>
      </c>
      <c r="AR97" s="22">
        <v>41.780200000000001</v>
      </c>
      <c r="AS97" s="22">
        <v>-1.6958600000000001E-2</v>
      </c>
      <c r="AT97" s="22">
        <v>87</v>
      </c>
      <c r="AU97" s="22">
        <v>1.31134</v>
      </c>
      <c r="AV97">
        <f t="shared" si="20"/>
        <v>16.958600000000001</v>
      </c>
      <c r="AW97">
        <f t="shared" si="21"/>
        <v>22.248835270000001</v>
      </c>
      <c r="AX97" s="9"/>
      <c r="AY97" s="22">
        <v>0.33813500000000002</v>
      </c>
      <c r="AZ97" s="22">
        <v>46.519799999999996</v>
      </c>
      <c r="BA97" s="22">
        <v>-1.8194599999999998E-2</v>
      </c>
      <c r="BB97" s="22">
        <v>87</v>
      </c>
      <c r="BC97" s="22">
        <v>0.33752399999999999</v>
      </c>
      <c r="BD97">
        <f t="shared" si="22"/>
        <v>18.194599999999998</v>
      </c>
      <c r="BE97">
        <f t="shared" si="23"/>
        <v>6.1522310709999992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11.781700000000001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24.6694</v>
      </c>
      <c r="Q98" s="22">
        <v>-1.81732E-2</v>
      </c>
      <c r="R98" s="22">
        <v>88</v>
      </c>
      <c r="S98" s="22">
        <v>0.34286499999999998</v>
      </c>
      <c r="T98">
        <f t="shared" si="14"/>
        <v>18.173200000000001</v>
      </c>
      <c r="U98">
        <f t="shared" si="15"/>
        <v>6.236497044</v>
      </c>
      <c r="X98" s="9"/>
      <c r="Y98" s="22">
        <v>1.3069200000000001</v>
      </c>
      <c r="Z98" s="22">
        <v>32.053100000000001</v>
      </c>
      <c r="AA98" s="22">
        <v>-1.7007399999999999E-2</v>
      </c>
      <c r="AB98" s="22">
        <v>88</v>
      </c>
      <c r="AC98" s="22">
        <v>1.3061499999999999</v>
      </c>
      <c r="AD98">
        <f t="shared" si="16"/>
        <v>17.007400000000001</v>
      </c>
      <c r="AE98">
        <f t="shared" si="17"/>
        <v>22.227311208000003</v>
      </c>
      <c r="AF98" s="9"/>
      <c r="AG98" s="22">
        <v>0.34316999999999998</v>
      </c>
      <c r="AH98" s="22">
        <v>36.956699999999998</v>
      </c>
      <c r="AI98" s="22">
        <v>-1.82037E-2</v>
      </c>
      <c r="AJ98" s="22">
        <v>88</v>
      </c>
      <c r="AK98" s="22">
        <v>0.34255999999999998</v>
      </c>
      <c r="AL98">
        <f t="shared" si="18"/>
        <v>18.203700000000001</v>
      </c>
      <c r="AM98">
        <f t="shared" si="19"/>
        <v>6.246963729</v>
      </c>
      <c r="AP98" s="9"/>
      <c r="AQ98" s="22">
        <v>1.3069200000000001</v>
      </c>
      <c r="AR98" s="22">
        <v>41.790300000000002</v>
      </c>
      <c r="AS98" s="22">
        <v>-1.6983000000000002E-2</v>
      </c>
      <c r="AT98" s="22">
        <v>88</v>
      </c>
      <c r="AU98" s="22">
        <v>1.3061499999999999</v>
      </c>
      <c r="AV98">
        <f t="shared" si="20"/>
        <v>16.983000000000001</v>
      </c>
      <c r="AW98">
        <f t="shared" si="21"/>
        <v>22.195422360000002</v>
      </c>
      <c r="AX98" s="9"/>
      <c r="AY98" s="22">
        <v>0.34316999999999998</v>
      </c>
      <c r="AZ98" s="22">
        <v>46.529899999999998</v>
      </c>
      <c r="BA98" s="22">
        <v>-1.8191499999999999E-2</v>
      </c>
      <c r="BB98" s="22">
        <v>88</v>
      </c>
      <c r="BC98" s="22">
        <v>0.34262100000000001</v>
      </c>
      <c r="BD98">
        <f t="shared" si="22"/>
        <v>18.191499999999998</v>
      </c>
      <c r="BE98">
        <f t="shared" si="23"/>
        <v>6.2427770549999986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11.791700000000001</v>
      </c>
      <c r="I99" s="22">
        <v>-1.6970800000000001E-2</v>
      </c>
      <c r="J99" s="22">
        <v>89</v>
      </c>
      <c r="K99" s="22">
        <v>1.3012699999999999</v>
      </c>
      <c r="L99">
        <f t="shared" si="12"/>
        <v>16.970800000000001</v>
      </c>
      <c r="M99">
        <f t="shared" si="13"/>
        <v>22.093945103999999</v>
      </c>
      <c r="N99" s="9"/>
      <c r="O99" s="22">
        <v>0.34820600000000002</v>
      </c>
      <c r="P99" s="22">
        <v>24.679500000000001</v>
      </c>
      <c r="Q99" s="22">
        <v>-1.8170200000000001E-2</v>
      </c>
      <c r="R99" s="22">
        <v>89</v>
      </c>
      <c r="S99" s="22">
        <v>0.34762599999999999</v>
      </c>
      <c r="T99">
        <f t="shared" si="14"/>
        <v>18.170200000000001</v>
      </c>
      <c r="U99">
        <f t="shared" si="15"/>
        <v>6.326972661200001</v>
      </c>
      <c r="X99" s="9"/>
      <c r="Y99" s="22">
        <v>1.3018799999999999</v>
      </c>
      <c r="Z99" s="22">
        <v>32.063099999999999</v>
      </c>
      <c r="AA99" s="22">
        <v>-1.7031899999999999E-2</v>
      </c>
      <c r="AB99" s="22">
        <v>89</v>
      </c>
      <c r="AC99" s="22">
        <v>1.3012699999999999</v>
      </c>
      <c r="AD99">
        <f t="shared" si="16"/>
        <v>17.0319</v>
      </c>
      <c r="AE99">
        <f t="shared" si="17"/>
        <v>22.173489971999999</v>
      </c>
      <c r="AF99" s="9"/>
      <c r="AG99" s="22">
        <v>0.34820600000000002</v>
      </c>
      <c r="AH99" s="22">
        <v>36.966700000000003</v>
      </c>
      <c r="AI99" s="22">
        <v>-1.8197600000000001E-2</v>
      </c>
      <c r="AJ99" s="22">
        <v>89</v>
      </c>
      <c r="AK99" s="22">
        <v>0.34756500000000001</v>
      </c>
      <c r="AL99">
        <f t="shared" si="18"/>
        <v>18.197600000000001</v>
      </c>
      <c r="AM99">
        <f t="shared" si="19"/>
        <v>6.336513505600001</v>
      </c>
      <c r="AP99" s="9"/>
      <c r="AQ99" s="22">
        <v>1.3018799999999999</v>
      </c>
      <c r="AR99" s="22">
        <v>41.8003</v>
      </c>
      <c r="AS99" s="22">
        <v>-1.70013E-2</v>
      </c>
      <c r="AT99" s="22">
        <v>89</v>
      </c>
      <c r="AU99" s="22">
        <v>1.3012699999999999</v>
      </c>
      <c r="AV99">
        <f t="shared" si="20"/>
        <v>17.001300000000001</v>
      </c>
      <c r="AW99">
        <f t="shared" si="21"/>
        <v>22.133652443999999</v>
      </c>
      <c r="AX99" s="9"/>
      <c r="AY99" s="22">
        <v>0.34820600000000002</v>
      </c>
      <c r="AZ99" s="22">
        <v>46.539900000000003</v>
      </c>
      <c r="BA99" s="22">
        <v>-1.8185400000000001E-2</v>
      </c>
      <c r="BB99" s="22">
        <v>89</v>
      </c>
      <c r="BC99" s="22">
        <v>0.34756500000000001</v>
      </c>
      <c r="BD99">
        <f t="shared" si="22"/>
        <v>18.185400000000001</v>
      </c>
      <c r="BE99">
        <f t="shared" si="23"/>
        <v>6.332265392400001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11.8018</v>
      </c>
      <c r="I100" s="22">
        <v>-1.6995199999999999E-2</v>
      </c>
      <c r="J100" s="22">
        <v>90</v>
      </c>
      <c r="K100" s="22">
        <v>1.2957799999999999</v>
      </c>
      <c r="L100">
        <f t="shared" si="12"/>
        <v>16.995199999999997</v>
      </c>
      <c r="M100">
        <f t="shared" si="13"/>
        <v>22.040055167999995</v>
      </c>
      <c r="N100" s="9"/>
      <c r="O100" s="22">
        <v>0.35324100000000003</v>
      </c>
      <c r="P100" s="22">
        <v>24.689599999999999</v>
      </c>
      <c r="Q100" s="22">
        <v>-1.8164099999999999E-2</v>
      </c>
      <c r="R100" s="22">
        <v>90</v>
      </c>
      <c r="S100" s="22">
        <v>0.35281400000000002</v>
      </c>
      <c r="T100">
        <f t="shared" si="14"/>
        <v>18.164099999999998</v>
      </c>
      <c r="U100">
        <f t="shared" si="15"/>
        <v>6.4163048480999993</v>
      </c>
      <c r="X100" s="9"/>
      <c r="Y100" s="22">
        <v>1.29684</v>
      </c>
      <c r="Z100" s="22">
        <v>32.0732</v>
      </c>
      <c r="AA100" s="22">
        <v>-1.7053200000000001E-2</v>
      </c>
      <c r="AB100" s="22">
        <v>90</v>
      </c>
      <c r="AC100" s="22">
        <v>1.2963899999999999</v>
      </c>
      <c r="AD100">
        <f t="shared" si="16"/>
        <v>17.0532</v>
      </c>
      <c r="AE100">
        <f t="shared" si="17"/>
        <v>22.115271887999999</v>
      </c>
      <c r="AF100" s="9"/>
      <c r="AG100" s="22">
        <v>0.35324100000000003</v>
      </c>
      <c r="AH100" s="22">
        <v>36.976799999999997</v>
      </c>
      <c r="AI100" s="22">
        <v>-1.8191499999999999E-2</v>
      </c>
      <c r="AJ100" s="22">
        <v>90</v>
      </c>
      <c r="AK100" s="22">
        <v>0.35281400000000002</v>
      </c>
      <c r="AL100">
        <f t="shared" si="18"/>
        <v>18.191499999999998</v>
      </c>
      <c r="AM100">
        <f t="shared" si="19"/>
        <v>6.4259836514999993</v>
      </c>
      <c r="AP100" s="9"/>
      <c r="AQ100" s="22">
        <v>1.29684</v>
      </c>
      <c r="AR100" s="22">
        <v>41.810400000000001</v>
      </c>
      <c r="AS100" s="22">
        <v>-1.7022700000000002E-2</v>
      </c>
      <c r="AT100" s="22">
        <v>90</v>
      </c>
      <c r="AU100" s="22">
        <v>1.2960799999999999</v>
      </c>
      <c r="AV100">
        <f t="shared" si="20"/>
        <v>17.0227</v>
      </c>
      <c r="AW100">
        <f t="shared" si="21"/>
        <v>22.075718267999999</v>
      </c>
      <c r="AX100" s="9"/>
      <c r="AY100" s="22">
        <v>0.35324100000000003</v>
      </c>
      <c r="AZ100" s="22">
        <v>46.55</v>
      </c>
      <c r="BA100" s="22">
        <v>-1.8179299999999999E-2</v>
      </c>
      <c r="BB100" s="22">
        <v>90</v>
      </c>
      <c r="BC100" s="22">
        <v>0.35272199999999998</v>
      </c>
      <c r="BD100">
        <f t="shared" si="22"/>
        <v>18.179299999999998</v>
      </c>
      <c r="BE100">
        <f t="shared" si="23"/>
        <v>6.4216741112999998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11.8119</v>
      </c>
      <c r="I101" s="22">
        <v>-1.7013500000000001E-2</v>
      </c>
      <c r="J101" s="22">
        <v>91</v>
      </c>
      <c r="K101" s="22">
        <v>1.2905899999999999</v>
      </c>
      <c r="L101">
        <f t="shared" si="12"/>
        <v>17.013500000000001</v>
      </c>
      <c r="M101">
        <f t="shared" si="13"/>
        <v>21.978209435</v>
      </c>
      <c r="N101" s="9"/>
      <c r="O101" s="22">
        <v>0.35827599999999998</v>
      </c>
      <c r="P101" s="22">
        <v>24.6996</v>
      </c>
      <c r="Q101" s="22">
        <v>-1.8161E-2</v>
      </c>
      <c r="R101" s="22">
        <v>91</v>
      </c>
      <c r="S101" s="22">
        <v>0.35797099999999998</v>
      </c>
      <c r="T101">
        <f t="shared" si="14"/>
        <v>18.161000000000001</v>
      </c>
      <c r="U101">
        <f t="shared" si="15"/>
        <v>6.5066504360000001</v>
      </c>
      <c r="X101" s="9"/>
      <c r="Y101" s="22">
        <v>1.2918099999999999</v>
      </c>
      <c r="Z101" s="22">
        <v>32.083300000000001</v>
      </c>
      <c r="AA101" s="22">
        <v>-1.70715E-2</v>
      </c>
      <c r="AB101" s="22">
        <v>91</v>
      </c>
      <c r="AC101" s="22">
        <v>1.2908900000000001</v>
      </c>
      <c r="AD101">
        <f t="shared" si="16"/>
        <v>17.0715</v>
      </c>
      <c r="AE101">
        <f t="shared" si="17"/>
        <v>22.053134414999999</v>
      </c>
      <c r="AF101" s="9"/>
      <c r="AG101" s="22">
        <v>0.35827599999999998</v>
      </c>
      <c r="AH101" s="22">
        <v>36.986899999999999</v>
      </c>
      <c r="AI101" s="22">
        <v>-1.8191499999999999E-2</v>
      </c>
      <c r="AJ101" s="22">
        <v>91</v>
      </c>
      <c r="AK101" s="22">
        <v>0.35739100000000001</v>
      </c>
      <c r="AL101">
        <f t="shared" si="18"/>
        <v>18.191499999999998</v>
      </c>
      <c r="AM101">
        <f t="shared" si="19"/>
        <v>6.5175778539999989</v>
      </c>
      <c r="AP101" s="9"/>
      <c r="AQ101" s="22">
        <v>1.2918099999999999</v>
      </c>
      <c r="AR101" s="22">
        <v>41.820500000000003</v>
      </c>
      <c r="AS101" s="22">
        <v>-1.7041000000000001E-2</v>
      </c>
      <c r="AT101" s="22">
        <v>91</v>
      </c>
      <c r="AU101" s="22">
        <v>1.2911999999999999</v>
      </c>
      <c r="AV101">
        <f t="shared" si="20"/>
        <v>17.041</v>
      </c>
      <c r="AW101">
        <f t="shared" si="21"/>
        <v>22.013734209999999</v>
      </c>
      <c r="AX101" s="9"/>
      <c r="AY101" s="22">
        <v>0.35827599999999998</v>
      </c>
      <c r="AZ101" s="22">
        <v>46.560099999999998</v>
      </c>
      <c r="BA101" s="22">
        <v>-1.81732E-2</v>
      </c>
      <c r="BB101" s="22">
        <v>91</v>
      </c>
      <c r="BC101" s="22">
        <v>0.35769699999999999</v>
      </c>
      <c r="BD101">
        <f t="shared" si="22"/>
        <v>18.173200000000001</v>
      </c>
      <c r="BE101">
        <f t="shared" si="23"/>
        <v>6.5110214032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11.821999999999999</v>
      </c>
      <c r="I102" s="22">
        <v>-1.70288E-2</v>
      </c>
      <c r="J102" s="22">
        <v>92</v>
      </c>
      <c r="K102" s="22">
        <v>1.2860100000000001</v>
      </c>
      <c r="L102">
        <f t="shared" si="12"/>
        <v>17.0288</v>
      </c>
      <c r="M102">
        <f t="shared" si="13"/>
        <v>21.912148976000001</v>
      </c>
      <c r="N102" s="9"/>
      <c r="O102" s="22">
        <v>0.36331200000000002</v>
      </c>
      <c r="P102" s="22">
        <v>24.709700000000002</v>
      </c>
      <c r="Q102" s="22">
        <v>-1.8158000000000001E-2</v>
      </c>
      <c r="R102" s="22">
        <v>92</v>
      </c>
      <c r="S102" s="22">
        <v>0.36276199999999997</v>
      </c>
      <c r="T102">
        <f t="shared" si="14"/>
        <v>18.158000000000001</v>
      </c>
      <c r="U102">
        <f t="shared" si="15"/>
        <v>6.5970192960000009</v>
      </c>
      <c r="X102" s="9"/>
      <c r="Y102" s="22">
        <v>1.28677</v>
      </c>
      <c r="Z102" s="22">
        <v>32.093299999999999</v>
      </c>
      <c r="AA102" s="22">
        <v>-1.7089799999999999E-2</v>
      </c>
      <c r="AB102" s="22">
        <v>92</v>
      </c>
      <c r="AC102" s="22">
        <v>1.2860100000000001</v>
      </c>
      <c r="AD102">
        <f t="shared" si="16"/>
        <v>17.0898</v>
      </c>
      <c r="AE102">
        <f t="shared" si="17"/>
        <v>21.990641946</v>
      </c>
      <c r="AF102" s="9"/>
      <c r="AG102" s="22">
        <v>0.36331200000000002</v>
      </c>
      <c r="AH102" s="22">
        <v>36.997</v>
      </c>
      <c r="AI102" s="22">
        <v>-1.81885E-2</v>
      </c>
      <c r="AJ102" s="22">
        <v>92</v>
      </c>
      <c r="AK102" s="22">
        <v>0.36312899999999998</v>
      </c>
      <c r="AL102">
        <f t="shared" si="18"/>
        <v>18.188500000000001</v>
      </c>
      <c r="AM102">
        <f t="shared" si="19"/>
        <v>6.6081003120000013</v>
      </c>
      <c r="AP102" s="9"/>
      <c r="AQ102" s="22">
        <v>1.28677</v>
      </c>
      <c r="AR102" s="22">
        <v>41.830500000000001</v>
      </c>
      <c r="AS102" s="22">
        <v>-1.7059299999999999E-2</v>
      </c>
      <c r="AT102" s="22">
        <v>92</v>
      </c>
      <c r="AU102" s="22">
        <v>1.2863199999999999</v>
      </c>
      <c r="AV102">
        <f t="shared" si="20"/>
        <v>17.0593</v>
      </c>
      <c r="AW102">
        <f t="shared" si="21"/>
        <v>21.951395461000001</v>
      </c>
      <c r="AX102" s="9"/>
      <c r="AY102" s="22">
        <v>0.36331200000000002</v>
      </c>
      <c r="AZ102" s="22">
        <v>46.5702</v>
      </c>
      <c r="BA102" s="22">
        <v>-1.8170200000000001E-2</v>
      </c>
      <c r="BB102" s="22">
        <v>92</v>
      </c>
      <c r="BC102" s="22">
        <v>0.36260999999999999</v>
      </c>
      <c r="BD102">
        <f t="shared" si="22"/>
        <v>18.170200000000001</v>
      </c>
      <c r="BE102">
        <f t="shared" si="23"/>
        <v>6.6014517024000012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11.832000000000001</v>
      </c>
      <c r="I103" s="22">
        <v>-1.7041000000000001E-2</v>
      </c>
      <c r="J103" s="22">
        <v>93</v>
      </c>
      <c r="K103" s="22">
        <v>1.2805200000000001</v>
      </c>
      <c r="L103">
        <f t="shared" si="12"/>
        <v>17.041</v>
      </c>
      <c r="M103">
        <f t="shared" si="13"/>
        <v>21.842131340000002</v>
      </c>
      <c r="N103" s="9"/>
      <c r="O103" s="22">
        <v>0.36834699999999998</v>
      </c>
      <c r="P103" s="22">
        <v>24.719799999999999</v>
      </c>
      <c r="Q103" s="22">
        <v>-1.8154900000000002E-2</v>
      </c>
      <c r="R103" s="22">
        <v>93</v>
      </c>
      <c r="S103" s="22">
        <v>0.36758400000000002</v>
      </c>
      <c r="T103">
        <f t="shared" si="14"/>
        <v>18.154900000000001</v>
      </c>
      <c r="U103">
        <f t="shared" si="15"/>
        <v>6.6873029503000003</v>
      </c>
      <c r="X103" s="9"/>
      <c r="Y103" s="22">
        <v>1.2817400000000001</v>
      </c>
      <c r="Z103" s="22">
        <v>32.103400000000001</v>
      </c>
      <c r="AA103" s="22">
        <v>-1.7105100000000002E-2</v>
      </c>
      <c r="AB103" s="22">
        <v>93</v>
      </c>
      <c r="AC103" s="22">
        <v>1.2814300000000001</v>
      </c>
      <c r="AD103">
        <f t="shared" si="16"/>
        <v>17.1051</v>
      </c>
      <c r="AE103">
        <f t="shared" si="17"/>
        <v>21.924290874</v>
      </c>
      <c r="AF103" s="9"/>
      <c r="AG103" s="22">
        <v>0.36834699999999998</v>
      </c>
      <c r="AH103" s="22">
        <v>37.006999999999998</v>
      </c>
      <c r="AI103" s="22">
        <v>-1.8185400000000001E-2</v>
      </c>
      <c r="AJ103" s="22">
        <v>93</v>
      </c>
      <c r="AK103" s="22">
        <v>0.36782799999999999</v>
      </c>
      <c r="AL103">
        <f t="shared" si="18"/>
        <v>18.185400000000001</v>
      </c>
      <c r="AM103">
        <f t="shared" si="19"/>
        <v>6.6985375337999997</v>
      </c>
      <c r="AP103" s="9"/>
      <c r="AQ103" s="22">
        <v>1.2817400000000001</v>
      </c>
      <c r="AR103" s="22">
        <v>41.840600000000002</v>
      </c>
      <c r="AS103" s="22">
        <v>-1.7077599999999998E-2</v>
      </c>
      <c r="AT103" s="22">
        <v>93</v>
      </c>
      <c r="AU103" s="22">
        <v>1.2808200000000001</v>
      </c>
      <c r="AV103">
        <f t="shared" si="20"/>
        <v>17.077599999999997</v>
      </c>
      <c r="AW103">
        <f t="shared" si="21"/>
        <v>21.889043023999999</v>
      </c>
      <c r="AX103" s="9"/>
      <c r="AY103" s="22">
        <v>0.36834699999999998</v>
      </c>
      <c r="AZ103" s="22">
        <v>46.580199999999998</v>
      </c>
      <c r="BA103" s="22">
        <v>-1.8167099999999999E-2</v>
      </c>
      <c r="BB103" s="22">
        <v>93</v>
      </c>
      <c r="BC103" s="22">
        <v>0.36755399999999999</v>
      </c>
      <c r="BD103">
        <f t="shared" si="22"/>
        <v>18.167099999999998</v>
      </c>
      <c r="BE103">
        <f t="shared" si="23"/>
        <v>6.6917967836999992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11.8421</v>
      </c>
      <c r="I104" s="22">
        <v>-1.7053200000000001E-2</v>
      </c>
      <c r="J104" s="22">
        <v>94</v>
      </c>
      <c r="K104" s="22">
        <v>1.27563</v>
      </c>
      <c r="L104">
        <f t="shared" si="12"/>
        <v>17.0532</v>
      </c>
      <c r="M104">
        <f t="shared" si="13"/>
        <v>21.771820439999999</v>
      </c>
      <c r="N104" s="9"/>
      <c r="O104" s="22">
        <v>0.37338300000000002</v>
      </c>
      <c r="P104" s="22">
        <v>24.729900000000001</v>
      </c>
      <c r="Q104" s="22">
        <v>-1.8151899999999999E-2</v>
      </c>
      <c r="R104" s="22">
        <v>94</v>
      </c>
      <c r="S104" s="22">
        <v>0.37274200000000002</v>
      </c>
      <c r="T104">
        <f t="shared" si="14"/>
        <v>18.151899999999998</v>
      </c>
      <c r="U104">
        <f t="shared" si="15"/>
        <v>6.7776108776999999</v>
      </c>
      <c r="X104" s="9"/>
      <c r="Y104" s="22">
        <v>1.2766999999999999</v>
      </c>
      <c r="Z104" s="22">
        <v>32.113500000000002</v>
      </c>
      <c r="AA104" s="22">
        <v>-1.7117299999999998E-2</v>
      </c>
      <c r="AB104" s="22">
        <v>94</v>
      </c>
      <c r="AC104" s="22">
        <v>1.27563</v>
      </c>
      <c r="AD104">
        <f t="shared" si="16"/>
        <v>17.1173</v>
      </c>
      <c r="AE104">
        <f t="shared" si="17"/>
        <v>21.853656909999998</v>
      </c>
      <c r="AF104" s="9"/>
      <c r="AG104" s="22">
        <v>0.37338300000000002</v>
      </c>
      <c r="AH104" s="22">
        <v>37.017099999999999</v>
      </c>
      <c r="AI104" s="22">
        <v>-1.8179299999999999E-2</v>
      </c>
      <c r="AJ104" s="22">
        <v>94</v>
      </c>
      <c r="AK104" s="22">
        <v>0.37274200000000002</v>
      </c>
      <c r="AL104">
        <f t="shared" si="18"/>
        <v>18.179299999999998</v>
      </c>
      <c r="AM104">
        <f t="shared" si="19"/>
        <v>6.7878415718999996</v>
      </c>
      <c r="AP104" s="9"/>
      <c r="AQ104" s="22">
        <v>1.2766999999999999</v>
      </c>
      <c r="AR104" s="22">
        <v>41.850700000000003</v>
      </c>
      <c r="AS104" s="22">
        <v>-1.7092900000000001E-2</v>
      </c>
      <c r="AT104" s="22">
        <v>94</v>
      </c>
      <c r="AU104" s="22">
        <v>1.2759400000000001</v>
      </c>
      <c r="AV104">
        <f t="shared" si="20"/>
        <v>17.0929</v>
      </c>
      <c r="AW104">
        <f t="shared" si="21"/>
        <v>21.82250543</v>
      </c>
      <c r="AX104" s="9"/>
      <c r="AY104" s="22">
        <v>0.37338300000000002</v>
      </c>
      <c r="AZ104" s="22">
        <v>46.590299999999999</v>
      </c>
      <c r="BA104" s="22">
        <v>-1.8164099999999999E-2</v>
      </c>
      <c r="BB104" s="22">
        <v>94</v>
      </c>
      <c r="BC104" s="22">
        <v>0.37298599999999998</v>
      </c>
      <c r="BD104">
        <f t="shared" si="22"/>
        <v>18.164099999999998</v>
      </c>
      <c r="BE104">
        <f t="shared" si="23"/>
        <v>6.7821661502999993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11.8522</v>
      </c>
      <c r="I105" s="22">
        <v>-1.7065400000000001E-2</v>
      </c>
      <c r="J105" s="22">
        <v>95</v>
      </c>
      <c r="K105" s="22">
        <v>1.27075</v>
      </c>
      <c r="L105">
        <f t="shared" si="12"/>
        <v>17.0654</v>
      </c>
      <c r="M105">
        <f t="shared" si="13"/>
        <v>21.701557218000001</v>
      </c>
      <c r="N105" s="9"/>
      <c r="O105" s="22">
        <v>0.37841799999999998</v>
      </c>
      <c r="P105" s="22">
        <v>24.739899999999999</v>
      </c>
      <c r="Q105" s="22">
        <v>-1.8151899999999999E-2</v>
      </c>
      <c r="R105" s="22">
        <v>95</v>
      </c>
      <c r="S105" s="22">
        <v>0.37799100000000002</v>
      </c>
      <c r="T105">
        <f t="shared" si="14"/>
        <v>18.151899999999998</v>
      </c>
      <c r="U105">
        <f t="shared" si="15"/>
        <v>6.8690056941999984</v>
      </c>
      <c r="X105" s="9"/>
      <c r="Y105" s="22">
        <v>1.2716700000000001</v>
      </c>
      <c r="Z105" s="22">
        <v>32.123600000000003</v>
      </c>
      <c r="AA105" s="22">
        <v>-1.7129499999999999E-2</v>
      </c>
      <c r="AB105" s="22">
        <v>95</v>
      </c>
      <c r="AC105" s="22">
        <v>1.2704500000000001</v>
      </c>
      <c r="AD105">
        <f t="shared" si="16"/>
        <v>17.1295</v>
      </c>
      <c r="AE105">
        <f t="shared" si="17"/>
        <v>21.783071265</v>
      </c>
      <c r="AF105" s="9"/>
      <c r="AG105" s="22">
        <v>0.37841799999999998</v>
      </c>
      <c r="AH105" s="22">
        <v>37.027200000000001</v>
      </c>
      <c r="AI105" s="22">
        <v>-1.8176299999999999E-2</v>
      </c>
      <c r="AJ105" s="22">
        <v>95</v>
      </c>
      <c r="AK105" s="22">
        <v>0.37762499999999999</v>
      </c>
      <c r="AL105">
        <f t="shared" si="18"/>
        <v>18.176299999999998</v>
      </c>
      <c r="AM105">
        <f t="shared" si="19"/>
        <v>6.8782390933999986</v>
      </c>
      <c r="AP105" s="9"/>
      <c r="AQ105" s="22">
        <v>1.2716700000000001</v>
      </c>
      <c r="AR105" s="22">
        <v>41.860799999999998</v>
      </c>
      <c r="AS105" s="22">
        <v>-1.71082E-2</v>
      </c>
      <c r="AT105" s="22">
        <v>95</v>
      </c>
      <c r="AU105" s="22">
        <v>1.2704500000000001</v>
      </c>
      <c r="AV105">
        <f t="shared" si="20"/>
        <v>17.1082</v>
      </c>
      <c r="AW105">
        <f t="shared" si="21"/>
        <v>21.755984694000002</v>
      </c>
      <c r="AX105" s="9"/>
      <c r="AY105" s="22">
        <v>0.37841799999999998</v>
      </c>
      <c r="AZ105" s="22">
        <v>46.6004</v>
      </c>
      <c r="BA105" s="22">
        <v>-1.8158000000000001E-2</v>
      </c>
      <c r="BB105" s="22">
        <v>95</v>
      </c>
      <c r="BC105" s="22">
        <v>0.37780799999999998</v>
      </c>
      <c r="BD105">
        <f t="shared" si="22"/>
        <v>18.158000000000001</v>
      </c>
      <c r="BE105">
        <f t="shared" si="23"/>
        <v>6.871314044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11.8622</v>
      </c>
      <c r="I106" s="22">
        <v>-1.7077599999999998E-2</v>
      </c>
      <c r="J106" s="22">
        <v>96</v>
      </c>
      <c r="K106" s="22">
        <v>1.26556</v>
      </c>
      <c r="L106">
        <f t="shared" si="12"/>
        <v>17.077599999999997</v>
      </c>
      <c r="M106">
        <f t="shared" si="13"/>
        <v>21.631000487999994</v>
      </c>
      <c r="N106" s="9"/>
      <c r="O106" s="22">
        <v>0.38345299999999999</v>
      </c>
      <c r="P106" s="22">
        <v>24.75</v>
      </c>
      <c r="Q106" s="22">
        <v>-1.81488E-2</v>
      </c>
      <c r="R106" s="22">
        <v>96</v>
      </c>
      <c r="S106" s="22">
        <v>0.38302599999999998</v>
      </c>
      <c r="T106">
        <f t="shared" si="14"/>
        <v>18.148800000000001</v>
      </c>
      <c r="U106">
        <f t="shared" si="15"/>
        <v>6.9592118063999999</v>
      </c>
      <c r="X106" s="9"/>
      <c r="Y106" s="22">
        <v>1.2666299999999999</v>
      </c>
      <c r="Z106" s="22">
        <v>32.133600000000001</v>
      </c>
      <c r="AA106" s="22">
        <v>-1.7144800000000002E-2</v>
      </c>
      <c r="AB106" s="22">
        <v>96</v>
      </c>
      <c r="AC106" s="22">
        <v>1.26617</v>
      </c>
      <c r="AD106">
        <f t="shared" si="16"/>
        <v>17.1448</v>
      </c>
      <c r="AE106">
        <f t="shared" si="17"/>
        <v>21.716118024</v>
      </c>
      <c r="AF106" s="9"/>
      <c r="AG106" s="22">
        <v>0.38345299999999999</v>
      </c>
      <c r="AH106" s="22">
        <v>37.037199999999999</v>
      </c>
      <c r="AI106" s="22">
        <v>-1.81732E-2</v>
      </c>
      <c r="AJ106" s="22">
        <v>96</v>
      </c>
      <c r="AK106" s="22">
        <v>0.38293500000000003</v>
      </c>
      <c r="AL106">
        <f t="shared" si="18"/>
        <v>18.173200000000001</v>
      </c>
      <c r="AM106">
        <f t="shared" si="19"/>
        <v>6.9685680595999999</v>
      </c>
      <c r="AP106" s="9"/>
      <c r="AQ106" s="22">
        <v>1.2666299999999999</v>
      </c>
      <c r="AR106" s="22">
        <v>41.870800000000003</v>
      </c>
      <c r="AS106" s="22">
        <v>-1.7120400000000001E-2</v>
      </c>
      <c r="AT106" s="22">
        <v>96</v>
      </c>
      <c r="AU106" s="22">
        <v>1.2658700000000001</v>
      </c>
      <c r="AV106">
        <f t="shared" si="20"/>
        <v>17.1204</v>
      </c>
      <c r="AW106">
        <f t="shared" si="21"/>
        <v>21.685212251999999</v>
      </c>
      <c r="AX106" s="9"/>
      <c r="AY106" s="22">
        <v>0.38345299999999999</v>
      </c>
      <c r="AZ106" s="22">
        <v>46.610399999999998</v>
      </c>
      <c r="BA106" s="22">
        <v>-1.8154900000000002E-2</v>
      </c>
      <c r="BB106" s="22">
        <v>96</v>
      </c>
      <c r="BC106" s="22">
        <v>0.38278200000000001</v>
      </c>
      <c r="BD106">
        <f t="shared" si="22"/>
        <v>18.154900000000001</v>
      </c>
      <c r="BE106">
        <f t="shared" si="23"/>
        <v>6.9615508696999999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11.872299999999999</v>
      </c>
      <c r="I107" s="22">
        <v>-1.7089799999999999E-2</v>
      </c>
      <c r="J107" s="22">
        <v>97</v>
      </c>
      <c r="K107" s="22">
        <v>1.26007</v>
      </c>
      <c r="L107">
        <f t="shared" si="12"/>
        <v>17.0898</v>
      </c>
      <c r="M107">
        <f t="shared" si="13"/>
        <v>21.560491680000002</v>
      </c>
      <c r="N107" s="9"/>
      <c r="O107" s="22">
        <v>0.38848899999999997</v>
      </c>
      <c r="P107" s="22">
        <v>24.760100000000001</v>
      </c>
      <c r="Q107" s="22">
        <v>-1.8142700000000001E-2</v>
      </c>
      <c r="R107" s="22">
        <v>97</v>
      </c>
      <c r="S107" s="22">
        <v>0.38766499999999998</v>
      </c>
      <c r="T107">
        <f t="shared" si="14"/>
        <v>18.142700000000001</v>
      </c>
      <c r="U107">
        <f t="shared" si="15"/>
        <v>7.0482393803000001</v>
      </c>
      <c r="X107" s="9"/>
      <c r="Y107" s="22">
        <v>1.2616000000000001</v>
      </c>
      <c r="Z107" s="22">
        <v>32.143700000000003</v>
      </c>
      <c r="AA107" s="22">
        <v>-1.7156999999999999E-2</v>
      </c>
      <c r="AB107" s="22">
        <v>97</v>
      </c>
      <c r="AC107" s="22">
        <v>1.26129</v>
      </c>
      <c r="AD107">
        <f t="shared" si="16"/>
        <v>17.157</v>
      </c>
      <c r="AE107">
        <f t="shared" si="17"/>
        <v>21.6452712</v>
      </c>
      <c r="AF107" s="9"/>
      <c r="AG107" s="22">
        <v>0.38848899999999997</v>
      </c>
      <c r="AH107" s="22">
        <v>37.0473</v>
      </c>
      <c r="AI107" s="22">
        <v>-1.8170200000000001E-2</v>
      </c>
      <c r="AJ107" s="22">
        <v>97</v>
      </c>
      <c r="AK107" s="22">
        <v>0.38803100000000001</v>
      </c>
      <c r="AL107">
        <f t="shared" si="18"/>
        <v>18.170200000000001</v>
      </c>
      <c r="AM107">
        <f t="shared" si="19"/>
        <v>7.0589228278</v>
      </c>
      <c r="AP107" s="9"/>
      <c r="AQ107" s="22">
        <v>1.2616000000000001</v>
      </c>
      <c r="AR107" s="22">
        <v>41.880899999999997</v>
      </c>
      <c r="AS107" s="22">
        <v>-1.7135600000000001E-2</v>
      </c>
      <c r="AT107" s="22">
        <v>97</v>
      </c>
      <c r="AU107" s="22">
        <v>1.2603800000000001</v>
      </c>
      <c r="AV107">
        <f t="shared" si="20"/>
        <v>17.1356</v>
      </c>
      <c r="AW107">
        <f t="shared" si="21"/>
        <v>21.618272960000002</v>
      </c>
      <c r="AX107" s="9"/>
      <c r="AY107" s="22">
        <v>0.38848899999999997</v>
      </c>
      <c r="AZ107" s="22">
        <v>46.6205</v>
      </c>
      <c r="BA107" s="22">
        <v>-1.8151899999999999E-2</v>
      </c>
      <c r="BB107" s="22">
        <v>97</v>
      </c>
      <c r="BC107" s="22">
        <v>0.387604</v>
      </c>
      <c r="BD107">
        <f t="shared" si="22"/>
        <v>18.151899999999998</v>
      </c>
      <c r="BE107">
        <f t="shared" si="23"/>
        <v>7.0518134790999989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11.882400000000001</v>
      </c>
      <c r="I108" s="22">
        <v>-1.7105100000000002E-2</v>
      </c>
      <c r="J108" s="22">
        <v>98</v>
      </c>
      <c r="K108" s="22">
        <v>1.25549</v>
      </c>
      <c r="L108">
        <f t="shared" si="12"/>
        <v>17.1051</v>
      </c>
      <c r="M108">
        <f t="shared" si="13"/>
        <v>21.493584455999997</v>
      </c>
      <c r="N108" s="9"/>
      <c r="O108" s="22">
        <v>0.39352399999999998</v>
      </c>
      <c r="P108" s="22">
        <v>24.770099999999999</v>
      </c>
      <c r="Q108" s="22">
        <v>-1.8139599999999999E-2</v>
      </c>
      <c r="R108" s="22">
        <v>98</v>
      </c>
      <c r="S108" s="22">
        <v>0.39263900000000002</v>
      </c>
      <c r="T108">
        <f t="shared" si="14"/>
        <v>18.139599999999998</v>
      </c>
      <c r="U108">
        <f t="shared" si="15"/>
        <v>7.1383679503999993</v>
      </c>
      <c r="X108" s="9"/>
      <c r="Y108" s="22">
        <v>1.2565599999999999</v>
      </c>
      <c r="Z108" s="22">
        <v>32.153799999999997</v>
      </c>
      <c r="AA108" s="22">
        <v>-1.7169199999999999E-2</v>
      </c>
      <c r="AB108" s="22">
        <v>98</v>
      </c>
      <c r="AC108" s="22">
        <v>1.2561</v>
      </c>
      <c r="AD108">
        <f t="shared" si="16"/>
        <v>17.1692</v>
      </c>
      <c r="AE108">
        <f t="shared" si="17"/>
        <v>21.574129952</v>
      </c>
      <c r="AF108" s="9"/>
      <c r="AG108" s="22">
        <v>0.39352399999999998</v>
      </c>
      <c r="AH108" s="22">
        <v>37.057400000000001</v>
      </c>
      <c r="AI108" s="22">
        <v>-1.8167099999999999E-2</v>
      </c>
      <c r="AJ108" s="22">
        <v>98</v>
      </c>
      <c r="AK108" s="22">
        <v>0.393036</v>
      </c>
      <c r="AL108">
        <f t="shared" si="18"/>
        <v>18.167099999999998</v>
      </c>
      <c r="AM108">
        <f t="shared" si="19"/>
        <v>7.149189860399999</v>
      </c>
      <c r="AP108" s="9"/>
      <c r="AQ108" s="22">
        <v>1.2565599999999999</v>
      </c>
      <c r="AR108" s="22">
        <v>41.890999999999998</v>
      </c>
      <c r="AS108" s="22">
        <v>-1.71509E-2</v>
      </c>
      <c r="AT108" s="22">
        <v>98</v>
      </c>
      <c r="AU108" s="22">
        <v>1.25549</v>
      </c>
      <c r="AV108">
        <f t="shared" si="20"/>
        <v>17.1509</v>
      </c>
      <c r="AW108">
        <f t="shared" si="21"/>
        <v>21.551134903999998</v>
      </c>
      <c r="AX108" s="9"/>
      <c r="AY108" s="22">
        <v>0.39352399999999998</v>
      </c>
      <c r="AZ108" s="22">
        <v>46.630600000000001</v>
      </c>
      <c r="BA108" s="22">
        <v>-1.81488E-2</v>
      </c>
      <c r="BB108" s="22">
        <v>98</v>
      </c>
      <c r="BC108" s="22">
        <v>0.393341</v>
      </c>
      <c r="BD108">
        <f t="shared" si="22"/>
        <v>18.148800000000001</v>
      </c>
      <c r="BE108">
        <f t="shared" si="23"/>
        <v>7.1419883712000001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11.8925</v>
      </c>
      <c r="I109" s="22">
        <v>-1.7114299999999999E-2</v>
      </c>
      <c r="J109" s="22">
        <v>99</v>
      </c>
      <c r="K109" s="22">
        <v>1.25061</v>
      </c>
      <c r="L109">
        <f t="shared" si="12"/>
        <v>17.1143</v>
      </c>
      <c r="M109">
        <f t="shared" si="13"/>
        <v>21.419059878999999</v>
      </c>
      <c r="N109" s="9"/>
      <c r="O109" s="22">
        <v>0.39856000000000003</v>
      </c>
      <c r="P109" s="22">
        <v>24.780200000000001</v>
      </c>
      <c r="Q109" s="22">
        <v>-1.8136599999999999E-2</v>
      </c>
      <c r="R109" s="22">
        <v>99</v>
      </c>
      <c r="S109" s="22">
        <v>0.39773599999999998</v>
      </c>
      <c r="T109">
        <f t="shared" si="14"/>
        <v>18.136599999999998</v>
      </c>
      <c r="U109">
        <f t="shared" si="15"/>
        <v>7.2285232959999997</v>
      </c>
      <c r="X109" s="9"/>
      <c r="Y109" s="22">
        <v>1.25153</v>
      </c>
      <c r="Z109" s="22">
        <v>32.163800000000002</v>
      </c>
      <c r="AA109" s="22">
        <v>-1.7178300000000001E-2</v>
      </c>
      <c r="AB109" s="22">
        <v>99</v>
      </c>
      <c r="AC109" s="22">
        <v>1.25031</v>
      </c>
      <c r="AD109">
        <f t="shared" si="16"/>
        <v>17.1783</v>
      </c>
      <c r="AE109">
        <f t="shared" si="17"/>
        <v>21.499157799000002</v>
      </c>
      <c r="AF109" s="9"/>
      <c r="AG109" s="22">
        <v>0.39856000000000003</v>
      </c>
      <c r="AH109" s="22">
        <v>37.067500000000003</v>
      </c>
      <c r="AI109" s="22">
        <v>-1.8161E-2</v>
      </c>
      <c r="AJ109" s="22">
        <v>99</v>
      </c>
      <c r="AK109" s="22">
        <v>0.39822400000000002</v>
      </c>
      <c r="AL109">
        <f t="shared" si="18"/>
        <v>18.161000000000001</v>
      </c>
      <c r="AM109">
        <f t="shared" si="19"/>
        <v>7.2382481600000013</v>
      </c>
      <c r="AP109" s="9"/>
      <c r="AQ109" s="22">
        <v>1.25153</v>
      </c>
      <c r="AR109" s="22">
        <v>41.901000000000003</v>
      </c>
      <c r="AS109" s="22">
        <v>-1.7163100000000001E-2</v>
      </c>
      <c r="AT109" s="22">
        <v>99</v>
      </c>
      <c r="AU109" s="22">
        <v>1.25031</v>
      </c>
      <c r="AV109">
        <f t="shared" si="20"/>
        <v>17.1631</v>
      </c>
      <c r="AW109">
        <f t="shared" si="21"/>
        <v>21.480134543000002</v>
      </c>
      <c r="AX109" s="9"/>
      <c r="AY109" s="22">
        <v>0.39856000000000003</v>
      </c>
      <c r="AZ109" s="22">
        <v>46.640700000000002</v>
      </c>
      <c r="BA109" s="22">
        <v>-1.81458E-2</v>
      </c>
      <c r="BB109" s="22">
        <v>99</v>
      </c>
      <c r="BC109" s="22">
        <v>0.39846799999999999</v>
      </c>
      <c r="BD109">
        <f t="shared" si="22"/>
        <v>18.145800000000001</v>
      </c>
      <c r="BE109">
        <f t="shared" si="23"/>
        <v>7.2321900480000005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11.9025</v>
      </c>
      <c r="I110" s="22">
        <v>-1.7126499999999999E-2</v>
      </c>
      <c r="J110" s="22">
        <v>100</v>
      </c>
      <c r="K110" s="22">
        <v>1.24573</v>
      </c>
      <c r="L110">
        <f t="shared" si="12"/>
        <v>17.1265</v>
      </c>
      <c r="M110">
        <f t="shared" si="13"/>
        <v>21.348010985000002</v>
      </c>
      <c r="N110" s="9"/>
      <c r="O110" s="22">
        <v>0.40359499999999998</v>
      </c>
      <c r="P110" s="22">
        <v>24.790299999999998</v>
      </c>
      <c r="Q110" s="22">
        <v>-1.81335E-2</v>
      </c>
      <c r="R110" s="22">
        <v>100</v>
      </c>
      <c r="S110" s="22">
        <v>0.40313700000000002</v>
      </c>
      <c r="T110">
        <f t="shared" si="14"/>
        <v>18.133500000000002</v>
      </c>
      <c r="U110">
        <f t="shared" si="15"/>
        <v>7.3185899325000001</v>
      </c>
      <c r="X110" s="9"/>
      <c r="Y110" s="22">
        <v>1.2464900000000001</v>
      </c>
      <c r="Z110" s="22">
        <v>32.173900000000003</v>
      </c>
      <c r="AA110" s="22">
        <v>-1.71906E-2</v>
      </c>
      <c r="AB110" s="22">
        <v>100</v>
      </c>
      <c r="AC110" s="22">
        <v>1.24573</v>
      </c>
      <c r="AD110">
        <f t="shared" si="16"/>
        <v>17.1906</v>
      </c>
      <c r="AE110">
        <f t="shared" si="17"/>
        <v>21.427910994000001</v>
      </c>
      <c r="AF110" s="9"/>
      <c r="AG110" s="22">
        <v>0.40359499999999998</v>
      </c>
      <c r="AH110" s="22">
        <v>37.077500000000001</v>
      </c>
      <c r="AI110" s="22">
        <v>-1.8154900000000002E-2</v>
      </c>
      <c r="AJ110" s="22">
        <v>100</v>
      </c>
      <c r="AK110" s="22">
        <v>0.40271000000000001</v>
      </c>
      <c r="AL110">
        <f t="shared" si="18"/>
        <v>18.154900000000001</v>
      </c>
      <c r="AM110">
        <f t="shared" si="19"/>
        <v>7.3272268655000001</v>
      </c>
      <c r="AP110" s="9"/>
      <c r="AQ110" s="22">
        <v>1.2464900000000001</v>
      </c>
      <c r="AR110" s="22">
        <v>41.911099999999998</v>
      </c>
      <c r="AS110" s="22">
        <v>-1.7172199999999999E-2</v>
      </c>
      <c r="AT110" s="22">
        <v>100</v>
      </c>
      <c r="AU110" s="22">
        <v>1.24573</v>
      </c>
      <c r="AV110">
        <f t="shared" si="20"/>
        <v>17.1722</v>
      </c>
      <c r="AW110">
        <f t="shared" si="21"/>
        <v>21.404975578000002</v>
      </c>
      <c r="AX110" s="9"/>
      <c r="AY110" s="22">
        <v>0.40359499999999998</v>
      </c>
      <c r="AZ110" s="22">
        <v>46.650700000000001</v>
      </c>
      <c r="BA110" s="22">
        <v>-1.8139599999999999E-2</v>
      </c>
      <c r="BB110" s="22">
        <v>100</v>
      </c>
      <c r="BC110" s="22">
        <v>0.40283200000000002</v>
      </c>
      <c r="BD110">
        <f t="shared" si="22"/>
        <v>18.139599999999998</v>
      </c>
      <c r="BE110">
        <f t="shared" si="23"/>
        <v>7.3210518619999991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11.912599999999999</v>
      </c>
      <c r="I111" s="22">
        <v>-1.7132600000000001E-2</v>
      </c>
      <c r="J111" s="22">
        <v>101</v>
      </c>
      <c r="K111" s="22">
        <v>1.2408399999999999</v>
      </c>
      <c r="L111">
        <f t="shared" si="12"/>
        <v>17.1326</v>
      </c>
      <c r="M111">
        <f t="shared" si="13"/>
        <v>21.269437596</v>
      </c>
      <c r="N111" s="9"/>
      <c r="O111" s="22">
        <v>0.40862999999999999</v>
      </c>
      <c r="P111" s="22">
        <v>24.8004</v>
      </c>
      <c r="Q111" s="22">
        <v>-1.8127399999999998E-2</v>
      </c>
      <c r="R111" s="22">
        <v>101</v>
      </c>
      <c r="S111" s="22">
        <v>0.40777600000000003</v>
      </c>
      <c r="T111">
        <f t="shared" si="14"/>
        <v>18.127399999999998</v>
      </c>
      <c r="U111">
        <f t="shared" si="15"/>
        <v>7.407399461999999</v>
      </c>
      <c r="X111" s="9"/>
      <c r="Y111" s="22">
        <v>1.24146</v>
      </c>
      <c r="Z111" s="22">
        <v>32.183999999999997</v>
      </c>
      <c r="AA111" s="22">
        <v>-1.72058E-2</v>
      </c>
      <c r="AB111" s="22">
        <v>101</v>
      </c>
      <c r="AC111" s="22">
        <v>1.2408399999999999</v>
      </c>
      <c r="AD111">
        <f t="shared" si="16"/>
        <v>17.2058</v>
      </c>
      <c r="AE111">
        <f t="shared" si="17"/>
        <v>21.360312468</v>
      </c>
      <c r="AF111" s="9"/>
      <c r="AG111" s="22">
        <v>0.40862999999999999</v>
      </c>
      <c r="AH111" s="22">
        <v>37.087600000000002</v>
      </c>
      <c r="AI111" s="22">
        <v>-1.81488E-2</v>
      </c>
      <c r="AJ111" s="22">
        <v>101</v>
      </c>
      <c r="AK111" s="22">
        <v>0.408051</v>
      </c>
      <c r="AL111">
        <f t="shared" si="18"/>
        <v>18.148800000000001</v>
      </c>
      <c r="AM111">
        <f t="shared" si="19"/>
        <v>7.4161441440000004</v>
      </c>
      <c r="AP111" s="9"/>
      <c r="AQ111" s="22">
        <v>1.24146</v>
      </c>
      <c r="AR111" s="22">
        <v>41.921199999999999</v>
      </c>
      <c r="AS111" s="22">
        <v>-1.7184399999999999E-2</v>
      </c>
      <c r="AT111" s="22">
        <v>101</v>
      </c>
      <c r="AU111" s="22">
        <v>1.2402299999999999</v>
      </c>
      <c r="AV111">
        <f t="shared" si="20"/>
        <v>17.1844</v>
      </c>
      <c r="AW111">
        <f t="shared" si="21"/>
        <v>21.333745224000001</v>
      </c>
      <c r="AX111" s="9"/>
      <c r="AY111" s="22">
        <v>0.40862999999999999</v>
      </c>
      <c r="AZ111" s="22">
        <v>46.660800000000002</v>
      </c>
      <c r="BA111" s="22">
        <v>-1.8136599999999999E-2</v>
      </c>
      <c r="BB111" s="22">
        <v>101</v>
      </c>
      <c r="BC111" s="22">
        <v>0.40811199999999997</v>
      </c>
      <c r="BD111">
        <f t="shared" si="22"/>
        <v>18.136599999999998</v>
      </c>
      <c r="BE111">
        <f t="shared" si="23"/>
        <v>7.4111588579999994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11.922700000000001</v>
      </c>
      <c r="I112" s="22">
        <v>-1.7147800000000001E-2</v>
      </c>
      <c r="J112" s="22">
        <v>102</v>
      </c>
      <c r="K112" s="22">
        <v>1.23566</v>
      </c>
      <c r="L112">
        <f t="shared" si="12"/>
        <v>17.1478</v>
      </c>
      <c r="M112">
        <f t="shared" si="13"/>
        <v>21.201882876000003</v>
      </c>
      <c r="N112" s="9"/>
      <c r="O112" s="22">
        <v>0.41366599999999998</v>
      </c>
      <c r="P112" s="22">
        <v>24.810400000000001</v>
      </c>
      <c r="Q112" s="22">
        <v>-1.81213E-2</v>
      </c>
      <c r="R112" s="22">
        <v>102</v>
      </c>
      <c r="S112" s="22">
        <v>0.41305500000000001</v>
      </c>
      <c r="T112">
        <f t="shared" si="14"/>
        <v>18.121300000000002</v>
      </c>
      <c r="U112">
        <f t="shared" si="15"/>
        <v>7.4961656858000003</v>
      </c>
      <c r="X112" s="9"/>
      <c r="Y112" s="22">
        <v>1.2364200000000001</v>
      </c>
      <c r="Z112" s="22">
        <v>32.194099999999999</v>
      </c>
      <c r="AA112" s="22">
        <v>-1.7215000000000001E-2</v>
      </c>
      <c r="AB112" s="22">
        <v>102</v>
      </c>
      <c r="AC112" s="22">
        <v>1.2359599999999999</v>
      </c>
      <c r="AD112">
        <f t="shared" si="16"/>
        <v>17.215</v>
      </c>
      <c r="AE112">
        <f t="shared" si="17"/>
        <v>21.284970300000001</v>
      </c>
      <c r="AF112" s="9"/>
      <c r="AG112" s="22">
        <v>0.41366599999999998</v>
      </c>
      <c r="AH112" s="22">
        <v>37.097700000000003</v>
      </c>
      <c r="AI112" s="22">
        <v>-1.8142700000000001E-2</v>
      </c>
      <c r="AJ112" s="22">
        <v>102</v>
      </c>
      <c r="AK112" s="22">
        <v>0.41311599999999998</v>
      </c>
      <c r="AL112">
        <f t="shared" si="18"/>
        <v>18.142700000000001</v>
      </c>
      <c r="AM112">
        <f t="shared" si="19"/>
        <v>7.5050181382000005</v>
      </c>
      <c r="AP112" s="9"/>
      <c r="AQ112" s="22">
        <v>1.2364200000000001</v>
      </c>
      <c r="AR112" s="22">
        <v>41.9313</v>
      </c>
      <c r="AS112" s="22">
        <v>-1.7196699999999999E-2</v>
      </c>
      <c r="AT112" s="22">
        <v>102</v>
      </c>
      <c r="AU112" s="22">
        <v>1.23566</v>
      </c>
      <c r="AV112">
        <f t="shared" si="20"/>
        <v>17.1967</v>
      </c>
      <c r="AW112">
        <f t="shared" si="21"/>
        <v>21.262343814000001</v>
      </c>
      <c r="AX112" s="9"/>
      <c r="AY112" s="22">
        <v>0.41366599999999998</v>
      </c>
      <c r="AZ112" s="22">
        <v>46.670900000000003</v>
      </c>
      <c r="BA112" s="22">
        <v>-1.8127399999999998E-2</v>
      </c>
      <c r="BB112" s="22">
        <v>102</v>
      </c>
      <c r="BC112" s="22">
        <v>0.41293299999999999</v>
      </c>
      <c r="BD112">
        <f t="shared" si="22"/>
        <v>18.127399999999998</v>
      </c>
      <c r="BE112">
        <f t="shared" si="23"/>
        <v>7.4986890483999984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11.932700000000001</v>
      </c>
      <c r="I113" s="22">
        <v>-1.7160000000000002E-2</v>
      </c>
      <c r="J113" s="22">
        <v>103</v>
      </c>
      <c r="K113" s="22">
        <v>1.23047</v>
      </c>
      <c r="L113">
        <f t="shared" si="12"/>
        <v>17.16</v>
      </c>
      <c r="M113">
        <f t="shared" si="13"/>
        <v>21.130480799999997</v>
      </c>
      <c r="N113" s="9"/>
      <c r="O113" s="22">
        <v>0.41870099999999999</v>
      </c>
      <c r="P113" s="22">
        <v>24.820499999999999</v>
      </c>
      <c r="Q113" s="22">
        <v>-1.81183E-2</v>
      </c>
      <c r="R113" s="22">
        <v>103</v>
      </c>
      <c r="S113" s="22">
        <v>0.41815200000000002</v>
      </c>
      <c r="T113">
        <f t="shared" si="14"/>
        <v>18.118300000000001</v>
      </c>
      <c r="U113">
        <f t="shared" si="15"/>
        <v>7.5861503283000005</v>
      </c>
      <c r="X113" s="9"/>
      <c r="Y113" s="22">
        <v>1.2313799999999999</v>
      </c>
      <c r="Z113" s="22">
        <v>32.204099999999997</v>
      </c>
      <c r="AA113" s="22">
        <v>-1.7224099999999999E-2</v>
      </c>
      <c r="AB113" s="22">
        <v>103</v>
      </c>
      <c r="AC113" s="22">
        <v>1.2307699999999999</v>
      </c>
      <c r="AD113">
        <f t="shared" si="16"/>
        <v>17.2241</v>
      </c>
      <c r="AE113">
        <f t="shared" si="17"/>
        <v>21.209412257999997</v>
      </c>
      <c r="AF113" s="9"/>
      <c r="AG113" s="22">
        <v>0.41870099999999999</v>
      </c>
      <c r="AH113" s="22">
        <v>37.107700000000001</v>
      </c>
      <c r="AI113" s="22">
        <v>-1.8142700000000001E-2</v>
      </c>
      <c r="AJ113" s="22">
        <v>103</v>
      </c>
      <c r="AK113" s="22">
        <v>0.418213</v>
      </c>
      <c r="AL113">
        <f t="shared" si="18"/>
        <v>18.142700000000001</v>
      </c>
      <c r="AM113">
        <f t="shared" si="19"/>
        <v>7.5963666327000006</v>
      </c>
      <c r="AP113" s="9"/>
      <c r="AQ113" s="22">
        <v>1.2313799999999999</v>
      </c>
      <c r="AR113" s="22">
        <v>41.941299999999998</v>
      </c>
      <c r="AS113" s="22">
        <v>-1.7208899999999999E-2</v>
      </c>
      <c r="AT113" s="22">
        <v>103</v>
      </c>
      <c r="AU113" s="22">
        <v>1.2307699999999999</v>
      </c>
      <c r="AV113">
        <f t="shared" si="20"/>
        <v>17.2089</v>
      </c>
      <c r="AW113">
        <f t="shared" si="21"/>
        <v>21.190695282</v>
      </c>
      <c r="AX113" s="9"/>
      <c r="AY113" s="22">
        <v>0.41870099999999999</v>
      </c>
      <c r="AZ113" s="22">
        <v>46.680900000000001</v>
      </c>
      <c r="BA113" s="22">
        <v>-1.81213E-2</v>
      </c>
      <c r="BB113" s="22">
        <v>103</v>
      </c>
      <c r="BC113" s="22">
        <v>0.41815200000000002</v>
      </c>
      <c r="BD113">
        <f t="shared" si="22"/>
        <v>18.121300000000002</v>
      </c>
      <c r="BE113">
        <f t="shared" si="23"/>
        <v>7.5874064313000007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11.9428</v>
      </c>
      <c r="I114" s="22">
        <v>-1.7172199999999999E-2</v>
      </c>
      <c r="J114" s="22">
        <v>104</v>
      </c>
      <c r="K114" s="22">
        <v>1.2252799999999999</v>
      </c>
      <c r="L114">
        <f t="shared" si="12"/>
        <v>17.1722</v>
      </c>
      <c r="M114">
        <f t="shared" si="13"/>
        <v>21.05912747</v>
      </c>
      <c r="N114" s="9"/>
      <c r="O114" s="22">
        <v>0.42373699999999997</v>
      </c>
      <c r="P114" s="22">
        <v>24.8306</v>
      </c>
      <c r="Q114" s="22">
        <v>-1.8112199999999998E-2</v>
      </c>
      <c r="R114" s="22">
        <v>104</v>
      </c>
      <c r="S114" s="22">
        <v>0.42309600000000003</v>
      </c>
      <c r="T114">
        <f t="shared" si="14"/>
        <v>18.112199999999998</v>
      </c>
      <c r="U114">
        <f t="shared" si="15"/>
        <v>7.674809291399999</v>
      </c>
      <c r="X114" s="9"/>
      <c r="Y114" s="22">
        <v>1.2263500000000001</v>
      </c>
      <c r="Z114" s="22">
        <v>32.214199999999998</v>
      </c>
      <c r="AA114" s="22">
        <v>-1.72333E-2</v>
      </c>
      <c r="AB114" s="22">
        <v>104</v>
      </c>
      <c r="AC114" s="22">
        <v>1.22559</v>
      </c>
      <c r="AD114">
        <f t="shared" si="16"/>
        <v>17.2333</v>
      </c>
      <c r="AE114">
        <f t="shared" si="17"/>
        <v>21.134057455000001</v>
      </c>
      <c r="AF114" s="9"/>
      <c r="AG114" s="22">
        <v>0.42373699999999997</v>
      </c>
      <c r="AH114" s="22">
        <v>37.117800000000003</v>
      </c>
      <c r="AI114" s="22">
        <v>-1.8136599999999999E-2</v>
      </c>
      <c r="AJ114" s="22">
        <v>104</v>
      </c>
      <c r="AK114" s="22">
        <v>0.423431</v>
      </c>
      <c r="AL114">
        <f t="shared" si="18"/>
        <v>18.136599999999998</v>
      </c>
      <c r="AM114">
        <f t="shared" si="19"/>
        <v>7.6851484741999982</v>
      </c>
      <c r="AP114" s="9"/>
      <c r="AQ114" s="22">
        <v>1.2263500000000001</v>
      </c>
      <c r="AR114" s="22">
        <v>41.9514</v>
      </c>
      <c r="AS114" s="22">
        <v>-1.7218000000000001E-2</v>
      </c>
      <c r="AT114" s="22">
        <v>104</v>
      </c>
      <c r="AU114" s="22">
        <v>1.22559</v>
      </c>
      <c r="AV114">
        <f t="shared" si="20"/>
        <v>17.218</v>
      </c>
      <c r="AW114">
        <f t="shared" si="21"/>
        <v>21.115294300000002</v>
      </c>
      <c r="AX114" s="9"/>
      <c r="AY114" s="22">
        <v>0.42373699999999997</v>
      </c>
      <c r="AZ114" s="22">
        <v>46.691000000000003</v>
      </c>
      <c r="BA114" s="22">
        <v>-1.81183E-2</v>
      </c>
      <c r="BB114" s="22">
        <v>104</v>
      </c>
      <c r="BC114" s="22">
        <v>0.42285200000000001</v>
      </c>
      <c r="BD114">
        <f t="shared" si="22"/>
        <v>18.118300000000001</v>
      </c>
      <c r="BE114">
        <f t="shared" si="23"/>
        <v>7.6773940870999997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11.9529</v>
      </c>
      <c r="I115" s="22">
        <v>-1.7181399999999999E-2</v>
      </c>
      <c r="J115" s="22">
        <v>105</v>
      </c>
      <c r="K115" s="22">
        <v>1.2203999999999999</v>
      </c>
      <c r="L115">
        <f t="shared" si="12"/>
        <v>17.1814</v>
      </c>
      <c r="M115">
        <f t="shared" si="13"/>
        <v>20.983815633999999</v>
      </c>
      <c r="N115" s="9"/>
      <c r="O115" s="22">
        <v>0.42877199999999999</v>
      </c>
      <c r="P115" s="22">
        <v>24.840599999999998</v>
      </c>
      <c r="Q115" s="22">
        <v>-1.81061E-2</v>
      </c>
      <c r="R115" s="22">
        <v>105</v>
      </c>
      <c r="S115" s="22">
        <v>0.427948</v>
      </c>
      <c r="T115">
        <f t="shared" si="14"/>
        <v>18.106100000000001</v>
      </c>
      <c r="U115">
        <f t="shared" si="15"/>
        <v>7.7633887092</v>
      </c>
      <c r="X115" s="9"/>
      <c r="Y115" s="22">
        <v>1.2213099999999999</v>
      </c>
      <c r="Z115" s="22">
        <v>32.224299999999999</v>
      </c>
      <c r="AA115" s="22">
        <v>-1.7242400000000001E-2</v>
      </c>
      <c r="AB115" s="22">
        <v>105</v>
      </c>
      <c r="AC115" s="22">
        <v>1.2200899999999999</v>
      </c>
      <c r="AD115">
        <f t="shared" si="16"/>
        <v>17.2424</v>
      </c>
      <c r="AE115">
        <f t="shared" si="17"/>
        <v>21.058315543999999</v>
      </c>
      <c r="AF115" s="9"/>
      <c r="AG115" s="22">
        <v>0.42877199999999999</v>
      </c>
      <c r="AH115" s="22">
        <v>37.127899999999997</v>
      </c>
      <c r="AI115" s="22">
        <v>-1.8130500000000001E-2</v>
      </c>
      <c r="AJ115" s="22">
        <v>105</v>
      </c>
      <c r="AK115" s="22">
        <v>0.42791699999999999</v>
      </c>
      <c r="AL115">
        <f t="shared" si="18"/>
        <v>18.130500000000001</v>
      </c>
      <c r="AM115">
        <f t="shared" si="19"/>
        <v>7.7738507459999999</v>
      </c>
      <c r="AP115" s="9"/>
      <c r="AQ115" s="22">
        <v>1.2213099999999999</v>
      </c>
      <c r="AR115" s="22">
        <v>41.961500000000001</v>
      </c>
      <c r="AS115" s="22">
        <v>-1.7230200000000001E-2</v>
      </c>
      <c r="AT115" s="22">
        <v>105</v>
      </c>
      <c r="AU115" s="22">
        <v>1.2210099999999999</v>
      </c>
      <c r="AV115">
        <f t="shared" si="20"/>
        <v>17.2302</v>
      </c>
      <c r="AW115">
        <f t="shared" si="21"/>
        <v>21.043415562</v>
      </c>
      <c r="AX115" s="9"/>
      <c r="AY115" s="22">
        <v>0.42877199999999999</v>
      </c>
      <c r="AZ115" s="22">
        <v>46.701099999999997</v>
      </c>
      <c r="BA115" s="22">
        <v>-1.8115200000000001E-2</v>
      </c>
      <c r="BB115" s="22">
        <v>105</v>
      </c>
      <c r="BC115" s="22">
        <v>0.42791699999999999</v>
      </c>
      <c r="BD115">
        <f t="shared" si="22"/>
        <v>18.115200000000002</v>
      </c>
      <c r="BE115">
        <f t="shared" si="23"/>
        <v>7.7672905344000007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11.962999999999999</v>
      </c>
      <c r="I116" s="22">
        <v>-1.71936E-2</v>
      </c>
      <c r="J116" s="22">
        <v>106</v>
      </c>
      <c r="K116" s="22">
        <v>1.2149000000000001</v>
      </c>
      <c r="L116">
        <f t="shared" si="12"/>
        <v>17.1936</v>
      </c>
      <c r="M116">
        <f t="shared" si="13"/>
        <v>20.912231808000001</v>
      </c>
      <c r="N116" s="9"/>
      <c r="O116" s="22">
        <v>0.433807</v>
      </c>
      <c r="P116" s="22">
        <v>24.8507</v>
      </c>
      <c r="Q116" s="22">
        <v>-1.8103000000000001E-2</v>
      </c>
      <c r="R116" s="22">
        <v>106</v>
      </c>
      <c r="S116" s="22">
        <v>0.433228</v>
      </c>
      <c r="T116">
        <f t="shared" si="14"/>
        <v>18.103000000000002</v>
      </c>
      <c r="U116">
        <f t="shared" si="15"/>
        <v>7.8532081210000007</v>
      </c>
      <c r="X116" s="9"/>
      <c r="Y116" s="22">
        <v>1.21628</v>
      </c>
      <c r="Z116" s="22">
        <v>32.234299999999998</v>
      </c>
      <c r="AA116" s="22">
        <v>-1.7254599999999998E-2</v>
      </c>
      <c r="AB116" s="22">
        <v>106</v>
      </c>
      <c r="AC116" s="22">
        <v>1.2152099999999999</v>
      </c>
      <c r="AD116">
        <f t="shared" si="16"/>
        <v>17.2546</v>
      </c>
      <c r="AE116">
        <f t="shared" si="17"/>
        <v>20.986424888000002</v>
      </c>
      <c r="AF116" s="9"/>
      <c r="AG116" s="22">
        <v>0.433807</v>
      </c>
      <c r="AH116" s="22">
        <v>37.137999999999998</v>
      </c>
      <c r="AI116" s="22">
        <v>-1.8124399999999999E-2</v>
      </c>
      <c r="AJ116" s="22">
        <v>106</v>
      </c>
      <c r="AK116" s="22">
        <v>0.43316700000000002</v>
      </c>
      <c r="AL116">
        <f t="shared" si="18"/>
        <v>18.124399999999998</v>
      </c>
      <c r="AM116">
        <f t="shared" si="19"/>
        <v>7.8624915907999986</v>
      </c>
      <c r="AP116" s="9"/>
      <c r="AQ116" s="22">
        <v>1.21628</v>
      </c>
      <c r="AR116" s="22">
        <v>41.971499999999999</v>
      </c>
      <c r="AS116" s="22">
        <v>-1.7242400000000001E-2</v>
      </c>
      <c r="AT116" s="22">
        <v>106</v>
      </c>
      <c r="AU116" s="22">
        <v>1.2149000000000001</v>
      </c>
      <c r="AV116">
        <f t="shared" si="20"/>
        <v>17.2424</v>
      </c>
      <c r="AW116">
        <f t="shared" si="21"/>
        <v>20.971586272</v>
      </c>
      <c r="AX116" s="9"/>
      <c r="AY116" s="22">
        <v>0.433807</v>
      </c>
      <c r="AZ116" s="22">
        <v>46.711100000000002</v>
      </c>
      <c r="BA116" s="22">
        <v>-1.81091E-2</v>
      </c>
      <c r="BB116" s="22">
        <v>106</v>
      </c>
      <c r="BC116" s="22">
        <v>0.43337999999999999</v>
      </c>
      <c r="BD116">
        <f t="shared" si="22"/>
        <v>18.109099999999998</v>
      </c>
      <c r="BE116">
        <f t="shared" si="23"/>
        <v>7.855854343699999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11.973000000000001</v>
      </c>
      <c r="I117" s="22">
        <v>-1.72058E-2</v>
      </c>
      <c r="J117" s="22">
        <v>107</v>
      </c>
      <c r="K117" s="22">
        <v>1.2109399999999999</v>
      </c>
      <c r="L117">
        <f t="shared" si="12"/>
        <v>17.2058</v>
      </c>
      <c r="M117">
        <f t="shared" si="13"/>
        <v>20.840353192000002</v>
      </c>
      <c r="N117" s="9"/>
      <c r="O117" s="22">
        <v>0.43884299999999998</v>
      </c>
      <c r="P117" s="22">
        <v>24.860800000000001</v>
      </c>
      <c r="Q117" s="22">
        <v>-1.8100000000000002E-2</v>
      </c>
      <c r="R117" s="22">
        <v>107</v>
      </c>
      <c r="S117" s="22">
        <v>0.43838500000000002</v>
      </c>
      <c r="T117">
        <f t="shared" si="14"/>
        <v>18.100000000000001</v>
      </c>
      <c r="U117">
        <f t="shared" si="15"/>
        <v>7.9430583000000006</v>
      </c>
      <c r="X117" s="9"/>
      <c r="Y117" s="22">
        <v>1.2112400000000001</v>
      </c>
      <c r="Z117" s="22">
        <v>32.244399999999999</v>
      </c>
      <c r="AA117" s="22">
        <v>-1.72607E-2</v>
      </c>
      <c r="AB117" s="22">
        <v>107</v>
      </c>
      <c r="AC117" s="22">
        <v>1.2100200000000001</v>
      </c>
      <c r="AD117">
        <f t="shared" si="16"/>
        <v>17.2607</v>
      </c>
      <c r="AE117">
        <f t="shared" si="17"/>
        <v>20.906850268000003</v>
      </c>
      <c r="AF117" s="9"/>
      <c r="AG117" s="22">
        <v>0.43884299999999998</v>
      </c>
      <c r="AH117" s="22">
        <v>37.148000000000003</v>
      </c>
      <c r="AI117" s="22">
        <v>-1.81213E-2</v>
      </c>
      <c r="AJ117" s="22">
        <v>107</v>
      </c>
      <c r="AK117" s="22">
        <v>0.43829299999999999</v>
      </c>
      <c r="AL117">
        <f t="shared" si="18"/>
        <v>18.121300000000002</v>
      </c>
      <c r="AM117">
        <f t="shared" si="19"/>
        <v>7.9524056559000007</v>
      </c>
      <c r="AP117" s="9"/>
      <c r="AQ117" s="22">
        <v>1.2112400000000001</v>
      </c>
      <c r="AR117" s="22">
        <v>41.9816</v>
      </c>
      <c r="AS117" s="22">
        <v>-1.7251599999999999E-2</v>
      </c>
      <c r="AT117" s="22">
        <v>107</v>
      </c>
      <c r="AU117" s="22">
        <v>1.2106300000000001</v>
      </c>
      <c r="AV117">
        <f t="shared" si="20"/>
        <v>17.2516</v>
      </c>
      <c r="AW117">
        <f t="shared" si="21"/>
        <v>20.895827984</v>
      </c>
      <c r="AX117" s="9"/>
      <c r="AY117" s="22">
        <v>0.43884299999999998</v>
      </c>
      <c r="AZ117" s="22">
        <v>46.721200000000003</v>
      </c>
      <c r="BA117" s="22">
        <v>-1.81061E-2</v>
      </c>
      <c r="BB117" s="22">
        <v>107</v>
      </c>
      <c r="BC117" s="22">
        <v>0.43768299999999999</v>
      </c>
      <c r="BD117">
        <f t="shared" si="22"/>
        <v>18.106100000000001</v>
      </c>
      <c r="BE117">
        <f t="shared" si="23"/>
        <v>7.9457352423000005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11.9831</v>
      </c>
      <c r="I118" s="22">
        <v>-1.7211899999999999E-2</v>
      </c>
      <c r="J118" s="22">
        <v>108</v>
      </c>
      <c r="K118" s="22">
        <v>1.2051400000000001</v>
      </c>
      <c r="L118">
        <f t="shared" si="12"/>
        <v>17.2119</v>
      </c>
      <c r="M118">
        <f t="shared" si="13"/>
        <v>20.761165899000002</v>
      </c>
      <c r="N118" s="9"/>
      <c r="O118" s="22">
        <v>0.44387799999999999</v>
      </c>
      <c r="P118" s="22">
        <v>24.870799999999999</v>
      </c>
      <c r="Q118" s="22">
        <v>-1.8100000000000002E-2</v>
      </c>
      <c r="R118" s="22">
        <v>108</v>
      </c>
      <c r="S118" s="22">
        <v>0.44320700000000002</v>
      </c>
      <c r="T118">
        <f t="shared" si="14"/>
        <v>18.100000000000001</v>
      </c>
      <c r="U118">
        <f t="shared" si="15"/>
        <v>8.0341918000000003</v>
      </c>
      <c r="X118" s="9"/>
      <c r="Y118" s="22">
        <v>1.20621</v>
      </c>
      <c r="Z118" s="22">
        <v>32.2545</v>
      </c>
      <c r="AA118" s="22">
        <v>-1.7269900000000001E-2</v>
      </c>
      <c r="AB118" s="22">
        <v>108</v>
      </c>
      <c r="AC118" s="22">
        <v>1.2051400000000001</v>
      </c>
      <c r="AD118">
        <f t="shared" si="16"/>
        <v>17.2699</v>
      </c>
      <c r="AE118">
        <f t="shared" si="17"/>
        <v>20.831126079000001</v>
      </c>
      <c r="AF118" s="9"/>
      <c r="AG118" s="22">
        <v>0.44387799999999999</v>
      </c>
      <c r="AH118" s="22">
        <v>37.158099999999997</v>
      </c>
      <c r="AI118" s="22">
        <v>-1.8112199999999998E-2</v>
      </c>
      <c r="AJ118" s="22">
        <v>108</v>
      </c>
      <c r="AK118" s="22">
        <v>0.44351200000000002</v>
      </c>
      <c r="AL118">
        <f t="shared" si="18"/>
        <v>18.112199999999998</v>
      </c>
      <c r="AM118">
        <f t="shared" si="19"/>
        <v>8.0396071115999987</v>
      </c>
      <c r="AP118" s="9"/>
      <c r="AQ118" s="22">
        <v>1.20621</v>
      </c>
      <c r="AR118" s="22">
        <v>41.991700000000002</v>
      </c>
      <c r="AS118" s="22">
        <v>-1.72607E-2</v>
      </c>
      <c r="AT118" s="22">
        <v>108</v>
      </c>
      <c r="AU118" s="22">
        <v>1.2051400000000001</v>
      </c>
      <c r="AV118">
        <f t="shared" si="20"/>
        <v>17.2607</v>
      </c>
      <c r="AW118">
        <f t="shared" si="21"/>
        <v>20.820028947000001</v>
      </c>
      <c r="AX118" s="9"/>
      <c r="AY118" s="22">
        <v>0.44387799999999999</v>
      </c>
      <c r="AZ118" s="22">
        <v>46.731299999999997</v>
      </c>
      <c r="BA118" s="22">
        <v>-1.8100000000000002E-2</v>
      </c>
      <c r="BB118" s="22">
        <v>108</v>
      </c>
      <c r="BC118" s="22">
        <v>0.44317600000000001</v>
      </c>
      <c r="BD118">
        <f t="shared" si="22"/>
        <v>18.100000000000001</v>
      </c>
      <c r="BE118">
        <f t="shared" si="23"/>
        <v>8.0341918000000003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11.9932</v>
      </c>
      <c r="I119" s="22">
        <v>-1.72211E-2</v>
      </c>
      <c r="J119" s="22">
        <v>109</v>
      </c>
      <c r="K119" s="22">
        <v>1.2002600000000001</v>
      </c>
      <c r="L119">
        <f t="shared" si="12"/>
        <v>17.2211</v>
      </c>
      <c r="M119">
        <f t="shared" si="13"/>
        <v>20.685468687</v>
      </c>
      <c r="N119" s="9"/>
      <c r="O119" s="22">
        <v>0.44891399999999998</v>
      </c>
      <c r="P119" s="22">
        <v>24.8809</v>
      </c>
      <c r="Q119" s="22">
        <v>-1.80939E-2</v>
      </c>
      <c r="R119" s="22">
        <v>109</v>
      </c>
      <c r="S119" s="22">
        <v>0.44812000000000002</v>
      </c>
      <c r="T119">
        <f t="shared" si="14"/>
        <v>18.093899999999998</v>
      </c>
      <c r="U119">
        <f t="shared" si="15"/>
        <v>8.1226050245999986</v>
      </c>
      <c r="X119" s="9"/>
      <c r="Y119" s="22">
        <v>1.2011700000000001</v>
      </c>
      <c r="Z119" s="22">
        <v>32.264600000000002</v>
      </c>
      <c r="AA119" s="22">
        <v>-1.7279099999999999E-2</v>
      </c>
      <c r="AB119" s="22">
        <v>109</v>
      </c>
      <c r="AC119" s="22">
        <v>1.1996500000000001</v>
      </c>
      <c r="AD119">
        <f t="shared" si="16"/>
        <v>17.2791</v>
      </c>
      <c r="AE119">
        <f t="shared" si="17"/>
        <v>20.755136546999999</v>
      </c>
      <c r="AF119" s="9"/>
      <c r="AG119" s="22">
        <v>0.44891399999999998</v>
      </c>
      <c r="AH119" s="22">
        <v>37.168199999999999</v>
      </c>
      <c r="AI119" s="22">
        <v>-1.81091E-2</v>
      </c>
      <c r="AJ119" s="22">
        <v>109</v>
      </c>
      <c r="AK119" s="22">
        <v>0.44833400000000001</v>
      </c>
      <c r="AL119">
        <f t="shared" si="18"/>
        <v>18.109099999999998</v>
      </c>
      <c r="AM119">
        <f t="shared" si="19"/>
        <v>8.1294285173999992</v>
      </c>
      <c r="AP119" s="9"/>
      <c r="AQ119" s="22">
        <v>1.2011700000000001</v>
      </c>
      <c r="AR119" s="22">
        <v>42.001800000000003</v>
      </c>
      <c r="AS119" s="22">
        <v>-1.7269900000000001E-2</v>
      </c>
      <c r="AT119" s="22">
        <v>109</v>
      </c>
      <c r="AU119" s="22">
        <v>1.2002600000000001</v>
      </c>
      <c r="AV119">
        <f t="shared" si="20"/>
        <v>17.2699</v>
      </c>
      <c r="AW119">
        <f t="shared" si="21"/>
        <v>20.744085783000003</v>
      </c>
      <c r="AX119" s="9"/>
      <c r="AY119" s="22">
        <v>0.44891399999999998</v>
      </c>
      <c r="AZ119" s="22">
        <v>46.741399999999999</v>
      </c>
      <c r="BA119" s="22">
        <v>-1.8096899999999999E-2</v>
      </c>
      <c r="BB119" s="22">
        <v>109</v>
      </c>
      <c r="BC119" s="22">
        <v>0.44815100000000002</v>
      </c>
      <c r="BD119">
        <f t="shared" si="22"/>
        <v>18.096899999999998</v>
      </c>
      <c r="BE119">
        <f t="shared" si="23"/>
        <v>8.1239517665999994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12.0032</v>
      </c>
      <c r="I120" s="22">
        <v>-1.7230200000000001E-2</v>
      </c>
      <c r="J120" s="22">
        <v>110</v>
      </c>
      <c r="K120" s="22">
        <v>1.1950700000000001</v>
      </c>
      <c r="L120">
        <f t="shared" si="12"/>
        <v>17.2302</v>
      </c>
      <c r="M120">
        <f t="shared" si="13"/>
        <v>20.609731428</v>
      </c>
      <c r="N120" s="9"/>
      <c r="O120" s="22">
        <v>0.45394899999999999</v>
      </c>
      <c r="P120" s="22">
        <v>24.890999999999998</v>
      </c>
      <c r="Q120" s="22">
        <v>-1.8087800000000001E-2</v>
      </c>
      <c r="R120" s="22">
        <v>110</v>
      </c>
      <c r="S120" s="22">
        <v>0.45355200000000001</v>
      </c>
      <c r="T120">
        <f t="shared" si="14"/>
        <v>18.087800000000001</v>
      </c>
      <c r="U120">
        <f t="shared" si="15"/>
        <v>8.2109387221999999</v>
      </c>
      <c r="X120" s="9"/>
      <c r="Y120" s="22">
        <v>1.19614</v>
      </c>
      <c r="Z120" s="22">
        <v>32.2746</v>
      </c>
      <c r="AA120" s="22">
        <v>-1.7285200000000001E-2</v>
      </c>
      <c r="AB120" s="22">
        <v>110</v>
      </c>
      <c r="AC120" s="22">
        <v>1.19537</v>
      </c>
      <c r="AD120">
        <f t="shared" si="16"/>
        <v>17.2852</v>
      </c>
      <c r="AE120">
        <f t="shared" si="17"/>
        <v>20.675519127999998</v>
      </c>
      <c r="AF120" s="9"/>
      <c r="AG120" s="22">
        <v>0.45394899999999999</v>
      </c>
      <c r="AH120" s="22">
        <v>37.178199999999997</v>
      </c>
      <c r="AI120" s="22">
        <v>-1.8103000000000001E-2</v>
      </c>
      <c r="AJ120" s="22">
        <v>110</v>
      </c>
      <c r="AK120" s="22">
        <v>0.45324700000000001</v>
      </c>
      <c r="AL120">
        <f t="shared" si="18"/>
        <v>18.103000000000002</v>
      </c>
      <c r="AM120">
        <f t="shared" si="19"/>
        <v>8.2178387470000001</v>
      </c>
      <c r="AP120" s="9"/>
      <c r="AQ120" s="22">
        <v>1.19614</v>
      </c>
      <c r="AR120" s="22">
        <v>42.011800000000001</v>
      </c>
      <c r="AS120" s="22">
        <v>-1.7282100000000002E-2</v>
      </c>
      <c r="AT120" s="22">
        <v>110</v>
      </c>
      <c r="AU120" s="22">
        <v>1.19476</v>
      </c>
      <c r="AV120">
        <f t="shared" si="20"/>
        <v>17.282100000000003</v>
      </c>
      <c r="AW120">
        <f t="shared" si="21"/>
        <v>20.671811094000002</v>
      </c>
      <c r="AX120" s="9"/>
      <c r="AY120" s="22">
        <v>0.45394899999999999</v>
      </c>
      <c r="AZ120" s="22">
        <v>46.751399999999997</v>
      </c>
      <c r="BA120" s="22">
        <v>-1.80939E-2</v>
      </c>
      <c r="BB120" s="22">
        <v>110</v>
      </c>
      <c r="BC120" s="22">
        <v>0.453125</v>
      </c>
      <c r="BD120">
        <f t="shared" si="22"/>
        <v>18.093899999999998</v>
      </c>
      <c r="BE120">
        <f t="shared" si="23"/>
        <v>8.213707811099999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12.013299999999999</v>
      </c>
      <c r="I121" s="22">
        <v>-1.7239399999999998E-2</v>
      </c>
      <c r="J121" s="22">
        <v>111</v>
      </c>
      <c r="K121" s="22">
        <v>1.18988</v>
      </c>
      <c r="L121">
        <f t="shared" si="12"/>
        <v>17.2394</v>
      </c>
      <c r="M121">
        <f t="shared" si="13"/>
        <v>20.53384934</v>
      </c>
      <c r="N121" s="9"/>
      <c r="O121" s="22">
        <v>0.458984</v>
      </c>
      <c r="P121" s="22">
        <v>24.9011</v>
      </c>
      <c r="Q121" s="22">
        <v>-1.8081699999999999E-2</v>
      </c>
      <c r="R121" s="22">
        <v>111</v>
      </c>
      <c r="S121" s="22">
        <v>0.458679</v>
      </c>
      <c r="T121">
        <f t="shared" si="14"/>
        <v>18.081699999999998</v>
      </c>
      <c r="U121">
        <f t="shared" si="15"/>
        <v>8.2992109927999991</v>
      </c>
      <c r="X121" s="9"/>
      <c r="Y121" s="22">
        <v>1.1911</v>
      </c>
      <c r="Z121" s="22">
        <v>32.284700000000001</v>
      </c>
      <c r="AA121" s="22">
        <v>-1.7291299999999999E-2</v>
      </c>
      <c r="AB121" s="22">
        <v>111</v>
      </c>
      <c r="AC121" s="22">
        <v>1.1901900000000001</v>
      </c>
      <c r="AD121">
        <f t="shared" si="16"/>
        <v>17.2913</v>
      </c>
      <c r="AE121">
        <f t="shared" si="17"/>
        <v>20.595667429999999</v>
      </c>
      <c r="AF121" s="9"/>
      <c r="AG121" s="22">
        <v>0.458984</v>
      </c>
      <c r="AH121" s="22">
        <v>37.188299999999998</v>
      </c>
      <c r="AI121" s="22">
        <v>-1.8096899999999999E-2</v>
      </c>
      <c r="AJ121" s="22">
        <v>111</v>
      </c>
      <c r="AK121" s="22">
        <v>0.45840500000000001</v>
      </c>
      <c r="AL121">
        <f t="shared" si="18"/>
        <v>18.096899999999998</v>
      </c>
      <c r="AM121">
        <f t="shared" si="19"/>
        <v>8.3061875495999988</v>
      </c>
      <c r="AP121" s="9"/>
      <c r="AQ121" s="22">
        <v>1.1911</v>
      </c>
      <c r="AR121" s="22">
        <v>42.021900000000002</v>
      </c>
      <c r="AS121" s="22">
        <v>-1.7291299999999999E-2</v>
      </c>
      <c r="AT121" s="22">
        <v>111</v>
      </c>
      <c r="AU121" s="22">
        <v>1.1895800000000001</v>
      </c>
      <c r="AV121">
        <f t="shared" si="20"/>
        <v>17.2913</v>
      </c>
      <c r="AW121">
        <f t="shared" si="21"/>
        <v>20.595667429999999</v>
      </c>
      <c r="AX121" s="9"/>
      <c r="AY121" s="22">
        <v>0.458984</v>
      </c>
      <c r="AZ121" s="22">
        <v>46.761499999999998</v>
      </c>
      <c r="BA121" s="22">
        <v>-1.8087800000000001E-2</v>
      </c>
      <c r="BB121" s="22">
        <v>111</v>
      </c>
      <c r="BC121" s="22">
        <v>0.45831300000000003</v>
      </c>
      <c r="BD121">
        <f t="shared" si="22"/>
        <v>18.087800000000001</v>
      </c>
      <c r="BE121">
        <f t="shared" si="23"/>
        <v>8.3020107952000011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12.023400000000001</v>
      </c>
      <c r="I122" s="22">
        <v>-1.72455E-2</v>
      </c>
      <c r="J122" s="22">
        <v>112</v>
      </c>
      <c r="K122" s="22">
        <v>1.1850000000000001</v>
      </c>
      <c r="L122">
        <f t="shared" si="12"/>
        <v>17.2455</v>
      </c>
      <c r="M122">
        <f t="shared" si="13"/>
        <v>20.454370184999998</v>
      </c>
      <c r="N122" s="9"/>
      <c r="O122" s="22">
        <v>0.46401999999999999</v>
      </c>
      <c r="P122" s="22">
        <v>24.911100000000001</v>
      </c>
      <c r="Q122" s="22">
        <v>-1.80786E-2</v>
      </c>
      <c r="R122" s="22">
        <v>112</v>
      </c>
      <c r="S122" s="22">
        <v>0.46334799999999998</v>
      </c>
      <c r="T122">
        <f t="shared" si="14"/>
        <v>18.078600000000002</v>
      </c>
      <c r="U122">
        <f t="shared" si="15"/>
        <v>8.3888319720000002</v>
      </c>
      <c r="X122" s="9"/>
      <c r="Y122" s="22">
        <v>1.18607</v>
      </c>
      <c r="Z122" s="22">
        <v>32.294800000000002</v>
      </c>
      <c r="AA122" s="22">
        <v>-1.7303499999999999E-2</v>
      </c>
      <c r="AB122" s="22">
        <v>112</v>
      </c>
      <c r="AC122" s="22">
        <v>1.1850000000000001</v>
      </c>
      <c r="AD122">
        <f t="shared" si="16"/>
        <v>17.3035</v>
      </c>
      <c r="AE122">
        <f t="shared" si="17"/>
        <v>20.523162244999998</v>
      </c>
      <c r="AF122" s="9"/>
      <c r="AG122" s="22">
        <v>0.46401999999999999</v>
      </c>
      <c r="AH122" s="22">
        <v>37.198399999999999</v>
      </c>
      <c r="AI122" s="22">
        <v>-1.80939E-2</v>
      </c>
      <c r="AJ122" s="22">
        <v>112</v>
      </c>
      <c r="AK122" s="22">
        <v>0.46334799999999998</v>
      </c>
      <c r="AL122">
        <f t="shared" si="18"/>
        <v>18.093899999999998</v>
      </c>
      <c r="AM122">
        <f t="shared" si="19"/>
        <v>8.3959314779999996</v>
      </c>
      <c r="AP122" s="9"/>
      <c r="AQ122" s="22">
        <v>1.18607</v>
      </c>
      <c r="AR122" s="22">
        <v>42.031999999999996</v>
      </c>
      <c r="AS122" s="22">
        <v>-1.73004E-2</v>
      </c>
      <c r="AT122" s="22">
        <v>112</v>
      </c>
      <c r="AU122" s="22">
        <v>1.18469</v>
      </c>
      <c r="AV122">
        <f t="shared" si="20"/>
        <v>17.3004</v>
      </c>
      <c r="AW122">
        <f t="shared" si="21"/>
        <v>20.519485427999999</v>
      </c>
      <c r="AX122" s="9"/>
      <c r="AY122" s="22">
        <v>0.46401999999999999</v>
      </c>
      <c r="AZ122" s="22">
        <v>46.771599999999999</v>
      </c>
      <c r="BA122" s="22">
        <v>-1.8084699999999999E-2</v>
      </c>
      <c r="BB122" s="22">
        <v>112</v>
      </c>
      <c r="BC122" s="22">
        <v>0.46301300000000001</v>
      </c>
      <c r="BD122">
        <f t="shared" si="22"/>
        <v>18.084699999999998</v>
      </c>
      <c r="BE122">
        <f t="shared" si="23"/>
        <v>8.3916624939999984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12.0335</v>
      </c>
      <c r="I123" s="22">
        <v>-1.7251599999999999E-2</v>
      </c>
      <c r="J123" s="22">
        <v>113</v>
      </c>
      <c r="K123" s="22">
        <v>1.18011</v>
      </c>
      <c r="L123">
        <f t="shared" si="12"/>
        <v>17.2516</v>
      </c>
      <c r="M123">
        <f t="shared" si="13"/>
        <v>20.374657148000001</v>
      </c>
      <c r="N123" s="9"/>
      <c r="O123" s="22">
        <v>0.469055</v>
      </c>
      <c r="P123" s="22">
        <v>24.921199999999999</v>
      </c>
      <c r="Q123" s="22">
        <v>-1.8075600000000001E-2</v>
      </c>
      <c r="R123" s="22">
        <v>113</v>
      </c>
      <c r="S123" s="22">
        <v>0.46829199999999999</v>
      </c>
      <c r="T123">
        <f t="shared" si="14"/>
        <v>18.075600000000001</v>
      </c>
      <c r="U123">
        <f t="shared" si="15"/>
        <v>8.4784505580000005</v>
      </c>
      <c r="X123" s="9"/>
      <c r="Y123" s="22">
        <v>1.18103</v>
      </c>
      <c r="Z123" s="22">
        <v>32.3048</v>
      </c>
      <c r="AA123" s="22">
        <v>-1.7309600000000001E-2</v>
      </c>
      <c r="AB123" s="22">
        <v>113</v>
      </c>
      <c r="AC123" s="22">
        <v>1.17981</v>
      </c>
      <c r="AD123">
        <f t="shared" si="16"/>
        <v>17.3096</v>
      </c>
      <c r="AE123">
        <f t="shared" si="17"/>
        <v>20.443156888000001</v>
      </c>
      <c r="AF123" s="9"/>
      <c r="AG123" s="22">
        <v>0.469055</v>
      </c>
      <c r="AH123" s="22">
        <v>37.208399999999997</v>
      </c>
      <c r="AI123" s="22">
        <v>-1.8087800000000001E-2</v>
      </c>
      <c r="AJ123" s="22">
        <v>113</v>
      </c>
      <c r="AK123" s="22">
        <v>0.46804800000000002</v>
      </c>
      <c r="AL123">
        <f t="shared" si="18"/>
        <v>18.087800000000001</v>
      </c>
      <c r="AM123">
        <f t="shared" si="19"/>
        <v>8.4841730290000008</v>
      </c>
      <c r="AP123" s="9"/>
      <c r="AQ123" s="22">
        <v>1.18103</v>
      </c>
      <c r="AR123" s="22">
        <v>42.042000000000002</v>
      </c>
      <c r="AS123" s="22">
        <v>-1.7303499999999999E-2</v>
      </c>
      <c r="AT123" s="22">
        <v>113</v>
      </c>
      <c r="AU123" s="22">
        <v>1.18042</v>
      </c>
      <c r="AV123">
        <f t="shared" si="20"/>
        <v>17.3035</v>
      </c>
      <c r="AW123">
        <f t="shared" si="21"/>
        <v>20.435952605000001</v>
      </c>
      <c r="AX123" s="9"/>
      <c r="AY123" s="22">
        <v>0.469055</v>
      </c>
      <c r="AZ123" s="22">
        <v>46.781599999999997</v>
      </c>
      <c r="BA123" s="22">
        <v>-1.80786E-2</v>
      </c>
      <c r="BB123" s="22">
        <v>113</v>
      </c>
      <c r="BC123" s="22">
        <v>0.46847499999999997</v>
      </c>
      <c r="BD123">
        <f t="shared" si="22"/>
        <v>18.078600000000002</v>
      </c>
      <c r="BE123">
        <f t="shared" si="23"/>
        <v>8.4798577230000003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12.0435</v>
      </c>
      <c r="I124" s="22">
        <v>-1.7257700000000001E-2</v>
      </c>
      <c r="J124" s="22">
        <v>114</v>
      </c>
      <c r="K124" s="22">
        <v>1.17432</v>
      </c>
      <c r="L124">
        <f t="shared" si="12"/>
        <v>17.2577</v>
      </c>
      <c r="M124">
        <f t="shared" si="13"/>
        <v>20.294882623000003</v>
      </c>
      <c r="N124" s="9"/>
      <c r="O124" s="22">
        <v>0.47409099999999998</v>
      </c>
      <c r="P124" s="22">
        <v>24.9313</v>
      </c>
      <c r="Q124" s="22">
        <v>-1.8075600000000001E-2</v>
      </c>
      <c r="R124" s="22">
        <v>114</v>
      </c>
      <c r="S124" s="22">
        <v>0.47320600000000002</v>
      </c>
      <c r="T124">
        <f t="shared" si="14"/>
        <v>18.075600000000001</v>
      </c>
      <c r="U124">
        <f t="shared" si="15"/>
        <v>8.5694792796000012</v>
      </c>
      <c r="X124" s="9"/>
      <c r="Y124" s="22">
        <v>1.1759900000000001</v>
      </c>
      <c r="Z124" s="22">
        <v>32.314900000000002</v>
      </c>
      <c r="AA124" s="22">
        <v>-1.7318699999999999E-2</v>
      </c>
      <c r="AB124" s="22">
        <v>114</v>
      </c>
      <c r="AC124" s="22">
        <v>1.17462</v>
      </c>
      <c r="AD124">
        <f t="shared" si="16"/>
        <v>17.3187</v>
      </c>
      <c r="AE124">
        <f t="shared" si="17"/>
        <v>20.366618013</v>
      </c>
      <c r="AF124" s="9"/>
      <c r="AG124" s="22">
        <v>0.47409099999999998</v>
      </c>
      <c r="AH124" s="22">
        <v>37.218499999999999</v>
      </c>
      <c r="AI124" s="22">
        <v>-1.8081699999999999E-2</v>
      </c>
      <c r="AJ124" s="22">
        <v>114</v>
      </c>
      <c r="AK124" s="22">
        <v>0.47354099999999999</v>
      </c>
      <c r="AL124">
        <f t="shared" si="18"/>
        <v>18.081699999999998</v>
      </c>
      <c r="AM124">
        <f t="shared" si="19"/>
        <v>8.5723712346999985</v>
      </c>
      <c r="AP124" s="9"/>
      <c r="AQ124" s="22">
        <v>1.1759900000000001</v>
      </c>
      <c r="AR124" s="22">
        <v>42.052100000000003</v>
      </c>
      <c r="AS124" s="22">
        <v>-1.7309600000000001E-2</v>
      </c>
      <c r="AT124" s="22">
        <v>114</v>
      </c>
      <c r="AU124" s="22">
        <v>1.17493</v>
      </c>
      <c r="AV124">
        <f t="shared" si="20"/>
        <v>17.3096</v>
      </c>
      <c r="AW124">
        <f t="shared" si="21"/>
        <v>20.355916504</v>
      </c>
      <c r="AX124" s="9"/>
      <c r="AY124" s="22">
        <v>0.47409099999999998</v>
      </c>
      <c r="AZ124" s="22">
        <v>46.791699999999999</v>
      </c>
      <c r="BA124" s="22">
        <v>-1.8075600000000001E-2</v>
      </c>
      <c r="BB124" s="22">
        <v>114</v>
      </c>
      <c r="BC124" s="22">
        <v>0.47326699999999999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12.053599999999999</v>
      </c>
      <c r="I125" s="22">
        <v>-1.7263799999999999E-2</v>
      </c>
      <c r="J125" s="22">
        <v>115</v>
      </c>
      <c r="K125" s="22">
        <v>1.17004</v>
      </c>
      <c r="L125">
        <f t="shared" si="12"/>
        <v>17.2638</v>
      </c>
      <c r="M125">
        <f t="shared" si="13"/>
        <v>20.215219248</v>
      </c>
      <c r="N125" s="9"/>
      <c r="O125" s="22">
        <v>0.479126</v>
      </c>
      <c r="P125" s="22">
        <v>24.941299999999998</v>
      </c>
      <c r="Q125" s="22">
        <v>-1.8072499999999998E-2</v>
      </c>
      <c r="R125" s="22">
        <v>115</v>
      </c>
      <c r="S125" s="22">
        <v>0.47817999999999999</v>
      </c>
      <c r="T125">
        <f t="shared" si="14"/>
        <v>18.072499999999998</v>
      </c>
      <c r="U125">
        <f t="shared" si="15"/>
        <v>8.6590046349999987</v>
      </c>
      <c r="X125" s="9"/>
      <c r="Y125" s="22">
        <v>1.17096</v>
      </c>
      <c r="Z125" s="22">
        <v>32.325000000000003</v>
      </c>
      <c r="AA125" s="22">
        <v>-1.73279E-2</v>
      </c>
      <c r="AB125" s="22">
        <v>115</v>
      </c>
      <c r="AC125" s="22">
        <v>1.16974</v>
      </c>
      <c r="AD125">
        <f t="shared" si="16"/>
        <v>17.3279</v>
      </c>
      <c r="AE125">
        <f t="shared" si="17"/>
        <v>20.290277784000001</v>
      </c>
      <c r="AF125" s="9"/>
      <c r="AG125" s="22">
        <v>0.479126</v>
      </c>
      <c r="AH125" s="22">
        <v>37.2286</v>
      </c>
      <c r="AI125" s="22">
        <v>-1.80786E-2</v>
      </c>
      <c r="AJ125" s="22">
        <v>115</v>
      </c>
      <c r="AK125" s="22">
        <v>0.47872900000000002</v>
      </c>
      <c r="AL125">
        <f t="shared" si="18"/>
        <v>18.078600000000002</v>
      </c>
      <c r="AM125">
        <f t="shared" si="19"/>
        <v>8.6619273036000006</v>
      </c>
      <c r="AP125" s="9"/>
      <c r="AQ125" s="22">
        <v>1.17096</v>
      </c>
      <c r="AR125" s="22">
        <v>42.062199999999997</v>
      </c>
      <c r="AS125" s="22">
        <v>-1.73157E-2</v>
      </c>
      <c r="AT125" s="22">
        <v>115</v>
      </c>
      <c r="AU125" s="22">
        <v>1.17004</v>
      </c>
      <c r="AV125">
        <f t="shared" si="20"/>
        <v>17.3157</v>
      </c>
      <c r="AW125">
        <f t="shared" si="21"/>
        <v>20.275992072000001</v>
      </c>
      <c r="AX125" s="9"/>
      <c r="AY125" s="22">
        <v>0.479126</v>
      </c>
      <c r="AZ125" s="22">
        <v>46.8018</v>
      </c>
      <c r="BA125" s="22">
        <v>-1.8072499999999998E-2</v>
      </c>
      <c r="BB125" s="22">
        <v>115</v>
      </c>
      <c r="BC125" s="22">
        <v>0.47918699999999997</v>
      </c>
      <c r="BD125">
        <f t="shared" si="22"/>
        <v>18.072499999999998</v>
      </c>
      <c r="BE125">
        <f t="shared" si="23"/>
        <v>8.6590046349999987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12.063700000000001</v>
      </c>
      <c r="I126" s="22">
        <v>-1.7272900000000001E-2</v>
      </c>
      <c r="J126" s="22">
        <v>116</v>
      </c>
      <c r="K126" s="22">
        <v>1.16516</v>
      </c>
      <c r="L126">
        <f t="shared" si="12"/>
        <v>17.2729</v>
      </c>
      <c r="M126">
        <f t="shared" si="13"/>
        <v>20.138819568000002</v>
      </c>
      <c r="N126" s="9"/>
      <c r="O126" s="22">
        <v>0.48416100000000001</v>
      </c>
      <c r="P126" s="22">
        <v>24.9514</v>
      </c>
      <c r="Q126" s="22">
        <v>-1.80634E-2</v>
      </c>
      <c r="R126" s="22">
        <v>116</v>
      </c>
      <c r="S126" s="22">
        <v>0.48324600000000001</v>
      </c>
      <c r="T126">
        <f t="shared" si="14"/>
        <v>18.063400000000001</v>
      </c>
      <c r="U126">
        <f t="shared" si="15"/>
        <v>8.7455938074000006</v>
      </c>
      <c r="X126" s="9"/>
      <c r="Y126" s="22">
        <v>1.1659200000000001</v>
      </c>
      <c r="Z126" s="22">
        <v>32.335000000000001</v>
      </c>
      <c r="AA126" s="22">
        <v>-1.7333999999999999E-2</v>
      </c>
      <c r="AB126" s="22">
        <v>116</v>
      </c>
      <c r="AC126" s="22">
        <v>1.16425</v>
      </c>
      <c r="AD126">
        <f t="shared" si="16"/>
        <v>17.334</v>
      </c>
      <c r="AE126">
        <f t="shared" si="17"/>
        <v>20.210057280000001</v>
      </c>
      <c r="AF126" s="9"/>
      <c r="AG126" s="22">
        <v>0.48416100000000001</v>
      </c>
      <c r="AH126" s="22">
        <v>37.238700000000001</v>
      </c>
      <c r="AI126" s="22">
        <v>-1.8075600000000001E-2</v>
      </c>
      <c r="AJ126" s="22">
        <v>116</v>
      </c>
      <c r="AK126" s="22">
        <v>0.484039</v>
      </c>
      <c r="AL126">
        <f t="shared" si="18"/>
        <v>18.075600000000001</v>
      </c>
      <c r="AM126">
        <f t="shared" si="19"/>
        <v>8.7515005716000012</v>
      </c>
      <c r="AP126" s="9"/>
      <c r="AQ126" s="22">
        <v>1.1659200000000001</v>
      </c>
      <c r="AR126" s="22">
        <v>42.072200000000002</v>
      </c>
      <c r="AS126" s="22">
        <v>-1.7318699999999999E-2</v>
      </c>
      <c r="AT126" s="22">
        <v>116</v>
      </c>
      <c r="AU126" s="22">
        <v>1.16486</v>
      </c>
      <c r="AV126">
        <f t="shared" si="20"/>
        <v>17.3187</v>
      </c>
      <c r="AW126">
        <f t="shared" si="21"/>
        <v>20.192218704000002</v>
      </c>
      <c r="AX126" s="9"/>
      <c r="AY126" s="22">
        <v>0.48416100000000001</v>
      </c>
      <c r="AZ126" s="22">
        <v>46.811900000000001</v>
      </c>
      <c r="BA126" s="22">
        <v>-1.8069499999999999E-2</v>
      </c>
      <c r="BB126" s="22">
        <v>116</v>
      </c>
      <c r="BC126" s="22">
        <v>0.48352099999999998</v>
      </c>
      <c r="BD126">
        <f t="shared" si="22"/>
        <v>18.069499999999998</v>
      </c>
      <c r="BE126">
        <f t="shared" si="23"/>
        <v>8.7485471895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12.073700000000001</v>
      </c>
      <c r="I127" s="22">
        <v>-1.7276E-2</v>
      </c>
      <c r="J127" s="22">
        <v>117</v>
      </c>
      <c r="K127" s="22">
        <v>1.1599699999999999</v>
      </c>
      <c r="L127">
        <f t="shared" si="12"/>
        <v>17.276</v>
      </c>
      <c r="M127">
        <f t="shared" si="13"/>
        <v>20.055535639999999</v>
      </c>
      <c r="N127" s="9"/>
      <c r="O127" s="22">
        <v>0.48919699999999999</v>
      </c>
      <c r="P127" s="22">
        <v>24.961500000000001</v>
      </c>
      <c r="Q127" s="22">
        <v>-1.8057299999999998E-2</v>
      </c>
      <c r="R127" s="22">
        <v>117</v>
      </c>
      <c r="S127" s="22">
        <v>0.48861700000000002</v>
      </c>
      <c r="T127">
        <f t="shared" si="14"/>
        <v>18.057299999999998</v>
      </c>
      <c r="U127">
        <f t="shared" si="15"/>
        <v>8.833576988099999</v>
      </c>
      <c r="X127" s="9"/>
      <c r="Y127" s="22">
        <v>1.16089</v>
      </c>
      <c r="Z127" s="22">
        <v>32.345100000000002</v>
      </c>
      <c r="AA127" s="22">
        <v>-1.7340100000000001E-2</v>
      </c>
      <c r="AB127" s="22">
        <v>117</v>
      </c>
      <c r="AC127" s="22">
        <v>1.1599699999999999</v>
      </c>
      <c r="AD127">
        <f t="shared" si="16"/>
        <v>17.3401</v>
      </c>
      <c r="AE127">
        <f t="shared" si="17"/>
        <v>20.129948688999999</v>
      </c>
      <c r="AF127" s="9"/>
      <c r="AG127" s="22">
        <v>0.48919699999999999</v>
      </c>
      <c r="AH127" s="22">
        <v>37.248699999999999</v>
      </c>
      <c r="AI127" s="22">
        <v>-1.8072499999999998E-2</v>
      </c>
      <c r="AJ127" s="22">
        <v>117</v>
      </c>
      <c r="AK127" s="22">
        <v>0.488373</v>
      </c>
      <c r="AL127">
        <f t="shared" si="18"/>
        <v>18.072499999999998</v>
      </c>
      <c r="AM127">
        <f t="shared" si="19"/>
        <v>8.8410127824999982</v>
      </c>
      <c r="AP127" s="9"/>
      <c r="AQ127" s="22">
        <v>1.16089</v>
      </c>
      <c r="AR127" s="22">
        <v>42.082299999999996</v>
      </c>
      <c r="AS127" s="22">
        <v>-1.73279E-2</v>
      </c>
      <c r="AT127" s="22">
        <v>117</v>
      </c>
      <c r="AU127" s="22">
        <v>1.15967</v>
      </c>
      <c r="AV127">
        <f t="shared" si="20"/>
        <v>17.3279</v>
      </c>
      <c r="AW127">
        <f t="shared" si="21"/>
        <v>20.115785831</v>
      </c>
      <c r="AX127" s="9"/>
      <c r="AY127" s="22">
        <v>0.48919699999999999</v>
      </c>
      <c r="AZ127" s="22">
        <v>46.821899999999999</v>
      </c>
      <c r="BA127" s="22">
        <v>-1.80634E-2</v>
      </c>
      <c r="BB127" s="22">
        <v>117</v>
      </c>
      <c r="BC127" s="22">
        <v>0.48843399999999998</v>
      </c>
      <c r="BD127">
        <f t="shared" si="22"/>
        <v>18.063400000000001</v>
      </c>
      <c r="BE127">
        <f t="shared" si="23"/>
        <v>8.8365610898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12.0838</v>
      </c>
      <c r="I128" s="22">
        <v>-1.7279099999999999E-2</v>
      </c>
      <c r="J128" s="22">
        <v>118</v>
      </c>
      <c r="K128" s="22">
        <v>1.15448</v>
      </c>
      <c r="L128">
        <f t="shared" si="12"/>
        <v>17.2791</v>
      </c>
      <c r="M128">
        <f t="shared" si="13"/>
        <v>19.972047735</v>
      </c>
      <c r="N128" s="9"/>
      <c r="O128" s="22">
        <v>0.494232</v>
      </c>
      <c r="P128" s="22">
        <v>24.971599999999999</v>
      </c>
      <c r="Q128" s="22">
        <v>-1.80511E-2</v>
      </c>
      <c r="R128" s="22">
        <v>118</v>
      </c>
      <c r="S128" s="22">
        <v>0.49313400000000002</v>
      </c>
      <c r="T128">
        <f t="shared" si="14"/>
        <v>18.051100000000002</v>
      </c>
      <c r="U128">
        <f t="shared" si="15"/>
        <v>8.9214312552000017</v>
      </c>
      <c r="X128" s="9"/>
      <c r="Y128" s="22">
        <v>1.15585</v>
      </c>
      <c r="Z128" s="22">
        <v>32.355200000000004</v>
      </c>
      <c r="AA128" s="22">
        <v>-1.7346199999999999E-2</v>
      </c>
      <c r="AB128" s="22">
        <v>118</v>
      </c>
      <c r="AC128" s="22">
        <v>1.15479</v>
      </c>
      <c r="AD128">
        <f t="shared" si="16"/>
        <v>17.3462</v>
      </c>
      <c r="AE128">
        <f t="shared" si="17"/>
        <v>20.049605270000001</v>
      </c>
      <c r="AF128" s="9"/>
      <c r="AG128" s="22">
        <v>0.494232</v>
      </c>
      <c r="AH128" s="22">
        <v>37.258800000000001</v>
      </c>
      <c r="AI128" s="22">
        <v>-1.8069499999999999E-2</v>
      </c>
      <c r="AJ128" s="22">
        <v>118</v>
      </c>
      <c r="AK128" s="22">
        <v>0.49395800000000001</v>
      </c>
      <c r="AL128">
        <f t="shared" si="18"/>
        <v>18.069499999999998</v>
      </c>
      <c r="AM128">
        <f t="shared" si="19"/>
        <v>8.930525123999999</v>
      </c>
      <c r="AP128" s="9"/>
      <c r="AQ128" s="22">
        <v>1.15585</v>
      </c>
      <c r="AR128" s="22">
        <v>42.092399999999998</v>
      </c>
      <c r="AS128" s="22">
        <v>-1.7337000000000002E-2</v>
      </c>
      <c r="AT128" s="22">
        <v>118</v>
      </c>
      <c r="AU128" s="22">
        <v>1.15479</v>
      </c>
      <c r="AV128">
        <f t="shared" si="20"/>
        <v>17.337000000000003</v>
      </c>
      <c r="AW128">
        <f t="shared" si="21"/>
        <v>20.038971450000005</v>
      </c>
      <c r="AX128" s="9"/>
      <c r="AY128" s="22">
        <v>0.494232</v>
      </c>
      <c r="AZ128" s="22">
        <v>46.832000000000001</v>
      </c>
      <c r="BA128" s="22">
        <v>-1.8060300000000001E-2</v>
      </c>
      <c r="BB128" s="22">
        <v>118</v>
      </c>
      <c r="BC128" s="22">
        <v>0.49368299999999998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12.0939</v>
      </c>
      <c r="I129" s="22">
        <v>-1.72882E-2</v>
      </c>
      <c r="J129" s="22">
        <v>119</v>
      </c>
      <c r="K129" s="22">
        <v>1.1492899999999999</v>
      </c>
      <c r="L129">
        <f t="shared" si="12"/>
        <v>17.2882</v>
      </c>
      <c r="M129">
        <f t="shared" si="13"/>
        <v>19.895606323999999</v>
      </c>
      <c r="N129" s="9"/>
      <c r="O129" s="22">
        <v>0.49926799999999999</v>
      </c>
      <c r="P129" s="22">
        <v>24.9816</v>
      </c>
      <c r="Q129" s="22">
        <v>-1.8044999999999999E-2</v>
      </c>
      <c r="R129" s="22">
        <v>119</v>
      </c>
      <c r="S129" s="22">
        <v>0.49859599999999998</v>
      </c>
      <c r="T129">
        <f t="shared" si="14"/>
        <v>18.044999999999998</v>
      </c>
      <c r="U129">
        <f t="shared" si="15"/>
        <v>9.0092910599999989</v>
      </c>
      <c r="X129" s="9"/>
      <c r="Y129" s="22">
        <v>1.15082</v>
      </c>
      <c r="Z129" s="22">
        <v>32.365299999999998</v>
      </c>
      <c r="AA129" s="22">
        <v>-1.7352300000000001E-2</v>
      </c>
      <c r="AB129" s="22">
        <v>119</v>
      </c>
      <c r="AC129" s="22">
        <v>1.1498999999999999</v>
      </c>
      <c r="AD129">
        <f t="shared" si="16"/>
        <v>17.3523</v>
      </c>
      <c r="AE129">
        <f t="shared" si="17"/>
        <v>19.969373886</v>
      </c>
      <c r="AF129" s="9"/>
      <c r="AG129" s="22">
        <v>0.49926799999999999</v>
      </c>
      <c r="AH129" s="22">
        <v>37.268900000000002</v>
      </c>
      <c r="AI129" s="22">
        <v>-1.8069499999999999E-2</v>
      </c>
      <c r="AJ129" s="22">
        <v>119</v>
      </c>
      <c r="AK129" s="22">
        <v>0.49853500000000001</v>
      </c>
      <c r="AL129">
        <f t="shared" si="18"/>
        <v>18.069499999999998</v>
      </c>
      <c r="AM129">
        <f t="shared" si="19"/>
        <v>9.0215231259999982</v>
      </c>
      <c r="AP129" s="9"/>
      <c r="AQ129" s="22">
        <v>1.15082</v>
      </c>
      <c r="AR129" s="22">
        <v>42.102499999999999</v>
      </c>
      <c r="AS129" s="22">
        <v>-1.7346199999999999E-2</v>
      </c>
      <c r="AT129" s="22">
        <v>119</v>
      </c>
      <c r="AU129" s="22">
        <v>1.1496</v>
      </c>
      <c r="AV129">
        <f t="shared" si="20"/>
        <v>17.3462</v>
      </c>
      <c r="AW129">
        <f t="shared" si="21"/>
        <v>19.962353883999999</v>
      </c>
      <c r="AX129" s="9"/>
      <c r="AY129" s="22">
        <v>0.49926799999999999</v>
      </c>
      <c r="AZ129" s="22">
        <v>46.842100000000002</v>
      </c>
      <c r="BA129" s="22">
        <v>-1.8057299999999998E-2</v>
      </c>
      <c r="BB129" s="22">
        <v>119</v>
      </c>
      <c r="BC129" s="22">
        <v>0.49877899999999997</v>
      </c>
      <c r="BD129">
        <f t="shared" si="22"/>
        <v>18.057299999999998</v>
      </c>
      <c r="BE129">
        <f t="shared" si="23"/>
        <v>9.0154320563999981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12.103899999999999</v>
      </c>
      <c r="I130" s="22">
        <v>-1.7294299999999999E-2</v>
      </c>
      <c r="J130" s="22">
        <v>120</v>
      </c>
      <c r="K130" s="22">
        <v>1.1447099999999999</v>
      </c>
      <c r="L130">
        <f t="shared" si="12"/>
        <v>17.2943</v>
      </c>
      <c r="M130">
        <f t="shared" si="13"/>
        <v>19.815463053999999</v>
      </c>
      <c r="N130" s="9"/>
      <c r="O130" s="22">
        <v>0.50430299999999995</v>
      </c>
      <c r="P130" s="22">
        <v>24.991700000000002</v>
      </c>
      <c r="Q130" s="22">
        <v>-1.8044999999999999E-2</v>
      </c>
      <c r="R130" s="22">
        <v>120</v>
      </c>
      <c r="S130" s="22">
        <v>0.50360099999999997</v>
      </c>
      <c r="T130">
        <f t="shared" si="14"/>
        <v>18.044999999999998</v>
      </c>
      <c r="U130">
        <f t="shared" si="15"/>
        <v>9.1001476349999972</v>
      </c>
      <c r="X130" s="9"/>
      <c r="Y130" s="22">
        <v>1.14578</v>
      </c>
      <c r="Z130" s="22">
        <v>32.375300000000003</v>
      </c>
      <c r="AA130" s="22">
        <v>-1.7355300000000001E-2</v>
      </c>
      <c r="AB130" s="22">
        <v>120</v>
      </c>
      <c r="AC130" s="22">
        <v>1.1450199999999999</v>
      </c>
      <c r="AD130">
        <f t="shared" si="16"/>
        <v>17.3553</v>
      </c>
      <c r="AE130">
        <f t="shared" si="17"/>
        <v>19.885355634</v>
      </c>
      <c r="AF130" s="9"/>
      <c r="AG130" s="22">
        <v>0.50430299999999995</v>
      </c>
      <c r="AH130" s="22">
        <v>37.2789</v>
      </c>
      <c r="AI130" s="22">
        <v>-1.80634E-2</v>
      </c>
      <c r="AJ130" s="22">
        <v>120</v>
      </c>
      <c r="AK130" s="22">
        <v>0.50384499999999999</v>
      </c>
      <c r="AL130">
        <f t="shared" si="18"/>
        <v>18.063400000000001</v>
      </c>
      <c r="AM130">
        <f t="shared" si="19"/>
        <v>9.1094268102000004</v>
      </c>
      <c r="AP130" s="9"/>
      <c r="AQ130" s="22">
        <v>1.14578</v>
      </c>
      <c r="AR130" s="22">
        <v>42.112499999999997</v>
      </c>
      <c r="AS130" s="22">
        <v>-1.7355300000000001E-2</v>
      </c>
      <c r="AT130" s="22">
        <v>120</v>
      </c>
      <c r="AU130" s="22">
        <v>1.1453199999999999</v>
      </c>
      <c r="AV130">
        <f t="shared" si="20"/>
        <v>17.3553</v>
      </c>
      <c r="AW130">
        <f t="shared" si="21"/>
        <v>19.885355634</v>
      </c>
      <c r="AX130" s="9"/>
      <c r="AY130" s="22">
        <v>0.50430299999999995</v>
      </c>
      <c r="AZ130" s="22">
        <v>46.8521</v>
      </c>
      <c r="BA130" s="22">
        <v>-1.8054199999999999E-2</v>
      </c>
      <c r="BB130" s="22">
        <v>120</v>
      </c>
      <c r="BC130" s="22">
        <v>0.50378400000000001</v>
      </c>
      <c r="BD130">
        <f t="shared" si="22"/>
        <v>18.054199999999998</v>
      </c>
      <c r="BE130">
        <f t="shared" si="23"/>
        <v>9.1047872225999988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12.114000000000001</v>
      </c>
      <c r="I131" s="22">
        <v>-1.73004E-2</v>
      </c>
      <c r="J131" s="22">
        <v>121</v>
      </c>
      <c r="K131" s="22">
        <v>1.1392199999999999</v>
      </c>
      <c r="L131">
        <f t="shared" si="12"/>
        <v>17.3004</v>
      </c>
      <c r="M131">
        <f t="shared" si="13"/>
        <v>19.735431299999998</v>
      </c>
      <c r="N131" s="9"/>
      <c r="O131" s="22">
        <v>0.50933799999999996</v>
      </c>
      <c r="P131" s="22">
        <v>25.001799999999999</v>
      </c>
      <c r="Q131" s="22">
        <v>-1.80389E-2</v>
      </c>
      <c r="R131" s="22">
        <v>121</v>
      </c>
      <c r="S131" s="22">
        <v>0.50824000000000003</v>
      </c>
      <c r="T131">
        <f t="shared" si="14"/>
        <v>18.038900000000002</v>
      </c>
      <c r="U131">
        <f t="shared" si="15"/>
        <v>9.1878972482000005</v>
      </c>
      <c r="X131" s="9"/>
      <c r="Y131" s="22">
        <v>1.1407499999999999</v>
      </c>
      <c r="Z131" s="22">
        <v>32.385399999999997</v>
      </c>
      <c r="AA131" s="22">
        <v>-1.7364500000000001E-2</v>
      </c>
      <c r="AB131" s="22">
        <v>121</v>
      </c>
      <c r="AC131" s="22">
        <v>1.1395299999999999</v>
      </c>
      <c r="AD131">
        <f t="shared" si="16"/>
        <v>17.364500000000003</v>
      </c>
      <c r="AE131">
        <f t="shared" si="17"/>
        <v>19.808553375000002</v>
      </c>
      <c r="AF131" s="9"/>
      <c r="AG131" s="22">
        <v>0.50933799999999996</v>
      </c>
      <c r="AH131" s="22">
        <v>37.289000000000001</v>
      </c>
      <c r="AI131" s="22">
        <v>-1.8057299999999998E-2</v>
      </c>
      <c r="AJ131" s="22">
        <v>121</v>
      </c>
      <c r="AK131" s="22">
        <v>0.50885000000000002</v>
      </c>
      <c r="AL131">
        <f t="shared" si="18"/>
        <v>18.057299999999998</v>
      </c>
      <c r="AM131">
        <f t="shared" si="19"/>
        <v>9.1972690673999988</v>
      </c>
      <c r="AP131" s="9"/>
      <c r="AQ131" s="22">
        <v>1.1407499999999999</v>
      </c>
      <c r="AR131" s="22">
        <v>42.122599999999998</v>
      </c>
      <c r="AS131" s="22">
        <v>-1.7361499999999998E-2</v>
      </c>
      <c r="AT131" s="22">
        <v>121</v>
      </c>
      <c r="AU131" s="22">
        <v>1.1404399999999999</v>
      </c>
      <c r="AV131">
        <f t="shared" si="20"/>
        <v>17.361499999999999</v>
      </c>
      <c r="AW131">
        <f t="shared" si="21"/>
        <v>19.805131124999999</v>
      </c>
      <c r="AX131" s="9"/>
      <c r="AY131" s="22">
        <v>0.50933799999999996</v>
      </c>
      <c r="AZ131" s="22">
        <v>46.862200000000001</v>
      </c>
      <c r="BA131" s="22">
        <v>-1.8044999999999999E-2</v>
      </c>
      <c r="BB131" s="22">
        <v>121</v>
      </c>
      <c r="BC131" s="22">
        <v>0.50872799999999996</v>
      </c>
      <c r="BD131">
        <f t="shared" si="22"/>
        <v>18.044999999999998</v>
      </c>
      <c r="BE131">
        <f t="shared" si="23"/>
        <v>9.1910042099999991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12.1241</v>
      </c>
      <c r="I132" s="22">
        <v>-1.7306499999999999E-2</v>
      </c>
      <c r="J132" s="22">
        <v>122</v>
      </c>
      <c r="K132" s="22">
        <v>1.1343399999999999</v>
      </c>
      <c r="L132">
        <f t="shared" si="12"/>
        <v>17.3065</v>
      </c>
      <c r="M132">
        <f t="shared" si="13"/>
        <v>19.655165114999999</v>
      </c>
      <c r="N132" s="9"/>
      <c r="O132" s="22">
        <v>0.514374</v>
      </c>
      <c r="P132" s="22">
        <v>25.011800000000001</v>
      </c>
      <c r="Q132" s="22">
        <v>-1.8035900000000001E-2</v>
      </c>
      <c r="R132" s="22">
        <v>122</v>
      </c>
      <c r="S132" s="22">
        <v>0.51364100000000001</v>
      </c>
      <c r="T132">
        <f t="shared" si="14"/>
        <v>18.035900000000002</v>
      </c>
      <c r="U132">
        <f t="shared" si="15"/>
        <v>9.2771980266000007</v>
      </c>
      <c r="X132" s="9"/>
      <c r="Y132" s="22">
        <v>1.13571</v>
      </c>
      <c r="Z132" s="22">
        <v>32.395499999999998</v>
      </c>
      <c r="AA132" s="22">
        <v>-1.73676E-2</v>
      </c>
      <c r="AB132" s="22">
        <v>122</v>
      </c>
      <c r="AC132" s="22">
        <v>1.1346400000000001</v>
      </c>
      <c r="AD132">
        <f t="shared" si="16"/>
        <v>17.367599999999999</v>
      </c>
      <c r="AE132">
        <f t="shared" si="17"/>
        <v>19.724556996</v>
      </c>
      <c r="AF132" s="9"/>
      <c r="AG132" s="22">
        <v>0.514374</v>
      </c>
      <c r="AH132" s="22">
        <v>37.299100000000003</v>
      </c>
      <c r="AI132" s="22">
        <v>-1.80511E-2</v>
      </c>
      <c r="AJ132" s="22">
        <v>122</v>
      </c>
      <c r="AK132" s="22">
        <v>0.51354999999999995</v>
      </c>
      <c r="AL132">
        <f t="shared" si="18"/>
        <v>18.051100000000002</v>
      </c>
      <c r="AM132">
        <f t="shared" si="19"/>
        <v>9.2850165114000003</v>
      </c>
      <c r="AP132" s="9"/>
      <c r="AQ132" s="22">
        <v>1.13571</v>
      </c>
      <c r="AR132" s="22">
        <v>42.1327</v>
      </c>
      <c r="AS132" s="22">
        <v>-1.73706E-2</v>
      </c>
      <c r="AT132" s="22">
        <v>122</v>
      </c>
      <c r="AU132" s="22">
        <v>1.1352500000000001</v>
      </c>
      <c r="AV132">
        <f t="shared" si="20"/>
        <v>17.3706</v>
      </c>
      <c r="AW132">
        <f t="shared" si="21"/>
        <v>19.727964126</v>
      </c>
      <c r="AX132" s="9"/>
      <c r="AY132" s="22">
        <v>0.514374</v>
      </c>
      <c r="AZ132" s="22">
        <v>46.872300000000003</v>
      </c>
      <c r="BA132" s="22">
        <v>-1.8041999999999999E-2</v>
      </c>
      <c r="BB132" s="22">
        <v>122</v>
      </c>
      <c r="BC132" s="22">
        <v>0.51382399999999995</v>
      </c>
      <c r="BD132">
        <f t="shared" si="22"/>
        <v>18.041999999999998</v>
      </c>
      <c r="BE132">
        <f t="shared" si="23"/>
        <v>9.2803357079999991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12.1342</v>
      </c>
      <c r="I133" s="22">
        <v>-1.7312600000000001E-2</v>
      </c>
      <c r="J133" s="22">
        <v>123</v>
      </c>
      <c r="K133" s="22">
        <v>1.1294599999999999</v>
      </c>
      <c r="L133">
        <f t="shared" si="12"/>
        <v>17.3126</v>
      </c>
      <c r="M133">
        <f t="shared" si="13"/>
        <v>19.575010568</v>
      </c>
      <c r="N133" s="9"/>
      <c r="O133" s="22">
        <v>0.51940900000000001</v>
      </c>
      <c r="P133" s="22">
        <v>25.021899999999999</v>
      </c>
      <c r="Q133" s="22">
        <v>-1.80267E-2</v>
      </c>
      <c r="R133" s="22">
        <v>123</v>
      </c>
      <c r="S133" s="22">
        <v>0.51846300000000001</v>
      </c>
      <c r="T133">
        <f t="shared" si="14"/>
        <v>18.026699999999998</v>
      </c>
      <c r="U133">
        <f t="shared" si="15"/>
        <v>9.3632302202999984</v>
      </c>
      <c r="X133" s="9"/>
      <c r="Y133" s="22">
        <v>1.1306799999999999</v>
      </c>
      <c r="Z133" s="22">
        <v>32.405500000000004</v>
      </c>
      <c r="AA133" s="22">
        <v>-1.73706E-2</v>
      </c>
      <c r="AB133" s="22">
        <v>123</v>
      </c>
      <c r="AC133" s="22">
        <v>1.1303700000000001</v>
      </c>
      <c r="AD133">
        <f t="shared" si="16"/>
        <v>17.3706</v>
      </c>
      <c r="AE133">
        <f t="shared" si="17"/>
        <v>19.640590007999997</v>
      </c>
      <c r="AF133" s="9"/>
      <c r="AG133" s="22">
        <v>0.51940900000000001</v>
      </c>
      <c r="AH133" s="22">
        <v>37.309199999999997</v>
      </c>
      <c r="AI133" s="22">
        <v>-1.8044999999999999E-2</v>
      </c>
      <c r="AJ133" s="22">
        <v>123</v>
      </c>
      <c r="AK133" s="22">
        <v>0.51895100000000005</v>
      </c>
      <c r="AL133">
        <f t="shared" si="18"/>
        <v>18.044999999999998</v>
      </c>
      <c r="AM133">
        <f t="shared" si="19"/>
        <v>9.3727354049999985</v>
      </c>
      <c r="AP133" s="9"/>
      <c r="AQ133" s="22">
        <v>1.1306799999999999</v>
      </c>
      <c r="AR133" s="22">
        <v>42.142699999999998</v>
      </c>
      <c r="AS133" s="22">
        <v>-1.7373699999999999E-2</v>
      </c>
      <c r="AT133" s="22">
        <v>123</v>
      </c>
      <c r="AU133" s="22">
        <v>1.1303700000000001</v>
      </c>
      <c r="AV133">
        <f t="shared" si="20"/>
        <v>17.373699999999999</v>
      </c>
      <c r="AW133">
        <f t="shared" si="21"/>
        <v>19.644095115999999</v>
      </c>
      <c r="AX133" s="9"/>
      <c r="AY133" s="22">
        <v>0.51940900000000001</v>
      </c>
      <c r="AZ133" s="22">
        <v>46.882399999999997</v>
      </c>
      <c r="BA133" s="22">
        <v>-1.8035900000000001E-2</v>
      </c>
      <c r="BB133" s="22">
        <v>123</v>
      </c>
      <c r="BC133" s="22">
        <v>0.51898200000000005</v>
      </c>
      <c r="BD133">
        <f t="shared" si="22"/>
        <v>18.035900000000002</v>
      </c>
      <c r="BE133">
        <f t="shared" si="23"/>
        <v>9.3680087831000005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12.1442</v>
      </c>
      <c r="I134" s="22">
        <v>-1.7318699999999999E-2</v>
      </c>
      <c r="J134" s="22">
        <v>124</v>
      </c>
      <c r="K134" s="22">
        <v>1.1245700000000001</v>
      </c>
      <c r="L134">
        <f t="shared" si="12"/>
        <v>17.3187</v>
      </c>
      <c r="M134">
        <f t="shared" si="13"/>
        <v>19.494621467999998</v>
      </c>
      <c r="N134" s="9"/>
      <c r="O134" s="22">
        <v>0.52444500000000005</v>
      </c>
      <c r="P134" s="22">
        <v>25.032</v>
      </c>
      <c r="Q134" s="22">
        <v>-1.80237E-2</v>
      </c>
      <c r="R134" s="22">
        <v>124</v>
      </c>
      <c r="S134" s="22">
        <v>0.52374299999999996</v>
      </c>
      <c r="T134">
        <f t="shared" si="14"/>
        <v>18.023700000000002</v>
      </c>
      <c r="U134">
        <f t="shared" si="15"/>
        <v>9.4524393465000021</v>
      </c>
      <c r="X134" s="9"/>
      <c r="Y134" s="22">
        <v>1.12564</v>
      </c>
      <c r="Z134" s="22">
        <v>32.415599999999998</v>
      </c>
      <c r="AA134" s="22">
        <v>-1.7376699999999998E-2</v>
      </c>
      <c r="AB134" s="22">
        <v>124</v>
      </c>
      <c r="AC134" s="22">
        <v>1.1242700000000001</v>
      </c>
      <c r="AD134">
        <f t="shared" si="16"/>
        <v>17.3767</v>
      </c>
      <c r="AE134">
        <f t="shared" si="17"/>
        <v>19.559908587999999</v>
      </c>
      <c r="AF134" s="9"/>
      <c r="AG134" s="22">
        <v>0.52444500000000005</v>
      </c>
      <c r="AH134" s="22">
        <v>37.319200000000002</v>
      </c>
      <c r="AI134" s="22">
        <v>-1.8044999999999999E-2</v>
      </c>
      <c r="AJ134" s="22">
        <v>124</v>
      </c>
      <c r="AK134" s="22">
        <v>0.52386500000000003</v>
      </c>
      <c r="AL134">
        <f t="shared" si="18"/>
        <v>18.044999999999998</v>
      </c>
      <c r="AM134">
        <f t="shared" si="19"/>
        <v>9.4636100249999995</v>
      </c>
      <c r="AP134" s="9"/>
      <c r="AQ134" s="22">
        <v>1.12564</v>
      </c>
      <c r="AR134" s="22">
        <v>42.152799999999999</v>
      </c>
      <c r="AS134" s="22">
        <v>-1.7376699999999998E-2</v>
      </c>
      <c r="AT134" s="22">
        <v>124</v>
      </c>
      <c r="AU134" s="22">
        <v>1.1248800000000001</v>
      </c>
      <c r="AV134">
        <f t="shared" si="20"/>
        <v>17.3767</v>
      </c>
      <c r="AW134">
        <f t="shared" si="21"/>
        <v>19.559908587999999</v>
      </c>
      <c r="AX134" s="9"/>
      <c r="AY134" s="22">
        <v>0.52444500000000005</v>
      </c>
      <c r="AZ134" s="22">
        <v>46.892400000000002</v>
      </c>
      <c r="BA134" s="22">
        <v>-1.8032800000000002E-2</v>
      </c>
      <c r="BB134" s="22">
        <v>124</v>
      </c>
      <c r="BC134" s="22">
        <v>0.52383400000000002</v>
      </c>
      <c r="BD134">
        <f t="shared" si="22"/>
        <v>18.032800000000002</v>
      </c>
      <c r="BE134">
        <f t="shared" si="23"/>
        <v>9.4572117960000011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12.154299999999999</v>
      </c>
      <c r="I135" s="22">
        <v>-1.7324800000000001E-2</v>
      </c>
      <c r="J135" s="22">
        <v>125</v>
      </c>
      <c r="K135" s="22">
        <v>1.11938</v>
      </c>
      <c r="L135">
        <f t="shared" si="12"/>
        <v>17.3248</v>
      </c>
      <c r="M135">
        <f t="shared" si="13"/>
        <v>19.414344128000003</v>
      </c>
      <c r="N135" s="9"/>
      <c r="O135" s="22">
        <v>0.52947999999999995</v>
      </c>
      <c r="P135" s="22">
        <v>25.042100000000001</v>
      </c>
      <c r="Q135" s="22">
        <v>-1.8020600000000001E-2</v>
      </c>
      <c r="R135" s="22">
        <v>125</v>
      </c>
      <c r="S135" s="22">
        <v>0.529053</v>
      </c>
      <c r="T135">
        <f t="shared" si="14"/>
        <v>18.020600000000002</v>
      </c>
      <c r="U135">
        <f t="shared" si="15"/>
        <v>9.5415472880000003</v>
      </c>
      <c r="X135" s="9"/>
      <c r="Y135" s="22">
        <v>1.1206100000000001</v>
      </c>
      <c r="Z135" s="22">
        <v>32.425699999999999</v>
      </c>
      <c r="AA135" s="22">
        <v>-1.7388899999999999E-2</v>
      </c>
      <c r="AB135" s="22">
        <v>125</v>
      </c>
      <c r="AC135" s="22">
        <v>1.1190800000000001</v>
      </c>
      <c r="AD135">
        <f t="shared" si="16"/>
        <v>17.3889</v>
      </c>
      <c r="AE135">
        <f t="shared" si="17"/>
        <v>19.486175229000001</v>
      </c>
      <c r="AF135" s="9"/>
      <c r="AG135" s="22">
        <v>0.52947999999999995</v>
      </c>
      <c r="AH135" s="22">
        <v>37.329300000000003</v>
      </c>
      <c r="AI135" s="22">
        <v>-1.8041999999999999E-2</v>
      </c>
      <c r="AJ135" s="22">
        <v>125</v>
      </c>
      <c r="AK135" s="22">
        <v>0.52880899999999997</v>
      </c>
      <c r="AL135">
        <f t="shared" si="18"/>
        <v>18.041999999999998</v>
      </c>
      <c r="AM135">
        <f t="shared" si="19"/>
        <v>9.5528781599999988</v>
      </c>
      <c r="AP135" s="9"/>
      <c r="AQ135" s="22">
        <v>1.1206100000000001</v>
      </c>
      <c r="AR135" s="22">
        <v>42.1629</v>
      </c>
      <c r="AS135" s="22">
        <v>-1.7385899999999999E-2</v>
      </c>
      <c r="AT135" s="22">
        <v>125</v>
      </c>
      <c r="AU135" s="22">
        <v>1.1196900000000001</v>
      </c>
      <c r="AV135">
        <f t="shared" si="20"/>
        <v>17.385899999999999</v>
      </c>
      <c r="AW135">
        <f t="shared" si="21"/>
        <v>19.482813399000001</v>
      </c>
      <c r="AX135" s="9"/>
      <c r="AY135" s="22">
        <v>0.52947999999999995</v>
      </c>
      <c r="AZ135" s="22">
        <v>46.902500000000003</v>
      </c>
      <c r="BA135" s="22">
        <v>-1.8029799999999999E-2</v>
      </c>
      <c r="BB135" s="22">
        <v>125</v>
      </c>
      <c r="BC135" s="22">
        <v>0.52899200000000002</v>
      </c>
      <c r="BD135">
        <f t="shared" si="22"/>
        <v>18.029799999999998</v>
      </c>
      <c r="BE135">
        <f t="shared" si="23"/>
        <v>9.5464185039999983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12.164400000000001</v>
      </c>
      <c r="I136" s="22">
        <v>-1.7333999999999999E-2</v>
      </c>
      <c r="J136" s="22">
        <v>126</v>
      </c>
      <c r="K136" s="22">
        <v>1.11389</v>
      </c>
      <c r="L136">
        <f t="shared" si="12"/>
        <v>17.334</v>
      </c>
      <c r="M136">
        <f t="shared" si="13"/>
        <v>19.337290379999999</v>
      </c>
      <c r="N136" s="9"/>
      <c r="O136" s="22">
        <v>0.53451499999999996</v>
      </c>
      <c r="P136" s="22">
        <v>25.052099999999999</v>
      </c>
      <c r="Q136" s="22">
        <v>-1.8017600000000002E-2</v>
      </c>
      <c r="R136" s="22">
        <v>126</v>
      </c>
      <c r="S136" s="22">
        <v>0.53366100000000005</v>
      </c>
      <c r="T136">
        <f t="shared" si="14"/>
        <v>18.017600000000002</v>
      </c>
      <c r="U136">
        <f t="shared" si="15"/>
        <v>9.6306774639999997</v>
      </c>
      <c r="X136" s="9"/>
      <c r="Y136" s="22">
        <v>1.11557</v>
      </c>
      <c r="Z136" s="22">
        <v>32.4358</v>
      </c>
      <c r="AA136" s="22">
        <v>-1.73981E-2</v>
      </c>
      <c r="AB136" s="22">
        <v>126</v>
      </c>
      <c r="AC136" s="22">
        <v>1.1148100000000001</v>
      </c>
      <c r="AD136">
        <f t="shared" si="16"/>
        <v>17.398099999999999</v>
      </c>
      <c r="AE136">
        <f t="shared" si="17"/>
        <v>19.408798417</v>
      </c>
      <c r="AF136" s="9"/>
      <c r="AG136" s="22">
        <v>0.53451499999999996</v>
      </c>
      <c r="AH136" s="22">
        <v>37.339399999999998</v>
      </c>
      <c r="AI136" s="22">
        <v>-1.8035900000000001E-2</v>
      </c>
      <c r="AJ136" s="22">
        <v>126</v>
      </c>
      <c r="AK136" s="22">
        <v>0.53396600000000005</v>
      </c>
      <c r="AL136">
        <f t="shared" si="18"/>
        <v>18.035900000000002</v>
      </c>
      <c r="AM136">
        <f t="shared" si="19"/>
        <v>9.6404590885000001</v>
      </c>
      <c r="AP136" s="9"/>
      <c r="AQ136" s="22">
        <v>1.11557</v>
      </c>
      <c r="AR136" s="22">
        <v>42.173000000000002</v>
      </c>
      <c r="AS136" s="22">
        <v>-1.7395000000000001E-2</v>
      </c>
      <c r="AT136" s="22">
        <v>126</v>
      </c>
      <c r="AU136" s="22">
        <v>1.1154200000000001</v>
      </c>
      <c r="AV136">
        <f t="shared" si="20"/>
        <v>17.395</v>
      </c>
      <c r="AW136">
        <f t="shared" si="21"/>
        <v>19.405340149999997</v>
      </c>
      <c r="AX136" s="9"/>
      <c r="AY136" s="22">
        <v>0.53451499999999996</v>
      </c>
      <c r="AZ136" s="22">
        <v>46.912599999999998</v>
      </c>
      <c r="BA136" s="22">
        <v>-1.80267E-2</v>
      </c>
      <c r="BB136" s="22">
        <v>126</v>
      </c>
      <c r="BC136" s="22">
        <v>0.53408800000000001</v>
      </c>
      <c r="BD136">
        <f t="shared" si="22"/>
        <v>18.026699999999998</v>
      </c>
      <c r="BE136">
        <f t="shared" si="23"/>
        <v>9.6355415504999975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12.1744</v>
      </c>
      <c r="I137" s="22">
        <v>-1.73431E-2</v>
      </c>
      <c r="J137" s="22">
        <v>127</v>
      </c>
      <c r="K137" s="22">
        <v>1.10931</v>
      </c>
      <c r="L137">
        <f t="shared" si="12"/>
        <v>17.3431</v>
      </c>
      <c r="M137">
        <f t="shared" si="13"/>
        <v>19.260032843000001</v>
      </c>
      <c r="N137" s="9"/>
      <c r="O137" s="22">
        <v>0.539551</v>
      </c>
      <c r="P137" s="22">
        <v>25.062200000000001</v>
      </c>
      <c r="Q137" s="22">
        <v>-1.8014499999999999E-2</v>
      </c>
      <c r="R137" s="22">
        <v>127</v>
      </c>
      <c r="S137" s="22">
        <v>0.53878800000000004</v>
      </c>
      <c r="T137">
        <f t="shared" si="14"/>
        <v>18.014499999999998</v>
      </c>
      <c r="U137">
        <f t="shared" si="15"/>
        <v>9.7197414894999987</v>
      </c>
      <c r="X137" s="9"/>
      <c r="Y137" s="22">
        <v>1.11053</v>
      </c>
      <c r="Z137" s="22">
        <v>32.445799999999998</v>
      </c>
      <c r="AA137" s="22">
        <v>-1.7404200000000002E-2</v>
      </c>
      <c r="AB137" s="22">
        <v>127</v>
      </c>
      <c r="AC137" s="22">
        <v>1.1096200000000001</v>
      </c>
      <c r="AD137">
        <f t="shared" si="16"/>
        <v>17.404200000000003</v>
      </c>
      <c r="AE137">
        <f t="shared" si="17"/>
        <v>19.327886226000004</v>
      </c>
      <c r="AF137" s="9"/>
      <c r="AG137" s="22">
        <v>0.539551</v>
      </c>
      <c r="AH137" s="22">
        <v>37.349400000000003</v>
      </c>
      <c r="AI137" s="22">
        <v>-1.8032800000000002E-2</v>
      </c>
      <c r="AJ137" s="22">
        <v>127</v>
      </c>
      <c r="AK137" s="22">
        <v>0.53906299999999996</v>
      </c>
      <c r="AL137">
        <f t="shared" si="18"/>
        <v>18.032800000000002</v>
      </c>
      <c r="AM137">
        <f t="shared" si="19"/>
        <v>9.7296152728000003</v>
      </c>
      <c r="AP137" s="9"/>
      <c r="AQ137" s="22">
        <v>1.11053</v>
      </c>
      <c r="AR137" s="22">
        <v>42.183</v>
      </c>
      <c r="AS137" s="22">
        <v>-1.7401099999999999E-2</v>
      </c>
      <c r="AT137" s="22">
        <v>127</v>
      </c>
      <c r="AU137" s="22">
        <v>1.10992</v>
      </c>
      <c r="AV137">
        <f t="shared" si="20"/>
        <v>17.4011</v>
      </c>
      <c r="AW137">
        <f t="shared" si="21"/>
        <v>19.324443583000001</v>
      </c>
      <c r="AX137" s="9"/>
      <c r="AY137" s="22">
        <v>0.539551</v>
      </c>
      <c r="AZ137" s="22">
        <v>46.922600000000003</v>
      </c>
      <c r="BA137" s="22">
        <v>-1.8020600000000001E-2</v>
      </c>
      <c r="BB137" s="22">
        <v>127</v>
      </c>
      <c r="BC137" s="22">
        <v>0.53869599999999995</v>
      </c>
      <c r="BD137">
        <f t="shared" si="22"/>
        <v>18.020600000000002</v>
      </c>
      <c r="BE137">
        <f t="shared" si="23"/>
        <v>9.7230327506000016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12.1845</v>
      </c>
      <c r="I138" s="22">
        <v>-1.7349199999999999E-2</v>
      </c>
      <c r="J138" s="22">
        <v>128</v>
      </c>
      <c r="K138" s="22">
        <v>1.10443</v>
      </c>
      <c r="L138">
        <f t="shared" si="12"/>
        <v>17.3492</v>
      </c>
      <c r="M138">
        <f t="shared" si="13"/>
        <v>19.179540599999999</v>
      </c>
      <c r="N138" s="9"/>
      <c r="O138" s="22">
        <v>0.54458600000000001</v>
      </c>
      <c r="P138" s="22">
        <v>25.072299999999998</v>
      </c>
      <c r="Q138" s="22">
        <v>-1.80115E-2</v>
      </c>
      <c r="R138" s="22">
        <v>128</v>
      </c>
      <c r="S138" s="22">
        <v>0.54364000000000001</v>
      </c>
      <c r="T138">
        <f t="shared" si="14"/>
        <v>18.011499999999998</v>
      </c>
      <c r="U138">
        <f t="shared" si="15"/>
        <v>9.8088107389999983</v>
      </c>
      <c r="X138" s="9"/>
      <c r="Y138" s="22">
        <v>1.1054999999999999</v>
      </c>
      <c r="Z138" s="22">
        <v>32.4559</v>
      </c>
      <c r="AA138" s="22">
        <v>-1.74133E-2</v>
      </c>
      <c r="AB138" s="22">
        <v>128</v>
      </c>
      <c r="AC138" s="22">
        <v>1.10443</v>
      </c>
      <c r="AD138">
        <f t="shared" si="16"/>
        <v>17.4133</v>
      </c>
      <c r="AE138">
        <f t="shared" si="17"/>
        <v>19.250403149999997</v>
      </c>
      <c r="AF138" s="9"/>
      <c r="AG138" s="22">
        <v>0.54458600000000001</v>
      </c>
      <c r="AH138" s="22">
        <v>37.359499999999997</v>
      </c>
      <c r="AI138" s="22">
        <v>-1.80267E-2</v>
      </c>
      <c r="AJ138" s="22">
        <v>128</v>
      </c>
      <c r="AK138" s="22">
        <v>0.54418900000000003</v>
      </c>
      <c r="AL138">
        <f t="shared" si="18"/>
        <v>18.026699999999998</v>
      </c>
      <c r="AM138">
        <f t="shared" si="19"/>
        <v>9.8170884461999997</v>
      </c>
      <c r="AP138" s="9"/>
      <c r="AQ138" s="22">
        <v>1.1054999999999999</v>
      </c>
      <c r="AR138" s="22">
        <v>42.193100000000001</v>
      </c>
      <c r="AS138" s="22">
        <v>-1.74103E-2</v>
      </c>
      <c r="AT138" s="22">
        <v>128</v>
      </c>
      <c r="AU138" s="22">
        <v>1.10443</v>
      </c>
      <c r="AV138">
        <f t="shared" si="20"/>
        <v>17.410299999999999</v>
      </c>
      <c r="AW138">
        <f t="shared" si="21"/>
        <v>19.247086649999996</v>
      </c>
      <c r="AX138" s="9"/>
      <c r="AY138" s="22">
        <v>0.54458600000000001</v>
      </c>
      <c r="AZ138" s="22">
        <v>46.932699999999997</v>
      </c>
      <c r="BA138" s="22">
        <v>-1.8017600000000002E-2</v>
      </c>
      <c r="BB138" s="22">
        <v>128</v>
      </c>
      <c r="BC138" s="22">
        <v>0.54400599999999999</v>
      </c>
      <c r="BD138">
        <f t="shared" si="22"/>
        <v>18.017600000000002</v>
      </c>
      <c r="BE138">
        <f t="shared" si="23"/>
        <v>9.8121327136000005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12.194599999999999</v>
      </c>
      <c r="I139" s="22">
        <v>-1.7355300000000001E-2</v>
      </c>
      <c r="J139" s="22">
        <v>129</v>
      </c>
      <c r="K139" s="22">
        <v>1.09955</v>
      </c>
      <c r="L139">
        <f t="shared" si="12"/>
        <v>17.3553</v>
      </c>
      <c r="M139">
        <f t="shared" si="13"/>
        <v>19.098813438000001</v>
      </c>
      <c r="N139" s="9"/>
      <c r="O139" s="22">
        <v>0.54962200000000005</v>
      </c>
      <c r="P139" s="22">
        <v>25.0823</v>
      </c>
      <c r="Q139" s="22">
        <v>-1.8005400000000001E-2</v>
      </c>
      <c r="R139" s="22">
        <v>129</v>
      </c>
      <c r="S139" s="22">
        <v>0.54888899999999996</v>
      </c>
      <c r="T139">
        <f t="shared" si="14"/>
        <v>18.005400000000002</v>
      </c>
      <c r="U139">
        <f t="shared" si="15"/>
        <v>9.8961639588000025</v>
      </c>
      <c r="X139" s="9"/>
      <c r="Y139" s="22">
        <v>1.10046</v>
      </c>
      <c r="Z139" s="22">
        <v>32.466000000000001</v>
      </c>
      <c r="AA139" s="22">
        <v>-1.7419400000000002E-2</v>
      </c>
      <c r="AB139" s="22">
        <v>129</v>
      </c>
      <c r="AC139" s="22">
        <v>1.09894</v>
      </c>
      <c r="AD139">
        <f t="shared" si="16"/>
        <v>17.419400000000003</v>
      </c>
      <c r="AE139">
        <f t="shared" si="17"/>
        <v>19.169352924000002</v>
      </c>
      <c r="AF139" s="9"/>
      <c r="AG139" s="22">
        <v>0.54962200000000005</v>
      </c>
      <c r="AH139" s="22">
        <v>37.369599999999998</v>
      </c>
      <c r="AI139" s="22">
        <v>-1.80237E-2</v>
      </c>
      <c r="AJ139" s="22">
        <v>129</v>
      </c>
      <c r="AK139" s="22">
        <v>0.548767</v>
      </c>
      <c r="AL139">
        <f t="shared" si="18"/>
        <v>18.023700000000002</v>
      </c>
      <c r="AM139">
        <f t="shared" si="19"/>
        <v>9.9062220414000013</v>
      </c>
      <c r="AP139" s="9"/>
      <c r="AQ139" s="22">
        <v>1.10046</v>
      </c>
      <c r="AR139" s="22">
        <v>42.203200000000002</v>
      </c>
      <c r="AS139" s="22">
        <v>-1.7419400000000002E-2</v>
      </c>
      <c r="AT139" s="22">
        <v>129</v>
      </c>
      <c r="AU139" s="22">
        <v>1.09955</v>
      </c>
      <c r="AV139">
        <f t="shared" si="20"/>
        <v>17.419400000000003</v>
      </c>
      <c r="AW139">
        <f t="shared" si="21"/>
        <v>19.169352924000002</v>
      </c>
      <c r="AX139" s="9"/>
      <c r="AY139" s="22">
        <v>0.54962200000000005</v>
      </c>
      <c r="AZ139" s="22">
        <v>46.942799999999998</v>
      </c>
      <c r="BA139" s="22">
        <v>-1.8014499999999999E-2</v>
      </c>
      <c r="BB139" s="22">
        <v>129</v>
      </c>
      <c r="BC139" s="22">
        <v>0.54898100000000005</v>
      </c>
      <c r="BD139">
        <f t="shared" si="22"/>
        <v>18.014499999999998</v>
      </c>
      <c r="BE139">
        <f t="shared" si="23"/>
        <v>9.9011655189999992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12.204700000000001</v>
      </c>
      <c r="I140" s="22">
        <v>-1.7364500000000001E-2</v>
      </c>
      <c r="J140" s="22">
        <v>130</v>
      </c>
      <c r="K140" s="22">
        <v>1.09467</v>
      </c>
      <c r="L140">
        <f t="shared" ref="L140:L203" si="24">-I140/$F$2*1000</f>
        <v>17.364500000000003</v>
      </c>
      <c r="M140">
        <f t="shared" ref="M140:M203" si="25">L140*G140</f>
        <v>19.021594235000002</v>
      </c>
      <c r="N140" s="9"/>
      <c r="O140" s="22">
        <v>0.55465699999999996</v>
      </c>
      <c r="P140" s="22">
        <v>25.092400000000001</v>
      </c>
      <c r="Q140" s="22">
        <v>-1.7999299999999999E-2</v>
      </c>
      <c r="R140" s="22">
        <v>130</v>
      </c>
      <c r="S140" s="22">
        <v>0.553894</v>
      </c>
      <c r="T140">
        <f t="shared" ref="T140:T203" si="26">-Q140/$F$2*1000</f>
        <v>17.999299999999998</v>
      </c>
      <c r="U140">
        <f t="shared" ref="U140:U203" si="27">T140*O140</f>
        <v>9.9834377400999976</v>
      </c>
      <c r="X140" s="9"/>
      <c r="Y140" s="22">
        <v>1.0954299999999999</v>
      </c>
      <c r="Z140" s="22">
        <v>32.475999999999999</v>
      </c>
      <c r="AA140" s="22">
        <v>-1.74255E-2</v>
      </c>
      <c r="AB140" s="22">
        <v>130</v>
      </c>
      <c r="AC140" s="22">
        <v>1.09467</v>
      </c>
      <c r="AD140">
        <f t="shared" ref="AD140:AD203" si="28">-AA140/$F$2*1000</f>
        <v>17.4255</v>
      </c>
      <c r="AE140">
        <f t="shared" ref="AE140:AE203" si="29">AD140*Y140</f>
        <v>19.088415464999997</v>
      </c>
      <c r="AF140" s="9"/>
      <c r="AG140" s="22">
        <v>0.55465699999999996</v>
      </c>
      <c r="AH140" s="22">
        <v>37.3797</v>
      </c>
      <c r="AI140" s="22">
        <v>-1.8020600000000001E-2</v>
      </c>
      <c r="AJ140" s="22">
        <v>130</v>
      </c>
      <c r="AK140" s="22">
        <v>0.554504</v>
      </c>
      <c r="AL140">
        <f t="shared" ref="AL140:AL203" si="30">-AI140/$F$2*1000</f>
        <v>18.020600000000002</v>
      </c>
      <c r="AM140">
        <f t="shared" ref="AM140:AM203" si="31">AL140*AG140</f>
        <v>9.9952519342000006</v>
      </c>
      <c r="AP140" s="9"/>
      <c r="AQ140" s="22">
        <v>1.0954299999999999</v>
      </c>
      <c r="AR140" s="22">
        <v>42.213200000000001</v>
      </c>
      <c r="AS140" s="22">
        <v>-1.74255E-2</v>
      </c>
      <c r="AT140" s="22">
        <v>130</v>
      </c>
      <c r="AU140" s="22">
        <v>1.09436</v>
      </c>
      <c r="AV140">
        <f t="shared" ref="AV140:AV203" si="32">-AS140/$F$2*1000</f>
        <v>17.4255</v>
      </c>
      <c r="AW140">
        <f t="shared" ref="AW140:AW203" si="33">AV140*AQ140</f>
        <v>19.088415464999997</v>
      </c>
      <c r="AX140" s="9"/>
      <c r="AY140" s="22">
        <v>0.55465699999999996</v>
      </c>
      <c r="AZ140" s="22">
        <v>46.9529</v>
      </c>
      <c r="BA140" s="22">
        <v>-1.8008400000000001E-2</v>
      </c>
      <c r="BB140" s="22">
        <v>130</v>
      </c>
      <c r="BC140" s="22">
        <v>0.55383300000000002</v>
      </c>
      <c r="BD140">
        <f t="shared" ref="BD140:BD203" si="34">-BA140/$F$2*1000</f>
        <v>18.008400000000002</v>
      </c>
      <c r="BE140">
        <f t="shared" ref="BE140:BE203" si="35">BD140*AY140</f>
        <v>9.9884851187999999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12.214700000000001</v>
      </c>
      <c r="I141" s="22">
        <v>-1.73706E-2</v>
      </c>
      <c r="J141" s="22">
        <v>131</v>
      </c>
      <c r="K141" s="22">
        <v>1.08856</v>
      </c>
      <c r="L141">
        <f t="shared" si="24"/>
        <v>17.3706</v>
      </c>
      <c r="M141">
        <f t="shared" si="25"/>
        <v>18.940728533999998</v>
      </c>
      <c r="N141" s="9"/>
      <c r="O141" s="22">
        <v>0.55969199999999997</v>
      </c>
      <c r="P141" s="22">
        <v>25.102499999999999</v>
      </c>
      <c r="Q141" s="22">
        <v>-1.7993200000000001E-2</v>
      </c>
      <c r="R141" s="22">
        <v>131</v>
      </c>
      <c r="S141" s="22">
        <v>0.55905199999999999</v>
      </c>
      <c r="T141">
        <f t="shared" si="26"/>
        <v>17.993200000000002</v>
      </c>
      <c r="U141">
        <f t="shared" si="27"/>
        <v>10.070650094399999</v>
      </c>
      <c r="X141" s="9"/>
      <c r="Y141" s="22">
        <v>1.09039</v>
      </c>
      <c r="Z141" s="22">
        <v>32.4861</v>
      </c>
      <c r="AA141" s="22">
        <v>-1.7431599999999998E-2</v>
      </c>
      <c r="AB141" s="22">
        <v>131</v>
      </c>
      <c r="AC141" s="22">
        <v>1.08978</v>
      </c>
      <c r="AD141">
        <f t="shared" si="28"/>
        <v>17.4316</v>
      </c>
      <c r="AE141">
        <f t="shared" si="29"/>
        <v>19.007242324</v>
      </c>
      <c r="AF141" s="9"/>
      <c r="AG141" s="22">
        <v>0.55969199999999997</v>
      </c>
      <c r="AH141" s="22">
        <v>37.389699999999998</v>
      </c>
      <c r="AI141" s="22">
        <v>-1.8014499999999999E-2</v>
      </c>
      <c r="AJ141" s="22">
        <v>131</v>
      </c>
      <c r="AK141" s="22">
        <v>0.55908199999999997</v>
      </c>
      <c r="AL141">
        <f t="shared" si="30"/>
        <v>18.014499999999998</v>
      </c>
      <c r="AM141">
        <f t="shared" si="31"/>
        <v>10.082571533999998</v>
      </c>
      <c r="AP141" s="9"/>
      <c r="AQ141" s="22">
        <v>1.09039</v>
      </c>
      <c r="AR141" s="22">
        <v>42.223300000000002</v>
      </c>
      <c r="AS141" s="22">
        <v>-1.7428599999999999E-2</v>
      </c>
      <c r="AT141" s="22">
        <v>131</v>
      </c>
      <c r="AU141" s="22">
        <v>1.08826</v>
      </c>
      <c r="AV141">
        <f t="shared" si="32"/>
        <v>17.428599999999999</v>
      </c>
      <c r="AW141">
        <f t="shared" si="33"/>
        <v>19.003971153999998</v>
      </c>
      <c r="AX141" s="9"/>
      <c r="AY141" s="22">
        <v>0.55969199999999997</v>
      </c>
      <c r="AZ141" s="22">
        <v>46.962899999999998</v>
      </c>
      <c r="BA141" s="22">
        <v>-1.8002299999999999E-2</v>
      </c>
      <c r="BB141" s="22">
        <v>131</v>
      </c>
      <c r="BC141" s="22">
        <v>0.55914299999999995</v>
      </c>
      <c r="BD141">
        <f t="shared" si="34"/>
        <v>18.002299999999998</v>
      </c>
      <c r="BE141">
        <f t="shared" si="35"/>
        <v>10.075743291599998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12.2248</v>
      </c>
      <c r="I142" s="22">
        <v>-1.7379800000000001E-2</v>
      </c>
      <c r="J142" s="22">
        <v>132</v>
      </c>
      <c r="K142" s="22">
        <v>1.0845899999999999</v>
      </c>
      <c r="L142">
        <f t="shared" si="24"/>
        <v>17.379799999999999</v>
      </c>
      <c r="M142">
        <f t="shared" si="25"/>
        <v>18.863339728</v>
      </c>
      <c r="N142" s="9"/>
      <c r="O142" s="22">
        <v>0.56472800000000001</v>
      </c>
      <c r="P142" s="22">
        <v>25.1126</v>
      </c>
      <c r="Q142" s="22">
        <v>-1.7990099999999998E-2</v>
      </c>
      <c r="R142" s="22">
        <v>132</v>
      </c>
      <c r="S142" s="22">
        <v>0.56445299999999998</v>
      </c>
      <c r="T142">
        <f t="shared" si="26"/>
        <v>17.990099999999998</v>
      </c>
      <c r="U142">
        <f t="shared" si="27"/>
        <v>10.159513192799999</v>
      </c>
      <c r="X142" s="9"/>
      <c r="Y142" s="22">
        <v>1.0853600000000001</v>
      </c>
      <c r="Z142" s="22">
        <v>32.496200000000002</v>
      </c>
      <c r="AA142" s="22">
        <v>-1.74377E-2</v>
      </c>
      <c r="AB142" s="22">
        <v>132</v>
      </c>
      <c r="AC142" s="22">
        <v>1.08429</v>
      </c>
      <c r="AD142">
        <f t="shared" si="28"/>
        <v>17.4377</v>
      </c>
      <c r="AE142">
        <f t="shared" si="29"/>
        <v>18.926182072</v>
      </c>
      <c r="AF142" s="9"/>
      <c r="AG142" s="22">
        <v>0.56472800000000001</v>
      </c>
      <c r="AH142" s="22">
        <v>37.399799999999999</v>
      </c>
      <c r="AI142" s="22">
        <v>-1.80115E-2</v>
      </c>
      <c r="AJ142" s="22">
        <v>132</v>
      </c>
      <c r="AK142" s="22">
        <v>0.56378200000000001</v>
      </c>
      <c r="AL142">
        <f t="shared" si="30"/>
        <v>18.011499999999998</v>
      </c>
      <c r="AM142">
        <f t="shared" si="31"/>
        <v>10.171598371999998</v>
      </c>
      <c r="AP142" s="9"/>
      <c r="AQ142" s="22">
        <v>1.0853600000000001</v>
      </c>
      <c r="AR142" s="22">
        <v>42.233400000000003</v>
      </c>
      <c r="AS142" s="22">
        <v>-1.7431599999999998E-2</v>
      </c>
      <c r="AT142" s="22">
        <v>132</v>
      </c>
      <c r="AU142" s="22">
        <v>1.0845899999999999</v>
      </c>
      <c r="AV142">
        <f t="shared" si="32"/>
        <v>17.4316</v>
      </c>
      <c r="AW142">
        <f t="shared" si="33"/>
        <v>18.919561376000001</v>
      </c>
      <c r="AX142" s="9"/>
      <c r="AY142" s="22">
        <v>0.56472800000000001</v>
      </c>
      <c r="AZ142" s="22">
        <v>46.972999999999999</v>
      </c>
      <c r="BA142" s="22">
        <v>-1.79962E-2</v>
      </c>
      <c r="BB142" s="22">
        <v>132</v>
      </c>
      <c r="BC142" s="22">
        <v>0.56430100000000005</v>
      </c>
      <c r="BD142">
        <f t="shared" si="34"/>
        <v>17.996200000000002</v>
      </c>
      <c r="BE142">
        <f t="shared" si="35"/>
        <v>10.162958033600001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12.2349</v>
      </c>
      <c r="I143" s="22">
        <v>-1.7385899999999999E-2</v>
      </c>
      <c r="J143" s="22">
        <v>133</v>
      </c>
      <c r="K143" s="22">
        <v>1.0790999999999999</v>
      </c>
      <c r="L143">
        <f t="shared" si="24"/>
        <v>17.385899999999999</v>
      </c>
      <c r="M143">
        <f t="shared" si="25"/>
        <v>18.782335487999998</v>
      </c>
      <c r="N143" s="9"/>
      <c r="O143" s="22">
        <v>0.56976300000000002</v>
      </c>
      <c r="P143" s="22">
        <v>25.122599999999998</v>
      </c>
      <c r="Q143" s="22">
        <v>-1.7987099999999999E-2</v>
      </c>
      <c r="R143" s="22">
        <v>133</v>
      </c>
      <c r="S143" s="22">
        <v>0.56903099999999995</v>
      </c>
      <c r="T143">
        <f t="shared" si="26"/>
        <v>17.987099999999998</v>
      </c>
      <c r="U143">
        <f t="shared" si="27"/>
        <v>10.248384057299999</v>
      </c>
      <c r="X143" s="9"/>
      <c r="Y143" s="22">
        <v>1.0803199999999999</v>
      </c>
      <c r="Z143" s="22">
        <v>32.506300000000003</v>
      </c>
      <c r="AA143" s="22">
        <v>-1.7443799999999999E-2</v>
      </c>
      <c r="AB143" s="22">
        <v>133</v>
      </c>
      <c r="AC143" s="22">
        <v>1.0797099999999999</v>
      </c>
      <c r="AD143">
        <f t="shared" si="28"/>
        <v>17.4438</v>
      </c>
      <c r="AE143">
        <f t="shared" si="29"/>
        <v>18.844886016</v>
      </c>
      <c r="AF143" s="9"/>
      <c r="AG143" s="22">
        <v>0.56976300000000002</v>
      </c>
      <c r="AH143" s="22">
        <v>37.4099</v>
      </c>
      <c r="AI143" s="22">
        <v>-1.8008400000000001E-2</v>
      </c>
      <c r="AJ143" s="22">
        <v>133</v>
      </c>
      <c r="AK143" s="22">
        <v>0.56903099999999995</v>
      </c>
      <c r="AL143">
        <f t="shared" si="30"/>
        <v>18.008400000000002</v>
      </c>
      <c r="AM143">
        <f t="shared" si="31"/>
        <v>10.260520009200002</v>
      </c>
      <c r="AP143" s="9"/>
      <c r="AQ143" s="22">
        <v>1.0803199999999999</v>
      </c>
      <c r="AR143" s="22">
        <v>42.243499999999997</v>
      </c>
      <c r="AS143" s="22">
        <v>-1.74377E-2</v>
      </c>
      <c r="AT143" s="22">
        <v>133</v>
      </c>
      <c r="AU143" s="22">
        <v>1.0797099999999999</v>
      </c>
      <c r="AV143">
        <f t="shared" si="32"/>
        <v>17.4377</v>
      </c>
      <c r="AW143">
        <f t="shared" si="33"/>
        <v>18.838296063999998</v>
      </c>
      <c r="AX143" s="9"/>
      <c r="AY143" s="22">
        <v>0.56976300000000002</v>
      </c>
      <c r="AZ143" s="22">
        <v>46.9831</v>
      </c>
      <c r="BA143" s="22">
        <v>-1.7990099999999998E-2</v>
      </c>
      <c r="BB143" s="22">
        <v>133</v>
      </c>
      <c r="BC143" s="22">
        <v>0.56912200000000002</v>
      </c>
      <c r="BD143">
        <f t="shared" si="34"/>
        <v>17.990099999999998</v>
      </c>
      <c r="BE143">
        <f t="shared" si="35"/>
        <v>10.2500933463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12.244899999999999</v>
      </c>
      <c r="I144" s="22">
        <v>-1.7395000000000001E-2</v>
      </c>
      <c r="J144" s="22">
        <v>134</v>
      </c>
      <c r="K144" s="22">
        <v>1.07361</v>
      </c>
      <c r="L144">
        <f t="shared" si="24"/>
        <v>17.395</v>
      </c>
      <c r="M144">
        <f t="shared" si="25"/>
        <v>18.704669550000002</v>
      </c>
      <c r="N144" s="9"/>
      <c r="O144" s="22">
        <v>0.57479899999999995</v>
      </c>
      <c r="P144" s="22">
        <v>25.1327</v>
      </c>
      <c r="Q144" s="22">
        <v>-1.7984E-2</v>
      </c>
      <c r="R144" s="22">
        <v>134</v>
      </c>
      <c r="S144" s="22">
        <v>0.57403599999999999</v>
      </c>
      <c r="T144">
        <f t="shared" si="26"/>
        <v>17.984000000000002</v>
      </c>
      <c r="U144">
        <f t="shared" si="27"/>
        <v>10.337185216</v>
      </c>
      <c r="X144" s="9"/>
      <c r="Y144" s="22">
        <v>1.0752900000000001</v>
      </c>
      <c r="Z144" s="22">
        <v>32.516300000000001</v>
      </c>
      <c r="AA144" s="22">
        <v>-1.7446900000000001E-2</v>
      </c>
      <c r="AB144" s="22">
        <v>134</v>
      </c>
      <c r="AC144" s="22">
        <v>1.07422</v>
      </c>
      <c r="AD144">
        <f t="shared" si="28"/>
        <v>17.446900000000003</v>
      </c>
      <c r="AE144">
        <f t="shared" si="29"/>
        <v>18.760477101000003</v>
      </c>
      <c r="AF144" s="9"/>
      <c r="AG144" s="22">
        <v>0.57479899999999995</v>
      </c>
      <c r="AH144" s="22">
        <v>37.419899999999998</v>
      </c>
      <c r="AI144" s="22">
        <v>-1.8005400000000001E-2</v>
      </c>
      <c r="AJ144" s="22">
        <v>134</v>
      </c>
      <c r="AK144" s="22">
        <v>0.57360800000000001</v>
      </c>
      <c r="AL144">
        <f t="shared" si="30"/>
        <v>18.005400000000002</v>
      </c>
      <c r="AM144">
        <f t="shared" si="31"/>
        <v>10.349485914600001</v>
      </c>
      <c r="AP144" s="9"/>
      <c r="AQ144" s="22">
        <v>1.0752900000000001</v>
      </c>
      <c r="AR144" s="22">
        <v>42.253500000000003</v>
      </c>
      <c r="AS144" s="22">
        <v>-1.7440799999999999E-2</v>
      </c>
      <c r="AT144" s="22">
        <v>134</v>
      </c>
      <c r="AU144" s="22">
        <v>1.0739099999999999</v>
      </c>
      <c r="AV144">
        <f t="shared" si="32"/>
        <v>17.440799999999999</v>
      </c>
      <c r="AW144">
        <f t="shared" si="33"/>
        <v>18.753917831999999</v>
      </c>
      <c r="AX144" s="9"/>
      <c r="AY144" s="22">
        <v>0.57479899999999995</v>
      </c>
      <c r="AZ144" s="22">
        <v>46.993099999999998</v>
      </c>
      <c r="BA144" s="22">
        <v>-1.7987099999999999E-2</v>
      </c>
      <c r="BB144" s="22">
        <v>134</v>
      </c>
      <c r="BC144" s="22">
        <v>0.57424900000000001</v>
      </c>
      <c r="BD144">
        <f t="shared" si="34"/>
        <v>17.987099999999998</v>
      </c>
      <c r="BE144">
        <f t="shared" si="35"/>
        <v>10.338967092899997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12.255000000000001</v>
      </c>
      <c r="I145" s="22">
        <v>-1.7401099999999999E-2</v>
      </c>
      <c r="J145" s="22">
        <v>135</v>
      </c>
      <c r="K145" s="22">
        <v>1.06934</v>
      </c>
      <c r="L145">
        <f t="shared" si="24"/>
        <v>17.4011</v>
      </c>
      <c r="M145">
        <f t="shared" si="25"/>
        <v>18.623527274999997</v>
      </c>
      <c r="N145" s="9"/>
      <c r="O145" s="22">
        <v>0.57983399999999996</v>
      </c>
      <c r="P145" s="22">
        <v>25.142800000000001</v>
      </c>
      <c r="Q145" s="22">
        <v>-1.7977900000000002E-2</v>
      </c>
      <c r="R145" s="22">
        <v>135</v>
      </c>
      <c r="S145" s="22">
        <v>0.579376</v>
      </c>
      <c r="T145">
        <f t="shared" si="26"/>
        <v>17.977900000000002</v>
      </c>
      <c r="U145">
        <f t="shared" si="27"/>
        <v>10.4241976686</v>
      </c>
      <c r="X145" s="9"/>
      <c r="Y145" s="22">
        <v>1.0702499999999999</v>
      </c>
      <c r="Z145" s="22">
        <v>32.526400000000002</v>
      </c>
      <c r="AA145" s="22">
        <v>-1.7456099999999999E-2</v>
      </c>
      <c r="AB145" s="22">
        <v>135</v>
      </c>
      <c r="AC145" s="22">
        <v>1.0702499999999999</v>
      </c>
      <c r="AD145">
        <f t="shared" si="28"/>
        <v>17.456099999999999</v>
      </c>
      <c r="AE145">
        <f t="shared" si="29"/>
        <v>18.682391024999998</v>
      </c>
      <c r="AF145" s="9"/>
      <c r="AG145" s="22">
        <v>0.57983399999999996</v>
      </c>
      <c r="AH145" s="22">
        <v>37.43</v>
      </c>
      <c r="AI145" s="22">
        <v>-1.7999299999999999E-2</v>
      </c>
      <c r="AJ145" s="22">
        <v>135</v>
      </c>
      <c r="AK145" s="22">
        <v>0.57894900000000005</v>
      </c>
      <c r="AL145">
        <f t="shared" si="30"/>
        <v>17.999299999999998</v>
      </c>
      <c r="AM145">
        <f t="shared" si="31"/>
        <v>10.436606116199998</v>
      </c>
      <c r="AP145" s="9"/>
      <c r="AQ145" s="22">
        <v>1.0702499999999999</v>
      </c>
      <c r="AR145" s="22">
        <v>42.263599999999997</v>
      </c>
      <c r="AS145" s="22">
        <v>-1.745E-2</v>
      </c>
      <c r="AT145" s="22">
        <v>135</v>
      </c>
      <c r="AU145" s="22">
        <v>1.06873</v>
      </c>
      <c r="AV145">
        <f t="shared" si="32"/>
        <v>17.45</v>
      </c>
      <c r="AW145">
        <f t="shared" si="33"/>
        <v>18.675862499999997</v>
      </c>
      <c r="AX145" s="9"/>
      <c r="AY145" s="22">
        <v>0.57983399999999996</v>
      </c>
      <c r="AZ145" s="22">
        <v>47.0032</v>
      </c>
      <c r="BA145" s="22">
        <v>-1.7981E-2</v>
      </c>
      <c r="BB145" s="22">
        <v>135</v>
      </c>
      <c r="BC145" s="22">
        <v>0.57897900000000002</v>
      </c>
      <c r="BD145">
        <f t="shared" si="34"/>
        <v>17.981000000000002</v>
      </c>
      <c r="BE145">
        <f t="shared" si="35"/>
        <v>10.425995154000001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12.2651</v>
      </c>
      <c r="I146" s="22">
        <v>-1.74103E-2</v>
      </c>
      <c r="J146" s="22">
        <v>136</v>
      </c>
      <c r="K146" s="22">
        <v>1.0641499999999999</v>
      </c>
      <c r="L146">
        <f t="shared" si="24"/>
        <v>17.410299999999999</v>
      </c>
      <c r="M146">
        <f t="shared" si="25"/>
        <v>18.545799766000002</v>
      </c>
      <c r="N146" s="9"/>
      <c r="O146" s="22">
        <v>0.58486899999999997</v>
      </c>
      <c r="P146" s="22">
        <v>25.152799999999999</v>
      </c>
      <c r="Q146" s="22">
        <v>-1.79718E-2</v>
      </c>
      <c r="R146" s="22">
        <v>136</v>
      </c>
      <c r="S146" s="22">
        <v>0.58398399999999995</v>
      </c>
      <c r="T146">
        <f t="shared" si="26"/>
        <v>17.971799999999998</v>
      </c>
      <c r="U146">
        <f t="shared" si="27"/>
        <v>10.511148694199999</v>
      </c>
      <c r="X146" s="9"/>
      <c r="Y146" s="22">
        <v>1.0652200000000001</v>
      </c>
      <c r="Z146" s="22">
        <v>32.536499999999997</v>
      </c>
      <c r="AA146" s="22">
        <v>-1.7462200000000001E-2</v>
      </c>
      <c r="AB146" s="22">
        <v>136</v>
      </c>
      <c r="AC146" s="22">
        <v>1.0635399999999999</v>
      </c>
      <c r="AD146">
        <f t="shared" si="28"/>
        <v>17.462199999999999</v>
      </c>
      <c r="AE146">
        <f t="shared" si="29"/>
        <v>18.601084684</v>
      </c>
      <c r="AF146" s="9"/>
      <c r="AG146" s="22">
        <v>0.58486899999999997</v>
      </c>
      <c r="AH146" s="22">
        <v>37.440100000000001</v>
      </c>
      <c r="AI146" s="22">
        <v>-1.7993200000000001E-2</v>
      </c>
      <c r="AJ146" s="22">
        <v>136</v>
      </c>
      <c r="AK146" s="22">
        <v>0.58450299999999999</v>
      </c>
      <c r="AL146">
        <f t="shared" si="30"/>
        <v>17.993200000000002</v>
      </c>
      <c r="AM146">
        <f t="shared" si="31"/>
        <v>10.523664890800001</v>
      </c>
      <c r="AP146" s="9"/>
      <c r="AQ146" s="22">
        <v>1.0652200000000001</v>
      </c>
      <c r="AR146" s="22">
        <v>42.273699999999998</v>
      </c>
      <c r="AS146" s="22">
        <v>-1.7459100000000002E-2</v>
      </c>
      <c r="AT146" s="22">
        <v>136</v>
      </c>
      <c r="AU146" s="22">
        <v>1.0644499999999999</v>
      </c>
      <c r="AV146">
        <f t="shared" si="32"/>
        <v>17.459100000000003</v>
      </c>
      <c r="AW146">
        <f t="shared" si="33"/>
        <v>18.597782502000005</v>
      </c>
      <c r="AX146" s="9"/>
      <c r="AY146" s="22">
        <v>0.58486899999999997</v>
      </c>
      <c r="AZ146" s="22">
        <v>47.013300000000001</v>
      </c>
      <c r="BA146" s="22">
        <v>-1.7974899999999999E-2</v>
      </c>
      <c r="BB146" s="22">
        <v>136</v>
      </c>
      <c r="BC146" s="22">
        <v>0.58410600000000001</v>
      </c>
      <c r="BD146">
        <f t="shared" si="34"/>
        <v>17.974899999999998</v>
      </c>
      <c r="BE146">
        <f t="shared" si="35"/>
        <v>10.512961788099998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12.2752</v>
      </c>
      <c r="I147" s="22">
        <v>-1.74133E-2</v>
      </c>
      <c r="J147" s="22">
        <v>137</v>
      </c>
      <c r="K147" s="22">
        <v>1.0586500000000001</v>
      </c>
      <c r="L147">
        <f t="shared" si="24"/>
        <v>17.4133</v>
      </c>
      <c r="M147">
        <f t="shared" si="25"/>
        <v>18.461232393999996</v>
      </c>
      <c r="N147" s="9"/>
      <c r="O147" s="22">
        <v>0.58990500000000001</v>
      </c>
      <c r="P147" s="22">
        <v>25.1629</v>
      </c>
      <c r="Q147" s="22">
        <v>-1.79688E-2</v>
      </c>
      <c r="R147" s="22">
        <v>137</v>
      </c>
      <c r="S147" s="22">
        <v>0.58947799999999995</v>
      </c>
      <c r="T147">
        <f t="shared" si="26"/>
        <v>17.968800000000002</v>
      </c>
      <c r="U147">
        <f t="shared" si="27"/>
        <v>10.599884964000001</v>
      </c>
      <c r="X147" s="9"/>
      <c r="Y147" s="22">
        <v>1.0601799999999999</v>
      </c>
      <c r="Z147" s="22">
        <v>32.546500000000002</v>
      </c>
      <c r="AA147" s="22">
        <v>-1.7471299999999999E-2</v>
      </c>
      <c r="AB147" s="22">
        <v>137</v>
      </c>
      <c r="AC147" s="22">
        <v>1.0589599999999999</v>
      </c>
      <c r="AD147">
        <f t="shared" si="28"/>
        <v>17.471299999999999</v>
      </c>
      <c r="AE147">
        <f t="shared" si="29"/>
        <v>18.522722833999996</v>
      </c>
      <c r="AF147" s="9"/>
      <c r="AG147" s="22">
        <v>0.58990500000000001</v>
      </c>
      <c r="AH147" s="22">
        <v>37.450200000000002</v>
      </c>
      <c r="AI147" s="22">
        <v>-1.7987099999999999E-2</v>
      </c>
      <c r="AJ147" s="22">
        <v>137</v>
      </c>
      <c r="AK147" s="22">
        <v>0.58926400000000001</v>
      </c>
      <c r="AL147">
        <f t="shared" si="30"/>
        <v>17.987099999999998</v>
      </c>
      <c r="AM147">
        <f t="shared" si="31"/>
        <v>10.610680225499999</v>
      </c>
      <c r="AP147" s="9"/>
      <c r="AQ147" s="22">
        <v>1.0601799999999999</v>
      </c>
      <c r="AR147" s="22">
        <v>42.283700000000003</v>
      </c>
      <c r="AS147" s="22">
        <v>-1.7468299999999999E-2</v>
      </c>
      <c r="AT147" s="22">
        <v>137</v>
      </c>
      <c r="AU147" s="22">
        <v>1.0589599999999999</v>
      </c>
      <c r="AV147">
        <f t="shared" si="32"/>
        <v>17.468299999999999</v>
      </c>
      <c r="AW147">
        <f t="shared" si="33"/>
        <v>18.519542293999997</v>
      </c>
      <c r="AX147" s="9"/>
      <c r="AY147" s="22">
        <v>0.58990500000000001</v>
      </c>
      <c r="AZ147" s="22">
        <v>47.023299999999999</v>
      </c>
      <c r="BA147" s="22">
        <v>-1.79718E-2</v>
      </c>
      <c r="BB147" s="22">
        <v>137</v>
      </c>
      <c r="BC147" s="22">
        <v>0.58932499999999999</v>
      </c>
      <c r="BD147">
        <f t="shared" si="34"/>
        <v>17.971799999999998</v>
      </c>
      <c r="BE147">
        <f t="shared" si="35"/>
        <v>10.601654678999999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12.2852</v>
      </c>
      <c r="I148" s="22">
        <v>-1.7419400000000002E-2</v>
      </c>
      <c r="J148" s="22">
        <v>138</v>
      </c>
      <c r="K148" s="22">
        <v>1.0540799999999999</v>
      </c>
      <c r="L148">
        <f t="shared" si="24"/>
        <v>17.419400000000003</v>
      </c>
      <c r="M148">
        <f t="shared" si="25"/>
        <v>18.380079910000003</v>
      </c>
      <c r="N148" s="9"/>
      <c r="O148" s="22">
        <v>0.59494000000000002</v>
      </c>
      <c r="P148" s="22">
        <v>25.172999999999998</v>
      </c>
      <c r="Q148" s="22">
        <v>-1.7965700000000001E-2</v>
      </c>
      <c r="R148" s="22">
        <v>138</v>
      </c>
      <c r="S148" s="22">
        <v>0.594391</v>
      </c>
      <c r="T148">
        <f t="shared" si="26"/>
        <v>17.965700000000002</v>
      </c>
      <c r="U148">
        <f t="shared" si="27"/>
        <v>10.688513558000002</v>
      </c>
      <c r="X148" s="9"/>
      <c r="Y148" s="22">
        <v>1.05515</v>
      </c>
      <c r="Z148" s="22">
        <v>32.556600000000003</v>
      </c>
      <c r="AA148" s="22">
        <v>-1.74805E-2</v>
      </c>
      <c r="AB148" s="22">
        <v>138</v>
      </c>
      <c r="AC148" s="22">
        <v>1.0537700000000001</v>
      </c>
      <c r="AD148">
        <f t="shared" si="28"/>
        <v>17.480499999999999</v>
      </c>
      <c r="AE148">
        <f t="shared" si="29"/>
        <v>18.444549575</v>
      </c>
      <c r="AF148" s="9"/>
      <c r="AG148" s="22">
        <v>0.59494000000000002</v>
      </c>
      <c r="AH148" s="22">
        <v>37.4602</v>
      </c>
      <c r="AI148" s="22">
        <v>-1.7977900000000002E-2</v>
      </c>
      <c r="AJ148" s="22">
        <v>138</v>
      </c>
      <c r="AK148" s="22">
        <v>0.59454300000000004</v>
      </c>
      <c r="AL148">
        <f t="shared" si="30"/>
        <v>17.977900000000002</v>
      </c>
      <c r="AM148">
        <f t="shared" si="31"/>
        <v>10.695771826000001</v>
      </c>
      <c r="AP148" s="9"/>
      <c r="AQ148" s="22">
        <v>1.05515</v>
      </c>
      <c r="AR148" s="22">
        <v>42.293799999999997</v>
      </c>
      <c r="AS148" s="22">
        <v>-1.7471299999999999E-2</v>
      </c>
      <c r="AT148" s="22">
        <v>138</v>
      </c>
      <c r="AU148" s="22">
        <v>1.0549900000000001</v>
      </c>
      <c r="AV148">
        <f t="shared" si="32"/>
        <v>17.471299999999999</v>
      </c>
      <c r="AW148">
        <f t="shared" si="33"/>
        <v>18.434842195000002</v>
      </c>
      <c r="AX148" s="9"/>
      <c r="AY148" s="22">
        <v>0.59494000000000002</v>
      </c>
      <c r="AZ148" s="22">
        <v>47.0334</v>
      </c>
      <c r="BA148" s="22">
        <v>-1.7965700000000001E-2</v>
      </c>
      <c r="BB148" s="22">
        <v>138</v>
      </c>
      <c r="BC148" s="22">
        <v>0.59423800000000004</v>
      </c>
      <c r="BD148">
        <f t="shared" si="34"/>
        <v>17.965700000000002</v>
      </c>
      <c r="BE148">
        <f t="shared" si="35"/>
        <v>10.688513558000002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12.295299999999999</v>
      </c>
      <c r="I149" s="22">
        <v>-1.7428599999999999E-2</v>
      </c>
      <c r="J149" s="22">
        <v>139</v>
      </c>
      <c r="K149" s="22">
        <v>1.0485800000000001</v>
      </c>
      <c r="L149">
        <f t="shared" si="24"/>
        <v>17.428599999999999</v>
      </c>
      <c r="M149">
        <f t="shared" si="25"/>
        <v>18.301947146</v>
      </c>
      <c r="N149" s="9"/>
      <c r="O149" s="22">
        <v>0.59997599999999995</v>
      </c>
      <c r="P149" s="22">
        <v>25.183</v>
      </c>
      <c r="Q149" s="22">
        <v>-1.7962599999999999E-2</v>
      </c>
      <c r="R149" s="22">
        <v>139</v>
      </c>
      <c r="S149" s="22">
        <v>0.59933499999999995</v>
      </c>
      <c r="T149">
        <f t="shared" si="26"/>
        <v>17.962599999999998</v>
      </c>
      <c r="U149">
        <f t="shared" si="27"/>
        <v>10.777128897599999</v>
      </c>
      <c r="X149" s="9"/>
      <c r="Y149" s="22">
        <v>1.0501100000000001</v>
      </c>
      <c r="Z149" s="22">
        <v>32.566699999999997</v>
      </c>
      <c r="AA149" s="22">
        <v>-1.7486600000000001E-2</v>
      </c>
      <c r="AB149" s="22">
        <v>139</v>
      </c>
      <c r="AC149" s="22">
        <v>1.0488900000000001</v>
      </c>
      <c r="AD149">
        <f t="shared" si="28"/>
        <v>17.486600000000003</v>
      </c>
      <c r="AE149">
        <f t="shared" si="29"/>
        <v>18.362853526000006</v>
      </c>
      <c r="AF149" s="9"/>
      <c r="AG149" s="22">
        <v>0.59997599999999995</v>
      </c>
      <c r="AH149" s="22">
        <v>37.470300000000002</v>
      </c>
      <c r="AI149" s="22">
        <v>-1.7974899999999999E-2</v>
      </c>
      <c r="AJ149" s="22">
        <v>139</v>
      </c>
      <c r="AK149" s="22">
        <v>0.59939600000000004</v>
      </c>
      <c r="AL149">
        <f t="shared" si="30"/>
        <v>17.974899999999998</v>
      </c>
      <c r="AM149">
        <f t="shared" si="31"/>
        <v>10.784508602399997</v>
      </c>
      <c r="AP149" s="9"/>
      <c r="AQ149" s="22">
        <v>1.0501100000000001</v>
      </c>
      <c r="AR149" s="22">
        <v>42.303899999999999</v>
      </c>
      <c r="AS149" s="22">
        <v>-1.7477400000000001E-2</v>
      </c>
      <c r="AT149" s="22">
        <v>139</v>
      </c>
      <c r="AU149" s="22">
        <v>1.0498000000000001</v>
      </c>
      <c r="AV149">
        <f t="shared" si="32"/>
        <v>17.477399999999999</v>
      </c>
      <c r="AW149">
        <f t="shared" si="33"/>
        <v>18.353192514</v>
      </c>
      <c r="AX149" s="9"/>
      <c r="AY149" s="22">
        <v>0.59997599999999995</v>
      </c>
      <c r="AZ149" s="22">
        <v>47.043500000000002</v>
      </c>
      <c r="BA149" s="22">
        <v>-1.7962599999999999E-2</v>
      </c>
      <c r="BB149" s="22">
        <v>139</v>
      </c>
      <c r="BC149" s="22">
        <v>0.59841900000000003</v>
      </c>
      <c r="BD149">
        <f t="shared" si="34"/>
        <v>17.962599999999998</v>
      </c>
      <c r="BE149">
        <f t="shared" si="35"/>
        <v>10.777128897599999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12.305400000000001</v>
      </c>
      <c r="I150" s="22">
        <v>-1.7431599999999998E-2</v>
      </c>
      <c r="J150" s="22">
        <v>140</v>
      </c>
      <c r="K150" s="22">
        <v>1.0440100000000001</v>
      </c>
      <c r="L150">
        <f t="shared" si="24"/>
        <v>17.4316</v>
      </c>
      <c r="M150">
        <f t="shared" si="25"/>
        <v>18.217242211999999</v>
      </c>
      <c r="N150" s="9"/>
      <c r="O150" s="22">
        <v>0.60501099999999997</v>
      </c>
      <c r="P150" s="22">
        <v>25.193100000000001</v>
      </c>
      <c r="Q150" s="22">
        <v>-1.7953500000000001E-2</v>
      </c>
      <c r="R150" s="22">
        <v>140</v>
      </c>
      <c r="S150" s="22">
        <v>0.60455300000000001</v>
      </c>
      <c r="T150">
        <f t="shared" si="26"/>
        <v>17.953500000000002</v>
      </c>
      <c r="U150">
        <f t="shared" si="27"/>
        <v>10.8620649885</v>
      </c>
      <c r="X150" s="9"/>
      <c r="Y150" s="22">
        <v>1.0450699999999999</v>
      </c>
      <c r="Z150" s="22">
        <v>32.576799999999999</v>
      </c>
      <c r="AA150" s="22">
        <v>-1.7489600000000001E-2</v>
      </c>
      <c r="AB150" s="22">
        <v>140</v>
      </c>
      <c r="AC150" s="22">
        <v>1.0434000000000001</v>
      </c>
      <c r="AD150">
        <f t="shared" si="28"/>
        <v>17.489599999999999</v>
      </c>
      <c r="AE150">
        <f t="shared" si="29"/>
        <v>18.277856271999998</v>
      </c>
      <c r="AF150" s="9"/>
      <c r="AG150" s="22">
        <v>0.60501099999999997</v>
      </c>
      <c r="AH150" s="22">
        <v>37.480400000000003</v>
      </c>
      <c r="AI150" s="22">
        <v>-1.79688E-2</v>
      </c>
      <c r="AJ150" s="22">
        <v>140</v>
      </c>
      <c r="AK150" s="22">
        <v>0.60418700000000003</v>
      </c>
      <c r="AL150">
        <f t="shared" si="30"/>
        <v>17.968800000000002</v>
      </c>
      <c r="AM150">
        <f t="shared" si="31"/>
        <v>10.871321656800001</v>
      </c>
      <c r="AP150" s="9"/>
      <c r="AQ150" s="22">
        <v>1.0450699999999999</v>
      </c>
      <c r="AR150" s="22">
        <v>42.314</v>
      </c>
      <c r="AS150" s="22">
        <v>-1.74805E-2</v>
      </c>
      <c r="AT150" s="22">
        <v>140</v>
      </c>
      <c r="AU150" s="22">
        <v>1.0434000000000001</v>
      </c>
      <c r="AV150">
        <f t="shared" si="32"/>
        <v>17.480499999999999</v>
      </c>
      <c r="AW150">
        <f t="shared" si="33"/>
        <v>18.268346134999998</v>
      </c>
      <c r="AX150" s="9"/>
      <c r="AY150" s="22">
        <v>0.60501099999999997</v>
      </c>
      <c r="AZ150" s="22">
        <v>47.053600000000003</v>
      </c>
      <c r="BA150" s="22">
        <v>-1.79565E-2</v>
      </c>
      <c r="BB150" s="22">
        <v>140</v>
      </c>
      <c r="BC150" s="22">
        <v>0.60418700000000003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12.3154</v>
      </c>
      <c r="I151" s="22">
        <v>-1.74377E-2</v>
      </c>
      <c r="J151" s="22">
        <v>141</v>
      </c>
      <c r="K151" s="22">
        <v>1.03851</v>
      </c>
      <c r="L151">
        <f t="shared" si="24"/>
        <v>17.4377</v>
      </c>
      <c r="M151">
        <f t="shared" si="25"/>
        <v>18.135905508</v>
      </c>
      <c r="N151" s="9"/>
      <c r="O151" s="22">
        <v>0.61004599999999998</v>
      </c>
      <c r="P151" s="22">
        <v>25.203199999999999</v>
      </c>
      <c r="Q151" s="22">
        <v>-1.7947399999999999E-2</v>
      </c>
      <c r="R151" s="22">
        <v>141</v>
      </c>
      <c r="S151" s="22">
        <v>0.609375</v>
      </c>
      <c r="T151">
        <f t="shared" si="26"/>
        <v>17.947399999999998</v>
      </c>
      <c r="U151">
        <f t="shared" si="27"/>
        <v>10.948739580399998</v>
      </c>
      <c r="X151" s="9"/>
      <c r="Y151" s="22">
        <v>1.0400400000000001</v>
      </c>
      <c r="Z151" s="22">
        <v>32.586799999999997</v>
      </c>
      <c r="AA151" s="22">
        <v>-1.7498799999999998E-2</v>
      </c>
      <c r="AB151" s="22">
        <v>141</v>
      </c>
      <c r="AC151" s="22">
        <v>1.0388200000000001</v>
      </c>
      <c r="AD151">
        <f t="shared" si="28"/>
        <v>17.498799999999999</v>
      </c>
      <c r="AE151">
        <f t="shared" si="29"/>
        <v>18.199451952</v>
      </c>
      <c r="AF151" s="9"/>
      <c r="AG151" s="22">
        <v>0.61004599999999998</v>
      </c>
      <c r="AH151" s="22">
        <v>37.490400000000001</v>
      </c>
      <c r="AI151" s="22">
        <v>-1.79688E-2</v>
      </c>
      <c r="AJ151" s="22">
        <v>141</v>
      </c>
      <c r="AK151" s="22">
        <v>0.60946699999999998</v>
      </c>
      <c r="AL151">
        <f t="shared" si="30"/>
        <v>17.968800000000002</v>
      </c>
      <c r="AM151">
        <f t="shared" si="31"/>
        <v>10.9617945648</v>
      </c>
      <c r="AP151" s="9"/>
      <c r="AQ151" s="22">
        <v>1.0400400000000001</v>
      </c>
      <c r="AR151" s="22">
        <v>42.323999999999998</v>
      </c>
      <c r="AS151" s="22">
        <v>-1.7489600000000001E-2</v>
      </c>
      <c r="AT151" s="22">
        <v>141</v>
      </c>
      <c r="AU151" s="22">
        <v>1.0388200000000001</v>
      </c>
      <c r="AV151">
        <f t="shared" si="32"/>
        <v>17.489599999999999</v>
      </c>
      <c r="AW151">
        <f t="shared" si="33"/>
        <v>18.189883584</v>
      </c>
      <c r="AX151" s="9"/>
      <c r="AY151" s="22">
        <v>0.61004599999999998</v>
      </c>
      <c r="AZ151" s="22">
        <v>47.063600000000001</v>
      </c>
      <c r="BA151" s="22">
        <v>-1.7953500000000001E-2</v>
      </c>
      <c r="BB151" s="22">
        <v>141</v>
      </c>
      <c r="BC151" s="22">
        <v>0.60946699999999998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12.3255</v>
      </c>
      <c r="I152" s="22">
        <v>-1.7446900000000001E-2</v>
      </c>
      <c r="J152" s="22">
        <v>142</v>
      </c>
      <c r="K152" s="22">
        <v>1.03424</v>
      </c>
      <c r="L152">
        <f t="shared" si="24"/>
        <v>17.446900000000003</v>
      </c>
      <c r="M152">
        <f t="shared" si="25"/>
        <v>18.057541500000003</v>
      </c>
      <c r="N152" s="9"/>
      <c r="O152" s="22">
        <v>0.61508200000000002</v>
      </c>
      <c r="P152" s="22">
        <v>25.2133</v>
      </c>
      <c r="Q152" s="22">
        <v>-1.79413E-2</v>
      </c>
      <c r="R152" s="22">
        <v>142</v>
      </c>
      <c r="S152" s="22">
        <v>0.61434900000000003</v>
      </c>
      <c r="T152">
        <f t="shared" si="26"/>
        <v>17.941300000000002</v>
      </c>
      <c r="U152">
        <f t="shared" si="27"/>
        <v>11.035370686600002</v>
      </c>
      <c r="X152" s="9"/>
      <c r="Y152" s="22">
        <v>1.0349999999999999</v>
      </c>
      <c r="Z152" s="22">
        <v>32.596899999999998</v>
      </c>
      <c r="AA152" s="22">
        <v>-1.75049E-2</v>
      </c>
      <c r="AB152" s="22">
        <v>142</v>
      </c>
      <c r="AC152" s="22">
        <v>1.03363</v>
      </c>
      <c r="AD152">
        <f t="shared" si="28"/>
        <v>17.504899999999999</v>
      </c>
      <c r="AE152">
        <f t="shared" si="29"/>
        <v>18.117571499999997</v>
      </c>
      <c r="AF152" s="9"/>
      <c r="AG152" s="22">
        <v>0.61508200000000002</v>
      </c>
      <c r="AH152" s="22">
        <v>37.500500000000002</v>
      </c>
      <c r="AI152" s="22">
        <v>-1.7962599999999999E-2</v>
      </c>
      <c r="AJ152" s="22">
        <v>142</v>
      </c>
      <c r="AK152" s="22">
        <v>0.61480699999999999</v>
      </c>
      <c r="AL152">
        <f t="shared" si="30"/>
        <v>17.962599999999998</v>
      </c>
      <c r="AM152">
        <f t="shared" si="31"/>
        <v>11.0484719332</v>
      </c>
      <c r="AP152" s="9"/>
      <c r="AQ152" s="22">
        <v>1.0349999999999999</v>
      </c>
      <c r="AR152" s="22">
        <v>42.334099999999999</v>
      </c>
      <c r="AS152" s="22">
        <v>-1.7498799999999998E-2</v>
      </c>
      <c r="AT152" s="22">
        <v>142</v>
      </c>
      <c r="AU152" s="22">
        <v>1.03424</v>
      </c>
      <c r="AV152">
        <f t="shared" si="32"/>
        <v>17.498799999999999</v>
      </c>
      <c r="AW152">
        <f t="shared" si="33"/>
        <v>18.111257999999999</v>
      </c>
      <c r="AX152" s="9"/>
      <c r="AY152" s="22">
        <v>0.61508200000000002</v>
      </c>
      <c r="AZ152" s="22">
        <v>47.073700000000002</v>
      </c>
      <c r="BA152" s="22">
        <v>-1.7947399999999999E-2</v>
      </c>
      <c r="BB152" s="22">
        <v>142</v>
      </c>
      <c r="BC152" s="22">
        <v>0.61468500000000004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12.335599999999999</v>
      </c>
      <c r="I153" s="22">
        <v>-1.7456099999999999E-2</v>
      </c>
      <c r="J153" s="22">
        <v>143</v>
      </c>
      <c r="K153" s="22">
        <v>1.0293600000000001</v>
      </c>
      <c r="L153">
        <f t="shared" si="24"/>
        <v>17.456099999999999</v>
      </c>
      <c r="M153">
        <f t="shared" si="25"/>
        <v>17.979259317</v>
      </c>
      <c r="N153" s="9"/>
      <c r="O153" s="22">
        <v>0.62011700000000003</v>
      </c>
      <c r="P153" s="22">
        <v>25.223299999999998</v>
      </c>
      <c r="Q153" s="22">
        <v>-1.7938200000000001E-2</v>
      </c>
      <c r="R153" s="22">
        <v>143</v>
      </c>
      <c r="S153" s="22">
        <v>0.61965899999999996</v>
      </c>
      <c r="T153">
        <f t="shared" si="26"/>
        <v>17.938200000000002</v>
      </c>
      <c r="U153">
        <f t="shared" si="27"/>
        <v>11.123782769400002</v>
      </c>
      <c r="X153" s="9"/>
      <c r="Y153" s="22">
        <v>1.0299700000000001</v>
      </c>
      <c r="Z153" s="22">
        <v>32.606999999999999</v>
      </c>
      <c r="AA153" s="22">
        <v>-1.7510999999999999E-2</v>
      </c>
      <c r="AB153" s="22">
        <v>143</v>
      </c>
      <c r="AC153" s="22">
        <v>1.02905</v>
      </c>
      <c r="AD153">
        <f t="shared" si="28"/>
        <v>17.510999999999999</v>
      </c>
      <c r="AE153">
        <f t="shared" si="29"/>
        <v>18.035804670000001</v>
      </c>
      <c r="AF153" s="9"/>
      <c r="AG153" s="22">
        <v>0.62011700000000003</v>
      </c>
      <c r="AH153" s="22">
        <v>37.510599999999997</v>
      </c>
      <c r="AI153" s="22">
        <v>-1.7959599999999999E-2</v>
      </c>
      <c r="AJ153" s="22">
        <v>143</v>
      </c>
      <c r="AK153" s="22">
        <v>0.61950700000000003</v>
      </c>
      <c r="AL153">
        <f t="shared" si="30"/>
        <v>17.959599999999998</v>
      </c>
      <c r="AM153">
        <f t="shared" si="31"/>
        <v>11.137053273199999</v>
      </c>
      <c r="AP153" s="9"/>
      <c r="AQ153" s="22">
        <v>1.0299700000000001</v>
      </c>
      <c r="AR153" s="22">
        <v>42.344200000000001</v>
      </c>
      <c r="AS153" s="22">
        <v>-1.7501800000000001E-2</v>
      </c>
      <c r="AT153" s="22">
        <v>143</v>
      </c>
      <c r="AU153" s="22">
        <v>1.02905</v>
      </c>
      <c r="AV153">
        <f t="shared" si="32"/>
        <v>17.501800000000003</v>
      </c>
      <c r="AW153">
        <f t="shared" si="33"/>
        <v>18.026328946000003</v>
      </c>
      <c r="AX153" s="9"/>
      <c r="AY153" s="22">
        <v>0.62011700000000003</v>
      </c>
      <c r="AZ153" s="22">
        <v>47.083799999999997</v>
      </c>
      <c r="BA153" s="22">
        <v>-1.79413E-2</v>
      </c>
      <c r="BB153" s="22">
        <v>143</v>
      </c>
      <c r="BC153" s="22">
        <v>0.61975100000000005</v>
      </c>
      <c r="BD153">
        <f t="shared" si="34"/>
        <v>17.941300000000002</v>
      </c>
      <c r="BE153">
        <f t="shared" si="35"/>
        <v>11.125705132100002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12.345700000000001</v>
      </c>
      <c r="I154" s="22">
        <v>-1.7462200000000001E-2</v>
      </c>
      <c r="J154" s="22">
        <v>144</v>
      </c>
      <c r="K154" s="22">
        <v>1.02417</v>
      </c>
      <c r="L154">
        <f t="shared" si="24"/>
        <v>17.462199999999999</v>
      </c>
      <c r="M154">
        <f t="shared" si="25"/>
        <v>17.897532645999998</v>
      </c>
      <c r="N154" s="9"/>
      <c r="O154" s="22">
        <v>0.62515299999999996</v>
      </c>
      <c r="P154" s="22">
        <v>25.2334</v>
      </c>
      <c r="Q154" s="22">
        <v>-1.7935199999999998E-2</v>
      </c>
      <c r="R154" s="22">
        <v>144</v>
      </c>
      <c r="S154" s="22">
        <v>0.62408399999999997</v>
      </c>
      <c r="T154">
        <f t="shared" si="26"/>
        <v>17.935199999999998</v>
      </c>
      <c r="U154">
        <f t="shared" si="27"/>
        <v>11.212244085599998</v>
      </c>
      <c r="X154" s="9"/>
      <c r="Y154" s="22">
        <v>1.0249299999999999</v>
      </c>
      <c r="Z154" s="22">
        <v>32.616999999999997</v>
      </c>
      <c r="AA154" s="22">
        <v>-1.7517100000000001E-2</v>
      </c>
      <c r="AB154" s="22">
        <v>144</v>
      </c>
      <c r="AC154" s="22">
        <v>1.02325</v>
      </c>
      <c r="AD154">
        <f t="shared" si="28"/>
        <v>17.517099999999999</v>
      </c>
      <c r="AE154">
        <f t="shared" si="29"/>
        <v>17.953801302999999</v>
      </c>
      <c r="AF154" s="9"/>
      <c r="AG154" s="22">
        <v>0.62515299999999996</v>
      </c>
      <c r="AH154" s="22">
        <v>37.520600000000002</v>
      </c>
      <c r="AI154" s="22">
        <v>-1.7953500000000001E-2</v>
      </c>
      <c r="AJ154" s="22">
        <v>144</v>
      </c>
      <c r="AK154" s="22">
        <v>0.623444</v>
      </c>
      <c r="AL154">
        <f t="shared" si="30"/>
        <v>17.953500000000002</v>
      </c>
      <c r="AM154">
        <f t="shared" si="31"/>
        <v>11.2236843855</v>
      </c>
      <c r="AP154" s="9"/>
      <c r="AQ154" s="22">
        <v>1.0249299999999999</v>
      </c>
      <c r="AR154" s="22">
        <v>42.354199999999999</v>
      </c>
      <c r="AS154" s="22">
        <v>-1.75049E-2</v>
      </c>
      <c r="AT154" s="22">
        <v>144</v>
      </c>
      <c r="AU154" s="22">
        <v>1.02417</v>
      </c>
      <c r="AV154">
        <f t="shared" si="32"/>
        <v>17.504899999999999</v>
      </c>
      <c r="AW154">
        <f t="shared" si="33"/>
        <v>17.941297156999997</v>
      </c>
      <c r="AX154" s="9"/>
      <c r="AY154" s="22">
        <v>0.62515299999999996</v>
      </c>
      <c r="AZ154" s="22">
        <v>47.093800000000002</v>
      </c>
      <c r="BA154" s="22">
        <v>-1.7938200000000001E-2</v>
      </c>
      <c r="BB154" s="22">
        <v>144</v>
      </c>
      <c r="BC154" s="22">
        <v>0.62426800000000005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12.355700000000001</v>
      </c>
      <c r="I155" s="22">
        <v>-1.74652E-2</v>
      </c>
      <c r="J155" s="22">
        <v>145</v>
      </c>
      <c r="K155" s="22">
        <v>1.01898</v>
      </c>
      <c r="L155">
        <f t="shared" si="24"/>
        <v>17.465199999999999</v>
      </c>
      <c r="M155">
        <f t="shared" si="25"/>
        <v>17.812757479999998</v>
      </c>
      <c r="N155" s="9"/>
      <c r="O155" s="22">
        <v>0.63018799999999997</v>
      </c>
      <c r="P155" s="22">
        <v>25.243500000000001</v>
      </c>
      <c r="Q155" s="22">
        <v>-1.79291E-2</v>
      </c>
      <c r="R155" s="22">
        <v>145</v>
      </c>
      <c r="S155" s="22">
        <v>0.62957799999999997</v>
      </c>
      <c r="T155">
        <f t="shared" si="26"/>
        <v>17.929099999999998</v>
      </c>
      <c r="U155">
        <f t="shared" si="27"/>
        <v>11.298703670799998</v>
      </c>
      <c r="X155" s="9"/>
      <c r="Y155" s="22">
        <v>1.0199</v>
      </c>
      <c r="Z155" s="22">
        <v>32.627099999999999</v>
      </c>
      <c r="AA155" s="22">
        <v>-1.7523199999999999E-2</v>
      </c>
      <c r="AB155" s="22">
        <v>145</v>
      </c>
      <c r="AC155" s="22">
        <v>1.0199</v>
      </c>
      <c r="AD155">
        <f t="shared" si="28"/>
        <v>17.523199999999999</v>
      </c>
      <c r="AE155">
        <f t="shared" si="29"/>
        <v>17.87191168</v>
      </c>
      <c r="AF155" s="9"/>
      <c r="AG155" s="22">
        <v>0.63018799999999997</v>
      </c>
      <c r="AH155" s="22">
        <v>37.530700000000003</v>
      </c>
      <c r="AI155" s="22">
        <v>-1.7950399999999998E-2</v>
      </c>
      <c r="AJ155" s="22">
        <v>145</v>
      </c>
      <c r="AK155" s="22">
        <v>0.62954699999999997</v>
      </c>
      <c r="AL155">
        <f t="shared" si="30"/>
        <v>17.950399999999998</v>
      </c>
      <c r="AM155">
        <f t="shared" si="31"/>
        <v>11.312126675199998</v>
      </c>
      <c r="AP155" s="9"/>
      <c r="AQ155" s="22">
        <v>1.0199</v>
      </c>
      <c r="AR155" s="22">
        <v>42.3643</v>
      </c>
      <c r="AS155" s="22">
        <v>-1.7510999999999999E-2</v>
      </c>
      <c r="AT155" s="22">
        <v>145</v>
      </c>
      <c r="AU155" s="22">
        <v>1.01929</v>
      </c>
      <c r="AV155">
        <f t="shared" si="32"/>
        <v>17.510999999999999</v>
      </c>
      <c r="AW155">
        <f t="shared" si="33"/>
        <v>17.8594689</v>
      </c>
      <c r="AX155" s="9"/>
      <c r="AY155" s="22">
        <v>0.63018799999999997</v>
      </c>
      <c r="AZ155" s="22">
        <v>47.103900000000003</v>
      </c>
      <c r="BA155" s="22">
        <v>-1.7932099999999999E-2</v>
      </c>
      <c r="BB155" s="22">
        <v>145</v>
      </c>
      <c r="BC155" s="22">
        <v>0.62973000000000001</v>
      </c>
      <c r="BD155">
        <f t="shared" si="34"/>
        <v>17.932099999999998</v>
      </c>
      <c r="BE155">
        <f t="shared" si="35"/>
        <v>11.300594234799998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12.3658</v>
      </c>
      <c r="I156" s="22">
        <v>-1.7471299999999999E-2</v>
      </c>
      <c r="J156" s="22">
        <v>146</v>
      </c>
      <c r="K156" s="22">
        <v>1.01379</v>
      </c>
      <c r="L156">
        <f t="shared" si="24"/>
        <v>17.471299999999999</v>
      </c>
      <c r="M156">
        <f t="shared" si="25"/>
        <v>17.730923518000001</v>
      </c>
      <c r="N156" s="9"/>
      <c r="O156" s="22">
        <v>0.63522299999999998</v>
      </c>
      <c r="P156" s="22">
        <v>25.253499999999999</v>
      </c>
      <c r="Q156" s="22">
        <v>-1.7926000000000001E-2</v>
      </c>
      <c r="R156" s="22">
        <v>146</v>
      </c>
      <c r="S156" s="22">
        <v>0.63473500000000005</v>
      </c>
      <c r="T156">
        <f t="shared" si="26"/>
        <v>17.926000000000002</v>
      </c>
      <c r="U156">
        <f t="shared" si="27"/>
        <v>11.387007498000001</v>
      </c>
      <c r="X156" s="9"/>
      <c r="Y156" s="22">
        <v>1.0148600000000001</v>
      </c>
      <c r="Z156" s="22">
        <v>32.6372</v>
      </c>
      <c r="AA156" s="22">
        <v>-1.7529300000000001E-2</v>
      </c>
      <c r="AB156" s="22">
        <v>146</v>
      </c>
      <c r="AC156" s="22">
        <v>1.0141</v>
      </c>
      <c r="AD156">
        <f t="shared" si="28"/>
        <v>17.529300000000003</v>
      </c>
      <c r="AE156">
        <f t="shared" si="29"/>
        <v>17.789785398000003</v>
      </c>
      <c r="AF156" s="9"/>
      <c r="AG156" s="22">
        <v>0.63522299999999998</v>
      </c>
      <c r="AH156" s="22">
        <v>37.540799999999997</v>
      </c>
      <c r="AI156" s="22">
        <v>-1.7947399999999999E-2</v>
      </c>
      <c r="AJ156" s="22">
        <v>146</v>
      </c>
      <c r="AK156" s="22">
        <v>0.63458300000000001</v>
      </c>
      <c r="AL156">
        <f t="shared" si="30"/>
        <v>17.947399999999998</v>
      </c>
      <c r="AM156">
        <f t="shared" si="31"/>
        <v>11.400601270199999</v>
      </c>
      <c r="AP156" s="9"/>
      <c r="AQ156" s="22">
        <v>1.0148600000000001</v>
      </c>
      <c r="AR156" s="22">
        <v>42.374400000000001</v>
      </c>
      <c r="AS156" s="22">
        <v>-1.75201E-2</v>
      </c>
      <c r="AT156" s="22">
        <v>146</v>
      </c>
      <c r="AU156" s="22">
        <v>1.01379</v>
      </c>
      <c r="AV156">
        <f t="shared" si="32"/>
        <v>17.520099999999999</v>
      </c>
      <c r="AW156">
        <f t="shared" si="33"/>
        <v>17.780448686</v>
      </c>
      <c r="AX156" s="9"/>
      <c r="AY156" s="22">
        <v>0.63522299999999998</v>
      </c>
      <c r="AZ156" s="22">
        <v>47.113999999999997</v>
      </c>
      <c r="BA156" s="22">
        <v>-1.7926000000000001E-2</v>
      </c>
      <c r="BB156" s="22">
        <v>146</v>
      </c>
      <c r="BC156" s="22">
        <v>0.63433799999999996</v>
      </c>
      <c r="BD156">
        <f t="shared" si="34"/>
        <v>17.926000000000002</v>
      </c>
      <c r="BE156">
        <f t="shared" si="35"/>
        <v>11.387007498000001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12.3759</v>
      </c>
      <c r="I157" s="22">
        <v>-1.7474400000000001E-2</v>
      </c>
      <c r="J157" s="22">
        <v>147</v>
      </c>
      <c r="K157" s="22">
        <v>1.00891</v>
      </c>
      <c r="L157">
        <f t="shared" si="24"/>
        <v>17.474400000000003</v>
      </c>
      <c r="M157">
        <f t="shared" si="25"/>
        <v>17.646173352000002</v>
      </c>
      <c r="N157" s="9"/>
      <c r="O157" s="22">
        <v>0.64025900000000002</v>
      </c>
      <c r="P157" s="22">
        <v>25.2636</v>
      </c>
      <c r="Q157" s="22">
        <v>-1.7919899999999999E-2</v>
      </c>
      <c r="R157" s="22">
        <v>147</v>
      </c>
      <c r="S157" s="22">
        <v>0.63961800000000002</v>
      </c>
      <c r="T157">
        <f t="shared" si="26"/>
        <v>17.919899999999998</v>
      </c>
      <c r="U157">
        <f t="shared" si="27"/>
        <v>11.473377254099999</v>
      </c>
      <c r="X157" s="9"/>
      <c r="Y157" s="22">
        <v>1.00983</v>
      </c>
      <c r="Z157" s="22">
        <v>32.647199999999998</v>
      </c>
      <c r="AA157" s="22">
        <v>-1.75354E-2</v>
      </c>
      <c r="AB157" s="22">
        <v>147</v>
      </c>
      <c r="AC157" s="22">
        <v>1.00861</v>
      </c>
      <c r="AD157">
        <f t="shared" si="28"/>
        <v>17.535399999999999</v>
      </c>
      <c r="AE157">
        <f t="shared" si="29"/>
        <v>17.707772981999998</v>
      </c>
      <c r="AF157" s="9"/>
      <c r="AG157" s="22">
        <v>0.64025900000000002</v>
      </c>
      <c r="AH157" s="22">
        <v>37.550899999999999</v>
      </c>
      <c r="AI157" s="22">
        <v>-1.79443E-2</v>
      </c>
      <c r="AJ157" s="22">
        <v>147</v>
      </c>
      <c r="AK157" s="22">
        <v>0.63952600000000004</v>
      </c>
      <c r="AL157">
        <f t="shared" si="30"/>
        <v>17.944299999999998</v>
      </c>
      <c r="AM157">
        <f t="shared" si="31"/>
        <v>11.488999573699999</v>
      </c>
      <c r="AP157" s="9"/>
      <c r="AQ157" s="22">
        <v>1.00983</v>
      </c>
      <c r="AR157" s="22">
        <v>42.384399999999999</v>
      </c>
      <c r="AS157" s="22">
        <v>-1.7526199999999999E-2</v>
      </c>
      <c r="AT157" s="22">
        <v>147</v>
      </c>
      <c r="AU157" s="22">
        <v>1.00952</v>
      </c>
      <c r="AV157">
        <f t="shared" si="32"/>
        <v>17.526199999999999</v>
      </c>
      <c r="AW157">
        <f t="shared" si="33"/>
        <v>17.698482546000001</v>
      </c>
      <c r="AX157" s="9"/>
      <c r="AY157" s="22">
        <v>0.64025900000000002</v>
      </c>
      <c r="AZ157" s="22">
        <v>47.124099999999999</v>
      </c>
      <c r="BA157" s="22">
        <v>-1.7919899999999999E-2</v>
      </c>
      <c r="BB157" s="22">
        <v>147</v>
      </c>
      <c r="BC157" s="22">
        <v>0.63940399999999997</v>
      </c>
      <c r="BD157">
        <f t="shared" si="34"/>
        <v>17.919899999999998</v>
      </c>
      <c r="BE157">
        <f t="shared" si="35"/>
        <v>11.473377254099999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12.385899999999999</v>
      </c>
      <c r="I158" s="22">
        <v>-1.7483499999999999E-2</v>
      </c>
      <c r="J158" s="22">
        <v>148</v>
      </c>
      <c r="K158" s="22">
        <v>1.00342</v>
      </c>
      <c r="L158">
        <f t="shared" si="24"/>
        <v>17.483499999999999</v>
      </c>
      <c r="M158">
        <f t="shared" si="25"/>
        <v>17.567245965000001</v>
      </c>
      <c r="N158" s="9"/>
      <c r="O158" s="22">
        <v>0.64529400000000003</v>
      </c>
      <c r="P158" s="22">
        <v>25.273700000000002</v>
      </c>
      <c r="Q158" s="22">
        <v>-1.7913800000000001E-2</v>
      </c>
      <c r="R158" s="22">
        <v>148</v>
      </c>
      <c r="S158" s="22">
        <v>0.64477499999999999</v>
      </c>
      <c r="T158">
        <f t="shared" si="26"/>
        <v>17.913800000000002</v>
      </c>
      <c r="U158">
        <f t="shared" si="27"/>
        <v>11.559667657200002</v>
      </c>
      <c r="X158" s="9"/>
      <c r="Y158" s="22">
        <v>1.0047900000000001</v>
      </c>
      <c r="Z158" s="22">
        <v>32.657299999999999</v>
      </c>
      <c r="AA158" s="22">
        <v>-1.7538499999999999E-2</v>
      </c>
      <c r="AB158" s="22">
        <v>148</v>
      </c>
      <c r="AC158" s="22">
        <v>1.00342</v>
      </c>
      <c r="AD158">
        <f t="shared" si="28"/>
        <v>17.538499999999999</v>
      </c>
      <c r="AE158">
        <f t="shared" si="29"/>
        <v>17.622509415</v>
      </c>
      <c r="AF158" s="9"/>
      <c r="AG158" s="22">
        <v>0.64529400000000003</v>
      </c>
      <c r="AH158" s="22">
        <v>37.560899999999997</v>
      </c>
      <c r="AI158" s="22">
        <v>-1.79413E-2</v>
      </c>
      <c r="AJ158" s="22">
        <v>148</v>
      </c>
      <c r="AK158" s="22">
        <v>0.64505000000000001</v>
      </c>
      <c r="AL158">
        <f t="shared" si="30"/>
        <v>17.941300000000002</v>
      </c>
      <c r="AM158">
        <f t="shared" si="31"/>
        <v>11.577413242200002</v>
      </c>
      <c r="AP158" s="9"/>
      <c r="AQ158" s="22">
        <v>1.0047900000000001</v>
      </c>
      <c r="AR158" s="22">
        <v>42.394500000000001</v>
      </c>
      <c r="AS158" s="22">
        <v>-1.7532300000000001E-2</v>
      </c>
      <c r="AT158" s="22">
        <v>148</v>
      </c>
      <c r="AU158" s="22">
        <v>1.00403</v>
      </c>
      <c r="AV158">
        <f t="shared" si="32"/>
        <v>17.532299999999999</v>
      </c>
      <c r="AW158">
        <f t="shared" si="33"/>
        <v>17.616279717000001</v>
      </c>
      <c r="AX158" s="9"/>
      <c r="AY158" s="22">
        <v>0.64529400000000003</v>
      </c>
      <c r="AZ158" s="22">
        <v>47.134099999999997</v>
      </c>
      <c r="BA158" s="22">
        <v>-1.7916899999999999E-2</v>
      </c>
      <c r="BB158" s="22">
        <v>148</v>
      </c>
      <c r="BC158" s="22">
        <v>0.64471400000000001</v>
      </c>
      <c r="BD158">
        <f t="shared" si="34"/>
        <v>17.916899999999998</v>
      </c>
      <c r="BE158">
        <f t="shared" si="35"/>
        <v>11.5616680686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12.396000000000001</v>
      </c>
      <c r="I159" s="22">
        <v>-1.7489600000000001E-2</v>
      </c>
      <c r="J159" s="22">
        <v>149</v>
      </c>
      <c r="K159" s="22">
        <v>0.99914599999999998</v>
      </c>
      <c r="L159">
        <f t="shared" si="24"/>
        <v>17.489599999999999</v>
      </c>
      <c r="M159">
        <f t="shared" si="25"/>
        <v>17.485332537599998</v>
      </c>
      <c r="N159" s="9"/>
      <c r="O159" s="22">
        <v>0.65032999999999996</v>
      </c>
      <c r="P159" s="22">
        <v>25.283799999999999</v>
      </c>
      <c r="Q159" s="22">
        <v>-1.7910800000000001E-2</v>
      </c>
      <c r="R159" s="22">
        <v>149</v>
      </c>
      <c r="S159" s="22">
        <v>0.64971900000000005</v>
      </c>
      <c r="T159">
        <f t="shared" si="26"/>
        <v>17.910800000000002</v>
      </c>
      <c r="U159">
        <f t="shared" si="27"/>
        <v>11.647930564000001</v>
      </c>
      <c r="X159" s="9"/>
      <c r="Y159" s="22">
        <v>0.99975599999999998</v>
      </c>
      <c r="Z159" s="22">
        <v>32.667400000000001</v>
      </c>
      <c r="AA159" s="22">
        <v>-1.75446E-2</v>
      </c>
      <c r="AB159" s="22">
        <v>149</v>
      </c>
      <c r="AC159" s="22">
        <v>0.99914599999999998</v>
      </c>
      <c r="AD159">
        <f t="shared" si="28"/>
        <v>17.544599999999999</v>
      </c>
      <c r="AE159">
        <f t="shared" si="29"/>
        <v>17.540319117599999</v>
      </c>
      <c r="AF159" s="9"/>
      <c r="AG159" s="22">
        <v>0.65032999999999996</v>
      </c>
      <c r="AH159" s="22">
        <v>37.570999999999998</v>
      </c>
      <c r="AI159" s="22">
        <v>-1.7932099999999999E-2</v>
      </c>
      <c r="AJ159" s="22">
        <v>149</v>
      </c>
      <c r="AK159" s="22">
        <v>0.65023799999999998</v>
      </c>
      <c r="AL159">
        <f t="shared" si="30"/>
        <v>17.932099999999998</v>
      </c>
      <c r="AM159">
        <f t="shared" si="31"/>
        <v>11.661782592999998</v>
      </c>
      <c r="AP159" s="9"/>
      <c r="AQ159" s="22">
        <v>0.99975599999999998</v>
      </c>
      <c r="AR159" s="22">
        <v>42.404600000000002</v>
      </c>
      <c r="AS159" s="22">
        <v>-1.75354E-2</v>
      </c>
      <c r="AT159" s="22">
        <v>149</v>
      </c>
      <c r="AU159" s="22">
        <v>0.99853499999999995</v>
      </c>
      <c r="AV159">
        <f t="shared" si="32"/>
        <v>17.535399999999999</v>
      </c>
      <c r="AW159">
        <f t="shared" si="33"/>
        <v>17.5311213624</v>
      </c>
      <c r="AX159" s="9"/>
      <c r="AY159" s="22">
        <v>0.65032999999999996</v>
      </c>
      <c r="AZ159" s="22">
        <v>47.144199999999998</v>
      </c>
      <c r="BA159" s="22">
        <v>-1.7913800000000001E-2</v>
      </c>
      <c r="BB159" s="22">
        <v>149</v>
      </c>
      <c r="BC159" s="22">
        <v>0.649841</v>
      </c>
      <c r="BD159">
        <f t="shared" si="34"/>
        <v>17.913800000000002</v>
      </c>
      <c r="BE159">
        <f t="shared" si="35"/>
        <v>11.649881554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12.4061</v>
      </c>
      <c r="I160" s="22">
        <v>-1.7498799999999998E-2</v>
      </c>
      <c r="J160" s="22">
        <v>150</v>
      </c>
      <c r="K160" s="22">
        <v>0.99365199999999998</v>
      </c>
      <c r="L160">
        <f t="shared" si="24"/>
        <v>17.498799999999999</v>
      </c>
      <c r="M160">
        <f t="shared" si="25"/>
        <v>17.406406336</v>
      </c>
      <c r="N160" s="9"/>
      <c r="O160" s="22">
        <v>0.65536499999999998</v>
      </c>
      <c r="P160" s="22">
        <v>25.293800000000001</v>
      </c>
      <c r="Q160" s="22">
        <v>-1.7904699999999999E-2</v>
      </c>
      <c r="R160" s="22">
        <v>150</v>
      </c>
      <c r="S160" s="22">
        <v>0.654694</v>
      </c>
      <c r="T160">
        <f t="shared" si="26"/>
        <v>17.904699999999998</v>
      </c>
      <c r="U160">
        <f t="shared" si="27"/>
        <v>11.734113715499998</v>
      </c>
      <c r="X160" s="9"/>
      <c r="Y160" s="22">
        <v>0.99472000000000005</v>
      </c>
      <c r="Z160" s="22">
        <v>32.677500000000002</v>
      </c>
      <c r="AA160" s="22">
        <v>-1.7550699999999999E-2</v>
      </c>
      <c r="AB160" s="22">
        <v>150</v>
      </c>
      <c r="AC160" s="22">
        <v>0.99334699999999998</v>
      </c>
      <c r="AD160">
        <f t="shared" si="28"/>
        <v>17.550699999999999</v>
      </c>
      <c r="AE160">
        <f t="shared" si="29"/>
        <v>17.458032304</v>
      </c>
      <c r="AF160" s="9"/>
      <c r="AG160" s="22">
        <v>0.65536499999999998</v>
      </c>
      <c r="AH160" s="22">
        <v>37.581099999999999</v>
      </c>
      <c r="AI160" s="22">
        <v>-1.79291E-2</v>
      </c>
      <c r="AJ160" s="22">
        <v>150</v>
      </c>
      <c r="AK160" s="22">
        <v>0.65512099999999995</v>
      </c>
      <c r="AL160">
        <f t="shared" si="30"/>
        <v>17.929099999999998</v>
      </c>
      <c r="AM160">
        <f t="shared" si="31"/>
        <v>11.750104621499998</v>
      </c>
      <c r="AP160" s="9"/>
      <c r="AQ160" s="22">
        <v>0.99472000000000005</v>
      </c>
      <c r="AR160" s="22">
        <v>42.414700000000003</v>
      </c>
      <c r="AS160" s="22">
        <v>-1.75446E-2</v>
      </c>
      <c r="AT160" s="22">
        <v>150</v>
      </c>
      <c r="AU160" s="22">
        <v>0.99395800000000001</v>
      </c>
      <c r="AV160">
        <f t="shared" si="32"/>
        <v>17.544599999999999</v>
      </c>
      <c r="AW160">
        <f t="shared" si="33"/>
        <v>17.451964512</v>
      </c>
      <c r="AX160" s="9"/>
      <c r="AY160" s="22">
        <v>0.65536499999999998</v>
      </c>
      <c r="AZ160" s="22">
        <v>47.154299999999999</v>
      </c>
      <c r="BA160" s="22">
        <v>-1.7910800000000001E-2</v>
      </c>
      <c r="BB160" s="22">
        <v>150</v>
      </c>
      <c r="BC160" s="22">
        <v>0.65518200000000004</v>
      </c>
      <c r="BD160">
        <f t="shared" si="34"/>
        <v>17.910800000000002</v>
      </c>
      <c r="BE160">
        <f t="shared" si="35"/>
        <v>11.738111442000001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12.4162</v>
      </c>
      <c r="I161" s="22">
        <v>-1.75079E-2</v>
      </c>
      <c r="J161" s="22">
        <v>151</v>
      </c>
      <c r="K161" s="22">
        <v>0.98815900000000001</v>
      </c>
      <c r="L161">
        <f t="shared" si="24"/>
        <v>17.507899999999999</v>
      </c>
      <c r="M161">
        <f t="shared" si="25"/>
        <v>17.327306011499999</v>
      </c>
      <c r="N161" s="9"/>
      <c r="O161" s="22">
        <v>0.66039999999999999</v>
      </c>
      <c r="P161" s="22">
        <v>25.303899999999999</v>
      </c>
      <c r="Q161" s="22">
        <v>-1.79016E-2</v>
      </c>
      <c r="R161" s="22">
        <v>151</v>
      </c>
      <c r="S161" s="22">
        <v>0.65966800000000003</v>
      </c>
      <c r="T161">
        <f t="shared" si="26"/>
        <v>17.901599999999998</v>
      </c>
      <c r="U161">
        <f t="shared" si="27"/>
        <v>11.822216639999999</v>
      </c>
      <c r="X161" s="9"/>
      <c r="Y161" s="22">
        <v>0.98968500000000004</v>
      </c>
      <c r="Z161" s="22">
        <v>32.6875</v>
      </c>
      <c r="AA161" s="22">
        <v>-1.7553699999999998E-2</v>
      </c>
      <c r="AB161" s="22">
        <v>151</v>
      </c>
      <c r="AC161" s="22">
        <v>0.98877000000000004</v>
      </c>
      <c r="AD161">
        <f t="shared" si="28"/>
        <v>17.553699999999999</v>
      </c>
      <c r="AE161">
        <f t="shared" si="29"/>
        <v>17.372633584500001</v>
      </c>
      <c r="AF161" s="9"/>
      <c r="AG161" s="22">
        <v>0.66039999999999999</v>
      </c>
      <c r="AH161" s="22">
        <v>37.591099999999997</v>
      </c>
      <c r="AI161" s="22">
        <v>-1.7923000000000001E-2</v>
      </c>
      <c r="AJ161" s="22">
        <v>151</v>
      </c>
      <c r="AK161" s="22">
        <v>0.65994299999999995</v>
      </c>
      <c r="AL161">
        <f t="shared" si="30"/>
        <v>17.923000000000002</v>
      </c>
      <c r="AM161">
        <f t="shared" si="31"/>
        <v>11.836349200000001</v>
      </c>
      <c r="AP161" s="9"/>
      <c r="AQ161" s="22">
        <v>0.98968500000000004</v>
      </c>
      <c r="AR161" s="22">
        <v>42.424700000000001</v>
      </c>
      <c r="AS161" s="22">
        <v>-1.7553699999999998E-2</v>
      </c>
      <c r="AT161" s="22">
        <v>151</v>
      </c>
      <c r="AU161" s="22">
        <v>0.98877000000000004</v>
      </c>
      <c r="AV161">
        <f t="shared" si="32"/>
        <v>17.553699999999999</v>
      </c>
      <c r="AW161">
        <f t="shared" si="33"/>
        <v>17.372633584500001</v>
      </c>
      <c r="AX161" s="9"/>
      <c r="AY161" s="22">
        <v>0.66039999999999999</v>
      </c>
      <c r="AZ161" s="22">
        <v>47.164299999999997</v>
      </c>
      <c r="BA161" s="22">
        <v>-1.7904699999999999E-2</v>
      </c>
      <c r="BB161" s="22">
        <v>151</v>
      </c>
      <c r="BC161" s="22">
        <v>0.66003400000000001</v>
      </c>
      <c r="BD161">
        <f t="shared" si="34"/>
        <v>17.904699999999998</v>
      </c>
      <c r="BE161">
        <f t="shared" si="35"/>
        <v>11.824263879999998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12.4262</v>
      </c>
      <c r="I162" s="22">
        <v>-1.7510999999999999E-2</v>
      </c>
      <c r="J162" s="22">
        <v>152</v>
      </c>
      <c r="K162" s="22">
        <v>0.98419199999999996</v>
      </c>
      <c r="L162">
        <f t="shared" si="24"/>
        <v>17.510999999999999</v>
      </c>
      <c r="M162">
        <f t="shared" si="25"/>
        <v>17.242206150000001</v>
      </c>
      <c r="N162" s="9"/>
      <c r="O162" s="22">
        <v>0.66543600000000003</v>
      </c>
      <c r="P162" s="22">
        <v>25.314</v>
      </c>
      <c r="Q162" s="22">
        <v>-1.7892499999999999E-2</v>
      </c>
      <c r="R162" s="22">
        <v>152</v>
      </c>
      <c r="S162" s="22">
        <v>0.66479500000000002</v>
      </c>
      <c r="T162">
        <f t="shared" si="26"/>
        <v>17.892499999999998</v>
      </c>
      <c r="U162">
        <f t="shared" si="27"/>
        <v>11.90631363</v>
      </c>
      <c r="X162" s="9"/>
      <c r="Y162" s="22">
        <v>0.98465000000000003</v>
      </c>
      <c r="Z162" s="22">
        <v>32.697600000000001</v>
      </c>
      <c r="AA162" s="22">
        <v>-1.7556800000000001E-2</v>
      </c>
      <c r="AB162" s="22">
        <v>152</v>
      </c>
      <c r="AC162" s="22">
        <v>0.98297100000000004</v>
      </c>
      <c r="AD162">
        <f t="shared" si="28"/>
        <v>17.556800000000003</v>
      </c>
      <c r="AE162">
        <f t="shared" si="29"/>
        <v>17.287303120000004</v>
      </c>
      <c r="AF162" s="9"/>
      <c r="AG162" s="22">
        <v>0.66543600000000003</v>
      </c>
      <c r="AH162" s="22">
        <v>37.601199999999999</v>
      </c>
      <c r="AI162" s="22">
        <v>-1.7913800000000001E-2</v>
      </c>
      <c r="AJ162" s="22">
        <v>152</v>
      </c>
      <c r="AK162" s="22">
        <v>0.66507000000000005</v>
      </c>
      <c r="AL162">
        <f t="shared" si="30"/>
        <v>17.913800000000002</v>
      </c>
      <c r="AM162">
        <f t="shared" si="31"/>
        <v>11.920487416800002</v>
      </c>
      <c r="AP162" s="9"/>
      <c r="AQ162" s="22">
        <v>0.98465000000000003</v>
      </c>
      <c r="AR162" s="22">
        <v>42.434800000000003</v>
      </c>
      <c r="AS162" s="22">
        <v>-1.75598E-2</v>
      </c>
      <c r="AT162" s="22">
        <v>152</v>
      </c>
      <c r="AU162" s="22">
        <v>0.98358199999999996</v>
      </c>
      <c r="AV162">
        <f t="shared" si="32"/>
        <v>17.559799999999999</v>
      </c>
      <c r="AW162">
        <f t="shared" si="33"/>
        <v>17.290257069999999</v>
      </c>
      <c r="AX162" s="9"/>
      <c r="AY162" s="22">
        <v>0.66543600000000003</v>
      </c>
      <c r="AZ162" s="22">
        <v>47.174399999999999</v>
      </c>
      <c r="BA162" s="22">
        <v>-1.7898600000000001E-2</v>
      </c>
      <c r="BB162" s="22">
        <v>152</v>
      </c>
      <c r="BC162" s="22">
        <v>0.664551</v>
      </c>
      <c r="BD162">
        <f t="shared" si="34"/>
        <v>17.898600000000002</v>
      </c>
      <c r="BE162">
        <f t="shared" si="35"/>
        <v>11.910372789600002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12.436299999999999</v>
      </c>
      <c r="I163" s="22">
        <v>-1.75201E-2</v>
      </c>
      <c r="J163" s="22">
        <v>153</v>
      </c>
      <c r="K163" s="22">
        <v>0.97839399999999999</v>
      </c>
      <c r="L163">
        <f t="shared" si="24"/>
        <v>17.520099999999999</v>
      </c>
      <c r="M163">
        <f t="shared" si="25"/>
        <v>17.1629352414</v>
      </c>
      <c r="N163" s="9"/>
      <c r="O163" s="22">
        <v>0.67047100000000004</v>
      </c>
      <c r="P163" s="22">
        <v>25.324000000000002</v>
      </c>
      <c r="Q163" s="22">
        <v>-1.78894E-2</v>
      </c>
      <c r="R163" s="22">
        <v>153</v>
      </c>
      <c r="S163" s="22">
        <v>0.66979999999999995</v>
      </c>
      <c r="T163">
        <f t="shared" si="26"/>
        <v>17.889399999999998</v>
      </c>
      <c r="U163">
        <f t="shared" si="27"/>
        <v>11.9943239074</v>
      </c>
      <c r="X163" s="9"/>
      <c r="Y163" s="22">
        <v>0.97961399999999998</v>
      </c>
      <c r="Z163" s="22">
        <v>32.707700000000003</v>
      </c>
      <c r="AA163" s="22">
        <v>-1.7562899999999999E-2</v>
      </c>
      <c r="AB163" s="22">
        <v>153</v>
      </c>
      <c r="AC163" s="22">
        <v>0.97900399999999999</v>
      </c>
      <c r="AD163">
        <f t="shared" si="28"/>
        <v>17.562899999999999</v>
      </c>
      <c r="AE163">
        <f t="shared" si="29"/>
        <v>17.204862720599998</v>
      </c>
      <c r="AF163" s="9"/>
      <c r="AG163" s="22">
        <v>0.67047100000000004</v>
      </c>
      <c r="AH163" s="22">
        <v>37.6113</v>
      </c>
      <c r="AI163" s="22">
        <v>-1.7910800000000001E-2</v>
      </c>
      <c r="AJ163" s="22">
        <v>153</v>
      </c>
      <c r="AK163" s="22">
        <v>0.66979999999999995</v>
      </c>
      <c r="AL163">
        <f t="shared" si="30"/>
        <v>17.910800000000002</v>
      </c>
      <c r="AM163">
        <f t="shared" si="31"/>
        <v>12.008671986800001</v>
      </c>
      <c r="AP163" s="9"/>
      <c r="AQ163" s="22">
        <v>0.97961399999999998</v>
      </c>
      <c r="AR163" s="22">
        <v>42.444899999999997</v>
      </c>
      <c r="AS163" s="22">
        <v>-1.7565899999999999E-2</v>
      </c>
      <c r="AT163" s="22">
        <v>153</v>
      </c>
      <c r="AU163" s="22">
        <v>0.97869899999999999</v>
      </c>
      <c r="AV163">
        <f t="shared" si="32"/>
        <v>17.565899999999999</v>
      </c>
      <c r="AW163">
        <f t="shared" si="33"/>
        <v>17.2078015626</v>
      </c>
      <c r="AX163" s="9"/>
      <c r="AY163" s="22">
        <v>0.67047100000000004</v>
      </c>
      <c r="AZ163" s="22">
        <v>47.1845</v>
      </c>
      <c r="BA163" s="22">
        <v>-1.7895500000000002E-2</v>
      </c>
      <c r="BB163" s="22">
        <v>153</v>
      </c>
      <c r="BC163" s="22">
        <v>0.66995199999999999</v>
      </c>
      <c r="BD163">
        <f t="shared" si="34"/>
        <v>17.895500000000002</v>
      </c>
      <c r="BE163">
        <f t="shared" si="35"/>
        <v>11.998413780500002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12.446400000000001</v>
      </c>
      <c r="I164" s="22">
        <v>-1.7526199999999999E-2</v>
      </c>
      <c r="J164" s="22">
        <v>154</v>
      </c>
      <c r="K164" s="22">
        <v>0.97442600000000001</v>
      </c>
      <c r="L164">
        <f t="shared" si="24"/>
        <v>17.526199999999999</v>
      </c>
      <c r="M164">
        <f t="shared" si="25"/>
        <v>17.080666469800001</v>
      </c>
      <c r="N164" s="9"/>
      <c r="O164" s="22">
        <v>0.67550699999999997</v>
      </c>
      <c r="P164" s="22">
        <v>25.334099999999999</v>
      </c>
      <c r="Q164" s="22">
        <v>-1.7883300000000001E-2</v>
      </c>
      <c r="R164" s="22">
        <v>154</v>
      </c>
      <c r="S164" s="22">
        <v>0.67462200000000005</v>
      </c>
      <c r="T164">
        <f t="shared" si="26"/>
        <v>17.883300000000002</v>
      </c>
      <c r="U164">
        <f t="shared" si="27"/>
        <v>12.080294333100001</v>
      </c>
      <c r="X164" s="9"/>
      <c r="Y164" s="22">
        <v>0.97457899999999997</v>
      </c>
      <c r="Z164" s="22">
        <v>32.717700000000001</v>
      </c>
      <c r="AA164" s="22">
        <v>-1.7565899999999999E-2</v>
      </c>
      <c r="AB164" s="22">
        <v>154</v>
      </c>
      <c r="AC164" s="22">
        <v>0.97320600000000002</v>
      </c>
      <c r="AD164">
        <f t="shared" si="28"/>
        <v>17.565899999999999</v>
      </c>
      <c r="AE164">
        <f t="shared" si="29"/>
        <v>17.119357256099999</v>
      </c>
      <c r="AF164" s="9"/>
      <c r="AG164" s="22">
        <v>0.67550699999999997</v>
      </c>
      <c r="AH164" s="22">
        <v>37.621400000000001</v>
      </c>
      <c r="AI164" s="22">
        <v>-1.7904699999999999E-2</v>
      </c>
      <c r="AJ164" s="22">
        <v>154</v>
      </c>
      <c r="AK164" s="22">
        <v>0.67456099999999997</v>
      </c>
      <c r="AL164">
        <f t="shared" si="30"/>
        <v>17.904699999999998</v>
      </c>
      <c r="AM164">
        <f t="shared" si="31"/>
        <v>12.094750182899999</v>
      </c>
      <c r="AP164" s="9"/>
      <c r="AQ164" s="22">
        <v>0.97457899999999997</v>
      </c>
      <c r="AR164" s="22">
        <v>42.454900000000002</v>
      </c>
      <c r="AS164" s="22">
        <v>-1.7569000000000001E-2</v>
      </c>
      <c r="AT164" s="22">
        <v>154</v>
      </c>
      <c r="AU164" s="22">
        <v>0.97442600000000001</v>
      </c>
      <c r="AV164">
        <f t="shared" si="32"/>
        <v>17.569000000000003</v>
      </c>
      <c r="AW164">
        <f t="shared" si="33"/>
        <v>17.122378451000003</v>
      </c>
      <c r="AX164" s="9"/>
      <c r="AY164" s="22">
        <v>0.67550699999999997</v>
      </c>
      <c r="AZ164" s="22">
        <v>47.194600000000001</v>
      </c>
      <c r="BA164" s="22">
        <v>-1.78894E-2</v>
      </c>
      <c r="BB164" s="22">
        <v>154</v>
      </c>
      <c r="BC164" s="22">
        <v>0.67501800000000001</v>
      </c>
      <c r="BD164">
        <f t="shared" si="34"/>
        <v>17.889399999999998</v>
      </c>
      <c r="BE164">
        <f t="shared" si="35"/>
        <v>12.084414925799999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12.4564</v>
      </c>
      <c r="I165" s="22">
        <v>-1.75354E-2</v>
      </c>
      <c r="J165" s="22">
        <v>155</v>
      </c>
      <c r="K165" s="22">
        <v>0.96862800000000004</v>
      </c>
      <c r="L165">
        <f t="shared" si="24"/>
        <v>17.535399999999999</v>
      </c>
      <c r="M165">
        <f t="shared" si="25"/>
        <v>17.001324322199999</v>
      </c>
      <c r="N165" s="9"/>
      <c r="O165" s="22">
        <v>0.68054199999999998</v>
      </c>
      <c r="P165" s="22">
        <v>25.344200000000001</v>
      </c>
      <c r="Q165" s="22">
        <v>-1.7877199999999999E-2</v>
      </c>
      <c r="R165" s="22">
        <v>155</v>
      </c>
      <c r="S165" s="22">
        <v>0.67993199999999998</v>
      </c>
      <c r="T165">
        <f t="shared" si="26"/>
        <v>17.877199999999998</v>
      </c>
      <c r="U165">
        <f t="shared" si="27"/>
        <v>12.166185442399998</v>
      </c>
      <c r="X165" s="9"/>
      <c r="Y165" s="22">
        <v>0.96954300000000004</v>
      </c>
      <c r="Z165" s="22">
        <v>32.727800000000002</v>
      </c>
      <c r="AA165" s="22">
        <v>-1.7572000000000001E-2</v>
      </c>
      <c r="AB165" s="22">
        <v>155</v>
      </c>
      <c r="AC165" s="22">
        <v>0.96832300000000004</v>
      </c>
      <c r="AD165">
        <f t="shared" si="28"/>
        <v>17.571999999999999</v>
      </c>
      <c r="AE165">
        <f t="shared" si="29"/>
        <v>17.036809596000001</v>
      </c>
      <c r="AF165" s="9"/>
      <c r="AG165" s="22">
        <v>0.68054199999999998</v>
      </c>
      <c r="AH165" s="22">
        <v>37.631399999999999</v>
      </c>
      <c r="AI165" s="22">
        <v>-1.79016E-2</v>
      </c>
      <c r="AJ165" s="22">
        <v>155</v>
      </c>
      <c r="AK165" s="22">
        <v>0.67971800000000004</v>
      </c>
      <c r="AL165">
        <f t="shared" si="30"/>
        <v>17.901599999999998</v>
      </c>
      <c r="AM165">
        <f t="shared" si="31"/>
        <v>12.182790667199999</v>
      </c>
      <c r="AP165" s="9"/>
      <c r="AQ165" s="22">
        <v>0.96954300000000004</v>
      </c>
      <c r="AR165" s="22">
        <v>42.465000000000003</v>
      </c>
      <c r="AS165" s="22">
        <v>-1.75751E-2</v>
      </c>
      <c r="AT165" s="22">
        <v>155</v>
      </c>
      <c r="AU165" s="22">
        <v>0.96862800000000004</v>
      </c>
      <c r="AV165">
        <f t="shared" si="32"/>
        <v>17.575099999999999</v>
      </c>
      <c r="AW165">
        <f t="shared" si="33"/>
        <v>17.0398151793</v>
      </c>
      <c r="AX165" s="9"/>
      <c r="AY165" s="22">
        <v>0.68054199999999998</v>
      </c>
      <c r="AZ165" s="22">
        <v>47.204599999999999</v>
      </c>
      <c r="BA165" s="22">
        <v>-1.78864E-2</v>
      </c>
      <c r="BB165" s="22">
        <v>155</v>
      </c>
      <c r="BC165" s="22">
        <v>0.679871</v>
      </c>
      <c r="BD165">
        <f t="shared" si="34"/>
        <v>17.886400000000002</v>
      </c>
      <c r="BE165">
        <f t="shared" si="35"/>
        <v>12.172446428800001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12.4665</v>
      </c>
      <c r="I166" s="22">
        <v>-1.7538499999999999E-2</v>
      </c>
      <c r="J166" s="22">
        <v>156</v>
      </c>
      <c r="K166" s="22">
        <v>0.96313499999999996</v>
      </c>
      <c r="L166">
        <f t="shared" si="24"/>
        <v>17.538499999999999</v>
      </c>
      <c r="M166">
        <f t="shared" si="25"/>
        <v>16.916023557999999</v>
      </c>
      <c r="N166" s="9"/>
      <c r="O166" s="22">
        <v>0.68557699999999999</v>
      </c>
      <c r="P166" s="22">
        <v>25.354299999999999</v>
      </c>
      <c r="Q166" s="22">
        <v>-1.78741E-2</v>
      </c>
      <c r="R166" s="22">
        <v>156</v>
      </c>
      <c r="S166" s="22">
        <v>0.68496699999999999</v>
      </c>
      <c r="T166">
        <f t="shared" si="26"/>
        <v>17.874100000000002</v>
      </c>
      <c r="U166">
        <f t="shared" si="27"/>
        <v>12.254071855700001</v>
      </c>
      <c r="X166" s="9"/>
      <c r="Y166" s="22">
        <v>0.96450800000000003</v>
      </c>
      <c r="Z166" s="22">
        <v>32.737900000000003</v>
      </c>
      <c r="AA166" s="22">
        <v>-1.7578099999999999E-2</v>
      </c>
      <c r="AB166" s="22">
        <v>156</v>
      </c>
      <c r="AC166" s="22">
        <v>0.96374499999999996</v>
      </c>
      <c r="AD166">
        <f t="shared" si="28"/>
        <v>17.578099999999999</v>
      </c>
      <c r="AE166">
        <f t="shared" si="29"/>
        <v>16.9542180748</v>
      </c>
      <c r="AF166" s="9"/>
      <c r="AG166" s="22">
        <v>0.68557699999999999</v>
      </c>
      <c r="AH166" s="22">
        <v>37.641500000000001</v>
      </c>
      <c r="AI166" s="22">
        <v>-1.7892499999999999E-2</v>
      </c>
      <c r="AJ166" s="22">
        <v>156</v>
      </c>
      <c r="AK166" s="22">
        <v>0.68484500000000004</v>
      </c>
      <c r="AL166">
        <f t="shared" si="30"/>
        <v>17.892499999999998</v>
      </c>
      <c r="AM166">
        <f t="shared" si="31"/>
        <v>12.266686472499998</v>
      </c>
      <c r="AP166" s="9"/>
      <c r="AQ166" s="22">
        <v>0.96450800000000003</v>
      </c>
      <c r="AR166" s="22">
        <v>42.475099999999998</v>
      </c>
      <c r="AS166" s="22">
        <v>-1.7584200000000001E-2</v>
      </c>
      <c r="AT166" s="22">
        <v>156</v>
      </c>
      <c r="AU166" s="22">
        <v>0.96404999999999996</v>
      </c>
      <c r="AV166">
        <f t="shared" si="32"/>
        <v>17.584200000000003</v>
      </c>
      <c r="AW166">
        <f t="shared" si="33"/>
        <v>16.960101573600003</v>
      </c>
      <c r="AX166" s="9"/>
      <c r="AY166" s="22">
        <v>0.68557699999999999</v>
      </c>
      <c r="AZ166" s="22">
        <v>47.214700000000001</v>
      </c>
      <c r="BA166" s="22">
        <v>-1.7883300000000001E-2</v>
      </c>
      <c r="BB166" s="22">
        <v>156</v>
      </c>
      <c r="BC166" s="22">
        <v>0.68487500000000001</v>
      </c>
      <c r="BD166">
        <f t="shared" si="34"/>
        <v>17.883300000000002</v>
      </c>
      <c r="BE166">
        <f t="shared" si="35"/>
        <v>12.260379164100002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12.476599999999999</v>
      </c>
      <c r="I167" s="22">
        <v>-1.75446E-2</v>
      </c>
      <c r="J167" s="22">
        <v>157</v>
      </c>
      <c r="K167" s="22">
        <v>0.95855699999999999</v>
      </c>
      <c r="L167">
        <f t="shared" si="24"/>
        <v>17.544599999999999</v>
      </c>
      <c r="M167">
        <f t="shared" si="25"/>
        <v>16.833569995799998</v>
      </c>
      <c r="N167" s="9"/>
      <c r="O167" s="22">
        <v>0.69061300000000003</v>
      </c>
      <c r="P167" s="22">
        <v>25.3643</v>
      </c>
      <c r="Q167" s="22">
        <v>-1.7867999999999998E-2</v>
      </c>
      <c r="R167" s="22">
        <v>157</v>
      </c>
      <c r="S167" s="22">
        <v>0.68994100000000003</v>
      </c>
      <c r="T167">
        <f t="shared" si="26"/>
        <v>17.867999999999999</v>
      </c>
      <c r="U167">
        <f t="shared" si="27"/>
        <v>12.339873083999999</v>
      </c>
      <c r="X167" s="9"/>
      <c r="Y167" s="22">
        <v>0.95947300000000002</v>
      </c>
      <c r="Z167" s="22">
        <v>32.747999999999998</v>
      </c>
      <c r="AA167" s="22">
        <v>-1.7584200000000001E-2</v>
      </c>
      <c r="AB167" s="22">
        <v>157</v>
      </c>
      <c r="AC167" s="22">
        <v>0.95916699999999999</v>
      </c>
      <c r="AD167">
        <f t="shared" si="28"/>
        <v>17.584200000000003</v>
      </c>
      <c r="AE167">
        <f t="shared" si="29"/>
        <v>16.871565126600004</v>
      </c>
      <c r="AF167" s="9"/>
      <c r="AG167" s="22">
        <v>0.69061300000000003</v>
      </c>
      <c r="AH167" s="22">
        <v>37.651600000000002</v>
      </c>
      <c r="AI167" s="22">
        <v>-1.78894E-2</v>
      </c>
      <c r="AJ167" s="22">
        <v>157</v>
      </c>
      <c r="AK167" s="22">
        <v>0.69079599999999997</v>
      </c>
      <c r="AL167">
        <f t="shared" si="30"/>
        <v>17.889399999999998</v>
      </c>
      <c r="AM167">
        <f t="shared" si="31"/>
        <v>12.354652202199999</v>
      </c>
      <c r="AP167" s="9"/>
      <c r="AQ167" s="22">
        <v>0.95947300000000002</v>
      </c>
      <c r="AR167" s="22">
        <v>42.485199999999999</v>
      </c>
      <c r="AS167" s="22">
        <v>-1.75873E-2</v>
      </c>
      <c r="AT167" s="22">
        <v>157</v>
      </c>
      <c r="AU167" s="22">
        <v>0.95855699999999999</v>
      </c>
      <c r="AV167">
        <f t="shared" si="32"/>
        <v>17.587299999999999</v>
      </c>
      <c r="AW167">
        <f t="shared" si="33"/>
        <v>16.874539492899999</v>
      </c>
      <c r="AX167" s="9"/>
      <c r="AY167" s="22">
        <v>0.69061300000000003</v>
      </c>
      <c r="AZ167" s="22">
        <v>47.224800000000002</v>
      </c>
      <c r="BA167" s="22">
        <v>-1.78741E-2</v>
      </c>
      <c r="BB167" s="22">
        <v>157</v>
      </c>
      <c r="BC167" s="22">
        <v>0.69045999999999996</v>
      </c>
      <c r="BD167">
        <f t="shared" si="34"/>
        <v>17.874100000000002</v>
      </c>
      <c r="BE167">
        <f t="shared" si="35"/>
        <v>12.344085823300002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12.486599999999999</v>
      </c>
      <c r="I168" s="22">
        <v>-1.75476E-2</v>
      </c>
      <c r="J168" s="22">
        <v>158</v>
      </c>
      <c r="K168" s="22">
        <v>0.95397900000000002</v>
      </c>
      <c r="L168">
        <f t="shared" si="24"/>
        <v>17.547599999999999</v>
      </c>
      <c r="M168">
        <f t="shared" si="25"/>
        <v>16.748078701199997</v>
      </c>
      <c r="N168" s="9"/>
      <c r="O168" s="22">
        <v>0.69564800000000004</v>
      </c>
      <c r="P168" s="22">
        <v>25.374400000000001</v>
      </c>
      <c r="Q168" s="22">
        <v>-1.7864999999999999E-2</v>
      </c>
      <c r="R168" s="22">
        <v>158</v>
      </c>
      <c r="S168" s="22">
        <v>0.69497699999999996</v>
      </c>
      <c r="T168">
        <f t="shared" si="26"/>
        <v>17.864999999999998</v>
      </c>
      <c r="U168">
        <f t="shared" si="27"/>
        <v>12.427751519999999</v>
      </c>
      <c r="X168" s="9"/>
      <c r="Y168" s="22">
        <v>0.95443699999999998</v>
      </c>
      <c r="Z168" s="22">
        <v>32.758000000000003</v>
      </c>
      <c r="AA168" s="22">
        <v>-1.7593399999999999E-2</v>
      </c>
      <c r="AB168" s="22">
        <v>158</v>
      </c>
      <c r="AC168" s="22">
        <v>0.95306400000000002</v>
      </c>
      <c r="AD168">
        <f t="shared" si="28"/>
        <v>17.593399999999999</v>
      </c>
      <c r="AE168">
        <f t="shared" si="29"/>
        <v>16.791791915799998</v>
      </c>
      <c r="AF168" s="9"/>
      <c r="AG168" s="22">
        <v>0.69564800000000004</v>
      </c>
      <c r="AH168" s="22">
        <v>37.6616</v>
      </c>
      <c r="AI168" s="22">
        <v>-1.78864E-2</v>
      </c>
      <c r="AJ168" s="22">
        <v>158</v>
      </c>
      <c r="AK168" s="22">
        <v>0.69522099999999998</v>
      </c>
      <c r="AL168">
        <f t="shared" si="30"/>
        <v>17.886400000000002</v>
      </c>
      <c r="AM168">
        <f t="shared" si="31"/>
        <v>12.442638387200002</v>
      </c>
      <c r="AP168" s="9"/>
      <c r="AQ168" s="22">
        <v>0.95443699999999998</v>
      </c>
      <c r="AR168" s="22">
        <v>42.495199999999997</v>
      </c>
      <c r="AS168" s="22">
        <v>-1.7593399999999999E-2</v>
      </c>
      <c r="AT168" s="22">
        <v>158</v>
      </c>
      <c r="AU168" s="22">
        <v>0.95397900000000002</v>
      </c>
      <c r="AV168">
        <f t="shared" si="32"/>
        <v>17.593399999999999</v>
      </c>
      <c r="AW168">
        <f t="shared" si="33"/>
        <v>16.791791915799998</v>
      </c>
      <c r="AX168" s="9"/>
      <c r="AY168" s="22">
        <v>0.69564800000000004</v>
      </c>
      <c r="AZ168" s="22">
        <v>47.2348</v>
      </c>
      <c r="BA168" s="22">
        <v>-1.7871100000000001E-2</v>
      </c>
      <c r="BB168" s="22">
        <v>158</v>
      </c>
      <c r="BC168" s="22">
        <v>0.69518999999999997</v>
      </c>
      <c r="BD168">
        <f t="shared" si="34"/>
        <v>17.871100000000002</v>
      </c>
      <c r="BE168">
        <f t="shared" si="35"/>
        <v>12.431994972800002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12.496700000000001</v>
      </c>
      <c r="I169" s="22">
        <v>-1.75476E-2</v>
      </c>
      <c r="J169" s="22">
        <v>159</v>
      </c>
      <c r="K169" s="22">
        <v>0.94879199999999997</v>
      </c>
      <c r="L169">
        <f t="shared" si="24"/>
        <v>17.547599999999999</v>
      </c>
      <c r="M169">
        <f t="shared" si="25"/>
        <v>16.659726535199997</v>
      </c>
      <c r="N169" s="9"/>
      <c r="O169" s="22">
        <v>0.70068399999999997</v>
      </c>
      <c r="P169" s="22">
        <v>25.384499999999999</v>
      </c>
      <c r="Q169" s="22">
        <v>-1.78589E-2</v>
      </c>
      <c r="R169" s="22">
        <v>159</v>
      </c>
      <c r="S169" s="22">
        <v>0.70004299999999997</v>
      </c>
      <c r="T169">
        <f t="shared" si="26"/>
        <v>17.858900000000002</v>
      </c>
      <c r="U169">
        <f t="shared" si="27"/>
        <v>12.5134454876</v>
      </c>
      <c r="X169" s="9"/>
      <c r="Y169" s="22">
        <v>0.94940199999999997</v>
      </c>
      <c r="Z169" s="22">
        <v>32.768099999999997</v>
      </c>
      <c r="AA169" s="22">
        <v>-1.7599500000000001E-2</v>
      </c>
      <c r="AB169" s="22">
        <v>159</v>
      </c>
      <c r="AC169" s="22">
        <v>0.94757100000000005</v>
      </c>
      <c r="AD169">
        <f t="shared" si="28"/>
        <v>17.599499999999999</v>
      </c>
      <c r="AE169">
        <f t="shared" si="29"/>
        <v>16.709000498999998</v>
      </c>
      <c r="AF169" s="9"/>
      <c r="AG169" s="22">
        <v>0.70068399999999997</v>
      </c>
      <c r="AH169" s="22">
        <v>37.671700000000001</v>
      </c>
      <c r="AI169" s="22">
        <v>-1.7883300000000001E-2</v>
      </c>
      <c r="AJ169" s="22">
        <v>159</v>
      </c>
      <c r="AK169" s="22">
        <v>0.69961499999999999</v>
      </c>
      <c r="AL169">
        <f t="shared" si="30"/>
        <v>17.883300000000002</v>
      </c>
      <c r="AM169">
        <f t="shared" si="31"/>
        <v>12.530542177200001</v>
      </c>
      <c r="AP169" s="9"/>
      <c r="AQ169" s="22">
        <v>0.94940199999999997</v>
      </c>
      <c r="AR169" s="22">
        <v>42.505299999999998</v>
      </c>
      <c r="AS169" s="22">
        <v>-1.7599500000000001E-2</v>
      </c>
      <c r="AT169" s="22">
        <v>159</v>
      </c>
      <c r="AU169" s="22">
        <v>0.94757100000000005</v>
      </c>
      <c r="AV169">
        <f t="shared" si="32"/>
        <v>17.599499999999999</v>
      </c>
      <c r="AW169">
        <f t="shared" si="33"/>
        <v>16.709000498999998</v>
      </c>
      <c r="AX169" s="9"/>
      <c r="AY169" s="22">
        <v>0.70068399999999997</v>
      </c>
      <c r="AZ169" s="22">
        <v>47.244900000000001</v>
      </c>
      <c r="BA169" s="22">
        <v>-1.7864999999999999E-2</v>
      </c>
      <c r="BB169" s="22">
        <v>159</v>
      </c>
      <c r="BC169" s="22">
        <v>0.69949300000000003</v>
      </c>
      <c r="BD169">
        <f t="shared" si="34"/>
        <v>17.864999999999998</v>
      </c>
      <c r="BE169">
        <f t="shared" si="35"/>
        <v>12.517719659999999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12.5068</v>
      </c>
      <c r="I170" s="22">
        <v>-1.7556800000000001E-2</v>
      </c>
      <c r="J170" s="22">
        <v>160</v>
      </c>
      <c r="K170" s="22">
        <v>0.94329799999999997</v>
      </c>
      <c r="L170">
        <f t="shared" si="24"/>
        <v>17.556800000000003</v>
      </c>
      <c r="M170">
        <f t="shared" si="25"/>
        <v>16.580044988800005</v>
      </c>
      <c r="N170" s="9"/>
      <c r="O170" s="22">
        <v>0.70571899999999999</v>
      </c>
      <c r="P170" s="22">
        <v>25.394500000000001</v>
      </c>
      <c r="Q170" s="22">
        <v>-1.7852799999999999E-2</v>
      </c>
      <c r="R170" s="22">
        <v>160</v>
      </c>
      <c r="S170" s="22">
        <v>0.70520000000000005</v>
      </c>
      <c r="T170">
        <f t="shared" si="26"/>
        <v>17.852799999999998</v>
      </c>
      <c r="U170">
        <f t="shared" si="27"/>
        <v>12.599060163199999</v>
      </c>
      <c r="X170" s="9"/>
      <c r="Y170" s="22">
        <v>0.94436600000000004</v>
      </c>
      <c r="Z170" s="22">
        <v>32.778199999999998</v>
      </c>
      <c r="AA170" s="22">
        <v>-1.76025E-2</v>
      </c>
      <c r="AB170" s="22">
        <v>160</v>
      </c>
      <c r="AC170" s="22">
        <v>0.94329799999999997</v>
      </c>
      <c r="AD170">
        <f t="shared" si="28"/>
        <v>17.602499999999999</v>
      </c>
      <c r="AE170">
        <f t="shared" si="29"/>
        <v>16.623202514999999</v>
      </c>
      <c r="AF170" s="9"/>
      <c r="AG170" s="22">
        <v>0.70571899999999999</v>
      </c>
      <c r="AH170" s="22">
        <v>37.681800000000003</v>
      </c>
      <c r="AI170" s="22">
        <v>-1.78741E-2</v>
      </c>
      <c r="AJ170" s="22">
        <v>160</v>
      </c>
      <c r="AK170" s="22">
        <v>0.70516999999999996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42.5154</v>
      </c>
      <c r="AS170" s="22">
        <v>-1.7605599999999999E-2</v>
      </c>
      <c r="AT170" s="22">
        <v>160</v>
      </c>
      <c r="AU170" s="22">
        <v>0.943909</v>
      </c>
      <c r="AV170">
        <f t="shared" si="32"/>
        <v>17.605599999999999</v>
      </c>
      <c r="AW170">
        <f t="shared" si="33"/>
        <v>16.6261300496</v>
      </c>
      <c r="AX170" s="9"/>
      <c r="AY170" s="22">
        <v>0.70571899999999999</v>
      </c>
      <c r="AZ170" s="22">
        <v>47.255000000000003</v>
      </c>
      <c r="BA170" s="22">
        <v>-1.78589E-2</v>
      </c>
      <c r="BB170" s="22">
        <v>160</v>
      </c>
      <c r="BC170" s="22">
        <v>0.70507799999999998</v>
      </c>
      <c r="BD170">
        <f t="shared" si="34"/>
        <v>17.858900000000002</v>
      </c>
      <c r="BE170">
        <f t="shared" si="35"/>
        <v>12.603365049100001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12.5169</v>
      </c>
      <c r="I171" s="22">
        <v>-1.7565899999999999E-2</v>
      </c>
      <c r="J171" s="22">
        <v>161</v>
      </c>
      <c r="K171" s="22">
        <v>0.93841600000000003</v>
      </c>
      <c r="L171">
        <f t="shared" si="24"/>
        <v>17.565899999999999</v>
      </c>
      <c r="M171">
        <f t="shared" si="25"/>
        <v>16.500194412900001</v>
      </c>
      <c r="N171" s="9"/>
      <c r="O171" s="22">
        <v>0.710754</v>
      </c>
      <c r="P171" s="22">
        <v>25.404599999999999</v>
      </c>
      <c r="Q171" s="22">
        <v>-1.78497E-2</v>
      </c>
      <c r="R171" s="22">
        <v>161</v>
      </c>
      <c r="S171" s="22">
        <v>0.70962499999999995</v>
      </c>
      <c r="T171">
        <f t="shared" si="26"/>
        <v>17.849699999999999</v>
      </c>
      <c r="U171">
        <f t="shared" si="27"/>
        <v>12.686745673799999</v>
      </c>
      <c r="X171" s="9"/>
      <c r="Y171" s="22">
        <v>0.93933100000000003</v>
      </c>
      <c r="Z171" s="22">
        <v>32.788200000000003</v>
      </c>
      <c r="AA171" s="22">
        <v>-1.7611700000000001E-2</v>
      </c>
      <c r="AB171" s="22">
        <v>161</v>
      </c>
      <c r="AC171" s="22">
        <v>0.93841600000000003</v>
      </c>
      <c r="AD171">
        <f t="shared" si="28"/>
        <v>17.611700000000003</v>
      </c>
      <c r="AE171">
        <f t="shared" si="29"/>
        <v>16.543215772700002</v>
      </c>
      <c r="AF171" s="9"/>
      <c r="AG171" s="22">
        <v>0.710754</v>
      </c>
      <c r="AH171" s="22">
        <v>37.691899999999997</v>
      </c>
      <c r="AI171" s="22">
        <v>-1.7871100000000001E-2</v>
      </c>
      <c r="AJ171" s="22">
        <v>161</v>
      </c>
      <c r="AK171" s="22">
        <v>0.70996099999999995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42.525399999999998</v>
      </c>
      <c r="AS171" s="22">
        <v>-1.7608599999999999E-2</v>
      </c>
      <c r="AT171" s="22">
        <v>161</v>
      </c>
      <c r="AU171" s="22">
        <v>0.93658399999999997</v>
      </c>
      <c r="AV171">
        <f t="shared" si="32"/>
        <v>17.608599999999999</v>
      </c>
      <c r="AW171">
        <f t="shared" si="33"/>
        <v>16.540303846600001</v>
      </c>
      <c r="AX171" s="9"/>
      <c r="AY171" s="22">
        <v>0.710754</v>
      </c>
      <c r="AZ171" s="22">
        <v>47.265099999999997</v>
      </c>
      <c r="BA171" s="22">
        <v>-1.7852799999999999E-2</v>
      </c>
      <c r="BB171" s="22">
        <v>161</v>
      </c>
      <c r="BC171" s="22">
        <v>0.71054099999999998</v>
      </c>
      <c r="BD171">
        <f t="shared" si="34"/>
        <v>17.852799999999998</v>
      </c>
      <c r="BE171">
        <f t="shared" si="35"/>
        <v>12.688949011199998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12.526899999999999</v>
      </c>
      <c r="I172" s="22">
        <v>-1.7572000000000001E-2</v>
      </c>
      <c r="J172" s="22">
        <v>162</v>
      </c>
      <c r="K172" s="22">
        <v>0.93353299999999995</v>
      </c>
      <c r="L172">
        <f t="shared" si="24"/>
        <v>17.571999999999999</v>
      </c>
      <c r="M172">
        <f t="shared" si="25"/>
        <v>16.417449311999999</v>
      </c>
      <c r="N172" s="9"/>
      <c r="O172" s="22">
        <v>0.71579000000000004</v>
      </c>
      <c r="P172" s="22">
        <v>25.4147</v>
      </c>
      <c r="Q172" s="22">
        <v>-1.7843600000000001E-2</v>
      </c>
      <c r="R172" s="22">
        <v>162</v>
      </c>
      <c r="S172" s="22">
        <v>0.71487400000000001</v>
      </c>
      <c r="T172">
        <f t="shared" si="26"/>
        <v>17.843600000000002</v>
      </c>
      <c r="U172">
        <f t="shared" si="27"/>
        <v>12.772270444000002</v>
      </c>
      <c r="X172" s="9"/>
      <c r="Y172" s="22">
        <v>0.93429600000000002</v>
      </c>
      <c r="Z172" s="22">
        <v>32.798299999999998</v>
      </c>
      <c r="AA172" s="22">
        <v>-1.7617799999999999E-2</v>
      </c>
      <c r="AB172" s="22">
        <v>162</v>
      </c>
      <c r="AC172" s="22">
        <v>0.93292200000000003</v>
      </c>
      <c r="AD172">
        <f t="shared" si="28"/>
        <v>17.617799999999999</v>
      </c>
      <c r="AE172">
        <f t="shared" si="29"/>
        <v>16.460240068800001</v>
      </c>
      <c r="AF172" s="9"/>
      <c r="AG172" s="22">
        <v>0.71579000000000004</v>
      </c>
      <c r="AH172" s="22">
        <v>37.701900000000002</v>
      </c>
      <c r="AI172" s="22">
        <v>-1.7864999999999999E-2</v>
      </c>
      <c r="AJ172" s="22">
        <v>162</v>
      </c>
      <c r="AK172" s="22">
        <v>0.71481300000000003</v>
      </c>
      <c r="AL172">
        <f t="shared" si="30"/>
        <v>17.864999999999998</v>
      </c>
      <c r="AM172">
        <f t="shared" si="31"/>
        <v>12.78758835</v>
      </c>
      <c r="AP172" s="9"/>
      <c r="AQ172" s="22">
        <v>0.93429600000000002</v>
      </c>
      <c r="AR172" s="22">
        <v>42.535499999999999</v>
      </c>
      <c r="AS172" s="22">
        <v>-1.76147E-2</v>
      </c>
      <c r="AT172" s="22">
        <v>162</v>
      </c>
      <c r="AU172" s="22">
        <v>0.93383799999999995</v>
      </c>
      <c r="AV172">
        <f t="shared" si="32"/>
        <v>17.614699999999999</v>
      </c>
      <c r="AW172">
        <f t="shared" si="33"/>
        <v>16.4573437512</v>
      </c>
      <c r="AX172" s="9"/>
      <c r="AY172" s="22">
        <v>0.71579000000000004</v>
      </c>
      <c r="AZ172" s="22">
        <v>47.275100000000002</v>
      </c>
      <c r="BA172" s="22">
        <v>-1.78497E-2</v>
      </c>
      <c r="BB172" s="22">
        <v>162</v>
      </c>
      <c r="BC172" s="22">
        <v>0.71475200000000005</v>
      </c>
      <c r="BD172">
        <f t="shared" si="34"/>
        <v>17.849699999999999</v>
      </c>
      <c r="BE172">
        <f t="shared" si="35"/>
        <v>12.776636762999999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12.537000000000001</v>
      </c>
      <c r="I173" s="22">
        <v>-1.7572000000000001E-2</v>
      </c>
      <c r="J173" s="22">
        <v>163</v>
      </c>
      <c r="K173" s="22">
        <v>0.92834499999999998</v>
      </c>
      <c r="L173">
        <f t="shared" si="24"/>
        <v>17.571999999999999</v>
      </c>
      <c r="M173">
        <f t="shared" si="25"/>
        <v>16.328956719999997</v>
      </c>
      <c r="N173" s="9"/>
      <c r="O173" s="22">
        <v>0.72082500000000005</v>
      </c>
      <c r="P173" s="22">
        <v>25.424800000000001</v>
      </c>
      <c r="Q173" s="22">
        <v>-1.7837499999999999E-2</v>
      </c>
      <c r="R173" s="22">
        <v>163</v>
      </c>
      <c r="S173" s="22">
        <v>0.72009299999999998</v>
      </c>
      <c r="T173">
        <f t="shared" si="26"/>
        <v>17.837499999999999</v>
      </c>
      <c r="U173">
        <f t="shared" si="27"/>
        <v>12.8577159375</v>
      </c>
      <c r="X173" s="9"/>
      <c r="Y173" s="22">
        <v>0.92925999999999997</v>
      </c>
      <c r="Z173" s="22">
        <v>32.808399999999999</v>
      </c>
      <c r="AA173" s="22">
        <v>-1.7623900000000001E-2</v>
      </c>
      <c r="AB173" s="22">
        <v>163</v>
      </c>
      <c r="AC173" s="22">
        <v>0.92834499999999998</v>
      </c>
      <c r="AD173">
        <f t="shared" si="28"/>
        <v>17.623900000000003</v>
      </c>
      <c r="AE173">
        <f t="shared" si="29"/>
        <v>16.377185314000002</v>
      </c>
      <c r="AF173" s="9"/>
      <c r="AG173" s="22">
        <v>0.72082500000000005</v>
      </c>
      <c r="AH173" s="22">
        <v>37.712000000000003</v>
      </c>
      <c r="AI173" s="22">
        <v>-1.78589E-2</v>
      </c>
      <c r="AJ173" s="22">
        <v>163</v>
      </c>
      <c r="AK173" s="22">
        <v>0.72015399999999996</v>
      </c>
      <c r="AL173">
        <f t="shared" si="30"/>
        <v>17.858900000000002</v>
      </c>
      <c r="AM173">
        <f t="shared" si="31"/>
        <v>12.873141592500001</v>
      </c>
      <c r="AP173" s="9"/>
      <c r="AQ173" s="22">
        <v>0.92925999999999997</v>
      </c>
      <c r="AR173" s="22">
        <v>42.5456</v>
      </c>
      <c r="AS173" s="22">
        <v>-1.7620799999999999E-2</v>
      </c>
      <c r="AT173" s="22">
        <v>163</v>
      </c>
      <c r="AU173" s="22">
        <v>0.92773399999999995</v>
      </c>
      <c r="AV173">
        <f t="shared" si="32"/>
        <v>17.620799999999999</v>
      </c>
      <c r="AW173">
        <f t="shared" si="33"/>
        <v>16.374304607999999</v>
      </c>
      <c r="AX173" s="9"/>
      <c r="AY173" s="22">
        <v>0.72082500000000005</v>
      </c>
      <c r="AZ173" s="22">
        <v>47.285200000000003</v>
      </c>
      <c r="BA173" s="22">
        <v>-1.78467E-2</v>
      </c>
      <c r="BB173" s="22">
        <v>163</v>
      </c>
      <c r="BC173" s="22">
        <v>0.72012299999999996</v>
      </c>
      <c r="BD173">
        <f t="shared" si="34"/>
        <v>17.846699999999998</v>
      </c>
      <c r="BE173">
        <f t="shared" si="35"/>
        <v>12.8643475275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12.5471</v>
      </c>
      <c r="I174" s="22">
        <v>-1.7578099999999999E-2</v>
      </c>
      <c r="J174" s="22">
        <v>164</v>
      </c>
      <c r="K174" s="22">
        <v>0.92285200000000001</v>
      </c>
      <c r="L174">
        <f t="shared" si="24"/>
        <v>17.578099999999999</v>
      </c>
      <c r="M174">
        <f t="shared" si="25"/>
        <v>16.246119472499998</v>
      </c>
      <c r="N174" s="9"/>
      <c r="O174" s="22">
        <v>0.72586099999999998</v>
      </c>
      <c r="P174" s="22">
        <v>25.434799999999999</v>
      </c>
      <c r="Q174" s="22">
        <v>-1.7831400000000001E-2</v>
      </c>
      <c r="R174" s="22">
        <v>164</v>
      </c>
      <c r="S174" s="22">
        <v>0.72509800000000002</v>
      </c>
      <c r="T174">
        <f t="shared" si="26"/>
        <v>17.831400000000002</v>
      </c>
      <c r="U174">
        <f t="shared" si="27"/>
        <v>12.943117835400001</v>
      </c>
      <c r="X174" s="9"/>
      <c r="Y174" s="22">
        <v>0.92422499999999996</v>
      </c>
      <c r="Z174" s="22">
        <v>32.8185</v>
      </c>
      <c r="AA174" s="22">
        <v>-1.763E-2</v>
      </c>
      <c r="AB174" s="22">
        <v>164</v>
      </c>
      <c r="AC174" s="22">
        <v>0.92285200000000001</v>
      </c>
      <c r="AD174">
        <f t="shared" si="28"/>
        <v>17.63</v>
      </c>
      <c r="AE174">
        <f t="shared" si="29"/>
        <v>16.294086749999998</v>
      </c>
      <c r="AF174" s="9"/>
      <c r="AG174" s="22">
        <v>0.72586099999999998</v>
      </c>
      <c r="AH174" s="22">
        <v>37.722099999999998</v>
      </c>
      <c r="AI174" s="22">
        <v>-1.7855800000000002E-2</v>
      </c>
      <c r="AJ174" s="22">
        <v>164</v>
      </c>
      <c r="AK174" s="22">
        <v>0.72491499999999998</v>
      </c>
      <c r="AL174">
        <f t="shared" si="30"/>
        <v>17.855800000000002</v>
      </c>
      <c r="AM174">
        <f t="shared" si="31"/>
        <v>12.960828843800002</v>
      </c>
      <c r="AP174" s="9"/>
      <c r="AQ174" s="22">
        <v>0.92422499999999996</v>
      </c>
      <c r="AR174" s="22">
        <v>42.555700000000002</v>
      </c>
      <c r="AS174" s="22">
        <v>-1.7627E-2</v>
      </c>
      <c r="AT174" s="22">
        <v>164</v>
      </c>
      <c r="AU174" s="22">
        <v>0.92346200000000001</v>
      </c>
      <c r="AV174">
        <f t="shared" si="32"/>
        <v>17.626999999999999</v>
      </c>
      <c r="AW174">
        <f t="shared" si="33"/>
        <v>16.291314074999999</v>
      </c>
      <c r="AX174" s="9"/>
      <c r="AY174" s="22">
        <v>0.72586099999999998</v>
      </c>
      <c r="AZ174" s="22">
        <v>47.295299999999997</v>
      </c>
      <c r="BA174" s="22">
        <v>-1.7840600000000002E-2</v>
      </c>
      <c r="BB174" s="22">
        <v>164</v>
      </c>
      <c r="BC174" s="22">
        <v>0.724854</v>
      </c>
      <c r="BD174">
        <f t="shared" si="34"/>
        <v>17.840600000000002</v>
      </c>
      <c r="BE174">
        <f t="shared" si="35"/>
        <v>12.9497957566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12.5571</v>
      </c>
      <c r="I175" s="22">
        <v>-1.75873E-2</v>
      </c>
      <c r="J175" s="22">
        <v>165</v>
      </c>
      <c r="K175" s="22">
        <v>0.91796900000000003</v>
      </c>
      <c r="L175">
        <f t="shared" si="24"/>
        <v>17.587299999999999</v>
      </c>
      <c r="M175">
        <f t="shared" si="25"/>
        <v>16.1660526997</v>
      </c>
      <c r="N175" s="9"/>
      <c r="O175" s="22">
        <v>0.73089599999999999</v>
      </c>
      <c r="P175" s="22">
        <v>25.444900000000001</v>
      </c>
      <c r="Q175" s="22">
        <v>-1.7828400000000001E-2</v>
      </c>
      <c r="R175" s="22">
        <v>165</v>
      </c>
      <c r="S175" s="22">
        <v>0.73049900000000001</v>
      </c>
      <c r="T175">
        <f t="shared" si="26"/>
        <v>17.828400000000002</v>
      </c>
      <c r="U175">
        <f t="shared" si="27"/>
        <v>13.030706246400001</v>
      </c>
      <c r="X175" s="9"/>
      <c r="Y175" s="22">
        <v>0.91918900000000003</v>
      </c>
      <c r="Z175" s="22">
        <v>32.828499999999998</v>
      </c>
      <c r="AA175" s="22">
        <v>-1.7636099999999998E-2</v>
      </c>
      <c r="AB175" s="22">
        <v>165</v>
      </c>
      <c r="AC175" s="22">
        <v>0.91857900000000003</v>
      </c>
      <c r="AD175">
        <f t="shared" si="28"/>
        <v>17.636099999999999</v>
      </c>
      <c r="AE175">
        <f t="shared" si="29"/>
        <v>16.210909122899999</v>
      </c>
      <c r="AF175" s="9"/>
      <c r="AG175" s="22">
        <v>0.73089599999999999</v>
      </c>
      <c r="AH175" s="22">
        <v>37.732100000000003</v>
      </c>
      <c r="AI175" s="22">
        <v>-1.7855800000000002E-2</v>
      </c>
      <c r="AJ175" s="22">
        <v>165</v>
      </c>
      <c r="AK175" s="22">
        <v>0.73083500000000001</v>
      </c>
      <c r="AL175">
        <f t="shared" si="30"/>
        <v>17.855800000000002</v>
      </c>
      <c r="AM175">
        <f t="shared" si="31"/>
        <v>13.050732796800002</v>
      </c>
      <c r="AP175" s="9"/>
      <c r="AQ175" s="22">
        <v>0.91918900000000003</v>
      </c>
      <c r="AR175" s="22">
        <v>42.5657</v>
      </c>
      <c r="AS175" s="22">
        <v>-1.7633099999999999E-2</v>
      </c>
      <c r="AT175" s="22">
        <v>165</v>
      </c>
      <c r="AU175" s="22">
        <v>0.91796900000000003</v>
      </c>
      <c r="AV175">
        <f t="shared" si="32"/>
        <v>17.633099999999999</v>
      </c>
      <c r="AW175">
        <f t="shared" si="33"/>
        <v>16.208151555899999</v>
      </c>
      <c r="AX175" s="9"/>
      <c r="AY175" s="22">
        <v>0.73089599999999999</v>
      </c>
      <c r="AZ175" s="22">
        <v>47.305300000000003</v>
      </c>
      <c r="BA175" s="22">
        <v>-1.7840600000000002E-2</v>
      </c>
      <c r="BB175" s="22">
        <v>165</v>
      </c>
      <c r="BC175" s="22">
        <v>0.72982800000000003</v>
      </c>
      <c r="BD175">
        <f t="shared" si="34"/>
        <v>17.840600000000002</v>
      </c>
      <c r="BE175">
        <f t="shared" si="35"/>
        <v>13.039623177600001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12.5672</v>
      </c>
      <c r="I176" s="22">
        <v>-1.75903E-2</v>
      </c>
      <c r="J176" s="22">
        <v>166</v>
      </c>
      <c r="K176" s="22">
        <v>0.91339099999999995</v>
      </c>
      <c r="L176">
        <f t="shared" si="24"/>
        <v>17.590299999999999</v>
      </c>
      <c r="M176">
        <f t="shared" si="25"/>
        <v>16.080243106200001</v>
      </c>
      <c r="N176" s="9"/>
      <c r="O176" s="22">
        <v>0.735931</v>
      </c>
      <c r="P176" s="22">
        <v>25.454999999999998</v>
      </c>
      <c r="Q176" s="22">
        <v>-1.7825299999999999E-2</v>
      </c>
      <c r="R176" s="22">
        <v>166</v>
      </c>
      <c r="S176" s="22">
        <v>0.73519900000000005</v>
      </c>
      <c r="T176">
        <f t="shared" si="26"/>
        <v>17.825299999999999</v>
      </c>
      <c r="U176">
        <f t="shared" si="27"/>
        <v>13.1181908543</v>
      </c>
      <c r="X176" s="9"/>
      <c r="Y176" s="22">
        <v>0.91415400000000002</v>
      </c>
      <c r="Z176" s="22">
        <v>32.8386</v>
      </c>
      <c r="AA176" s="22">
        <v>-1.76422E-2</v>
      </c>
      <c r="AB176" s="22">
        <v>166</v>
      </c>
      <c r="AC176" s="22">
        <v>0.91339099999999995</v>
      </c>
      <c r="AD176">
        <f t="shared" si="28"/>
        <v>17.642199999999999</v>
      </c>
      <c r="AE176">
        <f t="shared" si="29"/>
        <v>16.127687698799999</v>
      </c>
      <c r="AF176" s="9"/>
      <c r="AG176" s="22">
        <v>0.735931</v>
      </c>
      <c r="AH176" s="22">
        <v>37.742199999999997</v>
      </c>
      <c r="AI176" s="22">
        <v>-1.78497E-2</v>
      </c>
      <c r="AJ176" s="22">
        <v>166</v>
      </c>
      <c r="AK176" s="22">
        <v>0.73516800000000004</v>
      </c>
      <c r="AL176">
        <f t="shared" si="30"/>
        <v>17.849699999999999</v>
      </c>
      <c r="AM176">
        <f t="shared" si="31"/>
        <v>13.136147570699999</v>
      </c>
      <c r="AP176" s="9"/>
      <c r="AQ176" s="22">
        <v>0.91415400000000002</v>
      </c>
      <c r="AR176" s="22">
        <v>42.575800000000001</v>
      </c>
      <c r="AS176" s="22">
        <v>-1.7639200000000001E-2</v>
      </c>
      <c r="AT176" s="22">
        <v>166</v>
      </c>
      <c r="AU176" s="22">
        <v>0.91369599999999995</v>
      </c>
      <c r="AV176">
        <f t="shared" si="32"/>
        <v>17.639200000000002</v>
      </c>
      <c r="AW176">
        <f t="shared" si="33"/>
        <v>16.124945236800002</v>
      </c>
      <c r="AX176" s="9"/>
      <c r="AY176" s="22">
        <v>0.735931</v>
      </c>
      <c r="AZ176" s="22">
        <v>47.315399999999997</v>
      </c>
      <c r="BA176" s="22">
        <v>-1.78345E-2</v>
      </c>
      <c r="BB176" s="22">
        <v>166</v>
      </c>
      <c r="BC176" s="22">
        <v>0.73526000000000002</v>
      </c>
      <c r="BD176">
        <f t="shared" si="34"/>
        <v>17.834499999999998</v>
      </c>
      <c r="BE176">
        <f t="shared" si="35"/>
        <v>13.124961419499998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12.577299999999999</v>
      </c>
      <c r="I177" s="22">
        <v>-1.7596400000000002E-2</v>
      </c>
      <c r="J177" s="22">
        <v>167</v>
      </c>
      <c r="K177" s="22">
        <v>0.90759299999999998</v>
      </c>
      <c r="L177">
        <f t="shared" si="24"/>
        <v>17.596400000000003</v>
      </c>
      <c r="M177">
        <f t="shared" si="25"/>
        <v>15.997221571600003</v>
      </c>
      <c r="N177" s="9"/>
      <c r="O177" s="22">
        <v>0.74096700000000004</v>
      </c>
      <c r="P177" s="22">
        <v>25.465</v>
      </c>
      <c r="Q177" s="22">
        <v>-1.78192E-2</v>
      </c>
      <c r="R177" s="22">
        <v>167</v>
      </c>
      <c r="S177" s="22">
        <v>0.74032600000000004</v>
      </c>
      <c r="T177">
        <f t="shared" si="26"/>
        <v>17.819199999999999</v>
      </c>
      <c r="U177">
        <f t="shared" si="27"/>
        <v>13.203439166399999</v>
      </c>
      <c r="X177" s="9"/>
      <c r="Y177" s="22">
        <v>0.90911900000000001</v>
      </c>
      <c r="Z177" s="22">
        <v>32.848700000000001</v>
      </c>
      <c r="AA177" s="22">
        <v>-1.7648299999999999E-2</v>
      </c>
      <c r="AB177" s="22">
        <v>167</v>
      </c>
      <c r="AC177" s="22">
        <v>0.90820299999999998</v>
      </c>
      <c r="AD177">
        <f t="shared" si="28"/>
        <v>17.648299999999999</v>
      </c>
      <c r="AE177">
        <f t="shared" si="29"/>
        <v>16.044404847700001</v>
      </c>
      <c r="AF177" s="9"/>
      <c r="AG177" s="22">
        <v>0.74096700000000004</v>
      </c>
      <c r="AH177" s="22">
        <v>37.752299999999998</v>
      </c>
      <c r="AI177" s="22">
        <v>-1.7840600000000002E-2</v>
      </c>
      <c r="AJ177" s="22">
        <v>167</v>
      </c>
      <c r="AK177" s="22">
        <v>0.74020399999999997</v>
      </c>
      <c r="AL177">
        <f t="shared" si="30"/>
        <v>17.840600000000002</v>
      </c>
      <c r="AM177">
        <f t="shared" si="31"/>
        <v>13.219295860200003</v>
      </c>
      <c r="AP177" s="9"/>
      <c r="AQ177" s="22">
        <v>0.90911900000000001</v>
      </c>
      <c r="AR177" s="22">
        <v>42.585900000000002</v>
      </c>
      <c r="AS177" s="22">
        <v>-1.76422E-2</v>
      </c>
      <c r="AT177" s="22">
        <v>167</v>
      </c>
      <c r="AU177" s="22">
        <v>0.90850799999999998</v>
      </c>
      <c r="AV177">
        <f t="shared" si="32"/>
        <v>17.642199999999999</v>
      </c>
      <c r="AW177">
        <f t="shared" si="33"/>
        <v>16.038859221799999</v>
      </c>
      <c r="AX177" s="9"/>
      <c r="AY177" s="22">
        <v>0.74096700000000004</v>
      </c>
      <c r="AZ177" s="22">
        <v>47.325499999999998</v>
      </c>
      <c r="BA177" s="22">
        <v>-1.7825299999999999E-2</v>
      </c>
      <c r="BB177" s="22">
        <v>167</v>
      </c>
      <c r="BC177" s="22">
        <v>0.73941000000000001</v>
      </c>
      <c r="BD177">
        <f t="shared" si="34"/>
        <v>17.825299999999999</v>
      </c>
      <c r="BE177">
        <f t="shared" si="35"/>
        <v>13.207959065099999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12.587400000000001</v>
      </c>
      <c r="I178" s="22">
        <v>-1.76025E-2</v>
      </c>
      <c r="J178" s="22">
        <v>168</v>
      </c>
      <c r="K178" s="22">
        <v>0.90271000000000001</v>
      </c>
      <c r="L178">
        <f t="shared" si="24"/>
        <v>17.602499999999999</v>
      </c>
      <c r="M178">
        <f t="shared" si="25"/>
        <v>15.914121007499999</v>
      </c>
      <c r="N178" s="9"/>
      <c r="O178" s="22">
        <v>0.74600200000000005</v>
      </c>
      <c r="P178" s="22">
        <v>25.475100000000001</v>
      </c>
      <c r="Q178" s="22">
        <v>-1.7813099999999998E-2</v>
      </c>
      <c r="R178" s="22">
        <v>168</v>
      </c>
      <c r="S178" s="22">
        <v>0.74539200000000005</v>
      </c>
      <c r="T178">
        <f t="shared" si="26"/>
        <v>17.813099999999999</v>
      </c>
      <c r="U178">
        <f t="shared" si="27"/>
        <v>13.288608226199999</v>
      </c>
      <c r="X178" s="9"/>
      <c r="Y178" s="22">
        <v>0.90408299999999997</v>
      </c>
      <c r="Z178" s="22">
        <v>32.858699999999999</v>
      </c>
      <c r="AA178" s="22">
        <v>-1.7654400000000001E-2</v>
      </c>
      <c r="AB178" s="22">
        <v>168</v>
      </c>
      <c r="AC178" s="22">
        <v>0.90393100000000004</v>
      </c>
      <c r="AD178">
        <f t="shared" si="28"/>
        <v>17.654399999999999</v>
      </c>
      <c r="AE178">
        <f t="shared" si="29"/>
        <v>15.961042915199998</v>
      </c>
      <c r="AF178" s="9"/>
      <c r="AG178" s="22">
        <v>0.74600200000000005</v>
      </c>
      <c r="AH178" s="22">
        <v>37.7624</v>
      </c>
      <c r="AI178" s="22">
        <v>-1.78345E-2</v>
      </c>
      <c r="AJ178" s="22">
        <v>168</v>
      </c>
      <c r="AK178" s="22">
        <v>0.74539200000000005</v>
      </c>
      <c r="AL178">
        <f t="shared" si="30"/>
        <v>17.834499999999998</v>
      </c>
      <c r="AM178">
        <f t="shared" si="31"/>
        <v>13.304572669000001</v>
      </c>
      <c r="AP178" s="9"/>
      <c r="AQ178" s="22">
        <v>0.90408299999999997</v>
      </c>
      <c r="AR178" s="22">
        <v>42.5959</v>
      </c>
      <c r="AS178" s="22">
        <v>-1.7651400000000001E-2</v>
      </c>
      <c r="AT178" s="22">
        <v>168</v>
      </c>
      <c r="AU178" s="22">
        <v>0.90301500000000001</v>
      </c>
      <c r="AV178">
        <f t="shared" si="32"/>
        <v>17.651400000000002</v>
      </c>
      <c r="AW178">
        <f t="shared" si="33"/>
        <v>15.958330666200002</v>
      </c>
      <c r="AX178" s="9"/>
      <c r="AY178" s="22">
        <v>0.74600200000000005</v>
      </c>
      <c r="AZ178" s="22">
        <v>47.335500000000003</v>
      </c>
      <c r="BA178" s="22">
        <v>-1.7816200000000001E-2</v>
      </c>
      <c r="BB178" s="22">
        <v>168</v>
      </c>
      <c r="BC178" s="22">
        <v>0.74609400000000003</v>
      </c>
      <c r="BD178">
        <f t="shared" si="34"/>
        <v>17.816200000000002</v>
      </c>
      <c r="BE178">
        <f t="shared" si="35"/>
        <v>13.290920832400003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12.5974</v>
      </c>
      <c r="I179" s="22">
        <v>-1.7608599999999999E-2</v>
      </c>
      <c r="J179" s="22">
        <v>169</v>
      </c>
      <c r="K179" s="22">
        <v>0.89813200000000004</v>
      </c>
      <c r="L179">
        <f t="shared" si="24"/>
        <v>17.608599999999999</v>
      </c>
      <c r="M179">
        <f t="shared" si="25"/>
        <v>15.830976612799999</v>
      </c>
      <c r="N179" s="9"/>
      <c r="O179" s="22">
        <v>0.75103799999999998</v>
      </c>
      <c r="P179" s="22">
        <v>25.485199999999999</v>
      </c>
      <c r="Q179" s="22">
        <v>-1.7810099999999999E-2</v>
      </c>
      <c r="R179" s="22">
        <v>169</v>
      </c>
      <c r="S179" s="22">
        <v>0.75048800000000004</v>
      </c>
      <c r="T179">
        <f t="shared" si="26"/>
        <v>17.810099999999998</v>
      </c>
      <c r="U179">
        <f t="shared" si="27"/>
        <v>13.376061883799998</v>
      </c>
      <c r="X179" s="9"/>
      <c r="Y179" s="22">
        <v>0.89904799999999996</v>
      </c>
      <c r="Z179" s="22">
        <v>32.8688</v>
      </c>
      <c r="AA179" s="22">
        <v>-1.7660499999999999E-2</v>
      </c>
      <c r="AB179" s="22">
        <v>169</v>
      </c>
      <c r="AC179" s="22">
        <v>0.89843799999999996</v>
      </c>
      <c r="AD179">
        <f t="shared" si="28"/>
        <v>17.660499999999999</v>
      </c>
      <c r="AE179">
        <f t="shared" si="29"/>
        <v>15.877637203999999</v>
      </c>
      <c r="AF179" s="9"/>
      <c r="AG179" s="22">
        <v>0.75103799999999998</v>
      </c>
      <c r="AH179" s="22">
        <v>37.772399999999998</v>
      </c>
      <c r="AI179" s="22">
        <v>-1.7828400000000001E-2</v>
      </c>
      <c r="AJ179" s="22">
        <v>169</v>
      </c>
      <c r="AK179" s="22">
        <v>0.75039699999999998</v>
      </c>
      <c r="AL179">
        <f t="shared" si="30"/>
        <v>17.828400000000002</v>
      </c>
      <c r="AM179">
        <f t="shared" si="31"/>
        <v>13.389805879200001</v>
      </c>
      <c r="AP179" s="9"/>
      <c r="AQ179" s="22">
        <v>0.89904799999999996</v>
      </c>
      <c r="AR179" s="22">
        <v>42.606000000000002</v>
      </c>
      <c r="AS179" s="22">
        <v>-1.76575E-2</v>
      </c>
      <c r="AT179" s="22">
        <v>169</v>
      </c>
      <c r="AU179" s="22">
        <v>0.89813200000000004</v>
      </c>
      <c r="AV179">
        <f t="shared" si="32"/>
        <v>17.657499999999999</v>
      </c>
      <c r="AW179">
        <f t="shared" si="33"/>
        <v>15.874940059999998</v>
      </c>
      <c r="AX179" s="9"/>
      <c r="AY179" s="22">
        <v>0.75103799999999998</v>
      </c>
      <c r="AZ179" s="22">
        <v>47.345599999999997</v>
      </c>
      <c r="BA179" s="22">
        <v>-1.7810099999999999E-2</v>
      </c>
      <c r="BB179" s="22">
        <v>169</v>
      </c>
      <c r="BC179" s="22">
        <v>0.75061</v>
      </c>
      <c r="BD179">
        <f t="shared" si="34"/>
        <v>17.810099999999998</v>
      </c>
      <c r="BE179">
        <f t="shared" si="35"/>
        <v>13.376061883799998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12.6075</v>
      </c>
      <c r="I180" s="22">
        <v>-1.7611700000000001E-2</v>
      </c>
      <c r="J180" s="22">
        <v>170</v>
      </c>
      <c r="K180" s="22">
        <v>0.89324999999999999</v>
      </c>
      <c r="L180">
        <f t="shared" si="24"/>
        <v>17.611700000000003</v>
      </c>
      <c r="M180">
        <f t="shared" si="25"/>
        <v>15.745071140400002</v>
      </c>
      <c r="N180" s="9"/>
      <c r="O180" s="22">
        <v>0.756073</v>
      </c>
      <c r="P180" s="22">
        <v>25.495200000000001</v>
      </c>
      <c r="Q180" s="22">
        <v>-1.7807E-2</v>
      </c>
      <c r="R180" s="22">
        <v>170</v>
      </c>
      <c r="S180" s="22">
        <v>0.75592000000000004</v>
      </c>
      <c r="T180">
        <f t="shared" si="26"/>
        <v>17.806999999999999</v>
      </c>
      <c r="U180">
        <f t="shared" si="27"/>
        <v>13.463391910999999</v>
      </c>
      <c r="X180" s="9"/>
      <c r="Y180" s="22">
        <v>0.89401200000000003</v>
      </c>
      <c r="Z180" s="22">
        <v>32.878900000000002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37.782499999999999</v>
      </c>
      <c r="AI180" s="22">
        <v>-1.7825299999999999E-2</v>
      </c>
      <c r="AJ180" s="22">
        <v>170</v>
      </c>
      <c r="AK180" s="22">
        <v>0.75531000000000004</v>
      </c>
      <c r="AL180">
        <f t="shared" si="30"/>
        <v>17.825299999999999</v>
      </c>
      <c r="AM180">
        <f t="shared" si="31"/>
        <v>13.477228046899999</v>
      </c>
      <c r="AP180" s="9"/>
      <c r="AQ180" s="22">
        <v>0.89401200000000003</v>
      </c>
      <c r="AR180" s="22">
        <v>42.616100000000003</v>
      </c>
      <c r="AS180" s="22">
        <v>-1.7663600000000002E-2</v>
      </c>
      <c r="AT180" s="22">
        <v>170</v>
      </c>
      <c r="AU180" s="22">
        <v>0.89294399999999996</v>
      </c>
      <c r="AV180">
        <f t="shared" si="32"/>
        <v>17.663600000000002</v>
      </c>
      <c r="AW180">
        <f t="shared" si="33"/>
        <v>15.791470363200002</v>
      </c>
      <c r="AX180" s="9"/>
      <c r="AY180" s="22">
        <v>0.756073</v>
      </c>
      <c r="AZ180" s="22">
        <v>47.355699999999999</v>
      </c>
      <c r="BA180" s="22">
        <v>-1.7804E-2</v>
      </c>
      <c r="BB180" s="22">
        <v>170</v>
      </c>
      <c r="BC180" s="22">
        <v>0.75561500000000004</v>
      </c>
      <c r="BD180">
        <f t="shared" si="34"/>
        <v>17.804000000000002</v>
      </c>
      <c r="BE180">
        <f t="shared" si="35"/>
        <v>13.461123692000001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12.617599999999999</v>
      </c>
      <c r="I181" s="22">
        <v>-1.76147E-2</v>
      </c>
      <c r="J181" s="22">
        <v>171</v>
      </c>
      <c r="K181" s="22">
        <v>0.88806200000000002</v>
      </c>
      <c r="L181">
        <f t="shared" si="24"/>
        <v>17.614699999999999</v>
      </c>
      <c r="M181">
        <f t="shared" si="25"/>
        <v>15.659063161899999</v>
      </c>
      <c r="N181" s="9"/>
      <c r="O181" s="22">
        <v>0.76110800000000001</v>
      </c>
      <c r="P181" s="22">
        <v>25.505299999999998</v>
      </c>
      <c r="Q181" s="22">
        <v>-1.7804E-2</v>
      </c>
      <c r="R181" s="22">
        <v>171</v>
      </c>
      <c r="S181" s="22">
        <v>0.76019300000000001</v>
      </c>
      <c r="T181">
        <f t="shared" si="26"/>
        <v>17.804000000000002</v>
      </c>
      <c r="U181">
        <f t="shared" si="27"/>
        <v>13.550766832000003</v>
      </c>
      <c r="X181" s="9"/>
      <c r="Y181" s="22">
        <v>0.88897700000000002</v>
      </c>
      <c r="Z181" s="22">
        <v>32.889000000000003</v>
      </c>
      <c r="AA181" s="22">
        <v>-1.7675799999999998E-2</v>
      </c>
      <c r="AB181" s="22">
        <v>171</v>
      </c>
      <c r="AC181" s="22">
        <v>0.88867200000000002</v>
      </c>
      <c r="AD181">
        <f t="shared" si="28"/>
        <v>17.675799999999999</v>
      </c>
      <c r="AE181">
        <f t="shared" si="29"/>
        <v>15.713379656599999</v>
      </c>
      <c r="AF181" s="9"/>
      <c r="AG181" s="22">
        <v>0.76110800000000001</v>
      </c>
      <c r="AH181" s="22">
        <v>37.7926</v>
      </c>
      <c r="AI181" s="22">
        <v>-1.7822299999999999E-2</v>
      </c>
      <c r="AJ181" s="22">
        <v>171</v>
      </c>
      <c r="AK181" s="22">
        <v>0.75988800000000001</v>
      </c>
      <c r="AL181">
        <f t="shared" si="30"/>
        <v>17.822299999999998</v>
      </c>
      <c r="AM181">
        <f t="shared" si="31"/>
        <v>13.564695108399999</v>
      </c>
      <c r="AP181" s="9"/>
      <c r="AQ181" s="22">
        <v>0.88897700000000002</v>
      </c>
      <c r="AR181" s="22">
        <v>42.626199999999997</v>
      </c>
      <c r="AS181" s="22">
        <v>-1.76697E-2</v>
      </c>
      <c r="AT181" s="22">
        <v>171</v>
      </c>
      <c r="AU181" s="22">
        <v>0.88806200000000002</v>
      </c>
      <c r="AV181">
        <f t="shared" si="32"/>
        <v>17.669699999999999</v>
      </c>
      <c r="AW181">
        <f t="shared" si="33"/>
        <v>15.707956896899999</v>
      </c>
      <c r="AX181" s="9"/>
      <c r="AY181" s="22">
        <v>0.76110800000000001</v>
      </c>
      <c r="AZ181" s="22">
        <v>47.3658</v>
      </c>
      <c r="BA181" s="22">
        <v>-1.7797899999999998E-2</v>
      </c>
      <c r="BB181" s="22">
        <v>171</v>
      </c>
      <c r="BC181" s="22">
        <v>0.75958300000000001</v>
      </c>
      <c r="BD181">
        <f t="shared" si="34"/>
        <v>17.797899999999998</v>
      </c>
      <c r="BE181">
        <f t="shared" si="35"/>
        <v>13.5461240732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12.627599999999999</v>
      </c>
      <c r="I182" s="22">
        <v>-1.7623900000000001E-2</v>
      </c>
      <c r="J182" s="22">
        <v>172</v>
      </c>
      <c r="K182" s="22">
        <v>0.88348400000000005</v>
      </c>
      <c r="L182">
        <f t="shared" si="24"/>
        <v>17.623900000000003</v>
      </c>
      <c r="M182">
        <f t="shared" si="25"/>
        <v>15.578505413800002</v>
      </c>
      <c r="N182" s="9"/>
      <c r="O182" s="22">
        <v>0.76614400000000005</v>
      </c>
      <c r="P182" s="22">
        <v>25.5154</v>
      </c>
      <c r="Q182" s="22">
        <v>-1.7804E-2</v>
      </c>
      <c r="R182" s="22">
        <v>172</v>
      </c>
      <c r="S182" s="22">
        <v>0.76538099999999998</v>
      </c>
      <c r="T182">
        <f t="shared" si="26"/>
        <v>17.804000000000002</v>
      </c>
      <c r="U182">
        <f t="shared" si="27"/>
        <v>13.640427776000003</v>
      </c>
      <c r="X182" s="9"/>
      <c r="Y182" s="22">
        <v>0.88394200000000001</v>
      </c>
      <c r="Z182" s="22">
        <v>32.899000000000001</v>
      </c>
      <c r="AA182" s="22">
        <v>-1.76819E-2</v>
      </c>
      <c r="AB182" s="22">
        <v>172</v>
      </c>
      <c r="AC182" s="22">
        <v>0.88256800000000002</v>
      </c>
      <c r="AD182">
        <f t="shared" si="28"/>
        <v>17.681899999999999</v>
      </c>
      <c r="AE182">
        <f t="shared" si="29"/>
        <v>15.6297740498</v>
      </c>
      <c r="AF182" s="9"/>
      <c r="AG182" s="22">
        <v>0.76614400000000005</v>
      </c>
      <c r="AH182" s="22">
        <v>37.802599999999998</v>
      </c>
      <c r="AI182" s="22">
        <v>-1.78192E-2</v>
      </c>
      <c r="AJ182" s="22">
        <v>172</v>
      </c>
      <c r="AK182" s="22">
        <v>0.76568599999999998</v>
      </c>
      <c r="AL182">
        <f t="shared" si="30"/>
        <v>17.819199999999999</v>
      </c>
      <c r="AM182">
        <f t="shared" si="31"/>
        <v>13.652073164799999</v>
      </c>
      <c r="AP182" s="9"/>
      <c r="AQ182" s="22">
        <v>0.88394200000000001</v>
      </c>
      <c r="AR182" s="22">
        <v>42.636200000000002</v>
      </c>
      <c r="AS182" s="22">
        <v>-1.7678800000000001E-2</v>
      </c>
      <c r="AT182" s="22">
        <v>172</v>
      </c>
      <c r="AU182" s="22">
        <v>0.88287400000000005</v>
      </c>
      <c r="AV182">
        <f t="shared" si="32"/>
        <v>17.678800000000003</v>
      </c>
      <c r="AW182">
        <f t="shared" si="33"/>
        <v>15.627033829600002</v>
      </c>
      <c r="AX182" s="9"/>
      <c r="AY182" s="22">
        <v>0.76614400000000005</v>
      </c>
      <c r="AZ182" s="22">
        <v>47.375799999999998</v>
      </c>
      <c r="BA182" s="22">
        <v>-1.7791700000000001E-2</v>
      </c>
      <c r="BB182" s="22">
        <v>172</v>
      </c>
      <c r="BC182" s="22">
        <v>0.76538099999999998</v>
      </c>
      <c r="BD182">
        <f t="shared" si="34"/>
        <v>17.791700000000002</v>
      </c>
      <c r="BE182">
        <f t="shared" si="35"/>
        <v>13.631004204800002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12.637700000000001</v>
      </c>
      <c r="I183" s="22">
        <v>-1.7627E-2</v>
      </c>
      <c r="J183" s="22">
        <v>173</v>
      </c>
      <c r="K183" s="22">
        <v>0.87829599999999997</v>
      </c>
      <c r="L183">
        <f t="shared" si="24"/>
        <v>17.626999999999999</v>
      </c>
      <c r="M183">
        <f t="shared" si="25"/>
        <v>15.492476061999998</v>
      </c>
      <c r="N183" s="9"/>
      <c r="O183" s="22">
        <v>0.77117899999999995</v>
      </c>
      <c r="P183" s="22">
        <v>25.525500000000001</v>
      </c>
      <c r="Q183" s="22">
        <v>-1.7797899999999998E-2</v>
      </c>
      <c r="R183" s="22">
        <v>173</v>
      </c>
      <c r="S183" s="22">
        <v>0.77026399999999995</v>
      </c>
      <c r="T183">
        <f t="shared" si="26"/>
        <v>17.797899999999998</v>
      </c>
      <c r="U183">
        <f t="shared" si="27"/>
        <v>13.725366724099997</v>
      </c>
      <c r="X183" s="9"/>
      <c r="Y183" s="22">
        <v>0.87890599999999997</v>
      </c>
      <c r="Z183" s="22">
        <v>32.909100000000002</v>
      </c>
      <c r="AA183" s="22">
        <v>-1.76819E-2</v>
      </c>
      <c r="AB183" s="22">
        <v>173</v>
      </c>
      <c r="AC183" s="22">
        <v>0.87860099999999997</v>
      </c>
      <c r="AD183">
        <f t="shared" si="28"/>
        <v>17.681899999999999</v>
      </c>
      <c r="AE183">
        <f t="shared" si="29"/>
        <v>15.540728001399998</v>
      </c>
      <c r="AF183" s="9"/>
      <c r="AG183" s="22">
        <v>0.77117899999999995</v>
      </c>
      <c r="AH183" s="22">
        <v>37.8127</v>
      </c>
      <c r="AI183" s="22">
        <v>-1.7813099999999998E-2</v>
      </c>
      <c r="AJ183" s="22">
        <v>173</v>
      </c>
      <c r="AK183" s="22">
        <v>0.77178999999999998</v>
      </c>
      <c r="AL183">
        <f t="shared" si="30"/>
        <v>17.813099999999999</v>
      </c>
      <c r="AM183">
        <f t="shared" si="31"/>
        <v>13.737088644899998</v>
      </c>
      <c r="AP183" s="9"/>
      <c r="AQ183" s="22">
        <v>0.87890599999999997</v>
      </c>
      <c r="AR183" s="22">
        <v>42.646299999999997</v>
      </c>
      <c r="AS183" s="22">
        <v>-1.76849E-2</v>
      </c>
      <c r="AT183" s="22">
        <v>173</v>
      </c>
      <c r="AU183" s="22">
        <v>0.87799099999999997</v>
      </c>
      <c r="AV183">
        <f t="shared" si="32"/>
        <v>17.684899999999999</v>
      </c>
      <c r="AW183">
        <f t="shared" si="33"/>
        <v>15.543364719399998</v>
      </c>
      <c r="AX183" s="9"/>
      <c r="AY183" s="22">
        <v>0.77117899999999995</v>
      </c>
      <c r="AZ183" s="22">
        <v>47.385899999999999</v>
      </c>
      <c r="BA183" s="22">
        <v>-1.7788700000000001E-2</v>
      </c>
      <c r="BB183" s="22">
        <v>173</v>
      </c>
      <c r="BC183" s="22">
        <v>0.77026399999999995</v>
      </c>
      <c r="BD183">
        <f t="shared" si="34"/>
        <v>17.788700000000002</v>
      </c>
      <c r="BE183">
        <f t="shared" si="35"/>
        <v>13.718271877300001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12.6478</v>
      </c>
      <c r="I184" s="22">
        <v>-1.7633099999999999E-2</v>
      </c>
      <c r="J184" s="22">
        <v>174</v>
      </c>
      <c r="K184" s="22">
        <v>0.872498</v>
      </c>
      <c r="L184">
        <f t="shared" si="24"/>
        <v>17.633099999999999</v>
      </c>
      <c r="M184">
        <f t="shared" si="25"/>
        <v>15.409054730099998</v>
      </c>
      <c r="N184" s="9"/>
      <c r="O184" s="22">
        <v>0.77621499999999999</v>
      </c>
      <c r="P184" s="22">
        <v>25.535499999999999</v>
      </c>
      <c r="Q184" s="22">
        <v>-1.7791700000000001E-2</v>
      </c>
      <c r="R184" s="22">
        <v>174</v>
      </c>
      <c r="S184" s="22">
        <v>0.77606200000000003</v>
      </c>
      <c r="T184">
        <f t="shared" si="26"/>
        <v>17.791700000000002</v>
      </c>
      <c r="U184">
        <f t="shared" si="27"/>
        <v>13.810184415500002</v>
      </c>
      <c r="X184" s="9"/>
      <c r="Y184" s="22">
        <v>0.87387099999999995</v>
      </c>
      <c r="Z184" s="22">
        <v>32.919199999999996</v>
      </c>
      <c r="AA184" s="22">
        <v>-1.7690999999999998E-2</v>
      </c>
      <c r="AB184" s="22">
        <v>174</v>
      </c>
      <c r="AC184" s="22">
        <v>0.872498</v>
      </c>
      <c r="AD184">
        <f t="shared" si="28"/>
        <v>17.690999999999999</v>
      </c>
      <c r="AE184">
        <f t="shared" si="29"/>
        <v>15.459651860999998</v>
      </c>
      <c r="AF184" s="9"/>
      <c r="AG184" s="22">
        <v>0.77621499999999999</v>
      </c>
      <c r="AH184" s="22">
        <v>37.822800000000001</v>
      </c>
      <c r="AI184" s="22">
        <v>-1.7810099999999999E-2</v>
      </c>
      <c r="AJ184" s="22">
        <v>174</v>
      </c>
      <c r="AK184" s="22">
        <v>0.775146</v>
      </c>
      <c r="AL184">
        <f t="shared" si="30"/>
        <v>17.810099999999998</v>
      </c>
      <c r="AM184">
        <f t="shared" si="31"/>
        <v>13.824466771499999</v>
      </c>
      <c r="AP184" s="9"/>
      <c r="AQ184" s="22">
        <v>0.87387099999999995</v>
      </c>
      <c r="AR184" s="22">
        <v>42.656399999999998</v>
      </c>
      <c r="AS184" s="22">
        <v>-1.7687999999999999E-2</v>
      </c>
      <c r="AT184" s="22">
        <v>174</v>
      </c>
      <c r="AU184" s="22">
        <v>0.873108</v>
      </c>
      <c r="AV184">
        <f t="shared" si="32"/>
        <v>17.687999999999999</v>
      </c>
      <c r="AW184">
        <f t="shared" si="33"/>
        <v>15.457030247999999</v>
      </c>
      <c r="AX184" s="9"/>
      <c r="AY184" s="22">
        <v>0.77621499999999999</v>
      </c>
      <c r="AZ184" s="22">
        <v>47.396000000000001</v>
      </c>
      <c r="BA184" s="22">
        <v>-1.7782599999999999E-2</v>
      </c>
      <c r="BB184" s="22">
        <v>174</v>
      </c>
      <c r="BC184" s="22">
        <v>0.775146</v>
      </c>
      <c r="BD184">
        <f t="shared" si="34"/>
        <v>17.782599999999999</v>
      </c>
      <c r="BE184">
        <f t="shared" si="35"/>
        <v>13.803120858999998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12.6579</v>
      </c>
      <c r="I185" s="22">
        <v>-1.7639200000000001E-2</v>
      </c>
      <c r="J185" s="22">
        <v>175</v>
      </c>
      <c r="K185" s="22">
        <v>0.86761500000000003</v>
      </c>
      <c r="L185">
        <f t="shared" si="24"/>
        <v>17.639200000000002</v>
      </c>
      <c r="M185">
        <f t="shared" si="25"/>
        <v>15.325554332000003</v>
      </c>
      <c r="N185" s="9"/>
      <c r="O185" s="22">
        <v>0.78125</v>
      </c>
      <c r="P185" s="22">
        <v>25.5456</v>
      </c>
      <c r="Q185" s="22">
        <v>-1.7788700000000001E-2</v>
      </c>
      <c r="R185" s="22">
        <v>175</v>
      </c>
      <c r="S185" s="22">
        <v>0.78064</v>
      </c>
      <c r="T185">
        <f t="shared" si="26"/>
        <v>17.788700000000002</v>
      </c>
      <c r="U185">
        <f t="shared" si="27"/>
        <v>13.897421875000001</v>
      </c>
      <c r="X185" s="9"/>
      <c r="Y185" s="22">
        <v>0.86883500000000002</v>
      </c>
      <c r="Z185" s="22">
        <v>32.929200000000002</v>
      </c>
      <c r="AA185" s="22">
        <v>-1.76971E-2</v>
      </c>
      <c r="AB185" s="22">
        <v>175</v>
      </c>
      <c r="AC185" s="22">
        <v>0.86822500000000002</v>
      </c>
      <c r="AD185">
        <f t="shared" si="28"/>
        <v>17.697099999999999</v>
      </c>
      <c r="AE185">
        <f t="shared" si="29"/>
        <v>15.3758598785</v>
      </c>
      <c r="AF185" s="9"/>
      <c r="AG185" s="22">
        <v>0.78125</v>
      </c>
      <c r="AH185" s="22">
        <v>37.832799999999999</v>
      </c>
      <c r="AI185" s="22">
        <v>-1.7804E-2</v>
      </c>
      <c r="AJ185" s="22">
        <v>175</v>
      </c>
      <c r="AK185" s="22">
        <v>0.78033399999999997</v>
      </c>
      <c r="AL185">
        <f t="shared" si="30"/>
        <v>17.804000000000002</v>
      </c>
      <c r="AM185">
        <f t="shared" si="31"/>
        <v>13.909375000000001</v>
      </c>
      <c r="AP185" s="9"/>
      <c r="AQ185" s="22">
        <v>0.86883500000000002</v>
      </c>
      <c r="AR185" s="22">
        <v>42.666400000000003</v>
      </c>
      <c r="AS185" s="22">
        <v>-1.7690999999999998E-2</v>
      </c>
      <c r="AT185" s="22">
        <v>175</v>
      </c>
      <c r="AU185" s="22">
        <v>0.86822500000000002</v>
      </c>
      <c r="AV185">
        <f t="shared" si="32"/>
        <v>17.690999999999999</v>
      </c>
      <c r="AW185">
        <f t="shared" si="33"/>
        <v>15.370559985</v>
      </c>
      <c r="AX185" s="9"/>
      <c r="AY185" s="22">
        <v>0.78125</v>
      </c>
      <c r="AZ185" s="22">
        <v>47.405999999999999</v>
      </c>
      <c r="BA185" s="22">
        <v>-1.77795E-2</v>
      </c>
      <c r="BB185" s="22">
        <v>175</v>
      </c>
      <c r="BC185" s="22">
        <v>0.77972399999999997</v>
      </c>
      <c r="BD185">
        <f t="shared" si="34"/>
        <v>17.779499999999999</v>
      </c>
      <c r="BE185">
        <f t="shared" si="35"/>
        <v>13.890234374999999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12.667899999999999</v>
      </c>
      <c r="I186" s="22">
        <v>-1.76422E-2</v>
      </c>
      <c r="J186" s="22">
        <v>176</v>
      </c>
      <c r="K186" s="22">
        <v>0.86303700000000005</v>
      </c>
      <c r="L186">
        <f t="shared" si="24"/>
        <v>17.642199999999999</v>
      </c>
      <c r="M186">
        <f t="shared" si="25"/>
        <v>15.239332359999999</v>
      </c>
      <c r="N186" s="9"/>
      <c r="O186" s="22">
        <v>0.78628500000000001</v>
      </c>
      <c r="P186" s="22">
        <v>25.555700000000002</v>
      </c>
      <c r="Q186" s="22">
        <v>-1.7782599999999999E-2</v>
      </c>
      <c r="R186" s="22">
        <v>176</v>
      </c>
      <c r="S186" s="22">
        <v>0.78521700000000005</v>
      </c>
      <c r="T186">
        <f t="shared" si="26"/>
        <v>17.782599999999999</v>
      </c>
      <c r="U186">
        <f t="shared" si="27"/>
        <v>13.982191641</v>
      </c>
      <c r="X186" s="9"/>
      <c r="Y186" s="22">
        <v>0.86380000000000001</v>
      </c>
      <c r="Z186" s="22">
        <v>32.939300000000003</v>
      </c>
      <c r="AA186" s="22">
        <v>-1.7703199999999999E-2</v>
      </c>
      <c r="AB186" s="22">
        <v>176</v>
      </c>
      <c r="AC186" s="22">
        <v>0.86334200000000005</v>
      </c>
      <c r="AD186">
        <f t="shared" si="28"/>
        <v>17.703199999999999</v>
      </c>
      <c r="AE186">
        <f t="shared" si="29"/>
        <v>15.292024159999999</v>
      </c>
      <c r="AF186" s="9"/>
      <c r="AG186" s="22">
        <v>0.78628500000000001</v>
      </c>
      <c r="AH186" s="22">
        <v>37.8429</v>
      </c>
      <c r="AI186" s="22">
        <v>-1.7800900000000001E-2</v>
      </c>
      <c r="AJ186" s="22">
        <v>176</v>
      </c>
      <c r="AK186" s="22">
        <v>0.78521700000000005</v>
      </c>
      <c r="AL186">
        <f t="shared" si="30"/>
        <v>17.800900000000002</v>
      </c>
      <c r="AM186">
        <f t="shared" si="31"/>
        <v>13.996580656500003</v>
      </c>
      <c r="AP186" s="9"/>
      <c r="AQ186" s="22">
        <v>0.86380000000000001</v>
      </c>
      <c r="AR186" s="22">
        <v>42.676499999999997</v>
      </c>
      <c r="AS186" s="22">
        <v>-1.7690999999999998E-2</v>
      </c>
      <c r="AT186" s="22">
        <v>176</v>
      </c>
      <c r="AU186" s="22">
        <v>0.86273200000000005</v>
      </c>
      <c r="AV186">
        <f t="shared" si="32"/>
        <v>17.690999999999999</v>
      </c>
      <c r="AW186">
        <f t="shared" si="33"/>
        <v>15.281485799999999</v>
      </c>
      <c r="AX186" s="9"/>
      <c r="AY186" s="22">
        <v>0.78628500000000001</v>
      </c>
      <c r="AZ186" s="22">
        <v>47.4161</v>
      </c>
      <c r="BA186" s="22">
        <v>-1.7773400000000002E-2</v>
      </c>
      <c r="BB186" s="22">
        <v>176</v>
      </c>
      <c r="BC186" s="22">
        <v>0.78521700000000005</v>
      </c>
      <c r="BD186">
        <f t="shared" si="34"/>
        <v>17.773400000000002</v>
      </c>
      <c r="BE186">
        <f t="shared" si="35"/>
        <v>13.974957819000002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12.678000000000001</v>
      </c>
      <c r="I187" s="22">
        <v>-1.7645299999999999E-2</v>
      </c>
      <c r="J187" s="22">
        <v>177</v>
      </c>
      <c r="K187" s="22">
        <v>0.85815399999999997</v>
      </c>
      <c r="L187">
        <f t="shared" si="24"/>
        <v>17.645299999999999</v>
      </c>
      <c r="M187">
        <f t="shared" si="25"/>
        <v>15.1531660545</v>
      </c>
      <c r="N187" s="9"/>
      <c r="O187" s="22">
        <v>0.79132100000000005</v>
      </c>
      <c r="P187" s="22">
        <v>25.5657</v>
      </c>
      <c r="Q187" s="22">
        <v>-1.7776500000000001E-2</v>
      </c>
      <c r="R187" s="22">
        <v>177</v>
      </c>
      <c r="S187" s="22">
        <v>0.79040500000000002</v>
      </c>
      <c r="T187">
        <f t="shared" si="26"/>
        <v>17.776500000000002</v>
      </c>
      <c r="U187">
        <f t="shared" si="27"/>
        <v>14.066917756500002</v>
      </c>
      <c r="X187" s="9"/>
      <c r="Y187" s="22">
        <v>0.858765</v>
      </c>
      <c r="Z187" s="22">
        <v>32.949399999999997</v>
      </c>
      <c r="AA187" s="22">
        <v>-1.77094E-2</v>
      </c>
      <c r="AB187" s="22">
        <v>177</v>
      </c>
      <c r="AC187" s="22">
        <v>0.85754399999999997</v>
      </c>
      <c r="AD187">
        <f t="shared" si="28"/>
        <v>17.709399999999999</v>
      </c>
      <c r="AE187">
        <f t="shared" si="29"/>
        <v>15.208212890999999</v>
      </c>
      <c r="AF187" s="9"/>
      <c r="AG187" s="22">
        <v>0.79132100000000005</v>
      </c>
      <c r="AH187" s="22">
        <v>37.853000000000002</v>
      </c>
      <c r="AI187" s="22">
        <v>-1.7797899999999998E-2</v>
      </c>
      <c r="AJ187" s="22">
        <v>177</v>
      </c>
      <c r="AK187" s="22">
        <v>0.79162600000000005</v>
      </c>
      <c r="AL187">
        <f t="shared" si="30"/>
        <v>17.797899999999998</v>
      </c>
      <c r="AM187">
        <f t="shared" si="31"/>
        <v>14.083852025900001</v>
      </c>
      <c r="AP187" s="9"/>
      <c r="AQ187" s="22">
        <v>0.858765</v>
      </c>
      <c r="AR187" s="22">
        <v>42.686599999999999</v>
      </c>
      <c r="AS187" s="22">
        <v>-1.7694100000000001E-2</v>
      </c>
      <c r="AT187" s="22">
        <v>177</v>
      </c>
      <c r="AU187" s="22">
        <v>0.85754399999999997</v>
      </c>
      <c r="AV187">
        <f t="shared" si="32"/>
        <v>17.694100000000002</v>
      </c>
      <c r="AW187">
        <f t="shared" si="33"/>
        <v>15.195073786500002</v>
      </c>
      <c r="AX187" s="9"/>
      <c r="AY187" s="22">
        <v>0.79132100000000005</v>
      </c>
      <c r="AZ187" s="22">
        <v>47.426200000000001</v>
      </c>
      <c r="BA187" s="22">
        <v>-1.7770399999999999E-2</v>
      </c>
      <c r="BB187" s="22">
        <v>177</v>
      </c>
      <c r="BC187" s="22">
        <v>0.79071000000000002</v>
      </c>
      <c r="BD187">
        <f t="shared" si="34"/>
        <v>17.770399999999999</v>
      </c>
      <c r="BE187">
        <f t="shared" si="35"/>
        <v>14.0620906984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12.6881</v>
      </c>
      <c r="I188" s="22">
        <v>-1.7651400000000001E-2</v>
      </c>
      <c r="J188" s="22">
        <v>178</v>
      </c>
      <c r="K188" s="22">
        <v>0.852966</v>
      </c>
      <c r="L188">
        <f t="shared" si="24"/>
        <v>17.651400000000002</v>
      </c>
      <c r="M188">
        <f t="shared" si="25"/>
        <v>15.069512070600002</v>
      </c>
      <c r="N188" s="9"/>
      <c r="O188" s="22">
        <v>0.79635599999999995</v>
      </c>
      <c r="P188" s="22">
        <v>25.575800000000001</v>
      </c>
      <c r="Q188" s="22">
        <v>-1.7773400000000002E-2</v>
      </c>
      <c r="R188" s="22">
        <v>178</v>
      </c>
      <c r="S188" s="22">
        <v>0.79589799999999999</v>
      </c>
      <c r="T188">
        <f t="shared" si="26"/>
        <v>17.773400000000002</v>
      </c>
      <c r="U188">
        <f t="shared" si="27"/>
        <v>14.153953730400001</v>
      </c>
      <c r="X188" s="9"/>
      <c r="Y188" s="22">
        <v>0.85372899999999996</v>
      </c>
      <c r="Z188" s="22">
        <v>32.959400000000002</v>
      </c>
      <c r="AA188" s="22">
        <v>-1.77094E-2</v>
      </c>
      <c r="AB188" s="22">
        <v>178</v>
      </c>
      <c r="AC188" s="22">
        <v>0.852661</v>
      </c>
      <c r="AD188">
        <f t="shared" si="28"/>
        <v>17.709399999999999</v>
      </c>
      <c r="AE188">
        <f t="shared" si="29"/>
        <v>15.119028352599997</v>
      </c>
      <c r="AF188" s="9"/>
      <c r="AG188" s="22">
        <v>0.79635599999999995</v>
      </c>
      <c r="AH188" s="22">
        <v>37.863100000000003</v>
      </c>
      <c r="AI188" s="22">
        <v>-1.7791700000000001E-2</v>
      </c>
      <c r="AJ188" s="22">
        <v>178</v>
      </c>
      <c r="AK188" s="22">
        <v>0.79528799999999999</v>
      </c>
      <c r="AL188">
        <f t="shared" si="30"/>
        <v>17.791700000000002</v>
      </c>
      <c r="AM188">
        <f t="shared" si="31"/>
        <v>14.168527045200001</v>
      </c>
      <c r="AP188" s="9"/>
      <c r="AQ188" s="22">
        <v>0.85372899999999996</v>
      </c>
      <c r="AR188" s="22">
        <v>42.6967</v>
      </c>
      <c r="AS188" s="22">
        <v>-1.7700199999999999E-2</v>
      </c>
      <c r="AT188" s="22">
        <v>178</v>
      </c>
      <c r="AU188" s="22">
        <v>0.852966</v>
      </c>
      <c r="AV188">
        <f t="shared" si="32"/>
        <v>17.700199999999999</v>
      </c>
      <c r="AW188">
        <f t="shared" si="33"/>
        <v>15.111174045799999</v>
      </c>
      <c r="AX188" s="9"/>
      <c r="AY188" s="22">
        <v>0.79635599999999995</v>
      </c>
      <c r="AZ188" s="22">
        <v>47.436300000000003</v>
      </c>
      <c r="BA188" s="22">
        <v>-1.7761200000000001E-2</v>
      </c>
      <c r="BB188" s="22">
        <v>178</v>
      </c>
      <c r="BC188" s="22">
        <v>0.79650900000000002</v>
      </c>
      <c r="BD188">
        <f t="shared" si="34"/>
        <v>17.761200000000002</v>
      </c>
      <c r="BE188">
        <f t="shared" si="35"/>
        <v>14.144238187200001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12.6981</v>
      </c>
      <c r="I189" s="22">
        <v>-1.76575E-2</v>
      </c>
      <c r="J189" s="22">
        <v>179</v>
      </c>
      <c r="K189" s="22">
        <v>0.84777800000000003</v>
      </c>
      <c r="L189">
        <f t="shared" si="24"/>
        <v>17.657499999999999</v>
      </c>
      <c r="M189">
        <f t="shared" si="25"/>
        <v>14.985814304999998</v>
      </c>
      <c r="N189" s="9"/>
      <c r="O189" s="22">
        <v>0.80139199999999999</v>
      </c>
      <c r="P189" s="22">
        <v>25.585899999999999</v>
      </c>
      <c r="Q189" s="22">
        <v>-1.77673E-2</v>
      </c>
      <c r="R189" s="22">
        <v>179</v>
      </c>
      <c r="S189" s="22">
        <v>0.80047599999999997</v>
      </c>
      <c r="T189">
        <f t="shared" si="26"/>
        <v>17.767299999999999</v>
      </c>
      <c r="U189">
        <f t="shared" si="27"/>
        <v>14.238572081599999</v>
      </c>
      <c r="X189" s="9"/>
      <c r="Y189" s="22">
        <v>0.84869399999999995</v>
      </c>
      <c r="Z189" s="22">
        <v>32.969499999999996</v>
      </c>
      <c r="AA189" s="22">
        <v>-1.7715499999999999E-2</v>
      </c>
      <c r="AB189" s="22">
        <v>179</v>
      </c>
      <c r="AC189" s="22">
        <v>0.84777800000000003</v>
      </c>
      <c r="AD189">
        <f t="shared" si="28"/>
        <v>17.715499999999999</v>
      </c>
      <c r="AE189">
        <f t="shared" si="29"/>
        <v>15.035038556999998</v>
      </c>
      <c r="AF189" s="9"/>
      <c r="AG189" s="22">
        <v>0.80139199999999999</v>
      </c>
      <c r="AH189" s="22">
        <v>37.873100000000001</v>
      </c>
      <c r="AI189" s="22">
        <v>-1.7785599999999999E-2</v>
      </c>
      <c r="AJ189" s="22">
        <v>179</v>
      </c>
      <c r="AK189" s="22">
        <v>0.80078099999999997</v>
      </c>
      <c r="AL189">
        <f t="shared" si="30"/>
        <v>17.785599999999999</v>
      </c>
      <c r="AM189">
        <f t="shared" si="31"/>
        <v>14.253237555199998</v>
      </c>
      <c r="AP189" s="9"/>
      <c r="AQ189" s="22">
        <v>0.84869399999999995</v>
      </c>
      <c r="AR189" s="22">
        <v>42.706699999999998</v>
      </c>
      <c r="AS189" s="22">
        <v>-1.7703199999999999E-2</v>
      </c>
      <c r="AT189" s="22">
        <v>179</v>
      </c>
      <c r="AU189" s="22">
        <v>0.84777800000000003</v>
      </c>
      <c r="AV189">
        <f t="shared" si="32"/>
        <v>17.703199999999999</v>
      </c>
      <c r="AW189">
        <f t="shared" si="33"/>
        <v>15.024599620799998</v>
      </c>
      <c r="AX189" s="9"/>
      <c r="AY189" s="22">
        <v>0.80139199999999999</v>
      </c>
      <c r="AZ189" s="22">
        <v>47.446300000000001</v>
      </c>
      <c r="BA189" s="22">
        <v>-1.77521E-2</v>
      </c>
      <c r="BB189" s="22">
        <v>179</v>
      </c>
      <c r="BC189" s="22">
        <v>0.80108599999999996</v>
      </c>
      <c r="BD189">
        <f t="shared" si="34"/>
        <v>17.752099999999999</v>
      </c>
      <c r="BE189">
        <f t="shared" si="35"/>
        <v>14.226390923199999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12.7082</v>
      </c>
      <c r="I190" s="22">
        <v>-1.7660499999999999E-2</v>
      </c>
      <c r="J190" s="22">
        <v>180</v>
      </c>
      <c r="K190" s="22">
        <v>0.84289599999999998</v>
      </c>
      <c r="L190">
        <f t="shared" si="24"/>
        <v>17.660499999999999</v>
      </c>
      <c r="M190">
        <f t="shared" si="25"/>
        <v>14.899422109</v>
      </c>
      <c r="N190" s="9"/>
      <c r="O190" s="22">
        <v>0.806427</v>
      </c>
      <c r="P190" s="22">
        <v>25.596</v>
      </c>
      <c r="Q190" s="22">
        <v>-1.77643E-2</v>
      </c>
      <c r="R190" s="22">
        <v>180</v>
      </c>
      <c r="S190" s="22">
        <v>0.80505400000000005</v>
      </c>
      <c r="T190">
        <f t="shared" si="26"/>
        <v>17.764299999999999</v>
      </c>
      <c r="U190">
        <f t="shared" si="27"/>
        <v>14.325611156099999</v>
      </c>
      <c r="X190" s="9"/>
      <c r="Y190" s="22">
        <v>0.84365800000000002</v>
      </c>
      <c r="Z190" s="22">
        <v>32.979599999999998</v>
      </c>
      <c r="AA190" s="22">
        <v>-1.7721600000000001E-2</v>
      </c>
      <c r="AB190" s="22">
        <v>180</v>
      </c>
      <c r="AC190" s="22">
        <v>0.84289599999999998</v>
      </c>
      <c r="AD190">
        <f t="shared" si="28"/>
        <v>17.721600000000002</v>
      </c>
      <c r="AE190">
        <f t="shared" si="29"/>
        <v>14.950969612800002</v>
      </c>
      <c r="AF190" s="9"/>
      <c r="AG190" s="22">
        <v>0.806427</v>
      </c>
      <c r="AH190" s="22">
        <v>37.883200000000002</v>
      </c>
      <c r="AI190" s="22">
        <v>-1.77795E-2</v>
      </c>
      <c r="AJ190" s="22">
        <v>180</v>
      </c>
      <c r="AK190" s="22">
        <v>0.80413800000000002</v>
      </c>
      <c r="AL190">
        <f t="shared" si="30"/>
        <v>17.779499999999999</v>
      </c>
      <c r="AM190">
        <f t="shared" si="31"/>
        <v>14.337868846499999</v>
      </c>
      <c r="AP190" s="9"/>
      <c r="AQ190" s="22">
        <v>0.84365800000000002</v>
      </c>
      <c r="AR190" s="22">
        <v>42.716799999999999</v>
      </c>
      <c r="AS190" s="22">
        <v>-1.77124E-2</v>
      </c>
      <c r="AT190" s="22">
        <v>180</v>
      </c>
      <c r="AU190" s="22">
        <v>0.84228499999999995</v>
      </c>
      <c r="AV190">
        <f t="shared" si="32"/>
        <v>17.712399999999999</v>
      </c>
      <c r="AW190">
        <f t="shared" si="33"/>
        <v>14.943207959199999</v>
      </c>
      <c r="AX190" s="9"/>
      <c r="AY190" s="22">
        <v>0.806427</v>
      </c>
      <c r="AZ190" s="22">
        <v>47.456400000000002</v>
      </c>
      <c r="BA190" s="22">
        <v>-1.7746000000000001E-2</v>
      </c>
      <c r="BB190" s="22">
        <v>180</v>
      </c>
      <c r="BC190" s="22">
        <v>0.80566400000000005</v>
      </c>
      <c r="BD190">
        <f t="shared" si="34"/>
        <v>17.746000000000002</v>
      </c>
      <c r="BE190">
        <f t="shared" si="35"/>
        <v>14.310853542000002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12.718299999999999</v>
      </c>
      <c r="I191" s="22">
        <v>-1.7666600000000001E-2</v>
      </c>
      <c r="J191" s="22">
        <v>181</v>
      </c>
      <c r="K191" s="22">
        <v>0.83801300000000001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25.606000000000002</v>
      </c>
      <c r="Q191" s="22">
        <v>-1.7761200000000001E-2</v>
      </c>
      <c r="R191" s="22">
        <v>181</v>
      </c>
      <c r="S191" s="22">
        <v>0.81054700000000002</v>
      </c>
      <c r="T191">
        <f t="shared" si="26"/>
        <v>17.761200000000002</v>
      </c>
      <c r="U191">
        <f t="shared" si="27"/>
        <v>14.412538874400003</v>
      </c>
      <c r="X191" s="9"/>
      <c r="Y191" s="22">
        <v>0.83862300000000001</v>
      </c>
      <c r="Z191" s="22">
        <v>32.989699999999999</v>
      </c>
      <c r="AA191" s="22">
        <v>-1.7727699999999999E-2</v>
      </c>
      <c r="AB191" s="22">
        <v>181</v>
      </c>
      <c r="AC191" s="22">
        <v>0.83801300000000001</v>
      </c>
      <c r="AD191">
        <f t="shared" si="28"/>
        <v>17.727699999999999</v>
      </c>
      <c r="AE191">
        <f t="shared" si="29"/>
        <v>14.8668569571</v>
      </c>
      <c r="AF191" s="9"/>
      <c r="AG191" s="22">
        <v>0.81146200000000002</v>
      </c>
      <c r="AH191" s="22">
        <v>37.893300000000004</v>
      </c>
      <c r="AI191" s="22">
        <v>-1.7773400000000002E-2</v>
      </c>
      <c r="AJ191" s="22">
        <v>181</v>
      </c>
      <c r="AK191" s="22">
        <v>0.81024200000000002</v>
      </c>
      <c r="AL191">
        <f t="shared" si="30"/>
        <v>17.773400000000002</v>
      </c>
      <c r="AM191">
        <f t="shared" si="31"/>
        <v>14.422438710800002</v>
      </c>
      <c r="AP191" s="9"/>
      <c r="AQ191" s="22">
        <v>0.83862300000000001</v>
      </c>
      <c r="AR191" s="22">
        <v>42.726900000000001</v>
      </c>
      <c r="AS191" s="22">
        <v>-1.7718500000000002E-2</v>
      </c>
      <c r="AT191" s="22">
        <v>181</v>
      </c>
      <c r="AU191" s="22">
        <v>0.83740199999999998</v>
      </c>
      <c r="AV191">
        <f t="shared" si="32"/>
        <v>17.718500000000002</v>
      </c>
      <c r="AW191">
        <f t="shared" si="33"/>
        <v>14.859141625500001</v>
      </c>
      <c r="AX191" s="9"/>
      <c r="AY191" s="22">
        <v>0.81146200000000002</v>
      </c>
      <c r="AZ191" s="22">
        <v>47.466500000000003</v>
      </c>
      <c r="BA191" s="22">
        <v>-1.7739899999999999E-2</v>
      </c>
      <c r="BB191" s="22">
        <v>181</v>
      </c>
      <c r="BC191" s="22">
        <v>0.81115700000000002</v>
      </c>
      <c r="BD191">
        <f t="shared" si="34"/>
        <v>17.739899999999999</v>
      </c>
      <c r="BE191">
        <f t="shared" si="35"/>
        <v>14.3952547338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12.728400000000001</v>
      </c>
      <c r="I192" s="22">
        <v>-1.76697E-2</v>
      </c>
      <c r="J192" s="22">
        <v>182</v>
      </c>
      <c r="K192" s="22">
        <v>0.83252000000000004</v>
      </c>
      <c r="L192">
        <f t="shared" si="24"/>
        <v>17.669699999999999</v>
      </c>
      <c r="M192">
        <f t="shared" si="25"/>
        <v>14.7292498836</v>
      </c>
      <c r="N192" s="9"/>
      <c r="O192" s="22">
        <v>0.81649799999999995</v>
      </c>
      <c r="P192" s="22">
        <v>25.616099999999999</v>
      </c>
      <c r="Q192" s="22">
        <v>-1.7755099999999999E-2</v>
      </c>
      <c r="R192" s="22">
        <v>182</v>
      </c>
      <c r="S192" s="22">
        <v>0.81603999999999999</v>
      </c>
      <c r="T192">
        <f t="shared" si="26"/>
        <v>17.755099999999999</v>
      </c>
      <c r="U192">
        <f t="shared" si="27"/>
        <v>14.497003639799997</v>
      </c>
      <c r="X192" s="9"/>
      <c r="Y192" s="22">
        <v>0.833588</v>
      </c>
      <c r="Z192" s="22">
        <v>32.999699999999997</v>
      </c>
      <c r="AA192" s="22">
        <v>-1.7733800000000001E-2</v>
      </c>
      <c r="AB192" s="22">
        <v>182</v>
      </c>
      <c r="AC192" s="22">
        <v>0.83282500000000004</v>
      </c>
      <c r="AD192">
        <f t="shared" si="28"/>
        <v>17.733800000000002</v>
      </c>
      <c r="AE192">
        <f t="shared" si="29"/>
        <v>14.782682874400003</v>
      </c>
      <c r="AF192" s="9"/>
      <c r="AG192" s="22">
        <v>0.81649799999999995</v>
      </c>
      <c r="AH192" s="22">
        <v>37.903300000000002</v>
      </c>
      <c r="AI192" s="22">
        <v>-1.77673E-2</v>
      </c>
      <c r="AJ192" s="22">
        <v>182</v>
      </c>
      <c r="AK192" s="22">
        <v>0.81542999999999999</v>
      </c>
      <c r="AL192">
        <f t="shared" si="30"/>
        <v>17.767299999999999</v>
      </c>
      <c r="AM192">
        <f t="shared" si="31"/>
        <v>14.506964915399998</v>
      </c>
      <c r="AP192" s="9"/>
      <c r="AQ192" s="22">
        <v>0.833588</v>
      </c>
      <c r="AR192" s="22">
        <v>42.736899999999999</v>
      </c>
      <c r="AS192" s="22">
        <v>-1.7727699999999999E-2</v>
      </c>
      <c r="AT192" s="22">
        <v>182</v>
      </c>
      <c r="AU192" s="22">
        <v>0.83282500000000004</v>
      </c>
      <c r="AV192">
        <f t="shared" si="32"/>
        <v>17.727699999999999</v>
      </c>
      <c r="AW192">
        <f t="shared" si="33"/>
        <v>14.777597987599998</v>
      </c>
      <c r="AX192" s="9"/>
      <c r="AY192" s="22">
        <v>0.81649799999999995</v>
      </c>
      <c r="AZ192" s="22">
        <v>47.476500000000001</v>
      </c>
      <c r="BA192" s="22">
        <v>-1.77368E-2</v>
      </c>
      <c r="BB192" s="22">
        <v>182</v>
      </c>
      <c r="BC192" s="22">
        <v>0.81542999999999999</v>
      </c>
      <c r="BD192">
        <f t="shared" si="34"/>
        <v>17.736799999999999</v>
      </c>
      <c r="BE192">
        <f t="shared" si="35"/>
        <v>14.482061726399998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12.7384</v>
      </c>
      <c r="I193" s="22">
        <v>-1.76727E-2</v>
      </c>
      <c r="J193" s="22">
        <v>183</v>
      </c>
      <c r="K193" s="22">
        <v>0.82763699999999996</v>
      </c>
      <c r="L193">
        <f t="shared" si="24"/>
        <v>17.672699999999999</v>
      </c>
      <c r="M193">
        <f t="shared" si="25"/>
        <v>14.642750930399998</v>
      </c>
      <c r="N193" s="9"/>
      <c r="O193" s="22">
        <v>0.82153299999999996</v>
      </c>
      <c r="P193" s="22">
        <v>25.626200000000001</v>
      </c>
      <c r="Q193" s="22">
        <v>-1.7749000000000001E-2</v>
      </c>
      <c r="R193" s="22">
        <v>183</v>
      </c>
      <c r="S193" s="22">
        <v>0.82061799999999996</v>
      </c>
      <c r="T193">
        <f t="shared" si="26"/>
        <v>17.749000000000002</v>
      </c>
      <c r="U193">
        <f t="shared" si="27"/>
        <v>14.581389217000002</v>
      </c>
      <c r="X193" s="9"/>
      <c r="Y193" s="22">
        <v>0.82855199999999996</v>
      </c>
      <c r="Z193" s="22">
        <v>33.009799999999998</v>
      </c>
      <c r="AA193" s="22">
        <v>-1.7739899999999999E-2</v>
      </c>
      <c r="AB193" s="22">
        <v>183</v>
      </c>
      <c r="AC193" s="22">
        <v>0.82763699999999996</v>
      </c>
      <c r="AD193">
        <f t="shared" si="28"/>
        <v>17.739899999999999</v>
      </c>
      <c r="AE193">
        <f t="shared" si="29"/>
        <v>14.698429624799997</v>
      </c>
      <c r="AF193" s="9"/>
      <c r="AG193" s="22">
        <v>0.82153299999999996</v>
      </c>
      <c r="AH193" s="22">
        <v>37.913400000000003</v>
      </c>
      <c r="AI193" s="22">
        <v>-1.7761200000000001E-2</v>
      </c>
      <c r="AJ193" s="22">
        <v>183</v>
      </c>
      <c r="AK193" s="22">
        <v>0.82061799999999996</v>
      </c>
      <c r="AL193">
        <f t="shared" si="30"/>
        <v>17.761200000000002</v>
      </c>
      <c r="AM193">
        <f t="shared" si="31"/>
        <v>14.591411919600001</v>
      </c>
      <c r="AP193" s="9"/>
      <c r="AQ193" s="22">
        <v>0.82855199999999996</v>
      </c>
      <c r="AR193" s="22">
        <v>42.747</v>
      </c>
      <c r="AS193" s="22">
        <v>-1.7730699999999999E-2</v>
      </c>
      <c r="AT193" s="22">
        <v>183</v>
      </c>
      <c r="AU193" s="22">
        <v>0.82794199999999996</v>
      </c>
      <c r="AV193">
        <f t="shared" si="32"/>
        <v>17.730699999999999</v>
      </c>
      <c r="AW193">
        <f t="shared" si="33"/>
        <v>14.690806946399999</v>
      </c>
      <c r="AX193" s="9"/>
      <c r="AY193" s="22">
        <v>0.82153299999999996</v>
      </c>
      <c r="AZ193" s="22">
        <v>47.486600000000003</v>
      </c>
      <c r="BA193" s="22">
        <v>-1.7730699999999999E-2</v>
      </c>
      <c r="BB193" s="22">
        <v>183</v>
      </c>
      <c r="BC193" s="22">
        <v>0.82122799999999996</v>
      </c>
      <c r="BD193">
        <f t="shared" si="34"/>
        <v>17.730699999999999</v>
      </c>
      <c r="BE193">
        <f t="shared" si="35"/>
        <v>14.566355163099999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12.7485</v>
      </c>
      <c r="I194" s="22">
        <v>-1.7675799999999998E-2</v>
      </c>
      <c r="J194" s="22">
        <v>184</v>
      </c>
      <c r="K194" s="22">
        <v>0.82305899999999999</v>
      </c>
      <c r="L194">
        <f t="shared" si="24"/>
        <v>17.675799999999999</v>
      </c>
      <c r="M194">
        <f t="shared" si="25"/>
        <v>14.5563217886</v>
      </c>
      <c r="N194" s="9"/>
      <c r="O194" s="22">
        <v>0.826569</v>
      </c>
      <c r="P194" s="22">
        <v>25.636199999999999</v>
      </c>
      <c r="Q194" s="22">
        <v>-1.7742899999999999E-2</v>
      </c>
      <c r="R194" s="22">
        <v>184</v>
      </c>
      <c r="S194" s="22">
        <v>0.82519500000000001</v>
      </c>
      <c r="T194">
        <f t="shared" si="26"/>
        <v>17.742899999999999</v>
      </c>
      <c r="U194">
        <f t="shared" si="27"/>
        <v>14.665731110099999</v>
      </c>
      <c r="X194" s="9"/>
      <c r="Y194" s="22">
        <v>0.82351700000000005</v>
      </c>
      <c r="Z194" s="22">
        <v>33.0199</v>
      </c>
      <c r="AA194" s="22">
        <v>-1.7749000000000001E-2</v>
      </c>
      <c r="AB194" s="22">
        <v>184</v>
      </c>
      <c r="AC194" s="22">
        <v>0.82244899999999999</v>
      </c>
      <c r="AD194">
        <f t="shared" si="28"/>
        <v>17.749000000000002</v>
      </c>
      <c r="AE194">
        <f t="shared" si="29"/>
        <v>14.616603233000003</v>
      </c>
      <c r="AF194" s="9"/>
      <c r="AG194" s="22">
        <v>0.826569</v>
      </c>
      <c r="AH194" s="22">
        <v>37.923499999999997</v>
      </c>
      <c r="AI194" s="22">
        <v>-1.7755099999999999E-2</v>
      </c>
      <c r="AJ194" s="22">
        <v>184</v>
      </c>
      <c r="AK194" s="22">
        <v>0.82550000000000001</v>
      </c>
      <c r="AL194">
        <f t="shared" si="30"/>
        <v>17.755099999999999</v>
      </c>
      <c r="AM194">
        <f t="shared" si="31"/>
        <v>14.6758152519</v>
      </c>
      <c r="AP194" s="9"/>
      <c r="AQ194" s="22">
        <v>0.82351700000000005</v>
      </c>
      <c r="AR194" s="22">
        <v>42.757100000000001</v>
      </c>
      <c r="AS194" s="22">
        <v>-1.7733800000000001E-2</v>
      </c>
      <c r="AT194" s="22">
        <v>184</v>
      </c>
      <c r="AU194" s="22">
        <v>0.82305899999999999</v>
      </c>
      <c r="AV194">
        <f t="shared" si="32"/>
        <v>17.733800000000002</v>
      </c>
      <c r="AW194">
        <f t="shared" si="33"/>
        <v>14.604085774600003</v>
      </c>
      <c r="AX194" s="9"/>
      <c r="AY194" s="22">
        <v>0.826569</v>
      </c>
      <c r="AZ194" s="22">
        <v>47.496699999999997</v>
      </c>
      <c r="BA194" s="22">
        <v>-1.7727699999999999E-2</v>
      </c>
      <c r="BB194" s="22">
        <v>184</v>
      </c>
      <c r="BC194" s="22">
        <v>0.82580600000000004</v>
      </c>
      <c r="BD194">
        <f t="shared" si="34"/>
        <v>17.727699999999999</v>
      </c>
      <c r="BE194">
        <f t="shared" si="35"/>
        <v>14.653167261299998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12.758599999999999</v>
      </c>
      <c r="I195" s="22">
        <v>-1.7678800000000001E-2</v>
      </c>
      <c r="J195" s="22">
        <v>185</v>
      </c>
      <c r="K195" s="22">
        <v>0.81756600000000001</v>
      </c>
      <c r="L195">
        <f t="shared" si="24"/>
        <v>17.678800000000003</v>
      </c>
      <c r="M195">
        <f t="shared" si="25"/>
        <v>14.469761902800002</v>
      </c>
      <c r="N195" s="9"/>
      <c r="O195" s="22">
        <v>0.83160400000000001</v>
      </c>
      <c r="P195" s="22">
        <v>25.6463</v>
      </c>
      <c r="Q195" s="22">
        <v>-1.7739899999999999E-2</v>
      </c>
      <c r="R195" s="22">
        <v>185</v>
      </c>
      <c r="S195" s="22">
        <v>0.83068799999999998</v>
      </c>
      <c r="T195">
        <f t="shared" si="26"/>
        <v>17.739899999999999</v>
      </c>
      <c r="U195">
        <f t="shared" si="27"/>
        <v>14.752571799599998</v>
      </c>
      <c r="X195" s="9"/>
      <c r="Y195" s="22">
        <v>0.81848100000000001</v>
      </c>
      <c r="Z195" s="22">
        <v>33.029899999999998</v>
      </c>
      <c r="AA195" s="22">
        <v>-1.7755099999999999E-2</v>
      </c>
      <c r="AB195" s="22">
        <v>185</v>
      </c>
      <c r="AC195" s="22">
        <v>0.81787100000000001</v>
      </c>
      <c r="AD195">
        <f t="shared" si="28"/>
        <v>17.755099999999999</v>
      </c>
      <c r="AE195">
        <f t="shared" si="29"/>
        <v>14.5322120031</v>
      </c>
      <c r="AF195" s="9"/>
      <c r="AG195" s="22">
        <v>0.83160400000000001</v>
      </c>
      <c r="AH195" s="22">
        <v>37.933599999999998</v>
      </c>
      <c r="AI195" s="22">
        <v>-1.77521E-2</v>
      </c>
      <c r="AJ195" s="22">
        <v>185</v>
      </c>
      <c r="AK195" s="22">
        <v>0.83129900000000001</v>
      </c>
      <c r="AL195">
        <f t="shared" si="30"/>
        <v>17.752099999999999</v>
      </c>
      <c r="AM195">
        <f t="shared" si="31"/>
        <v>14.762717368399999</v>
      </c>
      <c r="AP195" s="9"/>
      <c r="AQ195" s="22">
        <v>0.81848100000000001</v>
      </c>
      <c r="AR195" s="22">
        <v>42.767099999999999</v>
      </c>
      <c r="AS195" s="22">
        <v>-1.7739899999999999E-2</v>
      </c>
      <c r="AT195" s="22">
        <v>185</v>
      </c>
      <c r="AU195" s="22">
        <v>0.81756600000000001</v>
      </c>
      <c r="AV195">
        <f t="shared" si="32"/>
        <v>17.739899999999999</v>
      </c>
      <c r="AW195">
        <f t="shared" si="33"/>
        <v>14.519771091899999</v>
      </c>
      <c r="AX195" s="9"/>
      <c r="AY195" s="22">
        <v>0.83160400000000001</v>
      </c>
      <c r="AZ195" s="22">
        <v>47.506799999999998</v>
      </c>
      <c r="BA195" s="22">
        <v>-1.77246E-2</v>
      </c>
      <c r="BB195" s="22">
        <v>185</v>
      </c>
      <c r="BC195" s="22">
        <v>0.83038299999999998</v>
      </c>
      <c r="BD195">
        <f t="shared" si="34"/>
        <v>17.724599999999999</v>
      </c>
      <c r="BE195">
        <f t="shared" si="35"/>
        <v>14.739848258399999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12.768599999999999</v>
      </c>
      <c r="I196" s="22">
        <v>-1.7687999999999999E-2</v>
      </c>
      <c r="J196" s="22">
        <v>186</v>
      </c>
      <c r="K196" s="22">
        <v>0.81298800000000004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25.656400000000001</v>
      </c>
      <c r="Q196" s="22">
        <v>-1.77368E-2</v>
      </c>
      <c r="R196" s="22">
        <v>186</v>
      </c>
      <c r="S196" s="22">
        <v>0.83648699999999998</v>
      </c>
      <c r="T196">
        <f t="shared" si="26"/>
        <v>17.736799999999999</v>
      </c>
      <c r="U196">
        <f t="shared" si="27"/>
        <v>14.839298615199999</v>
      </c>
      <c r="X196" s="9"/>
      <c r="Y196" s="22">
        <v>0.813446</v>
      </c>
      <c r="Z196" s="22">
        <v>33.04</v>
      </c>
      <c r="AA196" s="22">
        <v>-1.7755099999999999E-2</v>
      </c>
      <c r="AB196" s="22">
        <v>186</v>
      </c>
      <c r="AC196" s="22">
        <v>0.81298800000000004</v>
      </c>
      <c r="AD196">
        <f t="shared" si="28"/>
        <v>17.755099999999999</v>
      </c>
      <c r="AE196">
        <f t="shared" si="29"/>
        <v>14.442815074599999</v>
      </c>
      <c r="AF196" s="9"/>
      <c r="AG196" s="22">
        <v>0.83663900000000002</v>
      </c>
      <c r="AH196" s="22">
        <v>37.943600000000004</v>
      </c>
      <c r="AI196" s="22">
        <v>-1.7746000000000001E-2</v>
      </c>
      <c r="AJ196" s="22">
        <v>186</v>
      </c>
      <c r="AK196" s="22">
        <v>0.83526599999999995</v>
      </c>
      <c r="AL196">
        <f t="shared" si="30"/>
        <v>17.746000000000002</v>
      </c>
      <c r="AM196">
        <f t="shared" si="31"/>
        <v>14.846995694000002</v>
      </c>
      <c r="AP196" s="9"/>
      <c r="AQ196" s="22">
        <v>0.813446</v>
      </c>
      <c r="AR196" s="22">
        <v>42.777200000000001</v>
      </c>
      <c r="AS196" s="22">
        <v>-1.7746000000000001E-2</v>
      </c>
      <c r="AT196" s="22">
        <v>186</v>
      </c>
      <c r="AU196" s="22">
        <v>0.81237800000000004</v>
      </c>
      <c r="AV196">
        <f t="shared" si="32"/>
        <v>17.746000000000002</v>
      </c>
      <c r="AW196">
        <f t="shared" si="33"/>
        <v>14.435412716000002</v>
      </c>
      <c r="AX196" s="9"/>
      <c r="AY196" s="22">
        <v>0.83663900000000002</v>
      </c>
      <c r="AZ196" s="22">
        <v>47.516800000000003</v>
      </c>
      <c r="BA196" s="22">
        <v>-1.7718500000000002E-2</v>
      </c>
      <c r="BB196" s="22">
        <v>186</v>
      </c>
      <c r="BC196" s="22">
        <v>0.83557099999999995</v>
      </c>
      <c r="BD196">
        <f t="shared" si="34"/>
        <v>17.718500000000002</v>
      </c>
      <c r="BE196">
        <f t="shared" si="35"/>
        <v>14.823988121500003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12.778700000000001</v>
      </c>
      <c r="I197" s="22">
        <v>-1.7694100000000001E-2</v>
      </c>
      <c r="J197" s="22">
        <v>187</v>
      </c>
      <c r="K197" s="22">
        <v>0.80718999999999996</v>
      </c>
      <c r="L197">
        <f t="shared" si="24"/>
        <v>17.694100000000002</v>
      </c>
      <c r="M197">
        <f t="shared" si="25"/>
        <v>14.304105075100003</v>
      </c>
      <c r="N197" s="9"/>
      <c r="O197" s="22">
        <v>0.84167499999999995</v>
      </c>
      <c r="P197" s="22">
        <v>25.666499999999999</v>
      </c>
      <c r="Q197" s="22">
        <v>-1.7727699999999999E-2</v>
      </c>
      <c r="R197" s="22">
        <v>187</v>
      </c>
      <c r="S197" s="22">
        <v>0.84106400000000003</v>
      </c>
      <c r="T197">
        <f t="shared" si="26"/>
        <v>17.727699999999999</v>
      </c>
      <c r="U197">
        <f t="shared" si="27"/>
        <v>14.920961897499998</v>
      </c>
      <c r="X197" s="9"/>
      <c r="Y197" s="22">
        <v>0.80841099999999999</v>
      </c>
      <c r="Z197" s="22">
        <v>33.0501</v>
      </c>
      <c r="AA197" s="22">
        <v>-1.7758199999999998E-2</v>
      </c>
      <c r="AB197" s="22">
        <v>187</v>
      </c>
      <c r="AC197" s="22">
        <v>0.80779999999999996</v>
      </c>
      <c r="AD197">
        <f t="shared" si="28"/>
        <v>17.758199999999999</v>
      </c>
      <c r="AE197">
        <f t="shared" si="29"/>
        <v>14.355924220199999</v>
      </c>
      <c r="AF197" s="9"/>
      <c r="AG197" s="22">
        <v>0.84167499999999995</v>
      </c>
      <c r="AH197" s="22">
        <v>37.953699999999998</v>
      </c>
      <c r="AI197" s="22">
        <v>-1.7742899999999999E-2</v>
      </c>
      <c r="AJ197" s="22">
        <v>187</v>
      </c>
      <c r="AK197" s="22">
        <v>0.84045400000000003</v>
      </c>
      <c r="AL197">
        <f t="shared" si="30"/>
        <v>17.742899999999999</v>
      </c>
      <c r="AM197">
        <f t="shared" si="31"/>
        <v>14.933755357499997</v>
      </c>
      <c r="AP197" s="9"/>
      <c r="AQ197" s="22">
        <v>0.80841099999999999</v>
      </c>
      <c r="AR197" s="22">
        <v>42.787300000000002</v>
      </c>
      <c r="AS197" s="22">
        <v>-1.77521E-2</v>
      </c>
      <c r="AT197" s="22">
        <v>187</v>
      </c>
      <c r="AU197" s="22">
        <v>0.80749499999999996</v>
      </c>
      <c r="AV197">
        <f t="shared" si="32"/>
        <v>17.752099999999999</v>
      </c>
      <c r="AW197">
        <f t="shared" si="33"/>
        <v>14.350992913099999</v>
      </c>
      <c r="AX197" s="9"/>
      <c r="AY197" s="22">
        <v>0.84167499999999995</v>
      </c>
      <c r="AZ197" s="22">
        <v>47.526899999999998</v>
      </c>
      <c r="BA197" s="22">
        <v>-1.77124E-2</v>
      </c>
      <c r="BB197" s="22">
        <v>187</v>
      </c>
      <c r="BC197" s="22">
        <v>0.84167499999999995</v>
      </c>
      <c r="BD197">
        <f t="shared" si="34"/>
        <v>17.712399999999999</v>
      </c>
      <c r="BE197">
        <f t="shared" si="35"/>
        <v>14.908084269999998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12.7888</v>
      </c>
      <c r="I198" s="22">
        <v>-1.7700199999999999E-2</v>
      </c>
      <c r="J198" s="22">
        <v>188</v>
      </c>
      <c r="K198" s="22">
        <v>0.80230699999999999</v>
      </c>
      <c r="L198">
        <f t="shared" si="24"/>
        <v>17.700199999999999</v>
      </c>
      <c r="M198">
        <f t="shared" si="25"/>
        <v>14.219898174999997</v>
      </c>
      <c r="N198" s="9"/>
      <c r="O198" s="22">
        <v>0.84670999999999996</v>
      </c>
      <c r="P198" s="22">
        <v>25.676500000000001</v>
      </c>
      <c r="Q198" s="22">
        <v>-1.7721600000000001E-2</v>
      </c>
      <c r="R198" s="22">
        <v>188</v>
      </c>
      <c r="S198" s="22">
        <v>0.846252</v>
      </c>
      <c r="T198">
        <f t="shared" si="26"/>
        <v>17.721600000000002</v>
      </c>
      <c r="U198">
        <f t="shared" si="27"/>
        <v>15.005055936000002</v>
      </c>
      <c r="X198" s="9"/>
      <c r="Y198" s="22">
        <v>0.80337499999999995</v>
      </c>
      <c r="Z198" s="22">
        <v>33.060200000000002</v>
      </c>
      <c r="AA198" s="22">
        <v>-1.77643E-2</v>
      </c>
      <c r="AB198" s="22">
        <v>188</v>
      </c>
      <c r="AC198" s="22">
        <v>0.80230699999999999</v>
      </c>
      <c r="AD198">
        <f t="shared" si="28"/>
        <v>17.764299999999999</v>
      </c>
      <c r="AE198">
        <f t="shared" si="29"/>
        <v>14.271394512499999</v>
      </c>
      <c r="AF198" s="9"/>
      <c r="AG198" s="22">
        <v>0.84670999999999996</v>
      </c>
      <c r="AH198" s="22">
        <v>37.963799999999999</v>
      </c>
      <c r="AI198" s="22">
        <v>-1.7739899999999999E-2</v>
      </c>
      <c r="AJ198" s="22">
        <v>188</v>
      </c>
      <c r="AK198" s="22">
        <v>0.845947</v>
      </c>
      <c r="AL198">
        <f t="shared" si="30"/>
        <v>17.739899999999999</v>
      </c>
      <c r="AM198">
        <f t="shared" si="31"/>
        <v>15.020550728999998</v>
      </c>
      <c r="AP198" s="9"/>
      <c r="AQ198" s="22">
        <v>0.80337499999999995</v>
      </c>
      <c r="AR198" s="22">
        <v>42.797400000000003</v>
      </c>
      <c r="AS198" s="22">
        <v>-1.7758199999999998E-2</v>
      </c>
      <c r="AT198" s="22">
        <v>188</v>
      </c>
      <c r="AU198" s="22">
        <v>0.80169699999999999</v>
      </c>
      <c r="AV198">
        <f t="shared" si="32"/>
        <v>17.758199999999999</v>
      </c>
      <c r="AW198">
        <f t="shared" si="33"/>
        <v>14.266493924999999</v>
      </c>
      <c r="AX198" s="9"/>
      <c r="AY198" s="22">
        <v>0.84670999999999996</v>
      </c>
      <c r="AZ198" s="22">
        <v>47.536999999999999</v>
      </c>
      <c r="BA198" s="22">
        <v>-1.77094E-2</v>
      </c>
      <c r="BB198" s="22">
        <v>188</v>
      </c>
      <c r="BC198" s="22">
        <v>0.846252</v>
      </c>
      <c r="BD198">
        <f t="shared" si="34"/>
        <v>17.709399999999999</v>
      </c>
      <c r="BE198">
        <f t="shared" si="35"/>
        <v>14.994726073999999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12.7988</v>
      </c>
      <c r="I199" s="22">
        <v>-1.7703199999999999E-2</v>
      </c>
      <c r="J199" s="22">
        <v>189</v>
      </c>
      <c r="K199" s="22">
        <v>0.79681400000000002</v>
      </c>
      <c r="L199">
        <f t="shared" si="24"/>
        <v>17.703199999999999</v>
      </c>
      <c r="M199">
        <f t="shared" si="25"/>
        <v>14.133172688</v>
      </c>
      <c r="N199" s="9"/>
      <c r="O199" s="22">
        <v>0.851746</v>
      </c>
      <c r="P199" s="22">
        <v>25.686599999999999</v>
      </c>
      <c r="Q199" s="22">
        <v>-1.7718500000000002E-2</v>
      </c>
      <c r="R199" s="22">
        <v>189</v>
      </c>
      <c r="S199" s="22">
        <v>0.85143999999999997</v>
      </c>
      <c r="T199">
        <f t="shared" si="26"/>
        <v>17.718500000000002</v>
      </c>
      <c r="U199">
        <f t="shared" si="27"/>
        <v>15.091661501000003</v>
      </c>
      <c r="X199" s="9"/>
      <c r="Y199" s="22">
        <v>0.79834000000000005</v>
      </c>
      <c r="Z199" s="22">
        <v>33.0702</v>
      </c>
      <c r="AA199" s="22">
        <v>-1.7770399999999999E-2</v>
      </c>
      <c r="AB199" s="22">
        <v>189</v>
      </c>
      <c r="AC199" s="22">
        <v>0.79742400000000002</v>
      </c>
      <c r="AD199">
        <f t="shared" si="28"/>
        <v>17.770399999999999</v>
      </c>
      <c r="AE199">
        <f t="shared" si="29"/>
        <v>14.186821135999999</v>
      </c>
      <c r="AF199" s="9"/>
      <c r="AG199" s="22">
        <v>0.851746</v>
      </c>
      <c r="AH199" s="22">
        <v>37.973799999999997</v>
      </c>
      <c r="AI199" s="22">
        <v>-1.77368E-2</v>
      </c>
      <c r="AJ199" s="22">
        <v>189</v>
      </c>
      <c r="AK199" s="22">
        <v>0.85082999999999998</v>
      </c>
      <c r="AL199">
        <f t="shared" si="30"/>
        <v>17.736799999999999</v>
      </c>
      <c r="AM199">
        <f t="shared" si="31"/>
        <v>15.107248452799999</v>
      </c>
      <c r="AP199" s="9"/>
      <c r="AQ199" s="22">
        <v>0.79834000000000005</v>
      </c>
      <c r="AR199" s="22">
        <v>42.807400000000001</v>
      </c>
      <c r="AS199" s="22">
        <v>-1.77643E-2</v>
      </c>
      <c r="AT199" s="22">
        <v>189</v>
      </c>
      <c r="AU199" s="22">
        <v>0.79742400000000002</v>
      </c>
      <c r="AV199">
        <f t="shared" si="32"/>
        <v>17.764299999999999</v>
      </c>
      <c r="AW199">
        <f t="shared" si="33"/>
        <v>14.181951262</v>
      </c>
      <c r="AX199" s="9"/>
      <c r="AY199" s="22">
        <v>0.851746</v>
      </c>
      <c r="AZ199" s="22">
        <v>47.546999999999997</v>
      </c>
      <c r="BA199" s="22">
        <v>-1.7706300000000001E-2</v>
      </c>
      <c r="BB199" s="22">
        <v>189</v>
      </c>
      <c r="BC199" s="22">
        <v>0.85143999999999997</v>
      </c>
      <c r="BD199">
        <f t="shared" si="34"/>
        <v>17.706300000000002</v>
      </c>
      <c r="BE199">
        <f t="shared" si="35"/>
        <v>15.081270199800002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12.8089</v>
      </c>
      <c r="I200" s="22">
        <v>-1.77124E-2</v>
      </c>
      <c r="J200" s="22">
        <v>190</v>
      </c>
      <c r="K200" s="22">
        <v>0.79284699999999997</v>
      </c>
      <c r="L200">
        <f t="shared" si="24"/>
        <v>17.712399999999999</v>
      </c>
      <c r="M200">
        <f t="shared" si="25"/>
        <v>14.051317769599999</v>
      </c>
      <c r="N200" s="9"/>
      <c r="O200" s="22">
        <v>0.85678100000000001</v>
      </c>
      <c r="P200" s="22">
        <v>25.6967</v>
      </c>
      <c r="Q200" s="22">
        <v>-1.77094E-2</v>
      </c>
      <c r="R200" s="22">
        <v>190</v>
      </c>
      <c r="S200" s="22">
        <v>0.85571299999999995</v>
      </c>
      <c r="T200">
        <f t="shared" si="26"/>
        <v>17.709399999999999</v>
      </c>
      <c r="U200">
        <f t="shared" si="27"/>
        <v>15.173077441399998</v>
      </c>
      <c r="X200" s="9"/>
      <c r="Y200" s="22">
        <v>0.79330400000000001</v>
      </c>
      <c r="Z200" s="22">
        <v>33.080300000000001</v>
      </c>
      <c r="AA200" s="22">
        <v>-1.7773400000000002E-2</v>
      </c>
      <c r="AB200" s="22">
        <v>190</v>
      </c>
      <c r="AC200" s="22">
        <v>0.79254199999999997</v>
      </c>
      <c r="AD200">
        <f t="shared" si="28"/>
        <v>17.773400000000002</v>
      </c>
      <c r="AE200">
        <f t="shared" si="29"/>
        <v>14.099709313600002</v>
      </c>
      <c r="AF200" s="9"/>
      <c r="AG200" s="22">
        <v>0.85678100000000001</v>
      </c>
      <c r="AH200" s="22">
        <v>37.983899999999998</v>
      </c>
      <c r="AI200" s="22">
        <v>-1.7727699999999999E-2</v>
      </c>
      <c r="AJ200" s="22">
        <v>190</v>
      </c>
      <c r="AK200" s="22">
        <v>0.85632299999999995</v>
      </c>
      <c r="AL200">
        <f t="shared" si="30"/>
        <v>17.727699999999999</v>
      </c>
      <c r="AM200">
        <f t="shared" si="31"/>
        <v>15.188756533699999</v>
      </c>
      <c r="AP200" s="9"/>
      <c r="AQ200" s="22">
        <v>0.79330400000000001</v>
      </c>
      <c r="AR200" s="22">
        <v>42.817500000000003</v>
      </c>
      <c r="AS200" s="22">
        <v>-1.77673E-2</v>
      </c>
      <c r="AT200" s="22">
        <v>190</v>
      </c>
      <c r="AU200" s="22">
        <v>0.79223600000000005</v>
      </c>
      <c r="AV200">
        <f t="shared" si="32"/>
        <v>17.767299999999999</v>
      </c>
      <c r="AW200">
        <f t="shared" si="33"/>
        <v>14.094870159199999</v>
      </c>
      <c r="AX200" s="9"/>
      <c r="AY200" s="22">
        <v>0.85678100000000001</v>
      </c>
      <c r="AZ200" s="22">
        <v>47.557099999999998</v>
      </c>
      <c r="BA200" s="22">
        <v>-1.76971E-2</v>
      </c>
      <c r="BB200" s="22">
        <v>190</v>
      </c>
      <c r="BC200" s="22">
        <v>0.85571299999999995</v>
      </c>
      <c r="BD200">
        <f t="shared" si="34"/>
        <v>17.697099999999999</v>
      </c>
      <c r="BE200">
        <f t="shared" si="35"/>
        <v>15.1625390351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12.819000000000001</v>
      </c>
      <c r="I201" s="22">
        <v>-1.7715499999999999E-2</v>
      </c>
      <c r="J201" s="22">
        <v>191</v>
      </c>
      <c r="K201" s="22">
        <v>0.787354</v>
      </c>
      <c r="L201">
        <f t="shared" si="24"/>
        <v>17.715499999999999</v>
      </c>
      <c r="M201">
        <f t="shared" si="25"/>
        <v>13.964579469499999</v>
      </c>
      <c r="N201" s="9"/>
      <c r="O201" s="22">
        <v>0.86181600000000003</v>
      </c>
      <c r="P201" s="22">
        <v>25.706700000000001</v>
      </c>
      <c r="Q201" s="22">
        <v>-1.7703199999999999E-2</v>
      </c>
      <c r="R201" s="22">
        <v>191</v>
      </c>
      <c r="S201" s="22">
        <v>0.86059600000000003</v>
      </c>
      <c r="T201">
        <f t="shared" si="26"/>
        <v>17.703199999999999</v>
      </c>
      <c r="U201">
        <f t="shared" si="27"/>
        <v>15.2569010112</v>
      </c>
      <c r="X201" s="9"/>
      <c r="Y201" s="22">
        <v>0.788269</v>
      </c>
      <c r="Z201" s="22">
        <v>33.090400000000002</v>
      </c>
      <c r="AA201" s="22">
        <v>-1.77795E-2</v>
      </c>
      <c r="AB201" s="22">
        <v>191</v>
      </c>
      <c r="AC201" s="22">
        <v>0.787964</v>
      </c>
      <c r="AD201">
        <f t="shared" si="28"/>
        <v>17.779499999999999</v>
      </c>
      <c r="AE201">
        <f t="shared" si="29"/>
        <v>14.015028685499999</v>
      </c>
      <c r="AF201" s="9"/>
      <c r="AG201" s="22">
        <v>0.86181600000000003</v>
      </c>
      <c r="AH201" s="22">
        <v>37.994</v>
      </c>
      <c r="AI201" s="22">
        <v>-1.7718500000000002E-2</v>
      </c>
      <c r="AJ201" s="22">
        <v>191</v>
      </c>
      <c r="AK201" s="22">
        <v>0.86120600000000003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0.788269</v>
      </c>
      <c r="AR201" s="22">
        <v>42.827599999999997</v>
      </c>
      <c r="AS201" s="22">
        <v>-1.7770399999999999E-2</v>
      </c>
      <c r="AT201" s="22">
        <v>191</v>
      </c>
      <c r="AU201" s="22">
        <v>0.787659</v>
      </c>
      <c r="AV201">
        <f t="shared" si="32"/>
        <v>17.770399999999999</v>
      </c>
      <c r="AW201">
        <f t="shared" si="33"/>
        <v>14.007855437599998</v>
      </c>
      <c r="AX201" s="9"/>
      <c r="AY201" s="22">
        <v>0.86181600000000003</v>
      </c>
      <c r="AZ201" s="22">
        <v>47.5672</v>
      </c>
      <c r="BA201" s="22">
        <v>-1.7690999999999998E-2</v>
      </c>
      <c r="BB201" s="22">
        <v>191</v>
      </c>
      <c r="BC201" s="22">
        <v>0.86151100000000003</v>
      </c>
      <c r="BD201">
        <f t="shared" si="34"/>
        <v>17.690999999999999</v>
      </c>
      <c r="BE201">
        <f t="shared" si="35"/>
        <v>15.246386855999999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12.8291</v>
      </c>
      <c r="I202" s="22">
        <v>-1.7721600000000001E-2</v>
      </c>
      <c r="J202" s="22">
        <v>192</v>
      </c>
      <c r="K202" s="22">
        <v>0.78186</v>
      </c>
      <c r="L202">
        <f t="shared" si="24"/>
        <v>17.721600000000002</v>
      </c>
      <c r="M202">
        <f t="shared" si="25"/>
        <v>13.880159654400002</v>
      </c>
      <c r="N202" s="9"/>
      <c r="O202" s="22">
        <v>0.86685199999999996</v>
      </c>
      <c r="P202" s="22">
        <v>25.716799999999999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33.1004</v>
      </c>
      <c r="AA202" s="22">
        <v>-1.7785599999999999E-2</v>
      </c>
      <c r="AB202" s="22">
        <v>192</v>
      </c>
      <c r="AC202" s="22">
        <v>0.78247100000000003</v>
      </c>
      <c r="AD202">
        <f t="shared" si="28"/>
        <v>17.785599999999999</v>
      </c>
      <c r="AE202">
        <f t="shared" si="29"/>
        <v>13.930286630399999</v>
      </c>
      <c r="AF202" s="9"/>
      <c r="AG202" s="22">
        <v>0.86685199999999996</v>
      </c>
      <c r="AH202" s="22">
        <v>38.004100000000001</v>
      </c>
      <c r="AI202" s="22">
        <v>-1.77124E-2</v>
      </c>
      <c r="AJ202" s="22">
        <v>192</v>
      </c>
      <c r="AK202" s="22">
        <v>0.866089</v>
      </c>
      <c r="AL202">
        <f t="shared" si="30"/>
        <v>17.712399999999999</v>
      </c>
      <c r="AM202">
        <f t="shared" si="31"/>
        <v>15.354029364799999</v>
      </c>
      <c r="AP202" s="9"/>
      <c r="AQ202" s="22">
        <v>0.78323399999999999</v>
      </c>
      <c r="AR202" s="22">
        <v>42.837600000000002</v>
      </c>
      <c r="AS202" s="22">
        <v>-1.7776500000000001E-2</v>
      </c>
      <c r="AT202" s="22">
        <v>192</v>
      </c>
      <c r="AU202" s="22">
        <v>0.78186</v>
      </c>
      <c r="AV202">
        <f t="shared" si="32"/>
        <v>17.776500000000002</v>
      </c>
      <c r="AW202">
        <f t="shared" si="33"/>
        <v>13.923159201000001</v>
      </c>
      <c r="AX202" s="9"/>
      <c r="AY202" s="22">
        <v>0.86685199999999996</v>
      </c>
      <c r="AZ202" s="22">
        <v>47.577300000000001</v>
      </c>
      <c r="BA202" s="22">
        <v>-1.7687999999999999E-2</v>
      </c>
      <c r="BB202" s="22">
        <v>192</v>
      </c>
      <c r="BC202" s="22">
        <v>0.866089</v>
      </c>
      <c r="BD202">
        <f t="shared" si="34"/>
        <v>17.687999999999999</v>
      </c>
      <c r="BE202">
        <f t="shared" si="35"/>
        <v>15.332878175999998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12.8391</v>
      </c>
      <c r="I203" s="22">
        <v>-1.7727699999999999E-2</v>
      </c>
      <c r="J203" s="22">
        <v>193</v>
      </c>
      <c r="K203" s="22">
        <v>0.77728299999999995</v>
      </c>
      <c r="L203">
        <f t="shared" si="24"/>
        <v>17.727699999999999</v>
      </c>
      <c r="M203">
        <f t="shared" si="25"/>
        <v>13.795660684599998</v>
      </c>
      <c r="N203" s="9"/>
      <c r="O203" s="22">
        <v>0.87188699999999997</v>
      </c>
      <c r="P203" s="22">
        <v>25.726900000000001</v>
      </c>
      <c r="Q203" s="22">
        <v>-1.7694100000000001E-2</v>
      </c>
      <c r="R203" s="22">
        <v>193</v>
      </c>
      <c r="S203" s="22">
        <v>0.87097199999999997</v>
      </c>
      <c r="T203">
        <f t="shared" si="26"/>
        <v>17.694100000000002</v>
      </c>
      <c r="U203">
        <f t="shared" si="27"/>
        <v>15.427255766700002</v>
      </c>
      <c r="X203" s="9"/>
      <c r="Y203" s="22">
        <v>0.77819799999999995</v>
      </c>
      <c r="Z203" s="22">
        <v>33.110500000000002</v>
      </c>
      <c r="AA203" s="22">
        <v>-1.7791700000000001E-2</v>
      </c>
      <c r="AB203" s="22">
        <v>193</v>
      </c>
      <c r="AC203" s="22">
        <v>0.77728299999999995</v>
      </c>
      <c r="AD203">
        <f t="shared" si="28"/>
        <v>17.791700000000002</v>
      </c>
      <c r="AE203">
        <f t="shared" si="29"/>
        <v>13.8454653566</v>
      </c>
      <c r="AF203" s="9"/>
      <c r="AG203" s="22">
        <v>0.87188699999999997</v>
      </c>
      <c r="AH203" s="22">
        <v>38.014099999999999</v>
      </c>
      <c r="AI203" s="22">
        <v>-1.7706300000000001E-2</v>
      </c>
      <c r="AJ203" s="22">
        <v>193</v>
      </c>
      <c r="AK203" s="22">
        <v>0.87127699999999997</v>
      </c>
      <c r="AL203">
        <f t="shared" si="30"/>
        <v>17.706300000000002</v>
      </c>
      <c r="AM203">
        <f t="shared" si="31"/>
        <v>15.437892788100001</v>
      </c>
      <c r="AP203" s="9"/>
      <c r="AQ203" s="22">
        <v>0.77819799999999995</v>
      </c>
      <c r="AR203" s="22">
        <v>42.847700000000003</v>
      </c>
      <c r="AS203" s="22">
        <v>-1.7782599999999999E-2</v>
      </c>
      <c r="AT203" s="22">
        <v>193</v>
      </c>
      <c r="AU203" s="22">
        <v>0.77728299999999995</v>
      </c>
      <c r="AV203">
        <f t="shared" si="32"/>
        <v>17.782599999999999</v>
      </c>
      <c r="AW203">
        <f t="shared" si="33"/>
        <v>13.838383754799999</v>
      </c>
      <c r="AX203" s="9"/>
      <c r="AY203" s="22">
        <v>0.87188699999999997</v>
      </c>
      <c r="AZ203" s="22">
        <v>47.587299999999999</v>
      </c>
      <c r="BA203" s="22">
        <v>-1.76849E-2</v>
      </c>
      <c r="BB203" s="22">
        <v>193</v>
      </c>
      <c r="BC203" s="22">
        <v>0.87066699999999997</v>
      </c>
      <c r="BD203">
        <f t="shared" si="34"/>
        <v>17.684899999999999</v>
      </c>
      <c r="BE203">
        <f t="shared" si="35"/>
        <v>15.419234406299999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12.8492</v>
      </c>
      <c r="I204" s="22">
        <v>-1.7733800000000001E-2</v>
      </c>
      <c r="J204" s="22">
        <v>194</v>
      </c>
      <c r="K204" s="22">
        <v>0.77270499999999998</v>
      </c>
      <c r="L204">
        <f t="shared" ref="L204:L267" si="36">-I204/$F$2*1000</f>
        <v>17.733800000000002</v>
      </c>
      <c r="M204">
        <f t="shared" ref="M204:M267" si="37">L204*G204</f>
        <v>13.711118009400003</v>
      </c>
      <c r="N204" s="9"/>
      <c r="O204" s="22">
        <v>0.87692300000000001</v>
      </c>
      <c r="P204" s="22">
        <v>25.736999999999998</v>
      </c>
      <c r="Q204" s="22">
        <v>-1.7687999999999999E-2</v>
      </c>
      <c r="R204" s="22">
        <v>194</v>
      </c>
      <c r="S204" s="22">
        <v>0.87585400000000002</v>
      </c>
      <c r="T204">
        <f t="shared" ref="T204:T267" si="38">-Q204/$F$2*1000</f>
        <v>17.687999999999999</v>
      </c>
      <c r="U204">
        <f t="shared" ref="U204:U267" si="39">T204*O204</f>
        <v>15.511014024</v>
      </c>
      <c r="X204" s="9"/>
      <c r="Y204" s="22">
        <v>0.77316300000000004</v>
      </c>
      <c r="Z204" s="22">
        <v>33.120600000000003</v>
      </c>
      <c r="AA204" s="22">
        <v>-1.77948E-2</v>
      </c>
      <c r="AB204" s="22">
        <v>194</v>
      </c>
      <c r="AC204" s="22">
        <v>0.77209499999999998</v>
      </c>
      <c r="AD204">
        <f t="shared" ref="AD204:AD267" si="40">-AA204/$F$2*1000</f>
        <v>17.794799999999999</v>
      </c>
      <c r="AE204">
        <f t="shared" ref="AE204:AE267" si="41">AD204*Y204</f>
        <v>13.7582809524</v>
      </c>
      <c r="AF204" s="9"/>
      <c r="AG204" s="22">
        <v>0.87692300000000001</v>
      </c>
      <c r="AH204" s="22">
        <v>38.0242</v>
      </c>
      <c r="AI204" s="22">
        <v>-1.7703199999999999E-2</v>
      </c>
      <c r="AJ204" s="22">
        <v>194</v>
      </c>
      <c r="AK204" s="22">
        <v>0.87554900000000002</v>
      </c>
      <c r="AL204">
        <f t="shared" ref="AL204:AL267" si="42">-AI204/$F$2*1000</f>
        <v>17.703199999999999</v>
      </c>
      <c r="AM204">
        <f t="shared" ref="AM204:AM267" si="43">AL204*AG204</f>
        <v>15.5243432536</v>
      </c>
      <c r="AP204" s="9"/>
      <c r="AQ204" s="22">
        <v>0.77316300000000004</v>
      </c>
      <c r="AR204" s="22">
        <v>42.857799999999997</v>
      </c>
      <c r="AS204" s="22">
        <v>-1.7785599999999999E-2</v>
      </c>
      <c r="AT204" s="22">
        <v>194</v>
      </c>
      <c r="AU204" s="22">
        <v>0.77209499999999998</v>
      </c>
      <c r="AV204">
        <f t="shared" ref="AV204:AV267" si="44">-AS204/$F$2*1000</f>
        <v>17.785599999999999</v>
      </c>
      <c r="AW204">
        <f t="shared" ref="AW204:AW267" si="45">AV204*AQ204</f>
        <v>13.7511678528</v>
      </c>
      <c r="AX204" s="9"/>
      <c r="AY204" s="22">
        <v>0.87692300000000001</v>
      </c>
      <c r="AZ204" s="22">
        <v>47.5974</v>
      </c>
      <c r="BA204" s="22">
        <v>-1.7678800000000001E-2</v>
      </c>
      <c r="BB204" s="22">
        <v>194</v>
      </c>
      <c r="BC204" s="22">
        <v>0.87585400000000002</v>
      </c>
      <c r="BD204">
        <f t="shared" ref="BD204:BD267" si="46">-BA204/$F$2*1000</f>
        <v>17.678800000000003</v>
      </c>
      <c r="BE204">
        <f t="shared" ref="BE204:BE267" si="47">BD204*AY204</f>
        <v>15.502946332400002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12.859299999999999</v>
      </c>
      <c r="I205" s="22">
        <v>-1.7742899999999999E-2</v>
      </c>
      <c r="J205" s="22">
        <v>195</v>
      </c>
      <c r="K205" s="22">
        <v>0.76690700000000001</v>
      </c>
      <c r="L205">
        <f t="shared" si="36"/>
        <v>17.742899999999999</v>
      </c>
      <c r="M205">
        <f t="shared" si="37"/>
        <v>13.628800548299999</v>
      </c>
      <c r="N205" s="9"/>
      <c r="O205" s="22">
        <v>0.88195800000000002</v>
      </c>
      <c r="P205" s="22">
        <v>25.747</v>
      </c>
      <c r="Q205" s="22">
        <v>-1.76819E-2</v>
      </c>
      <c r="R205" s="22">
        <v>195</v>
      </c>
      <c r="S205" s="22">
        <v>0.88073699999999999</v>
      </c>
      <c r="T205">
        <f t="shared" si="38"/>
        <v>17.681899999999999</v>
      </c>
      <c r="U205">
        <f t="shared" si="39"/>
        <v>15.594693160199999</v>
      </c>
      <c r="X205" s="9"/>
      <c r="Y205" s="22">
        <v>0.768127</v>
      </c>
      <c r="Z205" s="22">
        <v>33.130699999999997</v>
      </c>
      <c r="AA205" s="22">
        <v>-1.7800900000000001E-2</v>
      </c>
      <c r="AB205" s="22">
        <v>195</v>
      </c>
      <c r="AC205" s="22">
        <v>0.76721200000000001</v>
      </c>
      <c r="AD205">
        <f t="shared" si="40"/>
        <v>17.800900000000002</v>
      </c>
      <c r="AE205">
        <f t="shared" si="41"/>
        <v>13.673351914300001</v>
      </c>
      <c r="AF205" s="9"/>
      <c r="AG205" s="22">
        <v>0.88195800000000002</v>
      </c>
      <c r="AH205" s="22">
        <v>38.034300000000002</v>
      </c>
      <c r="AI205" s="22">
        <v>-1.76971E-2</v>
      </c>
      <c r="AJ205" s="22">
        <v>195</v>
      </c>
      <c r="AK205" s="22">
        <v>0.88134800000000002</v>
      </c>
      <c r="AL205">
        <f t="shared" si="42"/>
        <v>17.697099999999999</v>
      </c>
      <c r="AM205">
        <f t="shared" si="43"/>
        <v>15.6080989218</v>
      </c>
      <c r="AP205" s="9"/>
      <c r="AQ205" s="22">
        <v>0.768127</v>
      </c>
      <c r="AR205" s="22">
        <v>42.867899999999999</v>
      </c>
      <c r="AS205" s="22">
        <v>-1.7791700000000001E-2</v>
      </c>
      <c r="AT205" s="22">
        <v>195</v>
      </c>
      <c r="AU205" s="22">
        <v>0.76660200000000001</v>
      </c>
      <c r="AV205">
        <f t="shared" si="44"/>
        <v>17.791700000000002</v>
      </c>
      <c r="AW205">
        <f t="shared" si="45"/>
        <v>13.666285145900002</v>
      </c>
      <c r="AX205" s="9"/>
      <c r="AY205" s="22">
        <v>0.88195800000000002</v>
      </c>
      <c r="AZ205" s="22">
        <v>47.607500000000002</v>
      </c>
      <c r="BA205" s="22">
        <v>-1.7675799999999998E-2</v>
      </c>
      <c r="BB205" s="22">
        <v>195</v>
      </c>
      <c r="BC205" s="22">
        <v>0.88043199999999999</v>
      </c>
      <c r="BD205">
        <f t="shared" si="46"/>
        <v>17.675799999999999</v>
      </c>
      <c r="BE205">
        <f t="shared" si="47"/>
        <v>15.589313216399999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12.869300000000001</v>
      </c>
      <c r="I206" s="22">
        <v>-1.7746000000000001E-2</v>
      </c>
      <c r="J206" s="22">
        <v>196</v>
      </c>
      <c r="K206" s="22">
        <v>0.76232900000000003</v>
      </c>
      <c r="L206">
        <f t="shared" si="36"/>
        <v>17.746000000000002</v>
      </c>
      <c r="M206">
        <f t="shared" si="37"/>
        <v>13.541830632000002</v>
      </c>
      <c r="N206" s="9"/>
      <c r="O206" s="22">
        <v>0.88699300000000003</v>
      </c>
      <c r="P206" s="22">
        <v>25.757100000000001</v>
      </c>
      <c r="Q206" s="22">
        <v>-1.76727E-2</v>
      </c>
      <c r="R206" s="22">
        <v>196</v>
      </c>
      <c r="S206" s="22">
        <v>0.88653599999999999</v>
      </c>
      <c r="T206">
        <f t="shared" si="38"/>
        <v>17.672699999999999</v>
      </c>
      <c r="U206">
        <f t="shared" si="39"/>
        <v>15.6755611911</v>
      </c>
      <c r="X206" s="9"/>
      <c r="Y206" s="22">
        <v>0.76309199999999999</v>
      </c>
      <c r="Z206" s="22">
        <v>33.140700000000002</v>
      </c>
      <c r="AA206" s="22">
        <v>-1.7807E-2</v>
      </c>
      <c r="AB206" s="22">
        <v>196</v>
      </c>
      <c r="AC206" s="22">
        <v>0.76232900000000003</v>
      </c>
      <c r="AD206">
        <f t="shared" si="40"/>
        <v>17.806999999999999</v>
      </c>
      <c r="AE206">
        <f t="shared" si="41"/>
        <v>13.588379243999999</v>
      </c>
      <c r="AF206" s="9"/>
      <c r="AG206" s="22">
        <v>0.88699300000000003</v>
      </c>
      <c r="AH206" s="22">
        <v>38.0443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42.877899999999997</v>
      </c>
      <c r="AS206" s="22">
        <v>-1.7797899999999998E-2</v>
      </c>
      <c r="AT206" s="22">
        <v>196</v>
      </c>
      <c r="AU206" s="22">
        <v>0.76202400000000003</v>
      </c>
      <c r="AV206">
        <f t="shared" si="44"/>
        <v>17.797899999999998</v>
      </c>
      <c r="AW206">
        <f t="shared" si="45"/>
        <v>13.581435106799999</v>
      </c>
      <c r="AX206" s="9"/>
      <c r="AY206" s="22">
        <v>0.88699300000000003</v>
      </c>
      <c r="AZ206" s="22">
        <v>47.6175</v>
      </c>
      <c r="BA206" s="22">
        <v>-1.7666600000000001E-2</v>
      </c>
      <c r="BB206" s="22">
        <v>196</v>
      </c>
      <c r="BC206" s="22">
        <v>0.88653599999999999</v>
      </c>
      <c r="BD206">
        <f t="shared" si="46"/>
        <v>17.666600000000003</v>
      </c>
      <c r="BE206">
        <f t="shared" si="47"/>
        <v>15.670150533800003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12.8794</v>
      </c>
      <c r="I207" s="22">
        <v>-1.77521E-2</v>
      </c>
      <c r="J207" s="22">
        <v>197</v>
      </c>
      <c r="K207" s="22">
        <v>0.75653099999999995</v>
      </c>
      <c r="L207">
        <f t="shared" si="36"/>
        <v>17.752099999999999</v>
      </c>
      <c r="M207">
        <f t="shared" si="37"/>
        <v>13.457103669699999</v>
      </c>
      <c r="N207" s="9"/>
      <c r="O207" s="22">
        <v>0.89202899999999996</v>
      </c>
      <c r="P207" s="22">
        <v>25.767199999999999</v>
      </c>
      <c r="Q207" s="22">
        <v>-1.76697E-2</v>
      </c>
      <c r="R207" s="22">
        <v>197</v>
      </c>
      <c r="S207" s="22">
        <v>0.89172399999999996</v>
      </c>
      <c r="T207">
        <f t="shared" si="38"/>
        <v>17.669699999999999</v>
      </c>
      <c r="U207">
        <f t="shared" si="39"/>
        <v>15.761884821299999</v>
      </c>
      <c r="X207" s="9"/>
      <c r="Y207" s="22">
        <v>0.75805699999999998</v>
      </c>
      <c r="Z207" s="22">
        <v>33.150799999999997</v>
      </c>
      <c r="AA207" s="22">
        <v>-1.7807E-2</v>
      </c>
      <c r="AB207" s="22">
        <v>197</v>
      </c>
      <c r="AC207" s="22">
        <v>0.75653099999999995</v>
      </c>
      <c r="AD207">
        <f t="shared" si="40"/>
        <v>17.806999999999999</v>
      </c>
      <c r="AE207">
        <f t="shared" si="41"/>
        <v>13.498720998999998</v>
      </c>
      <c r="AF207" s="9"/>
      <c r="AG207" s="22">
        <v>0.89202899999999996</v>
      </c>
      <c r="AH207" s="22">
        <v>38.054400000000001</v>
      </c>
      <c r="AI207" s="22">
        <v>-1.76849E-2</v>
      </c>
      <c r="AJ207" s="22">
        <v>197</v>
      </c>
      <c r="AK207" s="22">
        <v>0.89141800000000004</v>
      </c>
      <c r="AL207">
        <f t="shared" si="42"/>
        <v>17.684899999999999</v>
      </c>
      <c r="AM207">
        <f t="shared" si="43"/>
        <v>15.775443662099999</v>
      </c>
      <c r="AP207" s="9"/>
      <c r="AQ207" s="22">
        <v>0.75805699999999998</v>
      </c>
      <c r="AR207" s="22">
        <v>42.887999999999998</v>
      </c>
      <c r="AS207" s="22">
        <v>-1.7800900000000001E-2</v>
      </c>
      <c r="AT207" s="22">
        <v>197</v>
      </c>
      <c r="AU207" s="22">
        <v>0.75744599999999995</v>
      </c>
      <c r="AV207">
        <f t="shared" si="44"/>
        <v>17.800900000000002</v>
      </c>
      <c r="AW207">
        <f t="shared" si="45"/>
        <v>13.494096851300002</v>
      </c>
      <c r="AX207" s="9"/>
      <c r="AY207" s="22">
        <v>0.89202899999999996</v>
      </c>
      <c r="AZ207" s="22">
        <v>47.627600000000001</v>
      </c>
      <c r="BA207" s="22">
        <v>-1.7663600000000002E-2</v>
      </c>
      <c r="BB207" s="22">
        <v>197</v>
      </c>
      <c r="BC207" s="22">
        <v>0.89111300000000004</v>
      </c>
      <c r="BD207">
        <f t="shared" si="46"/>
        <v>17.663600000000002</v>
      </c>
      <c r="BE207">
        <f t="shared" si="47"/>
        <v>15.756443444400002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12.8895</v>
      </c>
      <c r="I208" s="22">
        <v>-1.7758199999999998E-2</v>
      </c>
      <c r="J208" s="22">
        <v>198</v>
      </c>
      <c r="K208" s="22">
        <v>0.75195299999999998</v>
      </c>
      <c r="L208">
        <f t="shared" si="36"/>
        <v>17.758199999999999</v>
      </c>
      <c r="M208">
        <f t="shared" si="37"/>
        <v>13.3722975222</v>
      </c>
      <c r="N208" s="9"/>
      <c r="O208" s="22">
        <v>0.89706399999999997</v>
      </c>
      <c r="P208" s="22">
        <v>25.777200000000001</v>
      </c>
      <c r="Q208" s="22">
        <v>-1.7666600000000001E-2</v>
      </c>
      <c r="R208" s="22">
        <v>198</v>
      </c>
      <c r="S208" s="22">
        <v>0.89569100000000001</v>
      </c>
      <c r="T208">
        <f t="shared" si="38"/>
        <v>17.666600000000003</v>
      </c>
      <c r="U208">
        <f t="shared" si="39"/>
        <v>15.848070862400002</v>
      </c>
      <c r="X208" s="9"/>
      <c r="Y208" s="22">
        <v>0.75302100000000005</v>
      </c>
      <c r="Z208" s="22">
        <v>33.160899999999998</v>
      </c>
      <c r="AA208" s="22">
        <v>-1.7813099999999998E-2</v>
      </c>
      <c r="AB208" s="22">
        <v>198</v>
      </c>
      <c r="AC208" s="22">
        <v>0.75195299999999998</v>
      </c>
      <c r="AD208">
        <f t="shared" si="40"/>
        <v>17.813099999999999</v>
      </c>
      <c r="AE208">
        <f t="shared" si="41"/>
        <v>13.4136383751</v>
      </c>
      <c r="AF208" s="9"/>
      <c r="AG208" s="22">
        <v>0.89706399999999997</v>
      </c>
      <c r="AH208" s="22">
        <v>38.064500000000002</v>
      </c>
      <c r="AI208" s="22">
        <v>-1.7678800000000001E-2</v>
      </c>
      <c r="AJ208" s="22">
        <v>198</v>
      </c>
      <c r="AK208" s="22">
        <v>0.89599600000000001</v>
      </c>
      <c r="AL208">
        <f t="shared" si="42"/>
        <v>17.678800000000003</v>
      </c>
      <c r="AM208">
        <f t="shared" si="43"/>
        <v>15.859015043200001</v>
      </c>
      <c r="AP208" s="9"/>
      <c r="AQ208" s="22">
        <v>0.75302100000000005</v>
      </c>
      <c r="AR208" s="22">
        <v>42.898099999999999</v>
      </c>
      <c r="AS208" s="22">
        <v>-1.7807E-2</v>
      </c>
      <c r="AT208" s="22">
        <v>198</v>
      </c>
      <c r="AU208" s="22">
        <v>0.75195299999999998</v>
      </c>
      <c r="AV208">
        <f t="shared" si="44"/>
        <v>17.806999999999999</v>
      </c>
      <c r="AW208">
        <f t="shared" si="45"/>
        <v>13.409044947</v>
      </c>
      <c r="AX208" s="9"/>
      <c r="AY208" s="22">
        <v>0.89706399999999997</v>
      </c>
      <c r="AZ208" s="22">
        <v>47.637700000000002</v>
      </c>
      <c r="BA208" s="22">
        <v>-1.76575E-2</v>
      </c>
      <c r="BB208" s="22">
        <v>198</v>
      </c>
      <c r="BC208" s="22">
        <v>0.89630100000000001</v>
      </c>
      <c r="BD208">
        <f t="shared" si="46"/>
        <v>17.657499999999999</v>
      </c>
      <c r="BE208">
        <f t="shared" si="47"/>
        <v>15.839907579999998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12.8996</v>
      </c>
      <c r="I209" s="22">
        <v>-1.77673E-2</v>
      </c>
      <c r="J209" s="22">
        <v>199</v>
      </c>
      <c r="K209" s="22">
        <v>0.74722299999999997</v>
      </c>
      <c r="L209">
        <f t="shared" si="36"/>
        <v>17.767299999999999</v>
      </c>
      <c r="M209">
        <f t="shared" si="37"/>
        <v>13.289691657800001</v>
      </c>
      <c r="N209" s="9"/>
      <c r="O209" s="22">
        <v>0.90210000000000001</v>
      </c>
      <c r="P209" s="22">
        <v>25.787299999999998</v>
      </c>
      <c r="Q209" s="22">
        <v>-1.7660499999999999E-2</v>
      </c>
      <c r="R209" s="22">
        <v>199</v>
      </c>
      <c r="S209" s="22">
        <v>0.90179399999999998</v>
      </c>
      <c r="T209">
        <f t="shared" si="38"/>
        <v>17.660499999999999</v>
      </c>
      <c r="U209">
        <f t="shared" si="39"/>
        <v>15.931537049999999</v>
      </c>
      <c r="X209" s="9"/>
      <c r="Y209" s="22">
        <v>0.74798600000000004</v>
      </c>
      <c r="Z209" s="22">
        <v>33.170900000000003</v>
      </c>
      <c r="AA209" s="22">
        <v>-1.78192E-2</v>
      </c>
      <c r="AB209" s="22">
        <v>199</v>
      </c>
      <c r="AC209" s="22">
        <v>0.74700900000000003</v>
      </c>
      <c r="AD209">
        <f t="shared" si="40"/>
        <v>17.819199999999999</v>
      </c>
      <c r="AE209">
        <f t="shared" si="41"/>
        <v>13.3285121312</v>
      </c>
      <c r="AF209" s="9"/>
      <c r="AG209" s="22">
        <v>0.90210000000000001</v>
      </c>
      <c r="AH209" s="22">
        <v>38.074599999999997</v>
      </c>
      <c r="AI209" s="22">
        <v>-1.7675799999999998E-2</v>
      </c>
      <c r="AJ209" s="22">
        <v>199</v>
      </c>
      <c r="AK209" s="22">
        <v>0.90118399999999999</v>
      </c>
      <c r="AL209">
        <f t="shared" si="42"/>
        <v>17.675799999999999</v>
      </c>
      <c r="AM209">
        <f t="shared" si="43"/>
        <v>15.94533918</v>
      </c>
      <c r="AP209" s="9"/>
      <c r="AQ209" s="22">
        <v>0.74798600000000004</v>
      </c>
      <c r="AR209" s="22">
        <v>42.908099999999997</v>
      </c>
      <c r="AS209" s="22">
        <v>-1.7813099999999998E-2</v>
      </c>
      <c r="AT209" s="22">
        <v>199</v>
      </c>
      <c r="AU209" s="22">
        <v>0.74710100000000002</v>
      </c>
      <c r="AV209">
        <f t="shared" si="44"/>
        <v>17.813099999999999</v>
      </c>
      <c r="AW209">
        <f t="shared" si="45"/>
        <v>13.3239494166</v>
      </c>
      <c r="AX209" s="9"/>
      <c r="AY209" s="22">
        <v>0.90210000000000001</v>
      </c>
      <c r="AZ209" s="22">
        <v>47.647799999999997</v>
      </c>
      <c r="BA209" s="22">
        <v>-1.7651400000000001E-2</v>
      </c>
      <c r="BB209" s="22">
        <v>199</v>
      </c>
      <c r="BC209" s="22">
        <v>0.90179399999999998</v>
      </c>
      <c r="BD209">
        <f t="shared" si="46"/>
        <v>17.651400000000002</v>
      </c>
      <c r="BE209">
        <f t="shared" si="47"/>
        <v>15.923327940000002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12.909599999999999</v>
      </c>
      <c r="I210" s="22">
        <v>-1.7773400000000002E-2</v>
      </c>
      <c r="J210" s="22">
        <v>200</v>
      </c>
      <c r="K210" s="22">
        <v>0.74215699999999996</v>
      </c>
      <c r="L210">
        <f t="shared" si="36"/>
        <v>17.773400000000002</v>
      </c>
      <c r="M210">
        <f t="shared" si="37"/>
        <v>13.204747530000002</v>
      </c>
      <c r="N210" s="9"/>
      <c r="O210" s="22">
        <v>0.90713500000000002</v>
      </c>
      <c r="P210" s="22">
        <v>25.7974</v>
      </c>
      <c r="Q210" s="22">
        <v>-1.7651400000000001E-2</v>
      </c>
      <c r="R210" s="22">
        <v>200</v>
      </c>
      <c r="S210" s="22">
        <v>0.90637199999999996</v>
      </c>
      <c r="T210">
        <f t="shared" si="38"/>
        <v>17.651400000000002</v>
      </c>
      <c r="U210">
        <f t="shared" si="39"/>
        <v>16.012202739000003</v>
      </c>
      <c r="X210" s="9"/>
      <c r="Y210" s="22">
        <v>0.74295</v>
      </c>
      <c r="Z210" s="22">
        <v>33.180999999999997</v>
      </c>
      <c r="AA210" s="22">
        <v>-1.7825299999999999E-2</v>
      </c>
      <c r="AB210" s="22">
        <v>200</v>
      </c>
      <c r="AC210" s="22">
        <v>0.74249299999999996</v>
      </c>
      <c r="AD210">
        <f t="shared" si="40"/>
        <v>17.825299999999999</v>
      </c>
      <c r="AE210">
        <f t="shared" si="41"/>
        <v>13.243306635</v>
      </c>
      <c r="AF210" s="9"/>
      <c r="AG210" s="22">
        <v>0.90713500000000002</v>
      </c>
      <c r="AH210" s="22">
        <v>38.084600000000002</v>
      </c>
      <c r="AI210" s="22">
        <v>-1.76697E-2</v>
      </c>
      <c r="AJ210" s="22">
        <v>200</v>
      </c>
      <c r="AK210" s="22">
        <v>0.90698199999999995</v>
      </c>
      <c r="AL210">
        <f t="shared" si="42"/>
        <v>17.669699999999999</v>
      </c>
      <c r="AM210">
        <f t="shared" si="43"/>
        <v>16.028803309499999</v>
      </c>
      <c r="AP210" s="9"/>
      <c r="AQ210" s="22">
        <v>0.74295</v>
      </c>
      <c r="AR210" s="22">
        <v>42.918199999999999</v>
      </c>
      <c r="AS210" s="22">
        <v>-1.78192E-2</v>
      </c>
      <c r="AT210" s="22">
        <v>200</v>
      </c>
      <c r="AU210" s="22">
        <v>0.74227900000000002</v>
      </c>
      <c r="AV210">
        <f t="shared" si="44"/>
        <v>17.819199999999999</v>
      </c>
      <c r="AW210">
        <f t="shared" si="45"/>
        <v>13.238774639999999</v>
      </c>
      <c r="AX210" s="9"/>
      <c r="AY210" s="22">
        <v>0.90713500000000002</v>
      </c>
      <c r="AZ210" s="22">
        <v>47.657800000000002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12.919700000000001</v>
      </c>
      <c r="I211" s="22">
        <v>-1.77795E-2</v>
      </c>
      <c r="J211" s="22">
        <v>201</v>
      </c>
      <c r="K211" s="22">
        <v>0.73712200000000005</v>
      </c>
      <c r="L211">
        <f t="shared" si="36"/>
        <v>17.779499999999999</v>
      </c>
      <c r="M211">
        <f t="shared" si="37"/>
        <v>13.119759742499999</v>
      </c>
      <c r="N211" s="9"/>
      <c r="O211" s="22">
        <v>0.91217000000000004</v>
      </c>
      <c r="P211" s="22">
        <v>25.807500000000001</v>
      </c>
      <c r="Q211" s="22">
        <v>-1.7648299999999999E-2</v>
      </c>
      <c r="R211" s="22">
        <v>201</v>
      </c>
      <c r="S211" s="22">
        <v>0.91095000000000004</v>
      </c>
      <c r="T211">
        <f t="shared" si="38"/>
        <v>17.648299999999999</v>
      </c>
      <c r="U211">
        <f t="shared" si="39"/>
        <v>16.098249810999999</v>
      </c>
      <c r="X211" s="9"/>
      <c r="Y211" s="22">
        <v>0.73791499999999999</v>
      </c>
      <c r="Z211" s="22">
        <v>33.191099999999999</v>
      </c>
      <c r="AA211" s="22">
        <v>-1.7831400000000001E-2</v>
      </c>
      <c r="AB211" s="22">
        <v>201</v>
      </c>
      <c r="AC211" s="22">
        <v>0.73736599999999997</v>
      </c>
      <c r="AD211">
        <f t="shared" si="40"/>
        <v>17.831400000000002</v>
      </c>
      <c r="AE211">
        <f t="shared" si="41"/>
        <v>13.158057531000001</v>
      </c>
      <c r="AF211" s="9"/>
      <c r="AG211" s="22">
        <v>0.91217000000000004</v>
      </c>
      <c r="AH211" s="22">
        <v>38.094700000000003</v>
      </c>
      <c r="AI211" s="22">
        <v>-1.7663600000000002E-2</v>
      </c>
      <c r="AJ211" s="22">
        <v>201</v>
      </c>
      <c r="AK211" s="22">
        <v>0.91125500000000004</v>
      </c>
      <c r="AL211">
        <f t="shared" si="42"/>
        <v>17.663600000000002</v>
      </c>
      <c r="AM211">
        <f t="shared" si="43"/>
        <v>16.112206012000001</v>
      </c>
      <c r="AP211" s="9"/>
      <c r="AQ211" s="22">
        <v>0.73791499999999999</v>
      </c>
      <c r="AR211" s="22">
        <v>42.9283</v>
      </c>
      <c r="AS211" s="22">
        <v>-1.7825299999999999E-2</v>
      </c>
      <c r="AT211" s="22">
        <v>201</v>
      </c>
      <c r="AU211" s="22">
        <v>0.73699999999999999</v>
      </c>
      <c r="AV211">
        <f t="shared" si="44"/>
        <v>17.825299999999999</v>
      </c>
      <c r="AW211">
        <f t="shared" si="45"/>
        <v>13.153556249499999</v>
      </c>
      <c r="AX211" s="9"/>
      <c r="AY211" s="22">
        <v>0.91217000000000004</v>
      </c>
      <c r="AZ211" s="22">
        <v>47.667900000000003</v>
      </c>
      <c r="BA211" s="22">
        <v>-1.76422E-2</v>
      </c>
      <c r="BB211" s="22">
        <v>201</v>
      </c>
      <c r="BC211" s="22">
        <v>0.91125500000000004</v>
      </c>
      <c r="BD211">
        <f t="shared" si="46"/>
        <v>17.642199999999999</v>
      </c>
      <c r="BE211">
        <f t="shared" si="47"/>
        <v>16.092685574000001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12.9298</v>
      </c>
      <c r="I212" s="22">
        <v>-1.7782599999999999E-2</v>
      </c>
      <c r="J212" s="22">
        <v>202</v>
      </c>
      <c r="K212" s="22">
        <v>0.73226899999999995</v>
      </c>
      <c r="L212">
        <f t="shared" si="36"/>
        <v>17.782599999999999</v>
      </c>
      <c r="M212">
        <f t="shared" si="37"/>
        <v>13.032511887999998</v>
      </c>
      <c r="N212" s="9"/>
      <c r="O212" s="22">
        <v>0.91720599999999997</v>
      </c>
      <c r="P212" s="22">
        <v>25.817499999999999</v>
      </c>
      <c r="Q212" s="22">
        <v>-1.76422E-2</v>
      </c>
      <c r="R212" s="22">
        <v>202</v>
      </c>
      <c r="S212" s="22">
        <v>0.91613800000000001</v>
      </c>
      <c r="T212">
        <f t="shared" si="38"/>
        <v>17.642199999999999</v>
      </c>
      <c r="U212">
        <f t="shared" si="39"/>
        <v>16.1815316932</v>
      </c>
      <c r="X212" s="9"/>
      <c r="Y212" s="22">
        <v>0.73287999999999998</v>
      </c>
      <c r="Z212" s="22">
        <v>33.2012</v>
      </c>
      <c r="AA212" s="22">
        <v>-1.78345E-2</v>
      </c>
      <c r="AB212" s="22">
        <v>202</v>
      </c>
      <c r="AC212" s="22">
        <v>0.732178</v>
      </c>
      <c r="AD212">
        <f t="shared" si="40"/>
        <v>17.834499999999998</v>
      </c>
      <c r="AE212">
        <f t="shared" si="41"/>
        <v>13.070548359999998</v>
      </c>
      <c r="AF212" s="9"/>
      <c r="AG212" s="22">
        <v>0.91720599999999997</v>
      </c>
      <c r="AH212" s="22">
        <v>38.104799999999997</v>
      </c>
      <c r="AI212" s="22">
        <v>-1.7654400000000001E-2</v>
      </c>
      <c r="AJ212" s="22">
        <v>202</v>
      </c>
      <c r="AK212" s="22">
        <v>0.91583300000000001</v>
      </c>
      <c r="AL212">
        <f t="shared" si="42"/>
        <v>17.654399999999999</v>
      </c>
      <c r="AM212">
        <f t="shared" si="43"/>
        <v>16.192721606399999</v>
      </c>
      <c r="AP212" s="9"/>
      <c r="AQ212" s="22">
        <v>0.73287999999999998</v>
      </c>
      <c r="AR212" s="22">
        <v>42.938400000000001</v>
      </c>
      <c r="AS212" s="22">
        <v>-1.7831400000000001E-2</v>
      </c>
      <c r="AT212" s="22">
        <v>202</v>
      </c>
      <c r="AU212" s="22">
        <v>0.732178</v>
      </c>
      <c r="AV212">
        <f t="shared" si="44"/>
        <v>17.831400000000002</v>
      </c>
      <c r="AW212">
        <f t="shared" si="45"/>
        <v>13.068276432000001</v>
      </c>
      <c r="AX212" s="9"/>
      <c r="AY212" s="22">
        <v>0.91720599999999997</v>
      </c>
      <c r="AZ212" s="22">
        <v>47.677999999999997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12.9398</v>
      </c>
      <c r="I213" s="22">
        <v>-1.7788700000000001E-2</v>
      </c>
      <c r="J213" s="22">
        <v>203</v>
      </c>
      <c r="K213" s="22">
        <v>0.72683699999999996</v>
      </c>
      <c r="L213">
        <f t="shared" si="36"/>
        <v>17.788700000000002</v>
      </c>
      <c r="M213">
        <f t="shared" si="37"/>
        <v>12.947398562800002</v>
      </c>
      <c r="N213" s="9"/>
      <c r="O213" s="22">
        <v>0.92224099999999998</v>
      </c>
      <c r="P213" s="22">
        <v>25.8276</v>
      </c>
      <c r="Q213" s="22">
        <v>-1.7639200000000001E-2</v>
      </c>
      <c r="R213" s="22">
        <v>203</v>
      </c>
      <c r="S213" s="22">
        <v>0.92163099999999998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33.211199999999998</v>
      </c>
      <c r="AA213" s="22">
        <v>-1.7840600000000002E-2</v>
      </c>
      <c r="AB213" s="22">
        <v>203</v>
      </c>
      <c r="AC213" s="22">
        <v>0.72699000000000003</v>
      </c>
      <c r="AD213">
        <f t="shared" si="40"/>
        <v>17.840600000000002</v>
      </c>
      <c r="AE213">
        <f t="shared" si="41"/>
        <v>12.985173666400001</v>
      </c>
      <c r="AF213" s="9"/>
      <c r="AG213" s="22">
        <v>0.92224099999999998</v>
      </c>
      <c r="AH213" s="22">
        <v>38.114800000000002</v>
      </c>
      <c r="AI213" s="22">
        <v>-1.7651400000000001E-2</v>
      </c>
      <c r="AJ213" s="22">
        <v>203</v>
      </c>
      <c r="AK213" s="22">
        <v>0.92071499999999995</v>
      </c>
      <c r="AL213">
        <f t="shared" si="42"/>
        <v>17.651400000000002</v>
      </c>
      <c r="AM213">
        <f t="shared" si="43"/>
        <v>16.278844787400001</v>
      </c>
      <c r="AP213" s="9"/>
      <c r="AQ213" s="22">
        <v>0.72784400000000005</v>
      </c>
      <c r="AR213" s="22">
        <v>42.948399999999999</v>
      </c>
      <c r="AS213" s="22">
        <v>-1.7837499999999999E-2</v>
      </c>
      <c r="AT213" s="22">
        <v>203</v>
      </c>
      <c r="AU213" s="22">
        <v>0.72723400000000005</v>
      </c>
      <c r="AV213">
        <f t="shared" si="44"/>
        <v>17.837499999999999</v>
      </c>
      <c r="AW213">
        <f t="shared" si="45"/>
        <v>12.982917349999999</v>
      </c>
      <c r="AX213" s="9"/>
      <c r="AY213" s="22">
        <v>0.92224099999999998</v>
      </c>
      <c r="AZ213" s="22">
        <v>47.688000000000002</v>
      </c>
      <c r="BA213" s="22">
        <v>-1.7627E-2</v>
      </c>
      <c r="BB213" s="22">
        <v>203</v>
      </c>
      <c r="BC213" s="22">
        <v>0.92163099999999998</v>
      </c>
      <c r="BD213">
        <f t="shared" si="46"/>
        <v>17.626999999999999</v>
      </c>
      <c r="BE213">
        <f t="shared" si="47"/>
        <v>16.256342106999998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12.9499</v>
      </c>
      <c r="I214" s="22">
        <v>-1.7791700000000001E-2</v>
      </c>
      <c r="J214" s="22">
        <v>204</v>
      </c>
      <c r="K214" s="22">
        <v>0.72195399999999998</v>
      </c>
      <c r="L214">
        <f t="shared" si="36"/>
        <v>17.791700000000002</v>
      </c>
      <c r="M214">
        <f t="shared" si="37"/>
        <v>12.860000885300002</v>
      </c>
      <c r="N214" s="9"/>
      <c r="O214" s="22">
        <v>0.92727700000000002</v>
      </c>
      <c r="P214" s="22">
        <v>25.837700000000002</v>
      </c>
      <c r="Q214" s="22">
        <v>-1.763E-2</v>
      </c>
      <c r="R214" s="22">
        <v>204</v>
      </c>
      <c r="S214" s="22">
        <v>0.92651399999999995</v>
      </c>
      <c r="T214">
        <f t="shared" si="38"/>
        <v>17.63</v>
      </c>
      <c r="U214">
        <f t="shared" si="39"/>
        <v>16.347893509999999</v>
      </c>
      <c r="X214" s="9"/>
      <c r="Y214" s="22">
        <v>0.72280900000000003</v>
      </c>
      <c r="Z214" s="22">
        <v>33.221299999999999</v>
      </c>
      <c r="AA214" s="22">
        <v>-1.78467E-2</v>
      </c>
      <c r="AB214" s="22">
        <v>204</v>
      </c>
      <c r="AC214" s="22">
        <v>0.72210700000000005</v>
      </c>
      <c r="AD214">
        <f t="shared" si="40"/>
        <v>17.846699999999998</v>
      </c>
      <c r="AE214">
        <f t="shared" si="41"/>
        <v>12.8997553803</v>
      </c>
      <c r="AF214" s="9"/>
      <c r="AG214" s="22">
        <v>0.92727700000000002</v>
      </c>
      <c r="AH214" s="22">
        <v>38.124899999999997</v>
      </c>
      <c r="AI214" s="22">
        <v>-1.7648299999999999E-2</v>
      </c>
      <c r="AJ214" s="22">
        <v>204</v>
      </c>
      <c r="AK214" s="22">
        <v>0.92620800000000003</v>
      </c>
      <c r="AL214">
        <f t="shared" si="42"/>
        <v>17.648299999999999</v>
      </c>
      <c r="AM214">
        <f t="shared" si="43"/>
        <v>16.3648626791</v>
      </c>
      <c r="AP214" s="9"/>
      <c r="AQ214" s="22">
        <v>0.72280900000000003</v>
      </c>
      <c r="AR214" s="22">
        <v>42.958500000000001</v>
      </c>
      <c r="AS214" s="22">
        <v>-1.7843600000000001E-2</v>
      </c>
      <c r="AT214" s="22">
        <v>204</v>
      </c>
      <c r="AU214" s="22">
        <v>0.72167999999999999</v>
      </c>
      <c r="AV214">
        <f t="shared" si="44"/>
        <v>17.843600000000002</v>
      </c>
      <c r="AW214">
        <f t="shared" si="45"/>
        <v>12.897514672400002</v>
      </c>
      <c r="AX214" s="9"/>
      <c r="AY214" s="22">
        <v>0.92727700000000002</v>
      </c>
      <c r="AZ214" s="22">
        <v>47.698099999999997</v>
      </c>
      <c r="BA214" s="22">
        <v>-1.7620799999999999E-2</v>
      </c>
      <c r="BB214" s="22">
        <v>204</v>
      </c>
      <c r="BC214" s="22">
        <v>0.92590300000000003</v>
      </c>
      <c r="BD214">
        <f t="shared" si="46"/>
        <v>17.620799999999999</v>
      </c>
      <c r="BE214">
        <f t="shared" si="47"/>
        <v>16.339362561599998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12.96</v>
      </c>
      <c r="I215" s="22">
        <v>-1.77948E-2</v>
      </c>
      <c r="J215" s="22">
        <v>205</v>
      </c>
      <c r="K215" s="22">
        <v>0.71688799999999997</v>
      </c>
      <c r="L215">
        <f t="shared" si="36"/>
        <v>17.794799999999999</v>
      </c>
      <c r="M215">
        <f t="shared" si="37"/>
        <v>12.772626980399998</v>
      </c>
      <c r="N215" s="9"/>
      <c r="O215" s="22">
        <v>0.93231200000000003</v>
      </c>
      <c r="P215" s="22">
        <v>25.8477</v>
      </c>
      <c r="Q215" s="22">
        <v>-1.7623900000000001E-2</v>
      </c>
      <c r="R215" s="22">
        <v>205</v>
      </c>
      <c r="S215" s="22">
        <v>0.930176</v>
      </c>
      <c r="T215">
        <f t="shared" si="38"/>
        <v>17.623900000000003</v>
      </c>
      <c r="U215">
        <f t="shared" si="39"/>
        <v>16.430973456800004</v>
      </c>
      <c r="X215" s="9"/>
      <c r="Y215" s="22">
        <v>0.71777299999999999</v>
      </c>
      <c r="Z215" s="22">
        <v>33.231400000000001</v>
      </c>
      <c r="AA215" s="22">
        <v>-1.7852799999999999E-2</v>
      </c>
      <c r="AB215" s="22">
        <v>205</v>
      </c>
      <c r="AC215" s="22">
        <v>0.71725499999999998</v>
      </c>
      <c r="AD215">
        <f t="shared" si="40"/>
        <v>17.852799999999998</v>
      </c>
      <c r="AE215">
        <f t="shared" si="41"/>
        <v>12.814257814399999</v>
      </c>
      <c r="AF215" s="9"/>
      <c r="AG215" s="22">
        <v>0.93231200000000003</v>
      </c>
      <c r="AH215" s="22">
        <v>38.134999999999998</v>
      </c>
      <c r="AI215" s="22">
        <v>-1.76422E-2</v>
      </c>
      <c r="AJ215" s="22">
        <v>205</v>
      </c>
      <c r="AK215" s="22">
        <v>0.931091</v>
      </c>
      <c r="AL215">
        <f t="shared" si="42"/>
        <v>17.642199999999999</v>
      </c>
      <c r="AM215">
        <f t="shared" si="43"/>
        <v>16.448034766399999</v>
      </c>
      <c r="AP215" s="9"/>
      <c r="AQ215" s="22">
        <v>0.71777299999999999</v>
      </c>
      <c r="AR215" s="22">
        <v>42.968600000000002</v>
      </c>
      <c r="AS215" s="22">
        <v>-1.78467E-2</v>
      </c>
      <c r="AT215" s="22">
        <v>205</v>
      </c>
      <c r="AU215" s="22">
        <v>0.71694899999999995</v>
      </c>
      <c r="AV215">
        <f t="shared" si="44"/>
        <v>17.846699999999998</v>
      </c>
      <c r="AW215">
        <f t="shared" si="45"/>
        <v>12.809879399099998</v>
      </c>
      <c r="AX215" s="9"/>
      <c r="AY215" s="22">
        <v>0.93231200000000003</v>
      </c>
      <c r="AZ215" s="22">
        <v>47.708199999999998</v>
      </c>
      <c r="BA215" s="22">
        <v>-1.76147E-2</v>
      </c>
      <c r="BB215" s="22">
        <v>205</v>
      </c>
      <c r="BC215" s="22">
        <v>0.93231200000000003</v>
      </c>
      <c r="BD215">
        <f t="shared" si="46"/>
        <v>17.614699999999999</v>
      </c>
      <c r="BE215">
        <f t="shared" si="47"/>
        <v>16.4223961864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12.9701</v>
      </c>
      <c r="I216" s="22">
        <v>-1.7800900000000001E-2</v>
      </c>
      <c r="J216" s="22">
        <v>206</v>
      </c>
      <c r="K216" s="22">
        <v>0.71185299999999996</v>
      </c>
      <c r="L216">
        <f t="shared" si="36"/>
        <v>17.800900000000002</v>
      </c>
      <c r="M216">
        <f t="shared" si="37"/>
        <v>12.687377864200002</v>
      </c>
      <c r="N216" s="9"/>
      <c r="O216" s="22">
        <v>0.93734700000000004</v>
      </c>
      <c r="P216" s="22">
        <v>25.857800000000001</v>
      </c>
      <c r="Q216" s="22">
        <v>-1.7617799999999999E-2</v>
      </c>
      <c r="R216" s="22">
        <v>206</v>
      </c>
      <c r="S216" s="22">
        <v>0.93689</v>
      </c>
      <c r="T216">
        <f t="shared" si="38"/>
        <v>17.617799999999999</v>
      </c>
      <c r="U216">
        <f t="shared" si="39"/>
        <v>16.5139919766</v>
      </c>
      <c r="X216" s="9"/>
      <c r="Y216" s="22">
        <v>0.71273799999999998</v>
      </c>
      <c r="Z216" s="22">
        <v>33.241399999999999</v>
      </c>
      <c r="AA216" s="22">
        <v>-1.78589E-2</v>
      </c>
      <c r="AB216" s="22">
        <v>206</v>
      </c>
      <c r="AC216" s="22">
        <v>0.71212799999999998</v>
      </c>
      <c r="AD216">
        <f t="shared" si="40"/>
        <v>17.858900000000002</v>
      </c>
      <c r="AE216">
        <f t="shared" si="41"/>
        <v>12.728716668200001</v>
      </c>
      <c r="AF216" s="9"/>
      <c r="AG216" s="22">
        <v>0.93734700000000004</v>
      </c>
      <c r="AH216" s="22">
        <v>38.145099999999999</v>
      </c>
      <c r="AI216" s="22">
        <v>-1.7639200000000001E-2</v>
      </c>
      <c r="AJ216" s="22">
        <v>206</v>
      </c>
      <c r="AK216" s="22">
        <v>0.93658399999999997</v>
      </c>
      <c r="AL216">
        <f t="shared" si="42"/>
        <v>17.639200000000002</v>
      </c>
      <c r="AM216">
        <f t="shared" si="43"/>
        <v>16.534051202400004</v>
      </c>
      <c r="AP216" s="9"/>
      <c r="AQ216" s="22">
        <v>0.71273799999999998</v>
      </c>
      <c r="AR216" s="22">
        <v>42.9786</v>
      </c>
      <c r="AS216" s="22">
        <v>-1.7852799999999999E-2</v>
      </c>
      <c r="AT216" s="22">
        <v>206</v>
      </c>
      <c r="AU216" s="22">
        <v>0.71221900000000005</v>
      </c>
      <c r="AV216">
        <f t="shared" si="44"/>
        <v>17.852799999999998</v>
      </c>
      <c r="AW216">
        <f t="shared" si="45"/>
        <v>12.724368966399998</v>
      </c>
      <c r="AX216" s="9"/>
      <c r="AY216" s="22">
        <v>0.93734700000000004</v>
      </c>
      <c r="AZ216" s="22">
        <v>47.718200000000003</v>
      </c>
      <c r="BA216" s="22">
        <v>-1.7608599999999999E-2</v>
      </c>
      <c r="BB216" s="22">
        <v>206</v>
      </c>
      <c r="BC216" s="22">
        <v>0.93658399999999997</v>
      </c>
      <c r="BD216">
        <f t="shared" si="46"/>
        <v>17.608599999999999</v>
      </c>
      <c r="BE216">
        <f t="shared" si="47"/>
        <v>16.505368384200001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12.9801</v>
      </c>
      <c r="I217" s="22">
        <v>-1.7804E-2</v>
      </c>
      <c r="J217" s="22">
        <v>207</v>
      </c>
      <c r="K217" s="22">
        <v>0.70690900000000001</v>
      </c>
      <c r="L217">
        <f t="shared" si="36"/>
        <v>17.804000000000002</v>
      </c>
      <c r="M217">
        <f t="shared" si="37"/>
        <v>12.599944212</v>
      </c>
      <c r="N217" s="9"/>
      <c r="O217" s="22">
        <v>0.94238299999999997</v>
      </c>
      <c r="P217" s="22">
        <v>25.867899999999999</v>
      </c>
      <c r="Q217" s="22">
        <v>-1.7611700000000001E-2</v>
      </c>
      <c r="R217" s="22">
        <v>207</v>
      </c>
      <c r="S217" s="22">
        <v>0.94207799999999997</v>
      </c>
      <c r="T217">
        <f t="shared" si="38"/>
        <v>17.611700000000003</v>
      </c>
      <c r="U217">
        <f t="shared" si="39"/>
        <v>16.596966681100003</v>
      </c>
      <c r="X217" s="9"/>
      <c r="Y217" s="22">
        <v>0.70770299999999997</v>
      </c>
      <c r="Z217" s="22">
        <v>33.2515</v>
      </c>
      <c r="AA217" s="22">
        <v>-1.7864999999999999E-2</v>
      </c>
      <c r="AB217" s="22">
        <v>207</v>
      </c>
      <c r="AC217" s="22">
        <v>0.70715300000000003</v>
      </c>
      <c r="AD217">
        <f t="shared" si="40"/>
        <v>17.864999999999998</v>
      </c>
      <c r="AE217">
        <f t="shared" si="41"/>
        <v>12.643114094999998</v>
      </c>
      <c r="AF217" s="9"/>
      <c r="AG217" s="22">
        <v>0.94238299999999997</v>
      </c>
      <c r="AH217" s="22">
        <v>38.155099999999997</v>
      </c>
      <c r="AI217" s="22">
        <v>-1.763E-2</v>
      </c>
      <c r="AJ217" s="22">
        <v>207</v>
      </c>
      <c r="AK217" s="22">
        <v>0.94116200000000005</v>
      </c>
      <c r="AL217">
        <f t="shared" si="42"/>
        <v>17.63</v>
      </c>
      <c r="AM217">
        <f t="shared" si="43"/>
        <v>16.614212289999998</v>
      </c>
      <c r="AP217" s="9"/>
      <c r="AQ217" s="22">
        <v>0.70770299999999997</v>
      </c>
      <c r="AR217" s="22">
        <v>42.988700000000001</v>
      </c>
      <c r="AS217" s="22">
        <v>-1.7855800000000002E-2</v>
      </c>
      <c r="AT217" s="22">
        <v>207</v>
      </c>
      <c r="AU217" s="22">
        <v>0.70721400000000001</v>
      </c>
      <c r="AV217">
        <f t="shared" si="44"/>
        <v>17.855800000000002</v>
      </c>
      <c r="AW217">
        <f t="shared" si="45"/>
        <v>12.6366032274</v>
      </c>
      <c r="AX217" s="9"/>
      <c r="AY217" s="22">
        <v>0.94238299999999997</v>
      </c>
      <c r="AZ217" s="22">
        <v>47.728299999999997</v>
      </c>
      <c r="BA217" s="22">
        <v>-1.7605599999999999E-2</v>
      </c>
      <c r="BB217" s="22">
        <v>207</v>
      </c>
      <c r="BC217" s="22">
        <v>0.94146700000000005</v>
      </c>
      <c r="BD217">
        <f t="shared" si="46"/>
        <v>17.605599999999999</v>
      </c>
      <c r="BE217">
        <f t="shared" si="47"/>
        <v>16.591218144799999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12.9902</v>
      </c>
      <c r="I218" s="22">
        <v>-1.7810099999999999E-2</v>
      </c>
      <c r="J218" s="22">
        <v>208</v>
      </c>
      <c r="K218" s="22">
        <v>0.70205700000000004</v>
      </c>
      <c r="L218">
        <f t="shared" si="36"/>
        <v>17.810099999999998</v>
      </c>
      <c r="M218">
        <f t="shared" si="37"/>
        <v>12.5145695367</v>
      </c>
      <c r="N218" s="9"/>
      <c r="O218" s="22">
        <v>0.94741799999999998</v>
      </c>
      <c r="P218" s="22">
        <v>25.8779</v>
      </c>
      <c r="Q218" s="22">
        <v>-1.76025E-2</v>
      </c>
      <c r="R218" s="22">
        <v>208</v>
      </c>
      <c r="S218" s="22">
        <v>0.94635000000000002</v>
      </c>
      <c r="T218">
        <f t="shared" si="38"/>
        <v>17.602499999999999</v>
      </c>
      <c r="U218">
        <f t="shared" si="39"/>
        <v>16.676925344999997</v>
      </c>
      <c r="X218" s="9"/>
      <c r="Y218" s="22">
        <v>0.70266700000000004</v>
      </c>
      <c r="Z218" s="22">
        <v>33.261600000000001</v>
      </c>
      <c r="AA218" s="22">
        <v>-1.7867999999999998E-2</v>
      </c>
      <c r="AB218" s="22">
        <v>208</v>
      </c>
      <c r="AC218" s="22">
        <v>0.70202600000000004</v>
      </c>
      <c r="AD218">
        <f t="shared" si="40"/>
        <v>17.867999999999999</v>
      </c>
      <c r="AE218">
        <f t="shared" si="41"/>
        <v>12.555253956</v>
      </c>
      <c r="AF218" s="9"/>
      <c r="AG218" s="22">
        <v>0.94741799999999998</v>
      </c>
      <c r="AH218" s="22">
        <v>38.165199999999999</v>
      </c>
      <c r="AI218" s="22">
        <v>-1.7627E-2</v>
      </c>
      <c r="AJ218" s="22">
        <v>208</v>
      </c>
      <c r="AK218" s="22">
        <v>0.94665500000000002</v>
      </c>
      <c r="AL218">
        <f t="shared" si="42"/>
        <v>17.626999999999999</v>
      </c>
      <c r="AM218">
        <f t="shared" si="43"/>
        <v>16.700137085999998</v>
      </c>
      <c r="AP218" s="9"/>
      <c r="AQ218" s="22">
        <v>0.70266700000000004</v>
      </c>
      <c r="AR218" s="22">
        <v>42.998800000000003</v>
      </c>
      <c r="AS218" s="22">
        <v>-1.78589E-2</v>
      </c>
      <c r="AT218" s="22">
        <v>208</v>
      </c>
      <c r="AU218" s="22">
        <v>0.70196499999999995</v>
      </c>
      <c r="AV218">
        <f t="shared" si="44"/>
        <v>17.858900000000002</v>
      </c>
      <c r="AW218">
        <f t="shared" si="45"/>
        <v>12.548859686300002</v>
      </c>
      <c r="AX218" s="9"/>
      <c r="AY218" s="22">
        <v>0.94741799999999998</v>
      </c>
      <c r="AZ218" s="22">
        <v>47.738399999999999</v>
      </c>
      <c r="BA218" s="22">
        <v>-1.7599500000000001E-2</v>
      </c>
      <c r="BB218" s="22">
        <v>208</v>
      </c>
      <c r="BC218" s="22">
        <v>0.94635000000000002</v>
      </c>
      <c r="BD218">
        <f t="shared" si="46"/>
        <v>17.599499999999999</v>
      </c>
      <c r="BE218">
        <f t="shared" si="47"/>
        <v>16.674083091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13.000299999999999</v>
      </c>
      <c r="I219" s="22">
        <v>-1.7816200000000001E-2</v>
      </c>
      <c r="J219" s="22">
        <v>209</v>
      </c>
      <c r="K219" s="22">
        <v>0.69665500000000002</v>
      </c>
      <c r="L219">
        <f t="shared" si="36"/>
        <v>17.816200000000002</v>
      </c>
      <c r="M219">
        <f t="shared" si="37"/>
        <v>12.429151238400001</v>
      </c>
      <c r="N219" s="9"/>
      <c r="O219" s="22">
        <v>0.95245400000000002</v>
      </c>
      <c r="P219" s="22">
        <v>25.888000000000002</v>
      </c>
      <c r="Q219" s="22">
        <v>-1.7599500000000001E-2</v>
      </c>
      <c r="R219" s="22">
        <v>209</v>
      </c>
      <c r="S219" s="22">
        <v>0.951233</v>
      </c>
      <c r="T219">
        <f t="shared" si="38"/>
        <v>17.599499999999999</v>
      </c>
      <c r="U219">
        <f t="shared" si="39"/>
        <v>16.762714172999999</v>
      </c>
      <c r="X219" s="9"/>
      <c r="Y219" s="22">
        <v>0.69763200000000003</v>
      </c>
      <c r="Z219" s="22">
        <v>33.271700000000003</v>
      </c>
      <c r="AA219" s="22">
        <v>-1.7871100000000001E-2</v>
      </c>
      <c r="AB219" s="22">
        <v>209</v>
      </c>
      <c r="AC219" s="22">
        <v>0.69711299999999998</v>
      </c>
      <c r="AD219">
        <f t="shared" si="40"/>
        <v>17.871100000000002</v>
      </c>
      <c r="AE219">
        <f t="shared" si="41"/>
        <v>12.467451235200002</v>
      </c>
      <c r="AF219" s="9"/>
      <c r="AG219" s="22">
        <v>0.95245400000000002</v>
      </c>
      <c r="AH219" s="22">
        <v>38.1753</v>
      </c>
      <c r="AI219" s="22">
        <v>-1.7623900000000001E-2</v>
      </c>
      <c r="AJ219" s="22">
        <v>209</v>
      </c>
      <c r="AK219" s="22">
        <v>0.950928</v>
      </c>
      <c r="AL219">
        <f t="shared" si="42"/>
        <v>17.623900000000003</v>
      </c>
      <c r="AM219">
        <f t="shared" si="43"/>
        <v>16.785954050600004</v>
      </c>
      <c r="AP219" s="9"/>
      <c r="AQ219" s="22">
        <v>0.69763200000000003</v>
      </c>
      <c r="AR219" s="22">
        <v>43.008899999999997</v>
      </c>
      <c r="AS219" s="22">
        <v>-1.7867999999999998E-2</v>
      </c>
      <c r="AT219" s="22">
        <v>209</v>
      </c>
      <c r="AU219" s="22">
        <v>0.69696000000000002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47.7485</v>
      </c>
      <c r="BA219" s="22">
        <v>-1.75903E-2</v>
      </c>
      <c r="BB219" s="22">
        <v>209</v>
      </c>
      <c r="BC219" s="22">
        <v>0.951233</v>
      </c>
      <c r="BD219">
        <f t="shared" si="46"/>
        <v>17.590299999999999</v>
      </c>
      <c r="BE219">
        <f t="shared" si="47"/>
        <v>16.7539515962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13.010300000000001</v>
      </c>
      <c r="I220" s="22">
        <v>-1.7822299999999999E-2</v>
      </c>
      <c r="J220" s="22">
        <v>210</v>
      </c>
      <c r="K220" s="22">
        <v>0.69192500000000001</v>
      </c>
      <c r="L220">
        <f t="shared" si="36"/>
        <v>17.822299999999998</v>
      </c>
      <c r="M220">
        <f t="shared" si="37"/>
        <v>12.343653690799998</v>
      </c>
      <c r="N220" s="9"/>
      <c r="O220" s="22">
        <v>0.95748900000000003</v>
      </c>
      <c r="P220" s="22">
        <v>25.898099999999999</v>
      </c>
      <c r="Q220" s="22">
        <v>-1.7593399999999999E-2</v>
      </c>
      <c r="R220" s="22">
        <v>210</v>
      </c>
      <c r="S220" s="22">
        <v>0.95581099999999997</v>
      </c>
      <c r="T220">
        <f t="shared" si="38"/>
        <v>17.593399999999999</v>
      </c>
      <c r="U220">
        <f t="shared" si="39"/>
        <v>16.8454869726</v>
      </c>
      <c r="X220" s="9"/>
      <c r="Y220" s="22">
        <v>0.69259599999999999</v>
      </c>
      <c r="Z220" s="22">
        <v>33.281700000000001</v>
      </c>
      <c r="AA220" s="22">
        <v>-1.7871100000000001E-2</v>
      </c>
      <c r="AB220" s="22">
        <v>210</v>
      </c>
      <c r="AC220" s="22">
        <v>0.69189500000000004</v>
      </c>
      <c r="AD220">
        <f t="shared" si="40"/>
        <v>17.871100000000002</v>
      </c>
      <c r="AE220">
        <f t="shared" si="41"/>
        <v>12.377452375600001</v>
      </c>
      <c r="AF220" s="9"/>
      <c r="AG220" s="22">
        <v>0.95748900000000003</v>
      </c>
      <c r="AH220" s="22">
        <v>38.185299999999998</v>
      </c>
      <c r="AI220" s="22">
        <v>-1.7617799999999999E-2</v>
      </c>
      <c r="AJ220" s="22">
        <v>210</v>
      </c>
      <c r="AK220" s="22">
        <v>0.95642099999999997</v>
      </c>
      <c r="AL220">
        <f t="shared" si="42"/>
        <v>17.617799999999999</v>
      </c>
      <c r="AM220">
        <f t="shared" si="43"/>
        <v>16.868849704199999</v>
      </c>
      <c r="AP220" s="9"/>
      <c r="AQ220" s="22">
        <v>0.69259599999999999</v>
      </c>
      <c r="AR220" s="22">
        <v>43.018900000000002</v>
      </c>
      <c r="AS220" s="22">
        <v>-1.7877199999999999E-2</v>
      </c>
      <c r="AT220" s="22">
        <v>210</v>
      </c>
      <c r="AU220" s="22">
        <v>0.69216900000000003</v>
      </c>
      <c r="AV220">
        <f t="shared" si="44"/>
        <v>17.877199999999998</v>
      </c>
      <c r="AW220">
        <f t="shared" si="45"/>
        <v>12.3816772112</v>
      </c>
      <c r="AX220" s="9"/>
      <c r="AY220" s="22">
        <v>0.95748900000000003</v>
      </c>
      <c r="AZ220" s="22">
        <v>47.758499999999998</v>
      </c>
      <c r="BA220" s="22">
        <v>-1.7584200000000001E-2</v>
      </c>
      <c r="BB220" s="22">
        <v>210</v>
      </c>
      <c r="BC220" s="22">
        <v>0.95642099999999997</v>
      </c>
      <c r="BD220">
        <f t="shared" si="46"/>
        <v>17.584200000000003</v>
      </c>
      <c r="BE220">
        <f t="shared" si="47"/>
        <v>16.836678073800002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13.0204</v>
      </c>
      <c r="I221" s="22">
        <v>-1.7828400000000001E-2</v>
      </c>
      <c r="J221" s="22">
        <v>211</v>
      </c>
      <c r="K221" s="22">
        <v>0.686554</v>
      </c>
      <c r="L221">
        <f t="shared" si="36"/>
        <v>17.828400000000002</v>
      </c>
      <c r="M221">
        <f t="shared" si="37"/>
        <v>12.2581125324</v>
      </c>
      <c r="N221" s="9"/>
      <c r="O221" s="22">
        <v>0.96252400000000005</v>
      </c>
      <c r="P221" s="22">
        <v>25.908200000000001</v>
      </c>
      <c r="Q221" s="22">
        <v>-1.7584200000000001E-2</v>
      </c>
      <c r="R221" s="22">
        <v>211</v>
      </c>
      <c r="S221" s="22">
        <v>0.96130400000000005</v>
      </c>
      <c r="T221">
        <f t="shared" si="38"/>
        <v>17.584200000000003</v>
      </c>
      <c r="U221">
        <f t="shared" si="39"/>
        <v>16.925214520800004</v>
      </c>
      <c r="X221" s="9"/>
      <c r="Y221" s="22">
        <v>0.68756099999999998</v>
      </c>
      <c r="Z221" s="22">
        <v>33.291800000000002</v>
      </c>
      <c r="AA221" s="22">
        <v>-1.7877199999999999E-2</v>
      </c>
      <c r="AB221" s="22">
        <v>211</v>
      </c>
      <c r="AC221" s="22">
        <v>0.68676800000000005</v>
      </c>
      <c r="AD221">
        <f t="shared" si="40"/>
        <v>17.877199999999998</v>
      </c>
      <c r="AE221">
        <f t="shared" si="41"/>
        <v>12.291665509199998</v>
      </c>
      <c r="AF221" s="9"/>
      <c r="AG221" s="22">
        <v>0.96252400000000005</v>
      </c>
      <c r="AH221" s="22">
        <v>38.195399999999999</v>
      </c>
      <c r="AI221" s="22">
        <v>-1.7611700000000001E-2</v>
      </c>
      <c r="AJ221" s="22">
        <v>211</v>
      </c>
      <c r="AK221" s="22">
        <v>0.96160900000000005</v>
      </c>
      <c r="AL221">
        <f t="shared" si="42"/>
        <v>17.611700000000003</v>
      </c>
      <c r="AM221">
        <f t="shared" si="43"/>
        <v>16.951683930800002</v>
      </c>
      <c r="AP221" s="9"/>
      <c r="AQ221" s="22">
        <v>0.68756099999999998</v>
      </c>
      <c r="AR221" s="22">
        <v>43.029000000000003</v>
      </c>
      <c r="AS221" s="22">
        <v>-1.7883300000000001E-2</v>
      </c>
      <c r="AT221" s="22">
        <v>211</v>
      </c>
      <c r="AU221" s="22">
        <v>0.68734700000000004</v>
      </c>
      <c r="AV221">
        <f t="shared" si="44"/>
        <v>17.883300000000002</v>
      </c>
      <c r="AW221">
        <f t="shared" si="45"/>
        <v>12.295859631300001</v>
      </c>
      <c r="AX221" s="9"/>
      <c r="AY221" s="22">
        <v>0.96252400000000005</v>
      </c>
      <c r="AZ221" s="22">
        <v>47.768599999999999</v>
      </c>
      <c r="BA221" s="22">
        <v>-1.7581200000000002E-2</v>
      </c>
      <c r="BB221" s="22">
        <v>211</v>
      </c>
      <c r="BC221" s="22">
        <v>0.96191400000000005</v>
      </c>
      <c r="BD221">
        <f t="shared" si="46"/>
        <v>17.581200000000003</v>
      </c>
      <c r="BE221">
        <f t="shared" si="47"/>
        <v>16.922326948800002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13.0305</v>
      </c>
      <c r="I222" s="22">
        <v>-1.78345E-2</v>
      </c>
      <c r="J222" s="22">
        <v>212</v>
      </c>
      <c r="K222" s="22">
        <v>0.68167100000000003</v>
      </c>
      <c r="L222">
        <f t="shared" si="36"/>
        <v>17.834499999999998</v>
      </c>
      <c r="M222">
        <f t="shared" si="37"/>
        <v>12.172509946999998</v>
      </c>
      <c r="N222" s="9"/>
      <c r="O222" s="22">
        <v>0.96755999999999998</v>
      </c>
      <c r="P222" s="22">
        <v>25.918199999999999</v>
      </c>
      <c r="Q222" s="22">
        <v>-1.7578099999999999E-2</v>
      </c>
      <c r="R222" s="22">
        <v>212</v>
      </c>
      <c r="S222" s="22">
        <v>0.96649200000000002</v>
      </c>
      <c r="T222">
        <f t="shared" si="38"/>
        <v>17.578099999999999</v>
      </c>
      <c r="U222">
        <f t="shared" si="39"/>
        <v>17.007866436</v>
      </c>
      <c r="X222" s="9"/>
      <c r="Y222" s="22">
        <v>0.68252599999999997</v>
      </c>
      <c r="Z222" s="22">
        <v>33.301900000000003</v>
      </c>
      <c r="AA222" s="22">
        <v>-1.7880199999999999E-2</v>
      </c>
      <c r="AB222" s="22">
        <v>212</v>
      </c>
      <c r="AC222" s="22">
        <v>0.68206800000000001</v>
      </c>
      <c r="AD222">
        <f t="shared" si="40"/>
        <v>17.880199999999999</v>
      </c>
      <c r="AE222">
        <f t="shared" si="41"/>
        <v>12.203701385199999</v>
      </c>
      <c r="AF222" s="9"/>
      <c r="AG222" s="22">
        <v>0.96755999999999998</v>
      </c>
      <c r="AH222" s="22">
        <v>38.205500000000001</v>
      </c>
      <c r="AI222" s="22">
        <v>-1.76025E-2</v>
      </c>
      <c r="AJ222" s="22">
        <v>212</v>
      </c>
      <c r="AK222" s="22">
        <v>0.96588099999999999</v>
      </c>
      <c r="AL222">
        <f t="shared" si="42"/>
        <v>17.602499999999999</v>
      </c>
      <c r="AM222">
        <f t="shared" si="43"/>
        <v>17.031474899999999</v>
      </c>
      <c r="AP222" s="9"/>
      <c r="AQ222" s="22">
        <v>0.68252599999999997</v>
      </c>
      <c r="AR222" s="22">
        <v>43.039099999999998</v>
      </c>
      <c r="AS222" s="22">
        <v>-1.78894E-2</v>
      </c>
      <c r="AT222" s="22">
        <v>212</v>
      </c>
      <c r="AU222" s="22">
        <v>0.68200700000000003</v>
      </c>
      <c r="AV222">
        <f t="shared" si="44"/>
        <v>17.889399999999998</v>
      </c>
      <c r="AW222">
        <f t="shared" si="45"/>
        <v>12.209980624399998</v>
      </c>
      <c r="AX222" s="9"/>
      <c r="AY222" s="22">
        <v>0.96755999999999998</v>
      </c>
      <c r="AZ222" s="22">
        <v>47.778700000000001</v>
      </c>
      <c r="BA222" s="22">
        <v>-1.75751E-2</v>
      </c>
      <c r="BB222" s="22">
        <v>212</v>
      </c>
      <c r="BC222" s="22">
        <v>0.96588099999999999</v>
      </c>
      <c r="BD222">
        <f t="shared" si="46"/>
        <v>17.575099999999999</v>
      </c>
      <c r="BE222">
        <f t="shared" si="47"/>
        <v>17.004963755999999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13.0406</v>
      </c>
      <c r="I223" s="22">
        <v>-1.7837499999999999E-2</v>
      </c>
      <c r="J223" s="22">
        <v>213</v>
      </c>
      <c r="K223" s="22">
        <v>0.67666599999999999</v>
      </c>
      <c r="L223">
        <f t="shared" si="36"/>
        <v>17.837499999999999</v>
      </c>
      <c r="M223">
        <f t="shared" si="37"/>
        <v>12.084727875</v>
      </c>
      <c r="N223" s="9"/>
      <c r="O223" s="22">
        <v>0.97259499999999999</v>
      </c>
      <c r="P223" s="22">
        <v>25.9283</v>
      </c>
      <c r="Q223" s="22">
        <v>-1.75751E-2</v>
      </c>
      <c r="R223" s="22">
        <v>213</v>
      </c>
      <c r="S223" s="22">
        <v>0.97167999999999999</v>
      </c>
      <c r="T223">
        <f t="shared" si="38"/>
        <v>17.575099999999999</v>
      </c>
      <c r="U223">
        <f t="shared" si="39"/>
        <v>17.093454384499999</v>
      </c>
      <c r="X223" s="9"/>
      <c r="Y223" s="22">
        <v>0.67749000000000004</v>
      </c>
      <c r="Z223" s="22">
        <v>33.311900000000001</v>
      </c>
      <c r="AA223" s="22">
        <v>-1.78864E-2</v>
      </c>
      <c r="AB223" s="22">
        <v>213</v>
      </c>
      <c r="AC223" s="22">
        <v>0.67700199999999999</v>
      </c>
      <c r="AD223">
        <f t="shared" si="40"/>
        <v>17.886400000000002</v>
      </c>
      <c r="AE223">
        <f t="shared" si="41"/>
        <v>12.117857136000001</v>
      </c>
      <c r="AF223" s="9"/>
      <c r="AG223" s="22">
        <v>0.97259499999999999</v>
      </c>
      <c r="AH223" s="22">
        <v>38.215499999999999</v>
      </c>
      <c r="AI223" s="22">
        <v>-1.7599500000000001E-2</v>
      </c>
      <c r="AJ223" s="22">
        <v>213</v>
      </c>
      <c r="AK223" s="22">
        <v>0.97228999999999999</v>
      </c>
      <c r="AL223">
        <f t="shared" si="42"/>
        <v>17.599499999999999</v>
      </c>
      <c r="AM223">
        <f t="shared" si="43"/>
        <v>17.117185702499999</v>
      </c>
      <c r="AP223" s="9"/>
      <c r="AQ223" s="22">
        <v>0.67749000000000004</v>
      </c>
      <c r="AR223" s="22">
        <v>43.049100000000003</v>
      </c>
      <c r="AS223" s="22">
        <v>-1.7892499999999999E-2</v>
      </c>
      <c r="AT223" s="22">
        <v>213</v>
      </c>
      <c r="AU223" s="22">
        <v>0.67715499999999995</v>
      </c>
      <c r="AV223">
        <f t="shared" si="44"/>
        <v>17.892499999999998</v>
      </c>
      <c r="AW223">
        <f t="shared" si="45"/>
        <v>12.121989825</v>
      </c>
      <c r="AX223" s="9"/>
      <c r="AY223" s="22">
        <v>0.97259499999999999</v>
      </c>
      <c r="AZ223" s="22">
        <v>47.788699999999999</v>
      </c>
      <c r="BA223" s="22">
        <v>-1.7569000000000001E-2</v>
      </c>
      <c r="BB223" s="22">
        <v>213</v>
      </c>
      <c r="BC223" s="22">
        <v>0.97167999999999999</v>
      </c>
      <c r="BD223">
        <f t="shared" si="46"/>
        <v>17.569000000000003</v>
      </c>
      <c r="BE223">
        <f t="shared" si="47"/>
        <v>17.087521555000002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13.050599999999999</v>
      </c>
      <c r="I224" s="22">
        <v>-1.7840600000000002E-2</v>
      </c>
      <c r="J224" s="22">
        <v>214</v>
      </c>
      <c r="K224" s="22">
        <v>0.67175300000000004</v>
      </c>
      <c r="L224">
        <f t="shared" si="36"/>
        <v>17.840600000000002</v>
      </c>
      <c r="M224">
        <f t="shared" si="37"/>
        <v>11.997000673000002</v>
      </c>
      <c r="N224" s="9"/>
      <c r="O224" s="22">
        <v>0.97763100000000003</v>
      </c>
      <c r="P224" s="22">
        <v>25.938400000000001</v>
      </c>
      <c r="Q224" s="22">
        <v>-1.7569000000000001E-2</v>
      </c>
      <c r="R224" s="22">
        <v>214</v>
      </c>
      <c r="S224" s="22">
        <v>0.97595200000000004</v>
      </c>
      <c r="T224">
        <f t="shared" si="38"/>
        <v>17.569000000000003</v>
      </c>
      <c r="U224">
        <f t="shared" si="39"/>
        <v>17.175999039000004</v>
      </c>
      <c r="X224" s="9"/>
      <c r="Y224" s="22">
        <v>0.67245500000000002</v>
      </c>
      <c r="Z224" s="22">
        <v>33.322000000000003</v>
      </c>
      <c r="AA224" s="22">
        <v>-1.7892499999999999E-2</v>
      </c>
      <c r="AB224" s="22">
        <v>214</v>
      </c>
      <c r="AC224" s="22">
        <v>0.67202799999999996</v>
      </c>
      <c r="AD224">
        <f t="shared" si="40"/>
        <v>17.892499999999998</v>
      </c>
      <c r="AE224">
        <f t="shared" si="41"/>
        <v>12.0319010875</v>
      </c>
      <c r="AF224" s="9"/>
      <c r="AG224" s="22">
        <v>0.97763100000000003</v>
      </c>
      <c r="AH224" s="22">
        <v>38.2256</v>
      </c>
      <c r="AI224" s="22">
        <v>-1.75903E-2</v>
      </c>
      <c r="AJ224" s="22">
        <v>214</v>
      </c>
      <c r="AK224" s="22">
        <v>0.97686799999999996</v>
      </c>
      <c r="AL224">
        <f t="shared" si="42"/>
        <v>17.590299999999999</v>
      </c>
      <c r="AM224">
        <f t="shared" si="43"/>
        <v>17.196822579300001</v>
      </c>
      <c r="AP224" s="9"/>
      <c r="AQ224" s="22">
        <v>0.67245500000000002</v>
      </c>
      <c r="AR224" s="22">
        <v>43.059199999999997</v>
      </c>
      <c r="AS224" s="22">
        <v>-1.7895500000000002E-2</v>
      </c>
      <c r="AT224" s="22">
        <v>214</v>
      </c>
      <c r="AU224" s="22">
        <v>0.67166099999999995</v>
      </c>
      <c r="AV224">
        <f t="shared" si="44"/>
        <v>17.895500000000002</v>
      </c>
      <c r="AW224">
        <f t="shared" si="45"/>
        <v>12.033918452500002</v>
      </c>
      <c r="AX224" s="9"/>
      <c r="AY224" s="22">
        <v>0.97763100000000003</v>
      </c>
      <c r="AZ224" s="22">
        <v>47.7988</v>
      </c>
      <c r="BA224" s="22">
        <v>-1.7562899999999999E-2</v>
      </c>
      <c r="BB224" s="22">
        <v>214</v>
      </c>
      <c r="BC224" s="22">
        <v>0.97686799999999996</v>
      </c>
      <c r="BD224">
        <f t="shared" si="46"/>
        <v>17.562899999999999</v>
      </c>
      <c r="BE224">
        <f t="shared" si="47"/>
        <v>17.170035489899998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13.060700000000001</v>
      </c>
      <c r="I225" s="22">
        <v>-1.78467E-2</v>
      </c>
      <c r="J225" s="22">
        <v>215</v>
      </c>
      <c r="K225" s="22">
        <v>0.66665600000000003</v>
      </c>
      <c r="L225">
        <f t="shared" si="36"/>
        <v>17.846699999999998</v>
      </c>
      <c r="M225">
        <f t="shared" si="37"/>
        <v>11.911226667299999</v>
      </c>
      <c r="N225" s="9"/>
      <c r="O225" s="22">
        <v>0.98266600000000004</v>
      </c>
      <c r="P225" s="22">
        <v>25.948399999999999</v>
      </c>
      <c r="Q225" s="22">
        <v>-1.7565899999999999E-2</v>
      </c>
      <c r="R225" s="22">
        <v>215</v>
      </c>
      <c r="S225" s="22">
        <v>0.98175000000000001</v>
      </c>
      <c r="T225">
        <f t="shared" si="38"/>
        <v>17.565899999999999</v>
      </c>
      <c r="U225">
        <f t="shared" si="39"/>
        <v>17.2614126894</v>
      </c>
      <c r="X225" s="9"/>
      <c r="Y225" s="22">
        <v>0.66741899999999998</v>
      </c>
      <c r="Z225" s="22">
        <v>33.332099999999997</v>
      </c>
      <c r="AA225" s="22">
        <v>-1.7898600000000001E-2</v>
      </c>
      <c r="AB225" s="22">
        <v>215</v>
      </c>
      <c r="AC225" s="22">
        <v>0.66671800000000003</v>
      </c>
      <c r="AD225">
        <f t="shared" si="40"/>
        <v>17.898600000000002</v>
      </c>
      <c r="AE225">
        <f t="shared" si="41"/>
        <v>11.945865713400002</v>
      </c>
      <c r="AF225" s="9"/>
      <c r="AG225" s="22">
        <v>0.98266600000000004</v>
      </c>
      <c r="AH225" s="22">
        <v>38.235700000000001</v>
      </c>
      <c r="AI225" s="22">
        <v>-1.7584200000000001E-2</v>
      </c>
      <c r="AJ225" s="22">
        <v>215</v>
      </c>
      <c r="AK225" s="22">
        <v>0.98205600000000004</v>
      </c>
      <c r="AL225">
        <f t="shared" si="42"/>
        <v>17.584200000000003</v>
      </c>
      <c r="AM225">
        <f t="shared" si="43"/>
        <v>17.279395477200005</v>
      </c>
      <c r="AP225" s="9"/>
      <c r="AQ225" s="22">
        <v>0.66741899999999998</v>
      </c>
      <c r="AR225" s="22">
        <v>43.069299999999998</v>
      </c>
      <c r="AS225" s="22">
        <v>-1.79016E-2</v>
      </c>
      <c r="AT225" s="22">
        <v>215</v>
      </c>
      <c r="AU225" s="22">
        <v>0.66699200000000003</v>
      </c>
      <c r="AV225">
        <f t="shared" si="44"/>
        <v>17.901599999999998</v>
      </c>
      <c r="AW225">
        <f t="shared" si="45"/>
        <v>11.947867970399999</v>
      </c>
      <c r="AX225" s="9"/>
      <c r="AY225" s="22">
        <v>0.98266600000000004</v>
      </c>
      <c r="AZ225" s="22">
        <v>47.808900000000001</v>
      </c>
      <c r="BA225" s="22">
        <v>-1.75598E-2</v>
      </c>
      <c r="BB225" s="22">
        <v>215</v>
      </c>
      <c r="BC225" s="22">
        <v>0.98144500000000001</v>
      </c>
      <c r="BD225">
        <f t="shared" si="46"/>
        <v>17.559799999999999</v>
      </c>
      <c r="BE225">
        <f t="shared" si="47"/>
        <v>17.255418426799999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13.0708</v>
      </c>
      <c r="I226" s="22">
        <v>-1.7852799999999999E-2</v>
      </c>
      <c r="J226" s="22">
        <v>216</v>
      </c>
      <c r="K226" s="22">
        <v>0.66186500000000004</v>
      </c>
      <c r="L226">
        <f t="shared" si="36"/>
        <v>17.852799999999998</v>
      </c>
      <c r="M226">
        <f t="shared" si="37"/>
        <v>11.825409075199998</v>
      </c>
      <c r="N226" s="9"/>
      <c r="O226" s="22">
        <v>0.98770100000000005</v>
      </c>
      <c r="P226" s="22">
        <v>25.958500000000001</v>
      </c>
      <c r="Q226" s="22">
        <v>-1.7562899999999999E-2</v>
      </c>
      <c r="R226" s="22">
        <v>216</v>
      </c>
      <c r="S226" s="22">
        <v>0.98632799999999998</v>
      </c>
      <c r="T226">
        <f t="shared" si="38"/>
        <v>17.562899999999999</v>
      </c>
      <c r="U226">
        <f t="shared" si="39"/>
        <v>17.346893892899999</v>
      </c>
      <c r="X226" s="9"/>
      <c r="Y226" s="22">
        <v>0.66238399999999997</v>
      </c>
      <c r="Z226" s="22">
        <v>33.342100000000002</v>
      </c>
      <c r="AA226" s="22">
        <v>-1.7907699999999999E-2</v>
      </c>
      <c r="AB226" s="22">
        <v>216</v>
      </c>
      <c r="AC226" s="22">
        <v>0.66159100000000004</v>
      </c>
      <c r="AD226">
        <f t="shared" si="40"/>
        <v>17.907699999999998</v>
      </c>
      <c r="AE226">
        <f t="shared" si="41"/>
        <v>11.861773956799999</v>
      </c>
      <c r="AF226" s="9"/>
      <c r="AG226" s="22">
        <v>0.98770100000000005</v>
      </c>
      <c r="AH226" s="22">
        <v>38.245800000000003</v>
      </c>
      <c r="AI226" s="22">
        <v>-1.75751E-2</v>
      </c>
      <c r="AJ226" s="22">
        <v>216</v>
      </c>
      <c r="AK226" s="22">
        <v>0.98663299999999998</v>
      </c>
      <c r="AL226">
        <f t="shared" si="42"/>
        <v>17.575099999999999</v>
      </c>
      <c r="AM226">
        <f t="shared" si="43"/>
        <v>17.358943845100001</v>
      </c>
      <c r="AP226" s="9"/>
      <c r="AQ226" s="22">
        <v>0.66238399999999997</v>
      </c>
      <c r="AR226" s="22">
        <v>43.079300000000003</v>
      </c>
      <c r="AS226" s="22">
        <v>-1.7907699999999999E-2</v>
      </c>
      <c r="AT226" s="22">
        <v>216</v>
      </c>
      <c r="AU226" s="22">
        <v>0.66180399999999995</v>
      </c>
      <c r="AV226">
        <f t="shared" si="44"/>
        <v>17.907699999999998</v>
      </c>
      <c r="AW226">
        <f t="shared" si="45"/>
        <v>11.861773956799999</v>
      </c>
      <c r="AX226" s="9"/>
      <c r="AY226" s="22">
        <v>0.98770100000000005</v>
      </c>
      <c r="AZ226" s="22">
        <v>47.819000000000003</v>
      </c>
      <c r="BA226" s="22">
        <v>-1.7553699999999998E-2</v>
      </c>
      <c r="BB226" s="22">
        <v>216</v>
      </c>
      <c r="BC226" s="22">
        <v>0.98754900000000001</v>
      </c>
      <c r="BD226">
        <f t="shared" si="46"/>
        <v>17.553699999999999</v>
      </c>
      <c r="BE226">
        <f t="shared" si="47"/>
        <v>17.3378070437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13.0808</v>
      </c>
      <c r="I227" s="22">
        <v>-1.78589E-2</v>
      </c>
      <c r="J227" s="22">
        <v>217</v>
      </c>
      <c r="K227" s="22">
        <v>0.65649400000000002</v>
      </c>
      <c r="L227">
        <f t="shared" si="36"/>
        <v>17.858900000000002</v>
      </c>
      <c r="M227">
        <f t="shared" si="37"/>
        <v>11.739530056100001</v>
      </c>
      <c r="N227" s="9"/>
      <c r="O227" s="22">
        <v>0.99273699999999998</v>
      </c>
      <c r="P227" s="22">
        <v>25.968599999999999</v>
      </c>
      <c r="Q227" s="22">
        <v>-1.7553699999999998E-2</v>
      </c>
      <c r="R227" s="22">
        <v>217</v>
      </c>
      <c r="S227" s="22">
        <v>0.99212599999999995</v>
      </c>
      <c r="T227">
        <f t="shared" si="38"/>
        <v>17.553699999999999</v>
      </c>
      <c r="U227">
        <f t="shared" si="39"/>
        <v>17.4262074769</v>
      </c>
      <c r="X227" s="9"/>
      <c r="Y227" s="22">
        <v>0.65734899999999996</v>
      </c>
      <c r="Z227" s="22">
        <v>33.352200000000003</v>
      </c>
      <c r="AA227" s="22">
        <v>-1.7910800000000001E-2</v>
      </c>
      <c r="AB227" s="22">
        <v>217</v>
      </c>
      <c r="AC227" s="22">
        <v>0.65664699999999998</v>
      </c>
      <c r="AD227">
        <f t="shared" si="40"/>
        <v>17.910800000000002</v>
      </c>
      <c r="AE227">
        <f t="shared" si="41"/>
        <v>11.773646469200001</v>
      </c>
      <c r="AF227" s="9"/>
      <c r="AG227" s="22">
        <v>0.99273699999999998</v>
      </c>
      <c r="AH227" s="22">
        <v>38.255800000000001</v>
      </c>
      <c r="AI227" s="22">
        <v>-1.7572000000000001E-2</v>
      </c>
      <c r="AJ227" s="22">
        <v>217</v>
      </c>
      <c r="AK227" s="22">
        <v>0.99182099999999995</v>
      </c>
      <c r="AL227">
        <f t="shared" si="42"/>
        <v>17.571999999999999</v>
      </c>
      <c r="AM227">
        <f t="shared" si="43"/>
        <v>17.444374564</v>
      </c>
      <c r="AP227" s="9"/>
      <c r="AQ227" s="22">
        <v>0.65734899999999996</v>
      </c>
      <c r="AR227" s="22">
        <v>43.089399999999998</v>
      </c>
      <c r="AS227" s="22">
        <v>-1.7910800000000001E-2</v>
      </c>
      <c r="AT227" s="22">
        <v>217</v>
      </c>
      <c r="AU227" s="22">
        <v>0.65676900000000005</v>
      </c>
      <c r="AV227">
        <f t="shared" si="44"/>
        <v>17.910800000000002</v>
      </c>
      <c r="AW227">
        <f t="shared" si="45"/>
        <v>11.773646469200001</v>
      </c>
      <c r="AX227" s="9"/>
      <c r="AY227" s="22">
        <v>0.99273699999999998</v>
      </c>
      <c r="AZ227" s="22">
        <v>47.829000000000001</v>
      </c>
      <c r="BA227" s="22">
        <v>-1.75446E-2</v>
      </c>
      <c r="BB227" s="22">
        <v>217</v>
      </c>
      <c r="BC227" s="22">
        <v>0.99121099999999995</v>
      </c>
      <c r="BD227">
        <f t="shared" si="46"/>
        <v>17.544599999999999</v>
      </c>
      <c r="BE227">
        <f t="shared" si="47"/>
        <v>17.417173570199999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13.0909</v>
      </c>
      <c r="I228" s="22">
        <v>-1.7867999999999998E-2</v>
      </c>
      <c r="J228" s="22">
        <v>218</v>
      </c>
      <c r="K228" s="22">
        <v>0.65145900000000001</v>
      </c>
      <c r="L228">
        <f t="shared" si="36"/>
        <v>17.867999999999999</v>
      </c>
      <c r="M228">
        <f t="shared" si="37"/>
        <v>11.655528684</v>
      </c>
      <c r="N228" s="9"/>
      <c r="O228" s="22">
        <v>0.99777199999999999</v>
      </c>
      <c r="P228" s="22">
        <v>25.9787</v>
      </c>
      <c r="Q228" s="22">
        <v>-1.75476E-2</v>
      </c>
      <c r="R228" s="22">
        <v>218</v>
      </c>
      <c r="S228" s="22">
        <v>0.99639900000000003</v>
      </c>
      <c r="T228">
        <f t="shared" si="38"/>
        <v>17.547599999999999</v>
      </c>
      <c r="U228">
        <f t="shared" si="39"/>
        <v>17.508503947199998</v>
      </c>
      <c r="X228" s="9"/>
      <c r="Y228" s="22">
        <v>0.65231300000000003</v>
      </c>
      <c r="Z228" s="22">
        <v>33.362299999999998</v>
      </c>
      <c r="AA228" s="22">
        <v>-1.7913800000000001E-2</v>
      </c>
      <c r="AB228" s="22">
        <v>218</v>
      </c>
      <c r="AC228" s="22">
        <v>0.65154999999999996</v>
      </c>
      <c r="AD228">
        <f t="shared" si="40"/>
        <v>17.913800000000002</v>
      </c>
      <c r="AE228">
        <f t="shared" si="41"/>
        <v>11.685404619400002</v>
      </c>
      <c r="AF228" s="9"/>
      <c r="AG228" s="22">
        <v>0.99777199999999999</v>
      </c>
      <c r="AH228" s="22">
        <v>38.265900000000002</v>
      </c>
      <c r="AI228" s="22">
        <v>-1.7569000000000001E-2</v>
      </c>
      <c r="AJ228" s="22">
        <v>218</v>
      </c>
      <c r="AK228" s="22">
        <v>0.99731400000000003</v>
      </c>
      <c r="AL228">
        <f t="shared" si="42"/>
        <v>17.569000000000003</v>
      </c>
      <c r="AM228">
        <f t="shared" si="43"/>
        <v>17.529856268000003</v>
      </c>
      <c r="AP228" s="9"/>
      <c r="AQ228" s="22">
        <v>0.65231300000000003</v>
      </c>
      <c r="AR228" s="22">
        <v>43.099499999999999</v>
      </c>
      <c r="AS228" s="22">
        <v>-1.7913800000000001E-2</v>
      </c>
      <c r="AT228" s="22">
        <v>218</v>
      </c>
      <c r="AU228" s="22">
        <v>0.65164200000000005</v>
      </c>
      <c r="AV228">
        <f t="shared" si="44"/>
        <v>17.913800000000002</v>
      </c>
      <c r="AW228">
        <f t="shared" si="45"/>
        <v>11.685404619400002</v>
      </c>
      <c r="AX228" s="9"/>
      <c r="AY228" s="22">
        <v>0.99777199999999999</v>
      </c>
      <c r="AZ228" s="22">
        <v>47.839100000000002</v>
      </c>
      <c r="BA228" s="22">
        <v>-1.75354E-2</v>
      </c>
      <c r="BB228" s="22">
        <v>218</v>
      </c>
      <c r="BC228" s="22">
        <v>0.99609400000000003</v>
      </c>
      <c r="BD228">
        <f t="shared" si="46"/>
        <v>17.535399999999999</v>
      </c>
      <c r="BE228">
        <f t="shared" si="47"/>
        <v>17.496331128799998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13.101000000000001</v>
      </c>
      <c r="I229" s="22">
        <v>-1.78741E-2</v>
      </c>
      <c r="J229" s="22">
        <v>219</v>
      </c>
      <c r="K229" s="22">
        <v>0.64627100000000004</v>
      </c>
      <c r="L229">
        <f t="shared" si="36"/>
        <v>17.874100000000002</v>
      </c>
      <c r="M229">
        <f t="shared" si="37"/>
        <v>11.569511699800001</v>
      </c>
      <c r="N229" s="9"/>
      <c r="O229" s="22">
        <v>1.00281</v>
      </c>
      <c r="P229" s="22">
        <v>25.988700000000001</v>
      </c>
      <c r="Q229" s="22">
        <v>-1.7541500000000002E-2</v>
      </c>
      <c r="R229" s="22">
        <v>219</v>
      </c>
      <c r="S229" s="22">
        <v>1.00281</v>
      </c>
      <c r="T229">
        <f t="shared" si="38"/>
        <v>17.541500000000003</v>
      </c>
      <c r="U229">
        <f t="shared" si="39"/>
        <v>17.590791615000004</v>
      </c>
      <c r="X229" s="9"/>
      <c r="Y229" s="22">
        <v>0.64727800000000002</v>
      </c>
      <c r="Z229" s="22">
        <v>33.372399999999999</v>
      </c>
      <c r="AA229" s="22">
        <v>-1.7916899999999999E-2</v>
      </c>
      <c r="AB229" s="22">
        <v>219</v>
      </c>
      <c r="AC229" s="22">
        <v>0.64663700000000002</v>
      </c>
      <c r="AD229">
        <f t="shared" si="40"/>
        <v>17.916899999999998</v>
      </c>
      <c r="AE229">
        <f t="shared" si="41"/>
        <v>11.597215198199999</v>
      </c>
      <c r="AF229" s="9"/>
      <c r="AG229" s="22">
        <v>1.00281</v>
      </c>
      <c r="AH229" s="22">
        <v>38.276000000000003</v>
      </c>
      <c r="AI229" s="22">
        <v>-1.7565899999999999E-2</v>
      </c>
      <c r="AJ229" s="22">
        <v>219</v>
      </c>
      <c r="AK229" s="22">
        <v>1.0024999999999999</v>
      </c>
      <c r="AL229">
        <f t="shared" si="42"/>
        <v>17.565899999999999</v>
      </c>
      <c r="AM229">
        <f t="shared" si="43"/>
        <v>17.615260179</v>
      </c>
      <c r="AP229" s="9"/>
      <c r="AQ229" s="22">
        <v>0.64727800000000002</v>
      </c>
      <c r="AR229" s="22">
        <v>43.1096</v>
      </c>
      <c r="AS229" s="22">
        <v>-1.7919899999999999E-2</v>
      </c>
      <c r="AT229" s="22">
        <v>219</v>
      </c>
      <c r="AU229" s="22">
        <v>0.64663700000000002</v>
      </c>
      <c r="AV229">
        <f t="shared" si="44"/>
        <v>17.919899999999998</v>
      </c>
      <c r="AW229">
        <f t="shared" si="45"/>
        <v>11.599157032199999</v>
      </c>
      <c r="AX229" s="9"/>
      <c r="AY229" s="22">
        <v>1.00281</v>
      </c>
      <c r="AZ229" s="22">
        <v>47.849200000000003</v>
      </c>
      <c r="BA229" s="22">
        <v>-1.7529300000000001E-2</v>
      </c>
      <c r="BB229" s="22">
        <v>219</v>
      </c>
      <c r="BC229" s="22">
        <v>1.0024999999999999</v>
      </c>
      <c r="BD229">
        <f t="shared" si="46"/>
        <v>17.529300000000003</v>
      </c>
      <c r="BE229">
        <f t="shared" si="47"/>
        <v>17.578557333000003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13.111000000000001</v>
      </c>
      <c r="I230" s="22">
        <v>-1.7880199999999999E-2</v>
      </c>
      <c r="J230" s="22">
        <v>220</v>
      </c>
      <c r="K230" s="22">
        <v>0.64181500000000002</v>
      </c>
      <c r="L230">
        <f t="shared" si="36"/>
        <v>17.880199999999999</v>
      </c>
      <c r="M230">
        <f t="shared" si="37"/>
        <v>11.483415408399999</v>
      </c>
      <c r="N230" s="9"/>
      <c r="O230" s="22">
        <v>1.0078400000000001</v>
      </c>
      <c r="P230" s="22">
        <v>25.998799999999999</v>
      </c>
      <c r="Q230" s="22">
        <v>-1.7532300000000001E-2</v>
      </c>
      <c r="R230" s="22">
        <v>220</v>
      </c>
      <c r="S230" s="22">
        <v>1.00739</v>
      </c>
      <c r="T230">
        <f t="shared" si="38"/>
        <v>17.532299999999999</v>
      </c>
      <c r="U230">
        <f t="shared" si="39"/>
        <v>17.669753232000001</v>
      </c>
      <c r="X230" s="9"/>
      <c r="Y230" s="22">
        <v>0.64224199999999998</v>
      </c>
      <c r="Z230" s="22">
        <v>33.382399999999997</v>
      </c>
      <c r="AA230" s="22">
        <v>-1.7919899999999999E-2</v>
      </c>
      <c r="AB230" s="22">
        <v>220</v>
      </c>
      <c r="AC230" s="22">
        <v>0.64163199999999998</v>
      </c>
      <c r="AD230">
        <f t="shared" si="40"/>
        <v>17.919899999999998</v>
      </c>
      <c r="AE230">
        <f t="shared" si="41"/>
        <v>11.508912415799999</v>
      </c>
      <c r="AF230" s="9"/>
      <c r="AG230" s="22">
        <v>1.0078400000000001</v>
      </c>
      <c r="AH230" s="22">
        <v>38.286000000000001</v>
      </c>
      <c r="AI230" s="22">
        <v>-1.7562899999999999E-2</v>
      </c>
      <c r="AJ230" s="22">
        <v>220</v>
      </c>
      <c r="AK230" s="22">
        <v>1.00647</v>
      </c>
      <c r="AL230">
        <f t="shared" si="42"/>
        <v>17.562899999999999</v>
      </c>
      <c r="AM230">
        <f t="shared" si="43"/>
        <v>17.700593136000002</v>
      </c>
      <c r="AP230" s="9"/>
      <c r="AQ230" s="22">
        <v>0.64224199999999998</v>
      </c>
      <c r="AR230" s="22">
        <v>43.119599999999998</v>
      </c>
      <c r="AS230" s="22">
        <v>-1.7923000000000001E-2</v>
      </c>
      <c r="AT230" s="22">
        <v>220</v>
      </c>
      <c r="AU230" s="22">
        <v>0.64154100000000003</v>
      </c>
      <c r="AV230">
        <f t="shared" si="44"/>
        <v>17.923000000000002</v>
      </c>
      <c r="AW230">
        <f t="shared" si="45"/>
        <v>11.510903366000001</v>
      </c>
      <c r="AX230" s="9"/>
      <c r="AY230" s="22">
        <v>1.0078400000000001</v>
      </c>
      <c r="AZ230" s="22">
        <v>47.859200000000001</v>
      </c>
      <c r="BA230" s="22">
        <v>-1.7526199999999999E-2</v>
      </c>
      <c r="BB230" s="22">
        <v>220</v>
      </c>
      <c r="BC230" s="22">
        <v>1.00769</v>
      </c>
      <c r="BD230">
        <f t="shared" si="46"/>
        <v>17.526199999999999</v>
      </c>
      <c r="BE230">
        <f t="shared" si="47"/>
        <v>17.663605408000002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13.1211</v>
      </c>
      <c r="I231" s="22">
        <v>-1.7883300000000001E-2</v>
      </c>
      <c r="J231" s="22">
        <v>221</v>
      </c>
      <c r="K231" s="22">
        <v>0.63629199999999997</v>
      </c>
      <c r="L231">
        <f t="shared" si="36"/>
        <v>17.883300000000002</v>
      </c>
      <c r="M231">
        <f t="shared" si="37"/>
        <v>11.395363943100001</v>
      </c>
      <c r="N231" s="9"/>
      <c r="O231" s="22">
        <v>1.01288</v>
      </c>
      <c r="P231" s="22">
        <v>26.008900000000001</v>
      </c>
      <c r="Q231" s="22">
        <v>-1.7529300000000001E-2</v>
      </c>
      <c r="R231" s="22">
        <v>221</v>
      </c>
      <c r="S231" s="22">
        <v>1.01135</v>
      </c>
      <c r="T231">
        <f t="shared" si="38"/>
        <v>17.529300000000003</v>
      </c>
      <c r="U231">
        <f t="shared" si="39"/>
        <v>17.755077384000003</v>
      </c>
      <c r="X231" s="9"/>
      <c r="Y231" s="22">
        <v>0.63720699999999997</v>
      </c>
      <c r="Z231" s="22">
        <v>33.392499999999998</v>
      </c>
      <c r="AA231" s="22">
        <v>-1.7926000000000001E-2</v>
      </c>
      <c r="AB231" s="22">
        <v>221</v>
      </c>
      <c r="AC231" s="22">
        <v>0.63662700000000005</v>
      </c>
      <c r="AD231">
        <f t="shared" si="40"/>
        <v>17.926000000000002</v>
      </c>
      <c r="AE231">
        <f t="shared" si="41"/>
        <v>11.422572682</v>
      </c>
      <c r="AF231" s="9"/>
      <c r="AG231" s="22">
        <v>1.01288</v>
      </c>
      <c r="AH231" s="22">
        <v>38.296100000000003</v>
      </c>
      <c r="AI231" s="22">
        <v>-1.7556800000000001E-2</v>
      </c>
      <c r="AJ231" s="22">
        <v>221</v>
      </c>
      <c r="AK231" s="22">
        <v>1.01135</v>
      </c>
      <c r="AL231">
        <f t="shared" si="42"/>
        <v>17.556800000000003</v>
      </c>
      <c r="AM231">
        <f t="shared" si="43"/>
        <v>17.782931584000004</v>
      </c>
      <c r="AP231" s="9"/>
      <c r="AQ231" s="22">
        <v>0.63720699999999997</v>
      </c>
      <c r="AR231" s="22">
        <v>43.1297</v>
      </c>
      <c r="AS231" s="22">
        <v>-1.7926000000000001E-2</v>
      </c>
      <c r="AT231" s="22">
        <v>221</v>
      </c>
      <c r="AU231" s="22">
        <v>0.63659699999999997</v>
      </c>
      <c r="AV231">
        <f t="shared" si="44"/>
        <v>17.926000000000002</v>
      </c>
      <c r="AW231">
        <f t="shared" si="45"/>
        <v>11.422572682</v>
      </c>
      <c r="AX231" s="9"/>
      <c r="AY231" s="22">
        <v>1.01288</v>
      </c>
      <c r="AZ231" s="22">
        <v>47.869300000000003</v>
      </c>
      <c r="BA231" s="22">
        <v>-1.75201E-2</v>
      </c>
      <c r="BB231" s="22">
        <v>221</v>
      </c>
      <c r="BC231" s="22">
        <v>1.01196</v>
      </c>
      <c r="BD231">
        <f t="shared" si="46"/>
        <v>17.520099999999999</v>
      </c>
      <c r="BE231">
        <f t="shared" si="47"/>
        <v>17.745758888000001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13.1312</v>
      </c>
      <c r="I232" s="22">
        <v>-1.78894E-2</v>
      </c>
      <c r="J232" s="22">
        <v>222</v>
      </c>
      <c r="K232" s="22">
        <v>0.63143899999999997</v>
      </c>
      <c r="L232">
        <f t="shared" si="36"/>
        <v>17.889399999999998</v>
      </c>
      <c r="M232">
        <f t="shared" si="37"/>
        <v>11.309177776799999</v>
      </c>
      <c r="N232" s="9"/>
      <c r="O232" s="22">
        <v>1.0179100000000001</v>
      </c>
      <c r="P232" s="22">
        <v>26.018899999999999</v>
      </c>
      <c r="Q232" s="22">
        <v>-1.7523199999999999E-2</v>
      </c>
      <c r="R232" s="22">
        <v>222</v>
      </c>
      <c r="S232" s="22">
        <v>1.01654</v>
      </c>
      <c r="T232">
        <f t="shared" si="38"/>
        <v>17.523199999999999</v>
      </c>
      <c r="U232">
        <f t="shared" si="39"/>
        <v>17.837040512000002</v>
      </c>
      <c r="X232" s="9"/>
      <c r="Y232" s="22">
        <v>0.63217199999999996</v>
      </c>
      <c r="Z232" s="22">
        <v>33.4026</v>
      </c>
      <c r="AA232" s="22">
        <v>-1.7935199999999998E-2</v>
      </c>
      <c r="AB232" s="22">
        <v>222</v>
      </c>
      <c r="AC232" s="22">
        <v>0.63125600000000004</v>
      </c>
      <c r="AD232">
        <f t="shared" si="40"/>
        <v>17.935199999999998</v>
      </c>
      <c r="AE232">
        <f t="shared" si="41"/>
        <v>11.338131254399999</v>
      </c>
      <c r="AF232" s="9"/>
      <c r="AG232" s="22">
        <v>1.0179100000000001</v>
      </c>
      <c r="AH232" s="22">
        <v>38.306199999999997</v>
      </c>
      <c r="AI232" s="22">
        <v>-1.7550699999999999E-2</v>
      </c>
      <c r="AJ232" s="22">
        <v>222</v>
      </c>
      <c r="AK232" s="22">
        <v>1.01654</v>
      </c>
      <c r="AL232">
        <f t="shared" si="42"/>
        <v>17.550699999999999</v>
      </c>
      <c r="AM232">
        <f t="shared" si="43"/>
        <v>17.865033037</v>
      </c>
      <c r="AP232" s="9"/>
      <c r="AQ232" s="22">
        <v>0.63217199999999996</v>
      </c>
      <c r="AR232" s="22">
        <v>43.139800000000001</v>
      </c>
      <c r="AS232" s="22">
        <v>-1.7932099999999999E-2</v>
      </c>
      <c r="AT232" s="22">
        <v>222</v>
      </c>
      <c r="AU232" s="22">
        <v>0.63186600000000004</v>
      </c>
      <c r="AV232">
        <f t="shared" si="44"/>
        <v>17.932099999999998</v>
      </c>
      <c r="AW232">
        <f t="shared" si="45"/>
        <v>11.336171521199999</v>
      </c>
      <c r="AX232" s="9"/>
      <c r="AY232" s="22">
        <v>1.0179100000000001</v>
      </c>
      <c r="AZ232" s="22">
        <v>47.879399999999997</v>
      </c>
      <c r="BA232" s="22">
        <v>-1.7517100000000001E-2</v>
      </c>
      <c r="BB232" s="22">
        <v>222</v>
      </c>
      <c r="BC232" s="22">
        <v>1.01685</v>
      </c>
      <c r="BD232">
        <f t="shared" si="46"/>
        <v>17.517099999999999</v>
      </c>
      <c r="BE232">
        <f t="shared" si="47"/>
        <v>17.830831261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13.141299999999999</v>
      </c>
      <c r="I233" s="22">
        <v>-1.7895500000000002E-2</v>
      </c>
      <c r="J233" s="22">
        <v>223</v>
      </c>
      <c r="K233" s="22">
        <v>0.62661699999999998</v>
      </c>
      <c r="L233">
        <f t="shared" si="36"/>
        <v>17.895500000000002</v>
      </c>
      <c r="M233">
        <f t="shared" si="37"/>
        <v>11.222912288000002</v>
      </c>
      <c r="N233" s="9"/>
      <c r="O233" s="22">
        <v>1.02295</v>
      </c>
      <c r="P233" s="22">
        <v>26.029</v>
      </c>
      <c r="Q233" s="22">
        <v>-1.7517100000000001E-2</v>
      </c>
      <c r="R233" s="22">
        <v>223</v>
      </c>
      <c r="S233" s="22">
        <v>1.02234</v>
      </c>
      <c r="T233">
        <f t="shared" si="38"/>
        <v>17.517099999999999</v>
      </c>
      <c r="U233">
        <f t="shared" si="39"/>
        <v>17.919117445000001</v>
      </c>
      <c r="X233" s="9"/>
      <c r="Y233" s="22">
        <v>0.62713600000000003</v>
      </c>
      <c r="Z233" s="22">
        <v>33.412599999999998</v>
      </c>
      <c r="AA233" s="22">
        <v>-1.79413E-2</v>
      </c>
      <c r="AB233" s="22">
        <v>223</v>
      </c>
      <c r="AC233" s="22">
        <v>0.626251</v>
      </c>
      <c r="AD233">
        <f t="shared" si="40"/>
        <v>17.941300000000002</v>
      </c>
      <c r="AE233">
        <f t="shared" si="41"/>
        <v>11.251635116800001</v>
      </c>
      <c r="AF233" s="9"/>
      <c r="AG233" s="22">
        <v>1.02295</v>
      </c>
      <c r="AH233" s="22">
        <v>38.316299999999998</v>
      </c>
      <c r="AI233" s="22">
        <v>-1.7538499999999999E-2</v>
      </c>
      <c r="AJ233" s="22">
        <v>223</v>
      </c>
      <c r="AK233" s="22">
        <v>1.02264</v>
      </c>
      <c r="AL233">
        <f t="shared" si="42"/>
        <v>17.538499999999999</v>
      </c>
      <c r="AM233">
        <f t="shared" si="43"/>
        <v>17.941008574999998</v>
      </c>
      <c r="AP233" s="9"/>
      <c r="AQ233" s="22">
        <v>0.62713600000000003</v>
      </c>
      <c r="AR233" s="22">
        <v>43.149799999999999</v>
      </c>
      <c r="AS233" s="22">
        <v>-1.7938200000000001E-2</v>
      </c>
      <c r="AT233" s="22">
        <v>223</v>
      </c>
      <c r="AU233" s="22">
        <v>0.62658700000000001</v>
      </c>
      <c r="AV233">
        <f t="shared" si="44"/>
        <v>17.938200000000002</v>
      </c>
      <c r="AW233">
        <f t="shared" si="45"/>
        <v>11.249690995200002</v>
      </c>
      <c r="AX233" s="9"/>
      <c r="AY233" s="22">
        <v>1.02295</v>
      </c>
      <c r="AZ233" s="22">
        <v>47.889499999999998</v>
      </c>
      <c r="BA233" s="22">
        <v>-1.75049E-2</v>
      </c>
      <c r="BB233" s="22">
        <v>223</v>
      </c>
      <c r="BC233" s="22">
        <v>1.02173</v>
      </c>
      <c r="BD233">
        <f t="shared" si="46"/>
        <v>17.504899999999999</v>
      </c>
      <c r="BE233">
        <f t="shared" si="47"/>
        <v>17.906637454999998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13.151300000000001</v>
      </c>
      <c r="I234" s="22">
        <v>-1.7898600000000001E-2</v>
      </c>
      <c r="J234" s="22">
        <v>224</v>
      </c>
      <c r="K234" s="22">
        <v>0.62103299999999995</v>
      </c>
      <c r="L234">
        <f t="shared" si="36"/>
        <v>17.898600000000002</v>
      </c>
      <c r="M234">
        <f t="shared" si="37"/>
        <v>11.134736958600001</v>
      </c>
      <c r="N234" s="9"/>
      <c r="O234" s="22">
        <v>1.0279799999999999</v>
      </c>
      <c r="P234" s="22">
        <v>26.039100000000001</v>
      </c>
      <c r="Q234" s="22">
        <v>-1.7510999999999999E-2</v>
      </c>
      <c r="R234" s="22">
        <v>224</v>
      </c>
      <c r="S234" s="22">
        <v>1.0269200000000001</v>
      </c>
      <c r="T234">
        <f t="shared" si="38"/>
        <v>17.510999999999999</v>
      </c>
      <c r="U234">
        <f t="shared" si="39"/>
        <v>18.000957779999997</v>
      </c>
      <c r="X234" s="9"/>
      <c r="Y234" s="22">
        <v>0.62210100000000002</v>
      </c>
      <c r="Z234" s="22">
        <v>33.422699999999999</v>
      </c>
      <c r="AA234" s="22">
        <v>-1.79443E-2</v>
      </c>
      <c r="AB234" s="22">
        <v>224</v>
      </c>
      <c r="AC234" s="22">
        <v>0.62148999999999999</v>
      </c>
      <c r="AD234">
        <f t="shared" si="40"/>
        <v>17.944299999999998</v>
      </c>
      <c r="AE234">
        <f t="shared" si="41"/>
        <v>11.163166974299999</v>
      </c>
      <c r="AF234" s="9"/>
      <c r="AG234" s="22">
        <v>1.0279799999999999</v>
      </c>
      <c r="AH234" s="22">
        <v>38.326300000000003</v>
      </c>
      <c r="AI234" s="22">
        <v>-1.7532300000000001E-2</v>
      </c>
      <c r="AJ234" s="22">
        <v>224</v>
      </c>
      <c r="AK234" s="22">
        <v>1.02661</v>
      </c>
      <c r="AL234">
        <f t="shared" si="42"/>
        <v>17.532299999999999</v>
      </c>
      <c r="AM234">
        <f t="shared" si="43"/>
        <v>18.022853753999996</v>
      </c>
      <c r="AP234" s="9"/>
      <c r="AQ234" s="22">
        <v>0.62210100000000002</v>
      </c>
      <c r="AR234" s="22">
        <v>43.1599</v>
      </c>
      <c r="AS234" s="22">
        <v>-1.79413E-2</v>
      </c>
      <c r="AT234" s="22">
        <v>224</v>
      </c>
      <c r="AU234" s="22">
        <v>0.62130700000000005</v>
      </c>
      <c r="AV234">
        <f t="shared" si="44"/>
        <v>17.941300000000002</v>
      </c>
      <c r="AW234">
        <f t="shared" si="45"/>
        <v>11.161300671300001</v>
      </c>
      <c r="AX234" s="9"/>
      <c r="AY234" s="22">
        <v>1.0279799999999999</v>
      </c>
      <c r="AZ234" s="22">
        <v>47.899500000000003</v>
      </c>
      <c r="BA234" s="22">
        <v>-1.7498799999999998E-2</v>
      </c>
      <c r="BB234" s="22">
        <v>224</v>
      </c>
      <c r="BC234" s="22">
        <v>1.02722</v>
      </c>
      <c r="BD234">
        <f t="shared" si="46"/>
        <v>17.498799999999999</v>
      </c>
      <c r="BE234">
        <f t="shared" si="47"/>
        <v>17.988416423999997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13.1614</v>
      </c>
      <c r="I235" s="22">
        <v>-1.7904699999999999E-2</v>
      </c>
      <c r="J235" s="22">
        <v>225</v>
      </c>
      <c r="K235" s="22">
        <v>0.61611899999999997</v>
      </c>
      <c r="L235">
        <f t="shared" si="36"/>
        <v>17.904699999999998</v>
      </c>
      <c r="M235">
        <f t="shared" si="37"/>
        <v>11.048363705499998</v>
      </c>
      <c r="N235" s="9"/>
      <c r="O235" s="22">
        <v>1.03302</v>
      </c>
      <c r="P235" s="22">
        <v>26.049199999999999</v>
      </c>
      <c r="Q235" s="22">
        <v>-1.75079E-2</v>
      </c>
      <c r="R235" s="22">
        <v>225</v>
      </c>
      <c r="S235" s="22">
        <v>1.0318000000000001</v>
      </c>
      <c r="T235">
        <f t="shared" si="38"/>
        <v>17.507899999999999</v>
      </c>
      <c r="U235">
        <f t="shared" si="39"/>
        <v>18.086010858000002</v>
      </c>
      <c r="X235" s="9"/>
      <c r="Y235" s="22">
        <v>0.61706499999999997</v>
      </c>
      <c r="Z235" s="22">
        <v>33.4328</v>
      </c>
      <c r="AA235" s="22">
        <v>-1.7950399999999998E-2</v>
      </c>
      <c r="AB235" s="22">
        <v>225</v>
      </c>
      <c r="AC235" s="22">
        <v>0.61599700000000002</v>
      </c>
      <c r="AD235">
        <f t="shared" si="40"/>
        <v>17.950399999999998</v>
      </c>
      <c r="AE235">
        <f t="shared" si="41"/>
        <v>11.076563575999998</v>
      </c>
      <c r="AF235" s="9"/>
      <c r="AG235" s="22">
        <v>1.03302</v>
      </c>
      <c r="AH235" s="22">
        <v>38.336399999999998</v>
      </c>
      <c r="AI235" s="22">
        <v>-1.7529300000000001E-2</v>
      </c>
      <c r="AJ235" s="22">
        <v>225</v>
      </c>
      <c r="AK235" s="22">
        <v>1.0305800000000001</v>
      </c>
      <c r="AL235">
        <f t="shared" si="42"/>
        <v>17.529300000000003</v>
      </c>
      <c r="AM235">
        <f t="shared" si="43"/>
        <v>18.108117486000005</v>
      </c>
      <c r="AP235" s="9"/>
      <c r="AQ235" s="22">
        <v>0.61706499999999997</v>
      </c>
      <c r="AR235" s="22">
        <v>43.17</v>
      </c>
      <c r="AS235" s="22">
        <v>-1.7947399999999999E-2</v>
      </c>
      <c r="AT235" s="22">
        <v>225</v>
      </c>
      <c r="AU235" s="22">
        <v>0.61605799999999999</v>
      </c>
      <c r="AV235">
        <f t="shared" si="44"/>
        <v>17.947399999999998</v>
      </c>
      <c r="AW235">
        <f t="shared" si="45"/>
        <v>11.074712380999998</v>
      </c>
      <c r="AX235" s="9"/>
      <c r="AY235" s="22">
        <v>1.03302</v>
      </c>
      <c r="AZ235" s="22">
        <v>47.909599999999998</v>
      </c>
      <c r="BA235" s="22">
        <v>-1.7495699999999999E-2</v>
      </c>
      <c r="BB235" s="22">
        <v>225</v>
      </c>
      <c r="BC235" s="22">
        <v>1.03241</v>
      </c>
      <c r="BD235">
        <f t="shared" si="46"/>
        <v>17.495699999999999</v>
      </c>
      <c r="BE235">
        <f t="shared" si="47"/>
        <v>18.073408014000002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13.1715</v>
      </c>
      <c r="I236" s="22">
        <v>-1.7910800000000001E-2</v>
      </c>
      <c r="J236" s="22">
        <v>226</v>
      </c>
      <c r="K236" s="22">
        <v>0.61132799999999998</v>
      </c>
      <c r="L236">
        <f t="shared" si="36"/>
        <v>17.910800000000002</v>
      </c>
      <c r="M236">
        <f t="shared" si="37"/>
        <v>10.961946924000001</v>
      </c>
      <c r="N236" s="9"/>
      <c r="O236" s="22">
        <v>1.03806</v>
      </c>
      <c r="P236" s="22">
        <v>26.059200000000001</v>
      </c>
      <c r="Q236" s="22">
        <v>-1.75049E-2</v>
      </c>
      <c r="R236" s="22">
        <v>226</v>
      </c>
      <c r="S236" s="22">
        <v>1.0376000000000001</v>
      </c>
      <c r="T236">
        <f t="shared" si="38"/>
        <v>17.504899999999999</v>
      </c>
      <c r="U236">
        <f t="shared" si="39"/>
        <v>18.171136493999999</v>
      </c>
      <c r="X236" s="9"/>
      <c r="Y236" s="22">
        <v>0.61202999999999996</v>
      </c>
      <c r="Z236" s="22">
        <v>33.442900000000002</v>
      </c>
      <c r="AA236" s="22">
        <v>-1.7953500000000001E-2</v>
      </c>
      <c r="AB236" s="22">
        <v>226</v>
      </c>
      <c r="AC236" s="22">
        <v>0.61132799999999998</v>
      </c>
      <c r="AD236">
        <f t="shared" si="40"/>
        <v>17.953500000000002</v>
      </c>
      <c r="AE236">
        <f t="shared" si="41"/>
        <v>10.988080605</v>
      </c>
      <c r="AF236" s="9"/>
      <c r="AG236" s="22">
        <v>1.03806</v>
      </c>
      <c r="AH236" s="22">
        <v>38.346499999999999</v>
      </c>
      <c r="AI236" s="22">
        <v>-1.75201E-2</v>
      </c>
      <c r="AJ236" s="22">
        <v>226</v>
      </c>
      <c r="AK236" s="22">
        <v>1.0369900000000001</v>
      </c>
      <c r="AL236">
        <f t="shared" si="42"/>
        <v>17.520099999999999</v>
      </c>
      <c r="AM236">
        <f t="shared" si="43"/>
        <v>18.186915006</v>
      </c>
      <c r="AP236" s="9"/>
      <c r="AQ236" s="22">
        <v>0.61202999999999996</v>
      </c>
      <c r="AR236" s="22">
        <v>43.180100000000003</v>
      </c>
      <c r="AS236" s="22">
        <v>-1.7953500000000001E-2</v>
      </c>
      <c r="AT236" s="22">
        <v>226</v>
      </c>
      <c r="AU236" s="22">
        <v>0.61141999999999996</v>
      </c>
      <c r="AV236">
        <f t="shared" si="44"/>
        <v>17.953500000000002</v>
      </c>
      <c r="AW236">
        <f t="shared" si="45"/>
        <v>10.988080605</v>
      </c>
      <c r="AX236" s="9"/>
      <c r="AY236" s="22">
        <v>1.03806</v>
      </c>
      <c r="AZ236" s="22">
        <v>47.919699999999999</v>
      </c>
      <c r="BA236" s="22">
        <v>-1.74927E-2</v>
      </c>
      <c r="BB236" s="22">
        <v>226</v>
      </c>
      <c r="BC236" s="22">
        <v>1.0369900000000001</v>
      </c>
      <c r="BD236">
        <f t="shared" si="46"/>
        <v>17.492699999999999</v>
      </c>
      <c r="BE236">
        <f t="shared" si="47"/>
        <v>18.158472161999999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13.1815</v>
      </c>
      <c r="I237" s="22">
        <v>-1.7913800000000001E-2</v>
      </c>
      <c r="J237" s="22">
        <v>227</v>
      </c>
      <c r="K237" s="22">
        <v>0.60635399999999995</v>
      </c>
      <c r="L237">
        <f t="shared" si="36"/>
        <v>17.913800000000002</v>
      </c>
      <c r="M237">
        <f t="shared" si="37"/>
        <v>10.873587031</v>
      </c>
      <c r="N237" s="9"/>
      <c r="O237" s="22">
        <v>1.0430900000000001</v>
      </c>
      <c r="P237" s="22">
        <v>26.069299999999998</v>
      </c>
      <c r="Q237" s="22">
        <v>-1.7498799999999998E-2</v>
      </c>
      <c r="R237" s="22">
        <v>227</v>
      </c>
      <c r="S237" s="22">
        <v>1.04156</v>
      </c>
      <c r="T237">
        <f t="shared" si="38"/>
        <v>17.498799999999999</v>
      </c>
      <c r="U237">
        <f t="shared" si="39"/>
        <v>18.252823292000002</v>
      </c>
      <c r="X237" s="9"/>
      <c r="Y237" s="22">
        <v>0.60699499999999995</v>
      </c>
      <c r="Z237" s="22">
        <v>33.4529</v>
      </c>
      <c r="AA237" s="22">
        <v>-1.7959599999999999E-2</v>
      </c>
      <c r="AB237" s="22">
        <v>227</v>
      </c>
      <c r="AC237" s="22">
        <v>0.60635399999999995</v>
      </c>
      <c r="AD237">
        <f t="shared" si="40"/>
        <v>17.959599999999998</v>
      </c>
      <c r="AE237">
        <f t="shared" si="41"/>
        <v>10.901387401999997</v>
      </c>
      <c r="AF237" s="9"/>
      <c r="AG237" s="22">
        <v>1.0430900000000001</v>
      </c>
      <c r="AH237" s="22">
        <v>38.356499999999997</v>
      </c>
      <c r="AI237" s="22">
        <v>-1.7517100000000001E-2</v>
      </c>
      <c r="AJ237" s="22">
        <v>227</v>
      </c>
      <c r="AK237" s="22">
        <v>1.04156</v>
      </c>
      <c r="AL237">
        <f t="shared" si="42"/>
        <v>17.517099999999999</v>
      </c>
      <c r="AM237">
        <f t="shared" si="43"/>
        <v>18.271911839000001</v>
      </c>
      <c r="AP237" s="9"/>
      <c r="AQ237" s="22">
        <v>0.60699499999999995</v>
      </c>
      <c r="AR237" s="22">
        <v>43.190100000000001</v>
      </c>
      <c r="AS237" s="22">
        <v>-1.7959599999999999E-2</v>
      </c>
      <c r="AT237" s="22">
        <v>227</v>
      </c>
      <c r="AU237" s="22">
        <v>0.60632299999999995</v>
      </c>
      <c r="AV237">
        <f t="shared" si="44"/>
        <v>17.959599999999998</v>
      </c>
      <c r="AW237">
        <f t="shared" si="45"/>
        <v>10.901387401999997</v>
      </c>
      <c r="AX237" s="9"/>
      <c r="AY237" s="22">
        <v>1.0430900000000001</v>
      </c>
      <c r="AZ237" s="22">
        <v>47.929699999999997</v>
      </c>
      <c r="BA237" s="22">
        <v>-1.7486600000000001E-2</v>
      </c>
      <c r="BB237" s="22">
        <v>227</v>
      </c>
      <c r="BC237" s="22">
        <v>1.0418700000000001</v>
      </c>
      <c r="BD237">
        <f t="shared" si="46"/>
        <v>17.486600000000003</v>
      </c>
      <c r="BE237">
        <f t="shared" si="47"/>
        <v>18.240097594000005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13.191599999999999</v>
      </c>
      <c r="I238" s="22">
        <v>-1.7919899999999999E-2</v>
      </c>
      <c r="J238" s="22">
        <v>228</v>
      </c>
      <c r="K238" s="22">
        <v>0.60086099999999998</v>
      </c>
      <c r="L238">
        <f t="shared" si="36"/>
        <v>17.919899999999998</v>
      </c>
      <c r="M238">
        <f t="shared" si="37"/>
        <v>10.787045084099999</v>
      </c>
      <c r="N238" s="9"/>
      <c r="O238" s="22">
        <v>1.04813</v>
      </c>
      <c r="P238" s="22">
        <v>26.0794</v>
      </c>
      <c r="Q238" s="22">
        <v>-1.7489600000000001E-2</v>
      </c>
      <c r="R238" s="22">
        <v>228</v>
      </c>
      <c r="S238" s="22">
        <v>1.0467500000000001</v>
      </c>
      <c r="T238">
        <f t="shared" si="38"/>
        <v>17.489599999999999</v>
      </c>
      <c r="U238">
        <f t="shared" si="39"/>
        <v>18.331374447999998</v>
      </c>
      <c r="X238" s="9"/>
      <c r="Y238" s="22">
        <v>0.60195900000000002</v>
      </c>
      <c r="Z238" s="22">
        <v>33.463000000000001</v>
      </c>
      <c r="AA238" s="22">
        <v>-1.7965700000000001E-2</v>
      </c>
      <c r="AB238" s="22">
        <v>228</v>
      </c>
      <c r="AC238" s="22">
        <v>0.60156299999999996</v>
      </c>
      <c r="AD238">
        <f t="shared" si="40"/>
        <v>17.965700000000002</v>
      </c>
      <c r="AE238">
        <f t="shared" si="41"/>
        <v>10.814614806300002</v>
      </c>
      <c r="AF238" s="9"/>
      <c r="AG238" s="22">
        <v>1.04813</v>
      </c>
      <c r="AH238" s="22">
        <v>38.366599999999998</v>
      </c>
      <c r="AI238" s="22">
        <v>-1.7510999999999999E-2</v>
      </c>
      <c r="AJ238" s="22">
        <v>228</v>
      </c>
      <c r="AK238" s="22">
        <v>1.0488900000000001</v>
      </c>
      <c r="AL238">
        <f t="shared" si="42"/>
        <v>17.510999999999999</v>
      </c>
      <c r="AM238">
        <f t="shared" si="43"/>
        <v>18.35380443</v>
      </c>
      <c r="AP238" s="9"/>
      <c r="AQ238" s="22">
        <v>0.60195900000000002</v>
      </c>
      <c r="AR238" s="22">
        <v>43.200200000000002</v>
      </c>
      <c r="AS238" s="22">
        <v>-1.7962599999999999E-2</v>
      </c>
      <c r="AT238" s="22">
        <v>228</v>
      </c>
      <c r="AU238" s="22">
        <v>0.60141</v>
      </c>
      <c r="AV238">
        <f t="shared" si="44"/>
        <v>17.962599999999998</v>
      </c>
      <c r="AW238">
        <f t="shared" si="45"/>
        <v>10.812748733399999</v>
      </c>
      <c r="AX238" s="9"/>
      <c r="AY238" s="22">
        <v>1.04813</v>
      </c>
      <c r="AZ238" s="22">
        <v>47.939799999999998</v>
      </c>
      <c r="BA238" s="22">
        <v>-1.74805E-2</v>
      </c>
      <c r="BB238" s="22">
        <v>228</v>
      </c>
      <c r="BC238" s="22">
        <v>1.0470600000000001</v>
      </c>
      <c r="BD238">
        <f t="shared" si="46"/>
        <v>17.480499999999999</v>
      </c>
      <c r="BE238">
        <f t="shared" si="47"/>
        <v>18.321836465000001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13.201700000000001</v>
      </c>
      <c r="I239" s="22">
        <v>-1.7926000000000001E-2</v>
      </c>
      <c r="J239" s="22">
        <v>229</v>
      </c>
      <c r="K239" s="22">
        <v>0.59591700000000003</v>
      </c>
      <c r="L239">
        <f t="shared" si="36"/>
        <v>17.926000000000002</v>
      </c>
      <c r="M239">
        <f t="shared" si="37"/>
        <v>10.700459624000001</v>
      </c>
      <c r="N239" s="9"/>
      <c r="O239" s="22">
        <v>1.0531600000000001</v>
      </c>
      <c r="P239" s="22">
        <v>26.089400000000001</v>
      </c>
      <c r="Q239" s="22">
        <v>-1.7483499999999999E-2</v>
      </c>
      <c r="R239" s="22">
        <v>229</v>
      </c>
      <c r="S239" s="22">
        <v>1.0522499999999999</v>
      </c>
      <c r="T239">
        <f t="shared" si="38"/>
        <v>17.483499999999999</v>
      </c>
      <c r="U239">
        <f t="shared" si="39"/>
        <v>18.412922860000002</v>
      </c>
      <c r="X239" s="9"/>
      <c r="Y239" s="22">
        <v>0.59692400000000001</v>
      </c>
      <c r="Z239" s="22">
        <v>33.473100000000002</v>
      </c>
      <c r="AA239" s="22">
        <v>-1.79688E-2</v>
      </c>
      <c r="AB239" s="22">
        <v>229</v>
      </c>
      <c r="AC239" s="22">
        <v>0.59619100000000003</v>
      </c>
      <c r="AD239">
        <f t="shared" si="40"/>
        <v>17.968800000000002</v>
      </c>
      <c r="AE239">
        <f t="shared" si="41"/>
        <v>10.726007971200001</v>
      </c>
      <c r="AF239" s="9"/>
      <c r="AG239" s="22">
        <v>1.0531600000000001</v>
      </c>
      <c r="AH239" s="22">
        <v>38.3767</v>
      </c>
      <c r="AI239" s="22">
        <v>-1.75049E-2</v>
      </c>
      <c r="AJ239" s="22">
        <v>229</v>
      </c>
      <c r="AK239" s="22">
        <v>1.0528599999999999</v>
      </c>
      <c r="AL239">
        <f t="shared" si="42"/>
        <v>17.504899999999999</v>
      </c>
      <c r="AM239">
        <f t="shared" si="43"/>
        <v>18.435460484</v>
      </c>
      <c r="AP239" s="9"/>
      <c r="AQ239" s="22">
        <v>0.59692400000000001</v>
      </c>
      <c r="AR239" s="22">
        <v>43.210299999999997</v>
      </c>
      <c r="AS239" s="22">
        <v>-1.79688E-2</v>
      </c>
      <c r="AT239" s="22">
        <v>229</v>
      </c>
      <c r="AU239" s="22">
        <v>0.59591700000000003</v>
      </c>
      <c r="AV239">
        <f t="shared" si="44"/>
        <v>17.968800000000002</v>
      </c>
      <c r="AW239">
        <f t="shared" si="45"/>
        <v>10.726007971200001</v>
      </c>
      <c r="AX239" s="9"/>
      <c r="AY239" s="22">
        <v>1.0531600000000001</v>
      </c>
      <c r="AZ239" s="22">
        <v>47.9499</v>
      </c>
      <c r="BA239" s="22">
        <v>-1.7474400000000001E-2</v>
      </c>
      <c r="BB239" s="22">
        <v>229</v>
      </c>
      <c r="BC239" s="22">
        <v>1.0516399999999999</v>
      </c>
      <c r="BD239">
        <f t="shared" si="46"/>
        <v>17.474400000000003</v>
      </c>
      <c r="BE239">
        <f t="shared" si="47"/>
        <v>18.403339104000004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13.2118</v>
      </c>
      <c r="I240" s="22">
        <v>-1.79291E-2</v>
      </c>
      <c r="J240" s="22">
        <v>230</v>
      </c>
      <c r="K240" s="22">
        <v>0.59100299999999995</v>
      </c>
      <c r="L240">
        <f t="shared" si="36"/>
        <v>17.929099999999998</v>
      </c>
      <c r="M240">
        <f t="shared" si="37"/>
        <v>10.612019140799999</v>
      </c>
      <c r="N240" s="9"/>
      <c r="O240" s="22">
        <v>1.0582</v>
      </c>
      <c r="P240" s="22">
        <v>26.099499999999999</v>
      </c>
      <c r="Q240" s="22">
        <v>-1.7477400000000001E-2</v>
      </c>
      <c r="R240" s="22">
        <v>230</v>
      </c>
      <c r="S240" s="22">
        <v>1.0574300000000001</v>
      </c>
      <c r="T240">
        <f t="shared" si="38"/>
        <v>17.477399999999999</v>
      </c>
      <c r="U240">
        <f t="shared" si="39"/>
        <v>18.494584679999999</v>
      </c>
      <c r="X240" s="9"/>
      <c r="Y240" s="22">
        <v>0.59188799999999997</v>
      </c>
      <c r="Z240" s="22">
        <v>33.4831</v>
      </c>
      <c r="AA240" s="22">
        <v>-1.7974899999999999E-2</v>
      </c>
      <c r="AB240" s="22">
        <v>230</v>
      </c>
      <c r="AC240" s="22">
        <v>0.59115600000000001</v>
      </c>
      <c r="AD240">
        <f t="shared" si="40"/>
        <v>17.974899999999998</v>
      </c>
      <c r="AE240">
        <f t="shared" si="41"/>
        <v>10.639127611199998</v>
      </c>
      <c r="AF240" s="9"/>
      <c r="AG240" s="22">
        <v>1.0582</v>
      </c>
      <c r="AH240" s="22">
        <v>38.386800000000001</v>
      </c>
      <c r="AI240" s="22">
        <v>-1.7498799999999998E-2</v>
      </c>
      <c r="AJ240" s="22">
        <v>230</v>
      </c>
      <c r="AK240" s="22">
        <v>1.0571299999999999</v>
      </c>
      <c r="AL240">
        <f t="shared" si="42"/>
        <v>17.498799999999999</v>
      </c>
      <c r="AM240">
        <f t="shared" si="43"/>
        <v>18.51723016</v>
      </c>
      <c r="AP240" s="9"/>
      <c r="AQ240" s="22">
        <v>0.59188799999999997</v>
      </c>
      <c r="AR240" s="22">
        <v>43.220300000000002</v>
      </c>
      <c r="AS240" s="22">
        <v>-1.7974899999999999E-2</v>
      </c>
      <c r="AT240" s="22">
        <v>230</v>
      </c>
      <c r="AU240" s="22">
        <v>0.59158299999999997</v>
      </c>
      <c r="AV240">
        <f t="shared" si="44"/>
        <v>17.974899999999998</v>
      </c>
      <c r="AW240">
        <f t="shared" si="45"/>
        <v>10.639127611199998</v>
      </c>
      <c r="AX240" s="9"/>
      <c r="AY240" s="22">
        <v>1.0582</v>
      </c>
      <c r="AZ240" s="22">
        <v>47.96</v>
      </c>
      <c r="BA240" s="22">
        <v>-1.7474400000000001E-2</v>
      </c>
      <c r="BB240" s="22">
        <v>230</v>
      </c>
      <c r="BC240" s="22">
        <v>1.0574300000000001</v>
      </c>
      <c r="BD240">
        <f t="shared" si="46"/>
        <v>17.474400000000003</v>
      </c>
      <c r="BE240">
        <f t="shared" si="47"/>
        <v>18.491410080000005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13.2218</v>
      </c>
      <c r="I241" s="22">
        <v>-1.7932099999999999E-2</v>
      </c>
      <c r="J241" s="22">
        <v>231</v>
      </c>
      <c r="K241" s="22">
        <v>0.58355699999999999</v>
      </c>
      <c r="L241">
        <f t="shared" si="36"/>
        <v>17.932099999999998</v>
      </c>
      <c r="M241">
        <f t="shared" si="37"/>
        <v>10.523506681299999</v>
      </c>
      <c r="N241" s="9"/>
      <c r="O241" s="22">
        <v>1.0632299999999999</v>
      </c>
      <c r="P241" s="22">
        <v>26.1096</v>
      </c>
      <c r="Q241" s="22">
        <v>-1.7471299999999999E-2</v>
      </c>
      <c r="R241" s="22">
        <v>231</v>
      </c>
      <c r="S241" s="22">
        <v>1.0620099999999999</v>
      </c>
      <c r="T241">
        <f t="shared" si="38"/>
        <v>17.471299999999999</v>
      </c>
      <c r="U241">
        <f t="shared" si="39"/>
        <v>18.576010298999996</v>
      </c>
      <c r="X241" s="9"/>
      <c r="Y241" s="22">
        <v>0.58685299999999996</v>
      </c>
      <c r="Z241" s="22">
        <v>33.493200000000002</v>
      </c>
      <c r="AA241" s="22">
        <v>-1.7977900000000002E-2</v>
      </c>
      <c r="AB241" s="22">
        <v>231</v>
      </c>
      <c r="AC241" s="22">
        <v>0.58630400000000005</v>
      </c>
      <c r="AD241">
        <f t="shared" si="40"/>
        <v>17.977900000000002</v>
      </c>
      <c r="AE241">
        <f t="shared" si="41"/>
        <v>10.5503845487</v>
      </c>
      <c r="AF241" s="9"/>
      <c r="AG241" s="22">
        <v>1.0632299999999999</v>
      </c>
      <c r="AH241" s="22">
        <v>38.396799999999999</v>
      </c>
      <c r="AI241" s="22">
        <v>-1.7489600000000001E-2</v>
      </c>
      <c r="AJ241" s="22">
        <v>231</v>
      </c>
      <c r="AK241" s="22">
        <v>1.0632299999999999</v>
      </c>
      <c r="AL241">
        <f t="shared" si="42"/>
        <v>17.489599999999999</v>
      </c>
      <c r="AM241">
        <f t="shared" si="43"/>
        <v>18.595467407999998</v>
      </c>
      <c r="AP241" s="9"/>
      <c r="AQ241" s="22">
        <v>0.58685299999999996</v>
      </c>
      <c r="AR241" s="22">
        <v>43.230400000000003</v>
      </c>
      <c r="AS241" s="22">
        <v>-1.7977900000000002E-2</v>
      </c>
      <c r="AT241" s="22">
        <v>231</v>
      </c>
      <c r="AU241" s="22">
        <v>0.58630400000000005</v>
      </c>
      <c r="AV241">
        <f t="shared" si="44"/>
        <v>17.977900000000002</v>
      </c>
      <c r="AW241">
        <f t="shared" si="45"/>
        <v>10.5503845487</v>
      </c>
      <c r="AX241" s="9"/>
      <c r="AY241" s="22">
        <v>1.0632299999999999</v>
      </c>
      <c r="AZ241" s="22">
        <v>47.97</v>
      </c>
      <c r="BA241" s="22">
        <v>-1.7468299999999999E-2</v>
      </c>
      <c r="BB241" s="22">
        <v>231</v>
      </c>
      <c r="BC241" s="22">
        <v>1.0626199999999999</v>
      </c>
      <c r="BD241">
        <f t="shared" si="46"/>
        <v>17.468299999999999</v>
      </c>
      <c r="BE241">
        <f t="shared" si="47"/>
        <v>18.572820608999997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13.2319</v>
      </c>
      <c r="I242" s="22">
        <v>-1.7935199999999998E-2</v>
      </c>
      <c r="J242" s="22">
        <v>232</v>
      </c>
      <c r="K242" s="22">
        <v>0.58053600000000005</v>
      </c>
      <c r="L242">
        <f t="shared" si="36"/>
        <v>17.935199999999998</v>
      </c>
      <c r="M242">
        <f t="shared" si="37"/>
        <v>10.435022193599998</v>
      </c>
      <c r="N242" s="9"/>
      <c r="O242" s="22">
        <v>1.0682700000000001</v>
      </c>
      <c r="P242" s="22">
        <v>26.119700000000002</v>
      </c>
      <c r="Q242" s="22">
        <v>-1.7468299999999999E-2</v>
      </c>
      <c r="R242" s="22">
        <v>232</v>
      </c>
      <c r="S242" s="22">
        <v>1.0668899999999999</v>
      </c>
      <c r="T242">
        <f t="shared" si="38"/>
        <v>17.468299999999999</v>
      </c>
      <c r="U242">
        <f t="shared" si="39"/>
        <v>18.660860841000002</v>
      </c>
      <c r="X242" s="9"/>
      <c r="Y242" s="22">
        <v>0.58181799999999995</v>
      </c>
      <c r="Z242" s="22">
        <v>33.503300000000003</v>
      </c>
      <c r="AA242" s="22">
        <v>-1.7981E-2</v>
      </c>
      <c r="AB242" s="22">
        <v>232</v>
      </c>
      <c r="AC242" s="22">
        <v>0.58123800000000003</v>
      </c>
      <c r="AD242">
        <f t="shared" si="40"/>
        <v>17.981000000000002</v>
      </c>
      <c r="AE242">
        <f t="shared" si="41"/>
        <v>10.461669457999999</v>
      </c>
      <c r="AF242" s="9"/>
      <c r="AG242" s="22">
        <v>1.0682700000000001</v>
      </c>
      <c r="AH242" s="22">
        <v>38.4069</v>
      </c>
      <c r="AI242" s="22">
        <v>-1.7483499999999999E-2</v>
      </c>
      <c r="AJ242" s="22">
        <v>232</v>
      </c>
      <c r="AK242" s="22">
        <v>1.0678099999999999</v>
      </c>
      <c r="AL242">
        <f t="shared" si="42"/>
        <v>17.483499999999999</v>
      </c>
      <c r="AM242">
        <f t="shared" si="43"/>
        <v>18.677098545</v>
      </c>
      <c r="AP242" s="9"/>
      <c r="AQ242" s="22">
        <v>0.58181799999999995</v>
      </c>
      <c r="AR242" s="22">
        <v>43.240499999999997</v>
      </c>
      <c r="AS242" s="22">
        <v>-1.7984E-2</v>
      </c>
      <c r="AT242" s="22">
        <v>232</v>
      </c>
      <c r="AU242" s="22">
        <v>0.58142099999999997</v>
      </c>
      <c r="AV242">
        <f t="shared" si="44"/>
        <v>17.984000000000002</v>
      </c>
      <c r="AW242">
        <f t="shared" si="45"/>
        <v>10.463414911999999</v>
      </c>
      <c r="AX242" s="9"/>
      <c r="AY242" s="22">
        <v>1.0682700000000001</v>
      </c>
      <c r="AZ242" s="22">
        <v>47.9801</v>
      </c>
      <c r="BA242" s="22">
        <v>-1.74652E-2</v>
      </c>
      <c r="BB242" s="22">
        <v>232</v>
      </c>
      <c r="BC242" s="22">
        <v>1.0674999999999999</v>
      </c>
      <c r="BD242">
        <f t="shared" si="46"/>
        <v>17.465199999999999</v>
      </c>
      <c r="BE242">
        <f t="shared" si="47"/>
        <v>18.657549203999999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13.242000000000001</v>
      </c>
      <c r="I243" s="22">
        <v>-1.79413E-2</v>
      </c>
      <c r="J243" s="22">
        <v>233</v>
      </c>
      <c r="K243" s="22">
        <v>0.57580600000000004</v>
      </c>
      <c r="L243">
        <f t="shared" si="36"/>
        <v>17.941300000000002</v>
      </c>
      <c r="M243">
        <f t="shared" si="37"/>
        <v>10.348218896600001</v>
      </c>
      <c r="N243" s="9"/>
      <c r="O243" s="22">
        <v>1.0732999999999999</v>
      </c>
      <c r="P243" s="22">
        <v>26.1297</v>
      </c>
      <c r="Q243" s="22">
        <v>-1.7462200000000001E-2</v>
      </c>
      <c r="R243" s="22">
        <v>233</v>
      </c>
      <c r="S243" s="22">
        <v>1.0726899999999999</v>
      </c>
      <c r="T243">
        <f t="shared" si="38"/>
        <v>17.462199999999999</v>
      </c>
      <c r="U243">
        <f t="shared" si="39"/>
        <v>18.742179259999997</v>
      </c>
      <c r="X243" s="9"/>
      <c r="Y243" s="22">
        <v>0.57678200000000002</v>
      </c>
      <c r="Z243" s="22">
        <v>33.513399999999997</v>
      </c>
      <c r="AA243" s="22">
        <v>-1.7984E-2</v>
      </c>
      <c r="AB243" s="22">
        <v>233</v>
      </c>
      <c r="AC243" s="22">
        <v>0.57608000000000004</v>
      </c>
      <c r="AD243">
        <f t="shared" si="40"/>
        <v>17.984000000000002</v>
      </c>
      <c r="AE243">
        <f t="shared" si="41"/>
        <v>10.372847488000001</v>
      </c>
      <c r="AF243" s="9"/>
      <c r="AG243" s="22">
        <v>1.0732999999999999</v>
      </c>
      <c r="AH243" s="22">
        <v>38.417000000000002</v>
      </c>
      <c r="AI243" s="22">
        <v>-1.7474400000000001E-2</v>
      </c>
      <c r="AJ243" s="22">
        <v>233</v>
      </c>
      <c r="AK243" s="22">
        <v>1.07239</v>
      </c>
      <c r="AL243">
        <f t="shared" si="42"/>
        <v>17.474400000000003</v>
      </c>
      <c r="AM243">
        <f t="shared" si="43"/>
        <v>18.755273520000003</v>
      </c>
      <c r="AP243" s="9"/>
      <c r="AQ243" s="22">
        <v>0.57678200000000002</v>
      </c>
      <c r="AR243" s="22">
        <v>43.250599999999999</v>
      </c>
      <c r="AS243" s="22">
        <v>-1.7987099999999999E-2</v>
      </c>
      <c r="AT243" s="22">
        <v>233</v>
      </c>
      <c r="AU243" s="22">
        <v>0.57580600000000004</v>
      </c>
      <c r="AV243">
        <f t="shared" si="44"/>
        <v>17.987099999999998</v>
      </c>
      <c r="AW243">
        <f t="shared" si="45"/>
        <v>10.374635512199999</v>
      </c>
      <c r="AX243" s="9"/>
      <c r="AY243" s="22">
        <v>1.0732999999999999</v>
      </c>
      <c r="AZ243" s="22">
        <v>47.990200000000002</v>
      </c>
      <c r="BA243" s="22">
        <v>-1.7456099999999999E-2</v>
      </c>
      <c r="BB243" s="22">
        <v>233</v>
      </c>
      <c r="BC243" s="22">
        <v>1.0726899999999999</v>
      </c>
      <c r="BD243">
        <f t="shared" si="46"/>
        <v>17.456099999999999</v>
      </c>
      <c r="BE243">
        <f t="shared" si="47"/>
        <v>18.735632129999999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13.252000000000001</v>
      </c>
      <c r="I244" s="22">
        <v>-1.7947399999999999E-2</v>
      </c>
      <c r="J244" s="22">
        <v>234</v>
      </c>
      <c r="K244" s="22">
        <v>0.57077</v>
      </c>
      <c r="L244">
        <f t="shared" si="36"/>
        <v>17.947399999999998</v>
      </c>
      <c r="M244">
        <f t="shared" si="37"/>
        <v>10.2613721078</v>
      </c>
      <c r="N244" s="9"/>
      <c r="O244" s="22">
        <v>1.0783400000000001</v>
      </c>
      <c r="P244" s="22">
        <v>26.139800000000001</v>
      </c>
      <c r="Q244" s="22">
        <v>-1.7453E-2</v>
      </c>
      <c r="R244" s="22">
        <v>234</v>
      </c>
      <c r="S244" s="22">
        <v>1.0772699999999999</v>
      </c>
      <c r="T244">
        <f t="shared" si="38"/>
        <v>17.452999999999999</v>
      </c>
      <c r="U244">
        <f t="shared" si="39"/>
        <v>18.82026802</v>
      </c>
      <c r="X244" s="9"/>
      <c r="Y244" s="22">
        <v>0.57174700000000001</v>
      </c>
      <c r="Z244" s="22">
        <v>33.523400000000002</v>
      </c>
      <c r="AA244" s="22">
        <v>-1.7990099999999998E-2</v>
      </c>
      <c r="AB244" s="22">
        <v>234</v>
      </c>
      <c r="AC244" s="22">
        <v>0.571075</v>
      </c>
      <c r="AD244">
        <f t="shared" si="40"/>
        <v>17.990099999999998</v>
      </c>
      <c r="AE244">
        <f t="shared" si="41"/>
        <v>10.285785704699999</v>
      </c>
      <c r="AF244" s="9"/>
      <c r="AG244" s="22">
        <v>1.0783400000000001</v>
      </c>
      <c r="AH244" s="22">
        <v>38.427</v>
      </c>
      <c r="AI244" s="22">
        <v>-1.7468299999999999E-2</v>
      </c>
      <c r="AJ244" s="22">
        <v>234</v>
      </c>
      <c r="AK244" s="22">
        <v>1.0788</v>
      </c>
      <c r="AL244">
        <f t="shared" si="42"/>
        <v>17.468299999999999</v>
      </c>
      <c r="AM244">
        <f t="shared" si="43"/>
        <v>18.836766621999999</v>
      </c>
      <c r="AP244" s="9"/>
      <c r="AQ244" s="22">
        <v>0.57174700000000001</v>
      </c>
      <c r="AR244" s="22">
        <v>43.260599999999997</v>
      </c>
      <c r="AS244" s="22">
        <v>-1.7993200000000001E-2</v>
      </c>
      <c r="AT244" s="22">
        <v>234</v>
      </c>
      <c r="AU244" s="22">
        <v>0.571075</v>
      </c>
      <c r="AV244">
        <f t="shared" si="44"/>
        <v>17.993200000000002</v>
      </c>
      <c r="AW244">
        <f t="shared" si="45"/>
        <v>10.287558120400002</v>
      </c>
      <c r="AX244" s="9"/>
      <c r="AY244" s="22">
        <v>1.0783400000000001</v>
      </c>
      <c r="AZ244" s="22">
        <v>48.0002</v>
      </c>
      <c r="BA244" s="22">
        <v>-1.7446900000000001E-2</v>
      </c>
      <c r="BB244" s="22">
        <v>234</v>
      </c>
      <c r="BC244" s="22">
        <v>1.07819</v>
      </c>
      <c r="BD244">
        <f t="shared" si="46"/>
        <v>17.446900000000003</v>
      </c>
      <c r="BE244">
        <f t="shared" si="47"/>
        <v>18.813690146000006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13.2621</v>
      </c>
      <c r="I245" s="22">
        <v>-1.7950399999999998E-2</v>
      </c>
      <c r="J245" s="22">
        <v>235</v>
      </c>
      <c r="K245" s="22">
        <v>0.56603999999999999</v>
      </c>
      <c r="L245">
        <f t="shared" si="36"/>
        <v>17.950399999999998</v>
      </c>
      <c r="M245">
        <f t="shared" si="37"/>
        <v>10.172689134399999</v>
      </c>
      <c r="N245" s="9"/>
      <c r="O245" s="22">
        <v>1.0833699999999999</v>
      </c>
      <c r="P245" s="22">
        <v>26.149899999999999</v>
      </c>
      <c r="Q245" s="22">
        <v>-1.7446900000000001E-2</v>
      </c>
      <c r="R245" s="22">
        <v>235</v>
      </c>
      <c r="S245" s="22">
        <v>1.08246</v>
      </c>
      <c r="T245">
        <f t="shared" si="38"/>
        <v>17.446900000000003</v>
      </c>
      <c r="U245">
        <f t="shared" si="39"/>
        <v>18.901448053000003</v>
      </c>
      <c r="X245" s="9"/>
      <c r="Y245" s="22">
        <v>0.56671099999999996</v>
      </c>
      <c r="Z245" s="22">
        <v>33.533499999999997</v>
      </c>
      <c r="AA245" s="22">
        <v>-1.79962E-2</v>
      </c>
      <c r="AB245" s="22">
        <v>235</v>
      </c>
      <c r="AC245" s="22">
        <v>0.56582600000000005</v>
      </c>
      <c r="AD245">
        <f t="shared" si="40"/>
        <v>17.996200000000002</v>
      </c>
      <c r="AE245">
        <f t="shared" si="41"/>
        <v>10.1986444982</v>
      </c>
      <c r="AF245" s="9"/>
      <c r="AG245" s="22">
        <v>1.0833699999999999</v>
      </c>
      <c r="AH245" s="22">
        <v>38.437100000000001</v>
      </c>
      <c r="AI245" s="22">
        <v>-1.7462200000000001E-2</v>
      </c>
      <c r="AJ245" s="22">
        <v>235</v>
      </c>
      <c r="AK245" s="22">
        <v>1.0815399999999999</v>
      </c>
      <c r="AL245">
        <f t="shared" si="42"/>
        <v>17.462199999999999</v>
      </c>
      <c r="AM245">
        <f t="shared" si="43"/>
        <v>18.918023613999999</v>
      </c>
      <c r="AP245" s="9"/>
      <c r="AQ245" s="22">
        <v>0.56671099999999996</v>
      </c>
      <c r="AR245" s="22">
        <v>43.270699999999998</v>
      </c>
      <c r="AS245" s="22">
        <v>-1.7999299999999999E-2</v>
      </c>
      <c r="AT245" s="22">
        <v>235</v>
      </c>
      <c r="AU245" s="22">
        <v>0.56585700000000005</v>
      </c>
      <c r="AV245">
        <f t="shared" si="44"/>
        <v>17.999299999999998</v>
      </c>
      <c r="AW245">
        <f t="shared" si="45"/>
        <v>10.200401302299998</v>
      </c>
      <c r="AX245" s="9"/>
      <c r="AY245" s="22">
        <v>1.0833699999999999</v>
      </c>
      <c r="AZ245" s="22">
        <v>48.010300000000001</v>
      </c>
      <c r="BA245" s="22">
        <v>-1.74377E-2</v>
      </c>
      <c r="BB245" s="22">
        <v>235</v>
      </c>
      <c r="BC245" s="22">
        <v>1.0821499999999999</v>
      </c>
      <c r="BD245">
        <f t="shared" si="46"/>
        <v>17.4377</v>
      </c>
      <c r="BE245">
        <f t="shared" si="47"/>
        <v>18.891481048999999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13.2722</v>
      </c>
      <c r="I246" s="22">
        <v>-1.79565E-2</v>
      </c>
      <c r="J246" s="22">
        <v>236</v>
      </c>
      <c r="K246" s="22">
        <v>0.56082200000000004</v>
      </c>
      <c r="L246">
        <f t="shared" si="36"/>
        <v>17.956500000000002</v>
      </c>
      <c r="M246">
        <f t="shared" si="37"/>
        <v>10.085735094</v>
      </c>
      <c r="N246" s="9"/>
      <c r="O246" s="22">
        <v>1.0884100000000001</v>
      </c>
      <c r="P246" s="22">
        <v>26.1599</v>
      </c>
      <c r="Q246" s="22">
        <v>-1.7443799999999999E-2</v>
      </c>
      <c r="R246" s="22">
        <v>236</v>
      </c>
      <c r="S246" s="22">
        <v>1.08734</v>
      </c>
      <c r="T246">
        <f t="shared" si="38"/>
        <v>17.4438</v>
      </c>
      <c r="U246">
        <f t="shared" si="39"/>
        <v>18.986006358000001</v>
      </c>
      <c r="X246" s="9"/>
      <c r="Y246" s="22">
        <v>0.56167599999999995</v>
      </c>
      <c r="Z246" s="22">
        <v>33.543599999999998</v>
      </c>
      <c r="AA246" s="22">
        <v>-1.8002299999999999E-2</v>
      </c>
      <c r="AB246" s="22">
        <v>236</v>
      </c>
      <c r="AC246" s="22">
        <v>0.56112700000000004</v>
      </c>
      <c r="AD246">
        <f t="shared" si="40"/>
        <v>18.002299999999998</v>
      </c>
      <c r="AE246">
        <f t="shared" si="41"/>
        <v>10.111459854799998</v>
      </c>
      <c r="AF246" s="9"/>
      <c r="AG246" s="22">
        <v>1.0884100000000001</v>
      </c>
      <c r="AH246" s="22">
        <v>38.447200000000002</v>
      </c>
      <c r="AI246" s="22">
        <v>-1.7453E-2</v>
      </c>
      <c r="AJ246" s="22">
        <v>236</v>
      </c>
      <c r="AK246" s="22">
        <v>1.08795</v>
      </c>
      <c r="AL246">
        <f t="shared" si="42"/>
        <v>17.452999999999999</v>
      </c>
      <c r="AM246">
        <f t="shared" si="43"/>
        <v>18.99601973</v>
      </c>
      <c r="AP246" s="9"/>
      <c r="AQ246" s="22">
        <v>0.56167599999999995</v>
      </c>
      <c r="AR246" s="22">
        <v>43.280799999999999</v>
      </c>
      <c r="AS246" s="22">
        <v>-1.8002299999999999E-2</v>
      </c>
      <c r="AT246" s="22">
        <v>236</v>
      </c>
      <c r="AU246" s="22">
        <v>0.561249</v>
      </c>
      <c r="AV246">
        <f t="shared" si="44"/>
        <v>18.002299999999998</v>
      </c>
      <c r="AW246">
        <f t="shared" si="45"/>
        <v>10.111459854799998</v>
      </c>
      <c r="AX246" s="9"/>
      <c r="AY246" s="22">
        <v>1.0884100000000001</v>
      </c>
      <c r="AZ246" s="22">
        <v>48.020400000000002</v>
      </c>
      <c r="BA246" s="22">
        <v>-1.7428599999999999E-2</v>
      </c>
      <c r="BB246" s="22">
        <v>236</v>
      </c>
      <c r="BC246" s="22">
        <v>1.08734</v>
      </c>
      <c r="BD246">
        <f t="shared" si="46"/>
        <v>17.428599999999999</v>
      </c>
      <c r="BE246">
        <f t="shared" si="47"/>
        <v>18.969462526000001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13.282299999999999</v>
      </c>
      <c r="I247" s="22">
        <v>-1.7959599999999999E-2</v>
      </c>
      <c r="J247" s="22">
        <v>237</v>
      </c>
      <c r="K247" s="22">
        <v>0.55566400000000005</v>
      </c>
      <c r="L247">
        <f t="shared" si="36"/>
        <v>17.959599999999998</v>
      </c>
      <c r="M247">
        <f t="shared" si="37"/>
        <v>9.9970497036000001</v>
      </c>
      <c r="N247" s="9"/>
      <c r="O247" s="22">
        <v>1.09344</v>
      </c>
      <c r="P247" s="22">
        <v>26.17</v>
      </c>
      <c r="Q247" s="22">
        <v>-1.74377E-2</v>
      </c>
      <c r="R247" s="22">
        <v>237</v>
      </c>
      <c r="S247" s="22">
        <v>1.09253</v>
      </c>
      <c r="T247">
        <f t="shared" si="38"/>
        <v>17.4377</v>
      </c>
      <c r="U247">
        <f t="shared" si="39"/>
        <v>19.067078687999999</v>
      </c>
      <c r="X247" s="9"/>
      <c r="Y247" s="22">
        <v>0.55664100000000005</v>
      </c>
      <c r="Z247" s="22">
        <v>33.553600000000003</v>
      </c>
      <c r="AA247" s="22">
        <v>-1.8008400000000001E-2</v>
      </c>
      <c r="AB247" s="22">
        <v>237</v>
      </c>
      <c r="AC247" s="22">
        <v>0.556091</v>
      </c>
      <c r="AD247">
        <f t="shared" si="40"/>
        <v>18.008400000000002</v>
      </c>
      <c r="AE247">
        <f t="shared" si="41"/>
        <v>10.024213784400002</v>
      </c>
      <c r="AF247" s="9"/>
      <c r="AG247" s="22">
        <v>1.09344</v>
      </c>
      <c r="AH247" s="22">
        <v>38.457299999999996</v>
      </c>
      <c r="AI247" s="22">
        <v>-1.7443799999999999E-2</v>
      </c>
      <c r="AJ247" s="22">
        <v>237</v>
      </c>
      <c r="AK247" s="22">
        <v>1.0907</v>
      </c>
      <c r="AL247">
        <f t="shared" si="42"/>
        <v>17.4438</v>
      </c>
      <c r="AM247">
        <f t="shared" si="43"/>
        <v>19.073748672000001</v>
      </c>
      <c r="AP247" s="9"/>
      <c r="AQ247" s="22">
        <v>0.55664100000000005</v>
      </c>
      <c r="AR247" s="22">
        <v>43.290799999999997</v>
      </c>
      <c r="AS247" s="22">
        <v>-1.8008400000000001E-2</v>
      </c>
      <c r="AT247" s="22">
        <v>237</v>
      </c>
      <c r="AU247" s="22">
        <v>0.55606100000000003</v>
      </c>
      <c r="AV247">
        <f t="shared" si="44"/>
        <v>18.008400000000002</v>
      </c>
      <c r="AW247">
        <f t="shared" si="45"/>
        <v>10.024213784400002</v>
      </c>
      <c r="AX247" s="9"/>
      <c r="AY247" s="22">
        <v>1.09344</v>
      </c>
      <c r="AZ247" s="22">
        <v>48.0304</v>
      </c>
      <c r="BA247" s="22">
        <v>-1.74225E-2</v>
      </c>
      <c r="BB247" s="22">
        <v>237</v>
      </c>
      <c r="BC247" s="22">
        <v>1.09253</v>
      </c>
      <c r="BD247">
        <f t="shared" si="46"/>
        <v>17.422499999999999</v>
      </c>
      <c r="BE247">
        <f t="shared" si="47"/>
        <v>19.0504584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13.292299999999999</v>
      </c>
      <c r="I248" s="22">
        <v>-1.7962599999999999E-2</v>
      </c>
      <c r="J248" s="22">
        <v>238</v>
      </c>
      <c r="K248" s="22">
        <v>0.55081199999999997</v>
      </c>
      <c r="L248">
        <f t="shared" si="36"/>
        <v>17.962599999999998</v>
      </c>
      <c r="M248">
        <f t="shared" si="37"/>
        <v>9.9082599729999998</v>
      </c>
      <c r="N248" s="9"/>
      <c r="O248" s="22">
        <v>1.0984799999999999</v>
      </c>
      <c r="P248" s="22">
        <v>26.180099999999999</v>
      </c>
      <c r="Q248" s="22">
        <v>-1.7434700000000001E-2</v>
      </c>
      <c r="R248" s="22">
        <v>238</v>
      </c>
      <c r="S248" s="22">
        <v>1.09711</v>
      </c>
      <c r="T248">
        <f t="shared" si="38"/>
        <v>17.434699999999999</v>
      </c>
      <c r="U248">
        <f t="shared" si="39"/>
        <v>19.151669255999998</v>
      </c>
      <c r="X248" s="9"/>
      <c r="Y248" s="22">
        <v>0.55160500000000001</v>
      </c>
      <c r="Z248" s="22">
        <v>33.563699999999997</v>
      </c>
      <c r="AA248" s="22">
        <v>-1.8017600000000002E-2</v>
      </c>
      <c r="AB248" s="22">
        <v>238</v>
      </c>
      <c r="AC248" s="22">
        <v>0.55102499999999999</v>
      </c>
      <c r="AD248">
        <f t="shared" si="40"/>
        <v>18.017600000000002</v>
      </c>
      <c r="AE248">
        <f t="shared" si="41"/>
        <v>9.9385982480000017</v>
      </c>
      <c r="AF248" s="9"/>
      <c r="AG248" s="22">
        <v>1.0984799999999999</v>
      </c>
      <c r="AH248" s="22">
        <v>38.467300000000002</v>
      </c>
      <c r="AI248" s="22">
        <v>-1.7434700000000001E-2</v>
      </c>
      <c r="AJ248" s="22">
        <v>238</v>
      </c>
      <c r="AK248" s="22">
        <v>1.09741</v>
      </c>
      <c r="AL248">
        <f t="shared" si="42"/>
        <v>17.434699999999999</v>
      </c>
      <c r="AM248">
        <f t="shared" si="43"/>
        <v>19.151669255999998</v>
      </c>
      <c r="AP248" s="9"/>
      <c r="AQ248" s="22">
        <v>0.55160500000000001</v>
      </c>
      <c r="AR248" s="22">
        <v>43.300899999999999</v>
      </c>
      <c r="AS248" s="22">
        <v>-1.8014499999999999E-2</v>
      </c>
      <c r="AT248" s="22">
        <v>238</v>
      </c>
      <c r="AU248" s="22">
        <v>0.55130000000000001</v>
      </c>
      <c r="AV248">
        <f t="shared" si="44"/>
        <v>18.014499999999998</v>
      </c>
      <c r="AW248">
        <f t="shared" si="45"/>
        <v>9.9368882724999992</v>
      </c>
      <c r="AX248" s="9"/>
      <c r="AY248" s="22">
        <v>1.0984799999999999</v>
      </c>
      <c r="AZ248" s="22">
        <v>48.040500000000002</v>
      </c>
      <c r="BA248" s="22">
        <v>-1.7419400000000002E-2</v>
      </c>
      <c r="BB248" s="22">
        <v>238</v>
      </c>
      <c r="BC248" s="22">
        <v>1.09772</v>
      </c>
      <c r="BD248">
        <f t="shared" si="46"/>
        <v>17.419400000000003</v>
      </c>
      <c r="BE248">
        <f t="shared" si="47"/>
        <v>19.134862512000002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13.3024</v>
      </c>
      <c r="I249" s="22">
        <v>-1.79688E-2</v>
      </c>
      <c r="J249" s="22">
        <v>239</v>
      </c>
      <c r="K249" s="22">
        <v>0.54577600000000004</v>
      </c>
      <c r="L249">
        <f t="shared" si="36"/>
        <v>17.968800000000002</v>
      </c>
      <c r="M249">
        <f t="shared" si="37"/>
        <v>9.8212070160000007</v>
      </c>
      <c r="N249" s="9"/>
      <c r="O249" s="22">
        <v>1.1035200000000001</v>
      </c>
      <c r="P249" s="22">
        <v>26.190100000000001</v>
      </c>
      <c r="Q249" s="22">
        <v>-1.7428599999999999E-2</v>
      </c>
      <c r="R249" s="22">
        <v>239</v>
      </c>
      <c r="S249" s="22">
        <v>1.1026</v>
      </c>
      <c r="T249">
        <f t="shared" si="38"/>
        <v>17.428599999999999</v>
      </c>
      <c r="U249">
        <f t="shared" si="39"/>
        <v>19.232808672000001</v>
      </c>
      <c r="X249" s="9"/>
      <c r="Y249" s="22">
        <v>0.54657</v>
      </c>
      <c r="Z249" s="22">
        <v>33.573799999999999</v>
      </c>
      <c r="AA249" s="22">
        <v>-1.80237E-2</v>
      </c>
      <c r="AB249" s="22">
        <v>239</v>
      </c>
      <c r="AC249" s="22">
        <v>0.54586800000000002</v>
      </c>
      <c r="AD249">
        <f t="shared" si="40"/>
        <v>18.023700000000002</v>
      </c>
      <c r="AE249">
        <f t="shared" si="41"/>
        <v>9.8512137090000014</v>
      </c>
      <c r="AF249" s="9"/>
      <c r="AG249" s="22">
        <v>1.1035200000000001</v>
      </c>
      <c r="AH249" s="22">
        <v>38.477400000000003</v>
      </c>
      <c r="AI249" s="22">
        <v>-1.7428599999999999E-2</v>
      </c>
      <c r="AJ249" s="22">
        <v>239</v>
      </c>
      <c r="AK249" s="22">
        <v>1.1026</v>
      </c>
      <c r="AL249">
        <f t="shared" si="42"/>
        <v>17.428599999999999</v>
      </c>
      <c r="AM249">
        <f t="shared" si="43"/>
        <v>19.232808672000001</v>
      </c>
      <c r="AP249" s="9"/>
      <c r="AQ249" s="22">
        <v>0.54657</v>
      </c>
      <c r="AR249" s="22">
        <v>43.311</v>
      </c>
      <c r="AS249" s="22">
        <v>-1.8020600000000001E-2</v>
      </c>
      <c r="AT249" s="22">
        <v>239</v>
      </c>
      <c r="AU249" s="22">
        <v>0.54547100000000004</v>
      </c>
      <c r="AV249">
        <f t="shared" si="44"/>
        <v>18.020600000000002</v>
      </c>
      <c r="AW249">
        <f t="shared" si="45"/>
        <v>9.8495193420000007</v>
      </c>
      <c r="AX249" s="9"/>
      <c r="AY249" s="22">
        <v>1.1035200000000001</v>
      </c>
      <c r="AZ249" s="22">
        <v>48.050600000000003</v>
      </c>
      <c r="BA249" s="22">
        <v>-1.74133E-2</v>
      </c>
      <c r="BB249" s="22">
        <v>239</v>
      </c>
      <c r="BC249" s="22">
        <v>1.10229</v>
      </c>
      <c r="BD249">
        <f t="shared" si="46"/>
        <v>17.4133</v>
      </c>
      <c r="BE249">
        <f t="shared" si="47"/>
        <v>19.215924816000001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13.3125</v>
      </c>
      <c r="I250" s="22">
        <v>-1.7974899999999999E-2</v>
      </c>
      <c r="J250" s="22">
        <v>240</v>
      </c>
      <c r="K250" s="22">
        <v>0.54040500000000002</v>
      </c>
      <c r="L250">
        <f t="shared" si="36"/>
        <v>17.974899999999998</v>
      </c>
      <c r="M250">
        <f t="shared" si="37"/>
        <v>9.7340194965999984</v>
      </c>
      <c r="N250" s="9"/>
      <c r="O250" s="22">
        <v>1.1085499999999999</v>
      </c>
      <c r="P250" s="22">
        <v>26.200199999999999</v>
      </c>
      <c r="Q250" s="22">
        <v>-1.74255E-2</v>
      </c>
      <c r="R250" s="22">
        <v>240</v>
      </c>
      <c r="S250" s="22">
        <v>1.10748</v>
      </c>
      <c r="T250">
        <f t="shared" si="38"/>
        <v>17.4255</v>
      </c>
      <c r="U250">
        <f t="shared" si="39"/>
        <v>19.317038024999999</v>
      </c>
      <c r="X250" s="9"/>
      <c r="Y250" s="22">
        <v>0.54153399999999996</v>
      </c>
      <c r="Z250" s="22">
        <v>33.5839</v>
      </c>
      <c r="AA250" s="22">
        <v>-1.8029799999999999E-2</v>
      </c>
      <c r="AB250" s="22">
        <v>240</v>
      </c>
      <c r="AC250" s="22">
        <v>0.54074100000000003</v>
      </c>
      <c r="AD250">
        <f t="shared" si="40"/>
        <v>18.029799999999998</v>
      </c>
      <c r="AE250">
        <f t="shared" si="41"/>
        <v>9.7637497131999975</v>
      </c>
      <c r="AF250" s="9"/>
      <c r="AG250" s="22">
        <v>1.1085499999999999</v>
      </c>
      <c r="AH250" s="22">
        <v>38.487499999999997</v>
      </c>
      <c r="AI250" s="22">
        <v>-1.7419400000000002E-2</v>
      </c>
      <c r="AJ250" s="22">
        <v>240</v>
      </c>
      <c r="AK250" s="22">
        <v>1.1077900000000001</v>
      </c>
      <c r="AL250">
        <f t="shared" si="42"/>
        <v>17.419400000000003</v>
      </c>
      <c r="AM250">
        <f t="shared" si="43"/>
        <v>19.310275870000002</v>
      </c>
      <c r="AP250" s="9"/>
      <c r="AQ250" s="22">
        <v>0.54153399999999996</v>
      </c>
      <c r="AR250" s="22">
        <v>43.321100000000001</v>
      </c>
      <c r="AS250" s="22">
        <v>-1.80237E-2</v>
      </c>
      <c r="AT250" s="22">
        <v>240</v>
      </c>
      <c r="AU250" s="22">
        <v>0.54135100000000003</v>
      </c>
      <c r="AV250">
        <f t="shared" si="44"/>
        <v>18.023700000000002</v>
      </c>
      <c r="AW250">
        <f t="shared" si="45"/>
        <v>9.760446355800001</v>
      </c>
      <c r="AX250" s="9"/>
      <c r="AY250" s="22">
        <v>1.1085499999999999</v>
      </c>
      <c r="AZ250" s="22">
        <v>48.060699999999997</v>
      </c>
      <c r="BA250" s="22">
        <v>-1.7404200000000002E-2</v>
      </c>
      <c r="BB250" s="22">
        <v>240</v>
      </c>
      <c r="BC250" s="22">
        <v>1.1077900000000001</v>
      </c>
      <c r="BD250">
        <f t="shared" si="46"/>
        <v>17.404200000000003</v>
      </c>
      <c r="BE250">
        <f t="shared" si="47"/>
        <v>19.293425910000003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13.3225</v>
      </c>
      <c r="I251" s="22">
        <v>-1.7977900000000002E-2</v>
      </c>
      <c r="J251" s="22">
        <v>241</v>
      </c>
      <c r="K251" s="22">
        <v>0.53561400000000003</v>
      </c>
      <c r="L251">
        <f t="shared" si="36"/>
        <v>17.977900000000002</v>
      </c>
      <c r="M251">
        <f t="shared" si="37"/>
        <v>9.6451253721000008</v>
      </c>
      <c r="N251" s="9"/>
      <c r="O251" s="22">
        <v>1.1135900000000001</v>
      </c>
      <c r="P251" s="22">
        <v>26.2103</v>
      </c>
      <c r="Q251" s="22">
        <v>-1.7419400000000002E-2</v>
      </c>
      <c r="R251" s="22">
        <v>241</v>
      </c>
      <c r="S251" s="22">
        <v>1.1123700000000001</v>
      </c>
      <c r="T251">
        <f t="shared" si="38"/>
        <v>17.419400000000003</v>
      </c>
      <c r="U251">
        <f t="shared" si="39"/>
        <v>19.398069646000003</v>
      </c>
      <c r="X251" s="9"/>
      <c r="Y251" s="22">
        <v>0.53649899999999995</v>
      </c>
      <c r="Z251" s="22">
        <v>33.593899999999998</v>
      </c>
      <c r="AA251" s="22">
        <v>-1.8032800000000002E-2</v>
      </c>
      <c r="AB251" s="22">
        <v>241</v>
      </c>
      <c r="AC251" s="22">
        <v>0.53598000000000001</v>
      </c>
      <c r="AD251">
        <f t="shared" si="40"/>
        <v>18.032800000000002</v>
      </c>
      <c r="AE251">
        <f t="shared" si="41"/>
        <v>9.6745791671999992</v>
      </c>
      <c r="AF251" s="9"/>
      <c r="AG251" s="22">
        <v>1.1135900000000001</v>
      </c>
      <c r="AH251" s="22">
        <v>38.497500000000002</v>
      </c>
      <c r="AI251" s="22">
        <v>-1.74133E-2</v>
      </c>
      <c r="AJ251" s="22">
        <v>241</v>
      </c>
      <c r="AK251" s="22">
        <v>1.11328</v>
      </c>
      <c r="AL251">
        <f t="shared" si="42"/>
        <v>17.4133</v>
      </c>
      <c r="AM251">
        <f t="shared" si="43"/>
        <v>19.391276746999999</v>
      </c>
      <c r="AP251" s="9"/>
      <c r="AQ251" s="22">
        <v>0.53649899999999995</v>
      </c>
      <c r="AR251" s="22">
        <v>43.331099999999999</v>
      </c>
      <c r="AS251" s="22">
        <v>-1.80267E-2</v>
      </c>
      <c r="AT251" s="22">
        <v>241</v>
      </c>
      <c r="AU251" s="22">
        <v>0.53576699999999999</v>
      </c>
      <c r="AV251">
        <f t="shared" si="44"/>
        <v>18.026699999999998</v>
      </c>
      <c r="AW251">
        <f t="shared" si="45"/>
        <v>9.6713065232999984</v>
      </c>
      <c r="AX251" s="9"/>
      <c r="AY251" s="22">
        <v>1.1135900000000001</v>
      </c>
      <c r="AZ251" s="22">
        <v>48.070700000000002</v>
      </c>
      <c r="BA251" s="22">
        <v>-1.73981E-2</v>
      </c>
      <c r="BB251" s="22">
        <v>241</v>
      </c>
      <c r="BC251" s="22">
        <v>1.11267</v>
      </c>
      <c r="BD251">
        <f t="shared" si="46"/>
        <v>17.398099999999999</v>
      </c>
      <c r="BE251">
        <f t="shared" si="47"/>
        <v>19.374350179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13.332599999999999</v>
      </c>
      <c r="I252" s="22">
        <v>-1.7984E-2</v>
      </c>
      <c r="J252" s="22">
        <v>242</v>
      </c>
      <c r="K252" s="22">
        <v>0.53146400000000005</v>
      </c>
      <c r="L252">
        <f t="shared" si="36"/>
        <v>17.984000000000002</v>
      </c>
      <c r="M252">
        <f t="shared" si="37"/>
        <v>9.5578485760000014</v>
      </c>
      <c r="N252" s="9"/>
      <c r="O252" s="22">
        <v>1.1186199999999999</v>
      </c>
      <c r="P252" s="22">
        <v>26.220400000000001</v>
      </c>
      <c r="Q252" s="22">
        <v>-1.74133E-2</v>
      </c>
      <c r="R252" s="22">
        <v>242</v>
      </c>
      <c r="S252" s="22">
        <v>1.1178600000000001</v>
      </c>
      <c r="T252">
        <f t="shared" si="38"/>
        <v>17.4133</v>
      </c>
      <c r="U252">
        <f t="shared" si="39"/>
        <v>19.478865645999999</v>
      </c>
      <c r="X252" s="9"/>
      <c r="Y252" s="22">
        <v>0.53146400000000005</v>
      </c>
      <c r="Z252" s="22">
        <v>33.603999999999999</v>
      </c>
      <c r="AA252" s="22">
        <v>-1.80389E-2</v>
      </c>
      <c r="AB252" s="22">
        <v>242</v>
      </c>
      <c r="AC252" s="22">
        <v>0.53100599999999998</v>
      </c>
      <c r="AD252">
        <f t="shared" si="40"/>
        <v>18.038900000000002</v>
      </c>
      <c r="AE252">
        <f t="shared" si="41"/>
        <v>9.587025949600001</v>
      </c>
      <c r="AF252" s="9"/>
      <c r="AG252" s="22">
        <v>1.1186199999999999</v>
      </c>
      <c r="AH252" s="22">
        <v>38.507599999999996</v>
      </c>
      <c r="AI252" s="22">
        <v>-1.74103E-2</v>
      </c>
      <c r="AJ252" s="22">
        <v>242</v>
      </c>
      <c r="AK252" s="22">
        <v>1.10992</v>
      </c>
      <c r="AL252">
        <f t="shared" si="42"/>
        <v>17.410299999999999</v>
      </c>
      <c r="AM252">
        <f t="shared" si="43"/>
        <v>19.475509786</v>
      </c>
      <c r="AP252" s="9"/>
      <c r="AQ252" s="22">
        <v>0.53146400000000005</v>
      </c>
      <c r="AR252" s="22">
        <v>43.341200000000001</v>
      </c>
      <c r="AS252" s="22">
        <v>-1.8029799999999999E-2</v>
      </c>
      <c r="AT252" s="22">
        <v>242</v>
      </c>
      <c r="AU252" s="22">
        <v>0.53066999999999998</v>
      </c>
      <c r="AV252">
        <f t="shared" si="44"/>
        <v>18.029799999999998</v>
      </c>
      <c r="AW252">
        <f t="shared" si="45"/>
        <v>9.5821896272</v>
      </c>
      <c r="AX252" s="9"/>
      <c r="AY252" s="22">
        <v>1.1186199999999999</v>
      </c>
      <c r="AZ252" s="22">
        <v>48.080800000000004</v>
      </c>
      <c r="BA252" s="22">
        <v>-1.7392000000000001E-2</v>
      </c>
      <c r="BB252" s="22">
        <v>242</v>
      </c>
      <c r="BC252" s="22">
        <v>1.1178600000000001</v>
      </c>
      <c r="BD252">
        <f t="shared" si="46"/>
        <v>17.391999999999999</v>
      </c>
      <c r="BE252">
        <f t="shared" si="47"/>
        <v>19.455039039999999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13.342700000000001</v>
      </c>
      <c r="I253" s="22">
        <v>-1.7987099999999999E-2</v>
      </c>
      <c r="J253" s="22">
        <v>243</v>
      </c>
      <c r="K253" s="22">
        <v>0.52590899999999996</v>
      </c>
      <c r="L253">
        <f t="shared" si="36"/>
        <v>17.987099999999998</v>
      </c>
      <c r="M253">
        <f t="shared" si="37"/>
        <v>9.4689130788</v>
      </c>
      <c r="N253" s="9"/>
      <c r="O253" s="22">
        <v>1.1236600000000001</v>
      </c>
      <c r="P253" s="22">
        <v>26.230399999999999</v>
      </c>
      <c r="Q253" s="22">
        <v>-1.7407200000000001E-2</v>
      </c>
      <c r="R253" s="22">
        <v>243</v>
      </c>
      <c r="S253" s="22">
        <v>1.1224400000000001</v>
      </c>
      <c r="T253">
        <f t="shared" si="38"/>
        <v>17.4072</v>
      </c>
      <c r="U253">
        <f t="shared" si="39"/>
        <v>19.559774352000002</v>
      </c>
      <c r="X253" s="9"/>
      <c r="Y253" s="22">
        <v>0.52642800000000001</v>
      </c>
      <c r="Z253" s="22">
        <v>33.614100000000001</v>
      </c>
      <c r="AA253" s="22">
        <v>-1.8041999999999999E-2</v>
      </c>
      <c r="AB253" s="22">
        <v>243</v>
      </c>
      <c r="AC253" s="22">
        <v>0.52566500000000005</v>
      </c>
      <c r="AD253">
        <f t="shared" si="40"/>
        <v>18.041999999999998</v>
      </c>
      <c r="AE253">
        <f t="shared" si="41"/>
        <v>9.4978139759999998</v>
      </c>
      <c r="AF253" s="9"/>
      <c r="AG253" s="22">
        <v>1.1236600000000001</v>
      </c>
      <c r="AH253" s="22">
        <v>38.517699999999998</v>
      </c>
      <c r="AI253" s="22">
        <v>-1.7407200000000001E-2</v>
      </c>
      <c r="AJ253" s="22">
        <v>243</v>
      </c>
      <c r="AK253" s="22">
        <v>1.1221300000000001</v>
      </c>
      <c r="AL253">
        <f t="shared" si="42"/>
        <v>17.4072</v>
      </c>
      <c r="AM253">
        <f t="shared" si="43"/>
        <v>19.559774352000002</v>
      </c>
      <c r="AP253" s="9"/>
      <c r="AQ253" s="22">
        <v>0.52642800000000001</v>
      </c>
      <c r="AR253" s="22">
        <v>43.351300000000002</v>
      </c>
      <c r="AS253" s="22">
        <v>-1.8035900000000001E-2</v>
      </c>
      <c r="AT253" s="22">
        <v>243</v>
      </c>
      <c r="AU253" s="22">
        <v>0.52593999999999996</v>
      </c>
      <c r="AV253">
        <f t="shared" si="44"/>
        <v>18.035900000000002</v>
      </c>
      <c r="AW253">
        <f t="shared" si="45"/>
        <v>9.4946027652000016</v>
      </c>
      <c r="AX253" s="9"/>
      <c r="AY253" s="22">
        <v>1.1236600000000001</v>
      </c>
      <c r="AZ253" s="22">
        <v>48.090899999999998</v>
      </c>
      <c r="BA253" s="22">
        <v>-1.7388899999999999E-2</v>
      </c>
      <c r="BB253" s="22">
        <v>243</v>
      </c>
      <c r="BC253" s="22">
        <v>1.1227400000000001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13.3528</v>
      </c>
      <c r="I254" s="22">
        <v>-1.7990099999999998E-2</v>
      </c>
      <c r="J254" s="22">
        <v>244</v>
      </c>
      <c r="K254" s="22">
        <v>0.52032500000000004</v>
      </c>
      <c r="L254">
        <f t="shared" si="36"/>
        <v>17.990099999999998</v>
      </c>
      <c r="M254">
        <f t="shared" si="37"/>
        <v>9.3799122092999987</v>
      </c>
      <c r="N254" s="9"/>
      <c r="O254" s="22">
        <v>1.12869</v>
      </c>
      <c r="P254" s="22">
        <v>26.240500000000001</v>
      </c>
      <c r="Q254" s="22">
        <v>-1.7401099999999999E-2</v>
      </c>
      <c r="R254" s="22">
        <v>244</v>
      </c>
      <c r="S254" s="22">
        <v>1.1282300000000001</v>
      </c>
      <c r="T254">
        <f t="shared" si="38"/>
        <v>17.4011</v>
      </c>
      <c r="U254">
        <f t="shared" si="39"/>
        <v>19.640447558999998</v>
      </c>
      <c r="X254" s="9"/>
      <c r="Y254" s="22">
        <v>0.521393</v>
      </c>
      <c r="Z254" s="22">
        <v>33.624099999999999</v>
      </c>
      <c r="AA254" s="22">
        <v>-1.8048100000000001E-2</v>
      </c>
      <c r="AB254" s="22">
        <v>244</v>
      </c>
      <c r="AC254" s="22">
        <v>0.52075199999999999</v>
      </c>
      <c r="AD254">
        <f t="shared" si="40"/>
        <v>18.048100000000002</v>
      </c>
      <c r="AE254">
        <f t="shared" si="41"/>
        <v>9.4101530033000014</v>
      </c>
      <c r="AF254" s="9"/>
      <c r="AG254" s="22">
        <v>1.12869</v>
      </c>
      <c r="AH254" s="22">
        <v>38.527700000000003</v>
      </c>
      <c r="AI254" s="22">
        <v>-1.7401099999999999E-2</v>
      </c>
      <c r="AJ254" s="22">
        <v>244</v>
      </c>
      <c r="AK254" s="22">
        <v>1.1288499999999999</v>
      </c>
      <c r="AL254">
        <f t="shared" si="42"/>
        <v>17.4011</v>
      </c>
      <c r="AM254">
        <f t="shared" si="43"/>
        <v>19.640447558999998</v>
      </c>
      <c r="AP254" s="9"/>
      <c r="AQ254" s="22">
        <v>0.521393</v>
      </c>
      <c r="AR254" s="22">
        <v>43.3613</v>
      </c>
      <c r="AS254" s="22">
        <v>-1.8041999999999999E-2</v>
      </c>
      <c r="AT254" s="22">
        <v>244</v>
      </c>
      <c r="AU254" s="22">
        <v>0.52038600000000002</v>
      </c>
      <c r="AV254">
        <f t="shared" si="44"/>
        <v>18.041999999999998</v>
      </c>
      <c r="AW254">
        <f t="shared" si="45"/>
        <v>9.4069725059999989</v>
      </c>
      <c r="AX254" s="9"/>
      <c r="AY254" s="22">
        <v>1.12869</v>
      </c>
      <c r="AZ254" s="22">
        <v>48.100900000000003</v>
      </c>
      <c r="BA254" s="22">
        <v>-1.73828E-2</v>
      </c>
      <c r="BB254" s="22">
        <v>244</v>
      </c>
      <c r="BC254" s="22">
        <v>1.1273200000000001</v>
      </c>
      <c r="BD254">
        <f t="shared" si="46"/>
        <v>17.3828</v>
      </c>
      <c r="BE254">
        <f t="shared" si="47"/>
        <v>19.619792531999998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13.3628</v>
      </c>
      <c r="I255" s="22">
        <v>-1.79962E-2</v>
      </c>
      <c r="J255" s="22">
        <v>245</v>
      </c>
      <c r="K255" s="22">
        <v>0.515625</v>
      </c>
      <c r="L255">
        <f t="shared" si="36"/>
        <v>17.996200000000002</v>
      </c>
      <c r="M255">
        <f t="shared" si="37"/>
        <v>9.2924638434000002</v>
      </c>
      <c r="N255" s="9"/>
      <c r="O255" s="22">
        <v>1.1337299999999999</v>
      </c>
      <c r="P255" s="22">
        <v>26.250599999999999</v>
      </c>
      <c r="Q255" s="22">
        <v>-1.7395000000000001E-2</v>
      </c>
      <c r="R255" s="22">
        <v>245</v>
      </c>
      <c r="S255" s="22">
        <v>1.1331199999999999</v>
      </c>
      <c r="T255">
        <f t="shared" si="38"/>
        <v>17.395</v>
      </c>
      <c r="U255">
        <f t="shared" si="39"/>
        <v>19.721233349999999</v>
      </c>
      <c r="X255" s="9"/>
      <c r="Y255" s="22">
        <v>0.51635699999999995</v>
      </c>
      <c r="Z255" s="22">
        <v>33.6342</v>
      </c>
      <c r="AA255" s="22">
        <v>-1.80511E-2</v>
      </c>
      <c r="AB255" s="22">
        <v>245</v>
      </c>
      <c r="AC255" s="22">
        <v>0.51571699999999998</v>
      </c>
      <c r="AD255">
        <f t="shared" si="40"/>
        <v>18.051100000000002</v>
      </c>
      <c r="AE255">
        <f t="shared" si="41"/>
        <v>9.3208118426999995</v>
      </c>
      <c r="AF255" s="9"/>
      <c r="AG255" s="22">
        <v>1.1337299999999999</v>
      </c>
      <c r="AH255" s="22">
        <v>38.537799999999997</v>
      </c>
      <c r="AI255" s="22">
        <v>-1.7395000000000001E-2</v>
      </c>
      <c r="AJ255" s="22">
        <v>245</v>
      </c>
      <c r="AK255" s="22">
        <v>1.1331199999999999</v>
      </c>
      <c r="AL255">
        <f t="shared" si="42"/>
        <v>17.395</v>
      </c>
      <c r="AM255">
        <f t="shared" si="43"/>
        <v>19.721233349999999</v>
      </c>
      <c r="AP255" s="9"/>
      <c r="AQ255" s="22">
        <v>0.51635699999999995</v>
      </c>
      <c r="AR255" s="22">
        <v>43.371400000000001</v>
      </c>
      <c r="AS255" s="22">
        <v>-1.8044999999999999E-2</v>
      </c>
      <c r="AT255" s="22">
        <v>245</v>
      </c>
      <c r="AU255" s="22">
        <v>0.515961</v>
      </c>
      <c r="AV255">
        <f t="shared" si="44"/>
        <v>18.044999999999998</v>
      </c>
      <c r="AW255">
        <f t="shared" si="45"/>
        <v>9.3176620649999986</v>
      </c>
      <c r="AX255" s="9"/>
      <c r="AY255" s="22">
        <v>1.1337299999999999</v>
      </c>
      <c r="AZ255" s="22">
        <v>48.110999999999997</v>
      </c>
      <c r="BA255" s="22">
        <v>-1.7373699999999999E-2</v>
      </c>
      <c r="BB255" s="22">
        <v>245</v>
      </c>
      <c r="BC255" s="22">
        <v>1.1322000000000001</v>
      </c>
      <c r="BD255">
        <f t="shared" si="46"/>
        <v>17.373699999999999</v>
      </c>
      <c r="BE255">
        <f t="shared" si="47"/>
        <v>19.697084900999997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13.3729</v>
      </c>
      <c r="I256" s="22">
        <v>-1.7999299999999999E-2</v>
      </c>
      <c r="J256" s="22">
        <v>246</v>
      </c>
      <c r="K256" s="22">
        <v>0.51055899999999999</v>
      </c>
      <c r="L256">
        <f t="shared" si="36"/>
        <v>17.999299999999998</v>
      </c>
      <c r="M256">
        <f t="shared" si="37"/>
        <v>9.2034380745999993</v>
      </c>
      <c r="N256" s="9"/>
      <c r="O256" s="22">
        <v>1.13876</v>
      </c>
      <c r="P256" s="22">
        <v>26.2606</v>
      </c>
      <c r="Q256" s="22">
        <v>-1.7388899999999999E-2</v>
      </c>
      <c r="R256" s="22">
        <v>246</v>
      </c>
      <c r="S256" s="22">
        <v>1.1373899999999999</v>
      </c>
      <c r="T256">
        <f t="shared" si="38"/>
        <v>17.3889</v>
      </c>
      <c r="U256">
        <f t="shared" si="39"/>
        <v>19.801783764</v>
      </c>
      <c r="X256" s="9"/>
      <c r="Y256" s="22">
        <v>0.51132200000000005</v>
      </c>
      <c r="Z256" s="22">
        <v>33.644300000000001</v>
      </c>
      <c r="AA256" s="22">
        <v>-1.8057299999999998E-2</v>
      </c>
      <c r="AB256" s="22">
        <v>246</v>
      </c>
      <c r="AC256" s="22">
        <v>0.51043700000000003</v>
      </c>
      <c r="AD256">
        <f t="shared" si="40"/>
        <v>18.057299999999998</v>
      </c>
      <c r="AE256">
        <f t="shared" si="41"/>
        <v>9.2330947505999994</v>
      </c>
      <c r="AF256" s="9"/>
      <c r="AG256" s="22">
        <v>1.13876</v>
      </c>
      <c r="AH256" s="22">
        <v>38.547899999999998</v>
      </c>
      <c r="AI256" s="22">
        <v>-1.7388899999999999E-2</v>
      </c>
      <c r="AJ256" s="22">
        <v>246</v>
      </c>
      <c r="AK256" s="22">
        <v>1.1376999999999999</v>
      </c>
      <c r="AL256">
        <f t="shared" si="42"/>
        <v>17.3889</v>
      </c>
      <c r="AM256">
        <f t="shared" si="43"/>
        <v>19.801783764</v>
      </c>
      <c r="AP256" s="9"/>
      <c r="AQ256" s="22">
        <v>0.51132200000000005</v>
      </c>
      <c r="AR256" s="22">
        <v>43.381500000000003</v>
      </c>
      <c r="AS256" s="22">
        <v>-1.80511E-2</v>
      </c>
      <c r="AT256" s="22">
        <v>246</v>
      </c>
      <c r="AU256" s="22">
        <v>0.51046800000000003</v>
      </c>
      <c r="AV256">
        <f t="shared" si="44"/>
        <v>18.051100000000002</v>
      </c>
      <c r="AW256">
        <f t="shared" si="45"/>
        <v>9.2299245542000019</v>
      </c>
      <c r="AX256" s="9"/>
      <c r="AY256" s="22">
        <v>1.13876</v>
      </c>
      <c r="AZ256" s="22">
        <v>48.121099999999998</v>
      </c>
      <c r="BA256" s="22">
        <v>-1.7364500000000001E-2</v>
      </c>
      <c r="BB256" s="22">
        <v>246</v>
      </c>
      <c r="BC256" s="22">
        <v>1.1370800000000001</v>
      </c>
      <c r="BD256">
        <f t="shared" si="46"/>
        <v>17.364500000000003</v>
      </c>
      <c r="BE256">
        <f t="shared" si="47"/>
        <v>19.773998020000004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13.382999999999999</v>
      </c>
      <c r="I257" s="22">
        <v>-1.8002299999999999E-2</v>
      </c>
      <c r="J257" s="22">
        <v>247</v>
      </c>
      <c r="K257" s="22">
        <v>0.506714</v>
      </c>
      <c r="L257">
        <f t="shared" si="36"/>
        <v>18.002299999999998</v>
      </c>
      <c r="M257">
        <f t="shared" si="37"/>
        <v>9.1143304600999997</v>
      </c>
      <c r="N257" s="9"/>
      <c r="O257" s="22">
        <v>1.1437999999999999</v>
      </c>
      <c r="P257" s="22">
        <v>26.270700000000001</v>
      </c>
      <c r="Q257" s="22">
        <v>-1.7379800000000001E-2</v>
      </c>
      <c r="R257" s="22">
        <v>247</v>
      </c>
      <c r="S257" s="22">
        <v>1.1425799999999999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0.50628700000000004</v>
      </c>
      <c r="Z257" s="22">
        <v>33.654299999999999</v>
      </c>
      <c r="AA257" s="22">
        <v>-1.8060300000000001E-2</v>
      </c>
      <c r="AB257" s="22">
        <v>247</v>
      </c>
      <c r="AC257" s="22">
        <v>0.50555399999999995</v>
      </c>
      <c r="AD257">
        <f t="shared" si="40"/>
        <v>18.060300000000002</v>
      </c>
      <c r="AE257">
        <f t="shared" si="41"/>
        <v>9.1436951061000009</v>
      </c>
      <c r="AF257" s="9"/>
      <c r="AG257" s="22">
        <v>1.1437999999999999</v>
      </c>
      <c r="AH257" s="22">
        <v>38.558</v>
      </c>
      <c r="AI257" s="22">
        <v>-1.7379800000000001E-2</v>
      </c>
      <c r="AJ257" s="22">
        <v>247</v>
      </c>
      <c r="AK257" s="22">
        <v>1.1422699999999999</v>
      </c>
      <c r="AL257">
        <f t="shared" si="42"/>
        <v>17.379799999999999</v>
      </c>
      <c r="AM257">
        <f t="shared" si="43"/>
        <v>19.879015239999998</v>
      </c>
      <c r="AP257" s="9"/>
      <c r="AQ257" s="22">
        <v>0.50628700000000004</v>
      </c>
      <c r="AR257" s="22">
        <v>43.391500000000001</v>
      </c>
      <c r="AS257" s="22">
        <v>-1.8054199999999999E-2</v>
      </c>
      <c r="AT257" s="22">
        <v>247</v>
      </c>
      <c r="AU257" s="22">
        <v>0.50531000000000004</v>
      </c>
      <c r="AV257">
        <f t="shared" si="44"/>
        <v>18.054199999999998</v>
      </c>
      <c r="AW257">
        <f t="shared" si="45"/>
        <v>9.1406067554000003</v>
      </c>
      <c r="AX257" s="9"/>
      <c r="AY257" s="22">
        <v>1.1437999999999999</v>
      </c>
      <c r="AZ257" s="22">
        <v>48.1312</v>
      </c>
      <c r="BA257" s="22">
        <v>-1.7352300000000001E-2</v>
      </c>
      <c r="BB257" s="22">
        <v>247</v>
      </c>
      <c r="BC257" s="22">
        <v>1.1428799999999999</v>
      </c>
      <c r="BD257">
        <f t="shared" si="46"/>
        <v>17.3523</v>
      </c>
      <c r="BE257">
        <f t="shared" si="47"/>
        <v>19.847560739999999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13.393000000000001</v>
      </c>
      <c r="I258" s="22">
        <v>-1.8005400000000001E-2</v>
      </c>
      <c r="J258" s="22">
        <v>248</v>
      </c>
      <c r="K258" s="22">
        <v>0.50161699999999998</v>
      </c>
      <c r="L258">
        <f t="shared" si="36"/>
        <v>18.005400000000002</v>
      </c>
      <c r="M258">
        <f t="shared" si="37"/>
        <v>9.0252247554</v>
      </c>
      <c r="N258" s="9"/>
      <c r="O258" s="22">
        <v>1.14883</v>
      </c>
      <c r="P258" s="22">
        <v>26.280799999999999</v>
      </c>
      <c r="Q258" s="22">
        <v>-1.7373699999999999E-2</v>
      </c>
      <c r="R258" s="22">
        <v>248</v>
      </c>
      <c r="S258" s="22">
        <v>1.1480699999999999</v>
      </c>
      <c r="T258">
        <f t="shared" si="38"/>
        <v>17.373699999999999</v>
      </c>
      <c r="U258">
        <f t="shared" si="39"/>
        <v>19.959427771000001</v>
      </c>
      <c r="X258" s="9"/>
      <c r="Y258" s="22">
        <v>0.501251</v>
      </c>
      <c r="Z258" s="22">
        <v>33.664400000000001</v>
      </c>
      <c r="AA258" s="22">
        <v>-1.80634E-2</v>
      </c>
      <c r="AB258" s="22">
        <v>248</v>
      </c>
      <c r="AC258" s="22">
        <v>0.50100699999999998</v>
      </c>
      <c r="AD258">
        <f t="shared" si="40"/>
        <v>18.063400000000001</v>
      </c>
      <c r="AE258">
        <f t="shared" si="41"/>
        <v>9.0542973134000011</v>
      </c>
      <c r="AF258" s="9"/>
      <c r="AG258" s="22">
        <v>1.14883</v>
      </c>
      <c r="AH258" s="22">
        <v>38.567999999999998</v>
      </c>
      <c r="AI258" s="22">
        <v>-1.73706E-2</v>
      </c>
      <c r="AJ258" s="22">
        <v>248</v>
      </c>
      <c r="AK258" s="22">
        <v>1.1480699999999999</v>
      </c>
      <c r="AL258">
        <f t="shared" si="42"/>
        <v>17.3706</v>
      </c>
      <c r="AM258">
        <f t="shared" si="43"/>
        <v>19.955866398000001</v>
      </c>
      <c r="AP258" s="9"/>
      <c r="AQ258" s="22">
        <v>0.501251</v>
      </c>
      <c r="AR258" s="22">
        <v>43.401600000000002</v>
      </c>
      <c r="AS258" s="22">
        <v>-1.8060300000000001E-2</v>
      </c>
      <c r="AT258" s="22">
        <v>248</v>
      </c>
      <c r="AU258" s="22">
        <v>0.50039699999999998</v>
      </c>
      <c r="AV258">
        <f t="shared" si="44"/>
        <v>18.060300000000002</v>
      </c>
      <c r="AW258">
        <f t="shared" si="45"/>
        <v>9.0527434353</v>
      </c>
      <c r="AX258" s="9"/>
      <c r="AY258" s="22">
        <v>1.14883</v>
      </c>
      <c r="AZ258" s="22">
        <v>48.141199999999998</v>
      </c>
      <c r="BA258" s="22">
        <v>-1.73431E-2</v>
      </c>
      <c r="BB258" s="22">
        <v>248</v>
      </c>
      <c r="BC258" s="22">
        <v>1.1480699999999999</v>
      </c>
      <c r="BD258">
        <f t="shared" si="46"/>
        <v>17.3431</v>
      </c>
      <c r="BE258">
        <f t="shared" si="47"/>
        <v>19.924273573000001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13.4031</v>
      </c>
      <c r="I259" s="22">
        <v>-1.8008400000000001E-2</v>
      </c>
      <c r="J259" s="22">
        <v>249</v>
      </c>
      <c r="K259" s="22">
        <v>0.495361</v>
      </c>
      <c r="L259">
        <f t="shared" si="36"/>
        <v>18.008400000000002</v>
      </c>
      <c r="M259">
        <f t="shared" si="37"/>
        <v>8.9360562144000006</v>
      </c>
      <c r="N259" s="9"/>
      <c r="O259" s="22">
        <v>1.15387</v>
      </c>
      <c r="P259" s="22">
        <v>26.290900000000001</v>
      </c>
      <c r="Q259" s="22">
        <v>-1.73706E-2</v>
      </c>
      <c r="R259" s="22">
        <v>249</v>
      </c>
      <c r="S259" s="22">
        <v>1.15265</v>
      </c>
      <c r="T259">
        <f t="shared" si="38"/>
        <v>17.3706</v>
      </c>
      <c r="U259">
        <f t="shared" si="39"/>
        <v>20.043414221999999</v>
      </c>
      <c r="X259" s="9"/>
      <c r="Y259" s="22">
        <v>0.49621599999999999</v>
      </c>
      <c r="Z259" s="22">
        <v>33.674500000000002</v>
      </c>
      <c r="AA259" s="22">
        <v>-1.80664E-2</v>
      </c>
      <c r="AB259" s="22">
        <v>249</v>
      </c>
      <c r="AC259" s="22">
        <v>0.49557499999999999</v>
      </c>
      <c r="AD259">
        <f t="shared" si="40"/>
        <v>18.066400000000002</v>
      </c>
      <c r="AE259">
        <f t="shared" si="41"/>
        <v>8.9648367424000011</v>
      </c>
      <c r="AF259" s="9"/>
      <c r="AG259" s="22">
        <v>1.15387</v>
      </c>
      <c r="AH259" s="22">
        <v>38.578099999999999</v>
      </c>
      <c r="AI259" s="22">
        <v>-1.73676E-2</v>
      </c>
      <c r="AJ259" s="22">
        <v>249</v>
      </c>
      <c r="AK259" s="22">
        <v>1.15326</v>
      </c>
      <c r="AL259">
        <f t="shared" si="42"/>
        <v>17.367599999999999</v>
      </c>
      <c r="AM259">
        <f t="shared" si="43"/>
        <v>20.039952611999997</v>
      </c>
      <c r="AP259" s="9"/>
      <c r="AQ259" s="22">
        <v>0.49621599999999999</v>
      </c>
      <c r="AR259" s="22">
        <v>43.411700000000003</v>
      </c>
      <c r="AS259" s="22">
        <v>-1.80664E-2</v>
      </c>
      <c r="AT259" s="22">
        <v>249</v>
      </c>
      <c r="AU259" s="22">
        <v>0.495728</v>
      </c>
      <c r="AV259">
        <f t="shared" si="44"/>
        <v>18.066400000000002</v>
      </c>
      <c r="AW259">
        <f t="shared" si="45"/>
        <v>8.9648367424000011</v>
      </c>
      <c r="AX259" s="9"/>
      <c r="AY259" s="22">
        <v>1.15387</v>
      </c>
      <c r="AZ259" s="22">
        <v>48.151299999999999</v>
      </c>
      <c r="BA259" s="22">
        <v>-1.7333999999999999E-2</v>
      </c>
      <c r="BB259" s="22">
        <v>249</v>
      </c>
      <c r="BC259" s="22">
        <v>1.1529499999999999</v>
      </c>
      <c r="BD259">
        <f t="shared" si="46"/>
        <v>17.334</v>
      </c>
      <c r="BE259">
        <f t="shared" si="47"/>
        <v>20.001182579999998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13.4132</v>
      </c>
      <c r="I260" s="22">
        <v>-1.8014499999999999E-2</v>
      </c>
      <c r="J260" s="22">
        <v>250</v>
      </c>
      <c r="K260" s="22">
        <v>0.49041699999999999</v>
      </c>
      <c r="L260">
        <f t="shared" si="36"/>
        <v>18.014499999999998</v>
      </c>
      <c r="M260">
        <f t="shared" si="37"/>
        <v>8.8483621100000001</v>
      </c>
      <c r="N260" s="9"/>
      <c r="O260" s="22">
        <v>1.1589100000000001</v>
      </c>
      <c r="P260" s="22">
        <v>26.300899999999999</v>
      </c>
      <c r="Q260" s="22">
        <v>-1.73584E-2</v>
      </c>
      <c r="R260" s="22">
        <v>250</v>
      </c>
      <c r="S260" s="22">
        <v>1.15784</v>
      </c>
      <c r="T260">
        <f t="shared" si="38"/>
        <v>17.3584</v>
      </c>
      <c r="U260">
        <f t="shared" si="39"/>
        <v>20.116823344</v>
      </c>
      <c r="X260" s="9"/>
      <c r="Y260" s="22">
        <v>0.49118000000000001</v>
      </c>
      <c r="Z260" s="22">
        <v>33.684600000000003</v>
      </c>
      <c r="AA260" s="22">
        <v>-1.8069499999999999E-2</v>
      </c>
      <c r="AB260" s="22">
        <v>250</v>
      </c>
      <c r="AC260" s="22">
        <v>0.49069200000000002</v>
      </c>
      <c r="AD260">
        <f t="shared" si="40"/>
        <v>18.069499999999998</v>
      </c>
      <c r="AE260">
        <f t="shared" si="41"/>
        <v>8.8753770099999993</v>
      </c>
      <c r="AF260" s="9"/>
      <c r="AG260" s="22">
        <v>1.1589100000000001</v>
      </c>
      <c r="AH260" s="22">
        <v>38.588200000000001</v>
      </c>
      <c r="AI260" s="22">
        <v>-1.7355300000000001E-2</v>
      </c>
      <c r="AJ260" s="22">
        <v>250</v>
      </c>
      <c r="AK260" s="22">
        <v>1.1575299999999999</v>
      </c>
      <c r="AL260">
        <f t="shared" si="42"/>
        <v>17.3553</v>
      </c>
      <c r="AM260">
        <f t="shared" si="43"/>
        <v>20.113230723000001</v>
      </c>
      <c r="AP260" s="9"/>
      <c r="AQ260" s="22">
        <v>0.49118000000000001</v>
      </c>
      <c r="AR260" s="22">
        <v>43.421799999999998</v>
      </c>
      <c r="AS260" s="22">
        <v>-1.8072499999999998E-2</v>
      </c>
      <c r="AT260" s="22">
        <v>250</v>
      </c>
      <c r="AU260" s="22">
        <v>0.49060100000000001</v>
      </c>
      <c r="AV260">
        <f t="shared" si="44"/>
        <v>18.072499999999998</v>
      </c>
      <c r="AW260">
        <f t="shared" si="45"/>
        <v>8.8768505499999986</v>
      </c>
      <c r="AX260" s="9"/>
      <c r="AY260" s="22">
        <v>1.1589100000000001</v>
      </c>
      <c r="AZ260" s="22">
        <v>48.1614</v>
      </c>
      <c r="BA260" s="22">
        <v>-1.73279E-2</v>
      </c>
      <c r="BB260" s="22">
        <v>250</v>
      </c>
      <c r="BC260" s="22">
        <v>1.15784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13.423299999999999</v>
      </c>
      <c r="I261" s="22">
        <v>-1.8020600000000001E-2</v>
      </c>
      <c r="J261" s="22">
        <v>251</v>
      </c>
      <c r="K261" s="22">
        <v>0.48529099999999997</v>
      </c>
      <c r="L261">
        <f t="shared" si="36"/>
        <v>18.020600000000002</v>
      </c>
      <c r="M261">
        <f t="shared" si="37"/>
        <v>8.7606245870000006</v>
      </c>
      <c r="N261" s="9"/>
      <c r="O261" s="22">
        <v>1.16394</v>
      </c>
      <c r="P261" s="22">
        <v>26.311</v>
      </c>
      <c r="Q261" s="22">
        <v>-1.7352300000000001E-2</v>
      </c>
      <c r="R261" s="22">
        <v>251</v>
      </c>
      <c r="S261" s="22">
        <v>1.16333</v>
      </c>
      <c r="T261">
        <f t="shared" si="38"/>
        <v>17.3523</v>
      </c>
      <c r="U261">
        <f t="shared" si="39"/>
        <v>20.197036061999999</v>
      </c>
      <c r="X261" s="9"/>
      <c r="Y261" s="22">
        <v>0.48614499999999999</v>
      </c>
      <c r="Z261" s="22">
        <v>33.694600000000001</v>
      </c>
      <c r="AA261" s="22">
        <v>-1.8072499999999998E-2</v>
      </c>
      <c r="AB261" s="22">
        <v>251</v>
      </c>
      <c r="AC261" s="22">
        <v>0.48556500000000002</v>
      </c>
      <c r="AD261">
        <f t="shared" si="40"/>
        <v>18.072499999999998</v>
      </c>
      <c r="AE261">
        <f t="shared" si="41"/>
        <v>8.7858555124999995</v>
      </c>
      <c r="AF261" s="9"/>
      <c r="AG261" s="22">
        <v>1.16394</v>
      </c>
      <c r="AH261" s="22">
        <v>38.598199999999999</v>
      </c>
      <c r="AI261" s="22">
        <v>-1.7346199999999999E-2</v>
      </c>
      <c r="AJ261" s="22">
        <v>251</v>
      </c>
      <c r="AK261" s="22">
        <v>1.1630199999999999</v>
      </c>
      <c r="AL261">
        <f t="shared" si="42"/>
        <v>17.3462</v>
      </c>
      <c r="AM261">
        <f t="shared" si="43"/>
        <v>20.189936027999998</v>
      </c>
      <c r="AP261" s="9"/>
      <c r="AQ261" s="22">
        <v>0.48614499999999999</v>
      </c>
      <c r="AR261" s="22">
        <v>43.431800000000003</v>
      </c>
      <c r="AS261" s="22">
        <v>-1.8075600000000001E-2</v>
      </c>
      <c r="AT261" s="22">
        <v>251</v>
      </c>
      <c r="AU261" s="22">
        <v>0.48553499999999999</v>
      </c>
      <c r="AV261">
        <f t="shared" si="44"/>
        <v>18.075600000000001</v>
      </c>
      <c r="AW261">
        <f t="shared" si="45"/>
        <v>8.7873625620000002</v>
      </c>
      <c r="AX261" s="9"/>
      <c r="AY261" s="22">
        <v>1.16394</v>
      </c>
      <c r="AZ261" s="22">
        <v>48.171399999999998</v>
      </c>
      <c r="BA261" s="22">
        <v>-1.7318699999999999E-2</v>
      </c>
      <c r="BB261" s="22">
        <v>251</v>
      </c>
      <c r="BC261" s="22">
        <v>1.16364</v>
      </c>
      <c r="BD261">
        <f t="shared" si="46"/>
        <v>17.3187</v>
      </c>
      <c r="BE261">
        <f t="shared" si="47"/>
        <v>20.157927678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13.433299999999999</v>
      </c>
      <c r="I262" s="22">
        <v>-1.80267E-2</v>
      </c>
      <c r="J262" s="22">
        <v>252</v>
      </c>
      <c r="K262" s="22">
        <v>0.48043799999999998</v>
      </c>
      <c r="L262">
        <f t="shared" si="36"/>
        <v>18.026699999999998</v>
      </c>
      <c r="M262">
        <f t="shared" si="37"/>
        <v>8.672825636999999</v>
      </c>
      <c r="N262" s="9"/>
      <c r="O262" s="22">
        <v>1.1689799999999999</v>
      </c>
      <c r="P262" s="22">
        <v>26.321100000000001</v>
      </c>
      <c r="Q262" s="22">
        <v>-1.73431E-2</v>
      </c>
      <c r="R262" s="22">
        <v>252</v>
      </c>
      <c r="S262" s="22">
        <v>1.1676</v>
      </c>
      <c r="T262">
        <f t="shared" si="38"/>
        <v>17.3431</v>
      </c>
      <c r="U262">
        <f t="shared" si="39"/>
        <v>20.273737037999997</v>
      </c>
      <c r="X262" s="9"/>
      <c r="Y262" s="22">
        <v>0.48110999999999998</v>
      </c>
      <c r="Z262" s="22">
        <v>33.704700000000003</v>
      </c>
      <c r="AA262" s="22">
        <v>-1.80786E-2</v>
      </c>
      <c r="AB262" s="22">
        <v>252</v>
      </c>
      <c r="AC262" s="22">
        <v>0.48055999999999999</v>
      </c>
      <c r="AD262">
        <f t="shared" si="40"/>
        <v>18.078600000000002</v>
      </c>
      <c r="AE262">
        <f t="shared" si="41"/>
        <v>8.6977952460000001</v>
      </c>
      <c r="AF262" s="9"/>
      <c r="AG262" s="22">
        <v>1.1689799999999999</v>
      </c>
      <c r="AH262" s="22">
        <v>38.6083</v>
      </c>
      <c r="AI262" s="22">
        <v>-1.73431E-2</v>
      </c>
      <c r="AJ262" s="22">
        <v>252</v>
      </c>
      <c r="AK262" s="22">
        <v>1.1676</v>
      </c>
      <c r="AL262">
        <f t="shared" si="42"/>
        <v>17.3431</v>
      </c>
      <c r="AM262">
        <f t="shared" si="43"/>
        <v>20.273737037999997</v>
      </c>
      <c r="AP262" s="9"/>
      <c r="AQ262" s="22">
        <v>0.48110999999999998</v>
      </c>
      <c r="AR262" s="22">
        <v>43.441899999999997</v>
      </c>
      <c r="AS262" s="22">
        <v>-1.8081699999999999E-2</v>
      </c>
      <c r="AT262" s="22">
        <v>252</v>
      </c>
      <c r="AU262" s="22">
        <v>0.48028599999999999</v>
      </c>
      <c r="AV262">
        <f t="shared" si="44"/>
        <v>18.081699999999998</v>
      </c>
      <c r="AW262">
        <f t="shared" si="45"/>
        <v>8.699286686999999</v>
      </c>
      <c r="AX262" s="9"/>
      <c r="AY262" s="22">
        <v>1.1689799999999999</v>
      </c>
      <c r="AZ262" s="22">
        <v>48.1815</v>
      </c>
      <c r="BA262" s="22">
        <v>-1.7312600000000001E-2</v>
      </c>
      <c r="BB262" s="22">
        <v>252</v>
      </c>
      <c r="BC262" s="22">
        <v>1.16852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13.4434</v>
      </c>
      <c r="I263" s="22">
        <v>-1.8029799999999999E-2</v>
      </c>
      <c r="J263" s="22">
        <v>253</v>
      </c>
      <c r="K263" s="22">
        <v>0.47403000000000001</v>
      </c>
      <c r="L263">
        <f t="shared" si="36"/>
        <v>18.029799999999998</v>
      </c>
      <c r="M263">
        <f t="shared" si="37"/>
        <v>8.5835190051999994</v>
      </c>
      <c r="N263" s="9"/>
      <c r="O263" s="22">
        <v>1.17401</v>
      </c>
      <c r="P263" s="22">
        <v>26.331099999999999</v>
      </c>
      <c r="Q263" s="22">
        <v>-1.73309E-2</v>
      </c>
      <c r="R263" s="22">
        <v>253</v>
      </c>
      <c r="S263" s="22">
        <v>1.17371</v>
      </c>
      <c r="T263">
        <f t="shared" si="38"/>
        <v>17.3309</v>
      </c>
      <c r="U263">
        <f t="shared" si="39"/>
        <v>20.346649909</v>
      </c>
      <c r="X263" s="9"/>
      <c r="Y263" s="22">
        <v>0.476074</v>
      </c>
      <c r="Z263" s="22">
        <v>33.714799999999997</v>
      </c>
      <c r="AA263" s="22">
        <v>-1.8081699999999999E-2</v>
      </c>
      <c r="AB263" s="22">
        <v>253</v>
      </c>
      <c r="AC263" s="22">
        <v>0.47543299999999999</v>
      </c>
      <c r="AD263">
        <f t="shared" si="40"/>
        <v>18.081699999999998</v>
      </c>
      <c r="AE263">
        <f t="shared" si="41"/>
        <v>8.6082272457999984</v>
      </c>
      <c r="AF263" s="9"/>
      <c r="AG263" s="22">
        <v>1.17401</v>
      </c>
      <c r="AH263" s="22">
        <v>38.618400000000001</v>
      </c>
      <c r="AI263" s="22">
        <v>-1.7337000000000002E-2</v>
      </c>
      <c r="AJ263" s="22">
        <v>253</v>
      </c>
      <c r="AK263" s="22">
        <v>1.17279</v>
      </c>
      <c r="AL263">
        <f t="shared" si="42"/>
        <v>17.337000000000003</v>
      </c>
      <c r="AM263">
        <f t="shared" si="43"/>
        <v>20.353811370000003</v>
      </c>
      <c r="AP263" s="9"/>
      <c r="AQ263" s="22">
        <v>0.476074</v>
      </c>
      <c r="AR263" s="22">
        <v>43.451999999999998</v>
      </c>
      <c r="AS263" s="22">
        <v>-1.8084699999999999E-2</v>
      </c>
      <c r="AT263" s="22">
        <v>253</v>
      </c>
      <c r="AU263" s="22">
        <v>0.47521999999999998</v>
      </c>
      <c r="AV263">
        <f t="shared" si="44"/>
        <v>18.084699999999998</v>
      </c>
      <c r="AW263">
        <f t="shared" si="45"/>
        <v>8.6096554677999997</v>
      </c>
      <c r="AX263" s="9"/>
      <c r="AY263" s="22">
        <v>1.17401</v>
      </c>
      <c r="AZ263" s="22">
        <v>48.191600000000001</v>
      </c>
      <c r="BA263" s="22">
        <v>-1.73004E-2</v>
      </c>
      <c r="BB263" s="22">
        <v>253</v>
      </c>
      <c r="BC263" s="22">
        <v>1.1734</v>
      </c>
      <c r="BD263">
        <f t="shared" si="46"/>
        <v>17.3004</v>
      </c>
      <c r="BE263">
        <f t="shared" si="47"/>
        <v>20.310842604000001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13.4535</v>
      </c>
      <c r="I264" s="22">
        <v>-1.8032800000000002E-2</v>
      </c>
      <c r="J264" s="22">
        <v>254</v>
      </c>
      <c r="K264" s="22">
        <v>0.47012300000000001</v>
      </c>
      <c r="L264">
        <f t="shared" si="36"/>
        <v>18.032800000000002</v>
      </c>
      <c r="M264">
        <f t="shared" si="37"/>
        <v>8.4941520792000009</v>
      </c>
      <c r="N264" s="9"/>
      <c r="O264" s="22">
        <v>1.1790499999999999</v>
      </c>
      <c r="P264" s="22">
        <v>26.341200000000001</v>
      </c>
      <c r="Q264" s="22">
        <v>-1.7324800000000001E-2</v>
      </c>
      <c r="R264" s="22">
        <v>254</v>
      </c>
      <c r="S264" s="22">
        <v>1.17828</v>
      </c>
      <c r="T264">
        <f t="shared" si="38"/>
        <v>17.3248</v>
      </c>
      <c r="U264">
        <f t="shared" si="39"/>
        <v>20.426805439999999</v>
      </c>
      <c r="X264" s="9"/>
      <c r="Y264" s="22">
        <v>0.47103899999999999</v>
      </c>
      <c r="Z264" s="22">
        <v>33.724800000000002</v>
      </c>
      <c r="AA264" s="22">
        <v>-1.8084699999999999E-2</v>
      </c>
      <c r="AB264" s="22">
        <v>254</v>
      </c>
      <c r="AC264" s="22">
        <v>0.47018399999999999</v>
      </c>
      <c r="AD264">
        <f t="shared" si="40"/>
        <v>18.084699999999998</v>
      </c>
      <c r="AE264">
        <f t="shared" si="41"/>
        <v>8.5185990032999985</v>
      </c>
      <c r="AF264" s="9"/>
      <c r="AG264" s="22">
        <v>1.1790499999999999</v>
      </c>
      <c r="AH264" s="22">
        <v>38.628500000000003</v>
      </c>
      <c r="AI264" s="22">
        <v>-1.73309E-2</v>
      </c>
      <c r="AJ264" s="22">
        <v>254</v>
      </c>
      <c r="AK264" s="22">
        <v>1.17798</v>
      </c>
      <c r="AL264">
        <f t="shared" si="42"/>
        <v>17.3309</v>
      </c>
      <c r="AM264">
        <f t="shared" si="43"/>
        <v>20.433997644999998</v>
      </c>
      <c r="AP264" s="9"/>
      <c r="AQ264" s="22">
        <v>0.47103899999999999</v>
      </c>
      <c r="AR264" s="22">
        <v>43.462000000000003</v>
      </c>
      <c r="AS264" s="22">
        <v>-1.8090800000000001E-2</v>
      </c>
      <c r="AT264" s="22">
        <v>254</v>
      </c>
      <c r="AU264" s="22">
        <v>0.470642</v>
      </c>
      <c r="AV264">
        <f t="shared" si="44"/>
        <v>18.090800000000002</v>
      </c>
      <c r="AW264">
        <f t="shared" si="45"/>
        <v>8.5214723412000009</v>
      </c>
      <c r="AX264" s="9"/>
      <c r="AY264" s="22">
        <v>1.1790499999999999</v>
      </c>
      <c r="AZ264" s="22">
        <v>48.201700000000002</v>
      </c>
      <c r="BA264" s="22">
        <v>-1.72882E-2</v>
      </c>
      <c r="BB264" s="22">
        <v>254</v>
      </c>
      <c r="BC264" s="22">
        <v>1.17859</v>
      </c>
      <c r="BD264">
        <f t="shared" si="46"/>
        <v>17.2882</v>
      </c>
      <c r="BE264">
        <f t="shared" si="47"/>
        <v>20.383652209999997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13.4635</v>
      </c>
      <c r="I265" s="22">
        <v>-1.8035900000000001E-2</v>
      </c>
      <c r="J265" s="22">
        <v>255</v>
      </c>
      <c r="K265" s="22">
        <v>0.46530199999999999</v>
      </c>
      <c r="L265">
        <f t="shared" si="36"/>
        <v>18.035900000000002</v>
      </c>
      <c r="M265">
        <f t="shared" si="37"/>
        <v>8.4047835077000013</v>
      </c>
      <c r="N265" s="9"/>
      <c r="O265" s="22">
        <v>1.18408</v>
      </c>
      <c r="P265" s="22">
        <v>26.351299999999998</v>
      </c>
      <c r="Q265" s="22">
        <v>-1.73157E-2</v>
      </c>
      <c r="R265" s="22">
        <v>255</v>
      </c>
      <c r="S265" s="22">
        <v>1.18347</v>
      </c>
      <c r="T265">
        <f t="shared" si="38"/>
        <v>17.3157</v>
      </c>
      <c r="U265">
        <f t="shared" si="39"/>
        <v>20.503174055999999</v>
      </c>
      <c r="X265" s="9"/>
      <c r="Y265" s="22">
        <v>0.466003</v>
      </c>
      <c r="Z265" s="22">
        <v>33.734900000000003</v>
      </c>
      <c r="AA265" s="22">
        <v>-1.8090800000000001E-2</v>
      </c>
      <c r="AB265" s="22">
        <v>255</v>
      </c>
      <c r="AC265" s="22">
        <v>0.465393</v>
      </c>
      <c r="AD265">
        <f t="shared" si="40"/>
        <v>18.090800000000002</v>
      </c>
      <c r="AE265">
        <f t="shared" si="41"/>
        <v>8.430367072400001</v>
      </c>
      <c r="AF265" s="9"/>
      <c r="AG265" s="22">
        <v>1.18408</v>
      </c>
      <c r="AH265" s="22">
        <v>38.638500000000001</v>
      </c>
      <c r="AI265" s="22">
        <v>-1.7324800000000001E-2</v>
      </c>
      <c r="AJ265" s="22">
        <v>255</v>
      </c>
      <c r="AK265" s="22">
        <v>1.1831700000000001</v>
      </c>
      <c r="AL265">
        <f t="shared" si="42"/>
        <v>17.3248</v>
      </c>
      <c r="AM265">
        <f t="shared" si="43"/>
        <v>20.513949184000001</v>
      </c>
      <c r="AP265" s="9"/>
      <c r="AQ265" s="22">
        <v>0.466003</v>
      </c>
      <c r="AR265" s="22">
        <v>43.472099999999998</v>
      </c>
      <c r="AS265" s="22">
        <v>-1.80939E-2</v>
      </c>
      <c r="AT265" s="22">
        <v>255</v>
      </c>
      <c r="AU265" s="22">
        <v>0.465424</v>
      </c>
      <c r="AV265">
        <f t="shared" si="44"/>
        <v>18.093899999999998</v>
      </c>
      <c r="AW265">
        <f t="shared" si="45"/>
        <v>8.4318116816999993</v>
      </c>
      <c r="AX265" s="9"/>
      <c r="AY265" s="22">
        <v>1.18408</v>
      </c>
      <c r="AZ265" s="22">
        <v>48.2117</v>
      </c>
      <c r="BA265" s="22">
        <v>-1.7276E-2</v>
      </c>
      <c r="BB265" s="22">
        <v>255</v>
      </c>
      <c r="BC265" s="22">
        <v>1.1831700000000001</v>
      </c>
      <c r="BD265">
        <f t="shared" si="46"/>
        <v>17.276</v>
      </c>
      <c r="BE265">
        <f t="shared" si="47"/>
        <v>20.456166079999999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13.473599999999999</v>
      </c>
      <c r="I266" s="22">
        <v>-1.80389E-2</v>
      </c>
      <c r="J266" s="22">
        <v>256</v>
      </c>
      <c r="K266" s="22">
        <v>0.46008300000000002</v>
      </c>
      <c r="L266">
        <f t="shared" si="36"/>
        <v>18.038900000000002</v>
      </c>
      <c r="M266">
        <f t="shared" si="37"/>
        <v>8.3153556552000012</v>
      </c>
      <c r="N266" s="9"/>
      <c r="O266" s="22">
        <v>1.18912</v>
      </c>
      <c r="P266" s="22">
        <v>26.3614</v>
      </c>
      <c r="Q266" s="22">
        <v>-1.7306499999999999E-2</v>
      </c>
      <c r="R266" s="22">
        <v>256</v>
      </c>
      <c r="S266" s="22">
        <v>1.1880500000000001</v>
      </c>
      <c r="T266">
        <f t="shared" si="38"/>
        <v>17.3065</v>
      </c>
      <c r="U266">
        <f t="shared" si="39"/>
        <v>20.579505279999999</v>
      </c>
      <c r="X266" s="9"/>
      <c r="Y266" s="22">
        <v>0.46096799999999999</v>
      </c>
      <c r="Z266" s="22">
        <v>33.744999999999997</v>
      </c>
      <c r="AA266" s="22">
        <v>-1.8096899999999999E-2</v>
      </c>
      <c r="AB266" s="22">
        <v>256</v>
      </c>
      <c r="AC266" s="22">
        <v>0.46038800000000002</v>
      </c>
      <c r="AD266">
        <f t="shared" si="40"/>
        <v>18.096899999999998</v>
      </c>
      <c r="AE266">
        <f t="shared" si="41"/>
        <v>8.3420917991999985</v>
      </c>
      <c r="AF266" s="9"/>
      <c r="AG266" s="22">
        <v>1.18912</v>
      </c>
      <c r="AH266" s="22">
        <v>38.648600000000002</v>
      </c>
      <c r="AI266" s="22">
        <v>-1.73157E-2</v>
      </c>
      <c r="AJ266" s="22">
        <v>256</v>
      </c>
      <c r="AK266" s="22">
        <v>1.18835</v>
      </c>
      <c r="AL266">
        <f t="shared" si="42"/>
        <v>17.3157</v>
      </c>
      <c r="AM266">
        <f t="shared" si="43"/>
        <v>20.590445184</v>
      </c>
      <c r="AP266" s="9"/>
      <c r="AQ266" s="22">
        <v>0.46096799999999999</v>
      </c>
      <c r="AR266" s="22">
        <v>43.482199999999999</v>
      </c>
      <c r="AS266" s="22">
        <v>-1.8100000000000002E-2</v>
      </c>
      <c r="AT266" s="22">
        <v>256</v>
      </c>
      <c r="AU266" s="22">
        <v>0.46005200000000002</v>
      </c>
      <c r="AV266">
        <f t="shared" si="44"/>
        <v>18.100000000000001</v>
      </c>
      <c r="AW266">
        <f t="shared" si="45"/>
        <v>8.3435208000000003</v>
      </c>
      <c r="AX266" s="9"/>
      <c r="AY266" s="22">
        <v>1.18912</v>
      </c>
      <c r="AZ266" s="22">
        <v>48.221800000000002</v>
      </c>
      <c r="BA266" s="22">
        <v>-1.7269900000000001E-2</v>
      </c>
      <c r="BB266" s="22">
        <v>256</v>
      </c>
      <c r="BC266" s="22">
        <v>1.18835</v>
      </c>
      <c r="BD266">
        <f t="shared" si="46"/>
        <v>17.2699</v>
      </c>
      <c r="BE266">
        <f t="shared" si="47"/>
        <v>20.535983487999999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13.483700000000001</v>
      </c>
      <c r="I267" s="22">
        <v>-1.8048100000000001E-2</v>
      </c>
      <c r="J267" s="22">
        <v>257</v>
      </c>
      <c r="K267" s="22">
        <v>0.45519999999999999</v>
      </c>
      <c r="L267">
        <f t="shared" si="36"/>
        <v>18.048100000000002</v>
      </c>
      <c r="M267">
        <f t="shared" si="37"/>
        <v>8.2287243773000007</v>
      </c>
      <c r="N267" s="9"/>
      <c r="O267" s="22">
        <v>1.19415</v>
      </c>
      <c r="P267" s="22">
        <v>26.371400000000001</v>
      </c>
      <c r="Q267" s="22">
        <v>-1.7297400000000001E-2</v>
      </c>
      <c r="R267" s="22">
        <v>257</v>
      </c>
      <c r="S267" s="22">
        <v>1.19354</v>
      </c>
      <c r="T267">
        <f t="shared" si="38"/>
        <v>17.2974</v>
      </c>
      <c r="U267">
        <f t="shared" si="39"/>
        <v>20.655690209999999</v>
      </c>
      <c r="X267" s="9"/>
      <c r="Y267" s="22">
        <v>0.45593299999999998</v>
      </c>
      <c r="Z267" s="22">
        <v>33.755099999999999</v>
      </c>
      <c r="AA267" s="22">
        <v>-1.8100000000000002E-2</v>
      </c>
      <c r="AB267" s="22">
        <v>257</v>
      </c>
      <c r="AC267" s="22">
        <v>0.45541399999999999</v>
      </c>
      <c r="AD267">
        <f t="shared" si="40"/>
        <v>18.100000000000001</v>
      </c>
      <c r="AE267">
        <f t="shared" si="41"/>
        <v>8.2523873000000005</v>
      </c>
      <c r="AF267" s="9"/>
      <c r="AG267" s="22">
        <v>1.19415</v>
      </c>
      <c r="AH267" s="22">
        <v>38.658700000000003</v>
      </c>
      <c r="AI267" s="22">
        <v>-1.7303499999999999E-2</v>
      </c>
      <c r="AJ267" s="22">
        <v>257</v>
      </c>
      <c r="AK267" s="22">
        <v>1.19354</v>
      </c>
      <c r="AL267">
        <f t="shared" si="42"/>
        <v>17.3035</v>
      </c>
      <c r="AM267">
        <f t="shared" si="43"/>
        <v>20.662974524999999</v>
      </c>
      <c r="AP267" s="9"/>
      <c r="AQ267" s="22">
        <v>0.45593299999999998</v>
      </c>
      <c r="AR267" s="22">
        <v>43.4923</v>
      </c>
      <c r="AS267" s="22">
        <v>-1.81061E-2</v>
      </c>
      <c r="AT267" s="22">
        <v>257</v>
      </c>
      <c r="AU267" s="22">
        <v>0.45556600000000003</v>
      </c>
      <c r="AV267">
        <f t="shared" si="44"/>
        <v>18.106100000000001</v>
      </c>
      <c r="AW267">
        <f t="shared" si="45"/>
        <v>8.255168491300001</v>
      </c>
      <c r="AX267" s="9"/>
      <c r="AY267" s="22">
        <v>1.19415</v>
      </c>
      <c r="AZ267" s="22">
        <v>48.231900000000003</v>
      </c>
      <c r="BA267" s="22">
        <v>-1.72607E-2</v>
      </c>
      <c r="BB267" s="22">
        <v>257</v>
      </c>
      <c r="BC267" s="22">
        <v>1.19293</v>
      </c>
      <c r="BD267">
        <f t="shared" si="46"/>
        <v>17.2607</v>
      </c>
      <c r="BE267">
        <f t="shared" si="47"/>
        <v>20.611864905000001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13.4937</v>
      </c>
      <c r="I268" s="22">
        <v>-1.8054199999999999E-2</v>
      </c>
      <c r="J268" s="22">
        <v>258</v>
      </c>
      <c r="K268" s="22">
        <v>0.45028699999999999</v>
      </c>
      <c r="L268">
        <f t="shared" ref="L268:L331" si="48">-I268/$F$2*1000</f>
        <v>18.054199999999998</v>
      </c>
      <c r="M268">
        <f t="shared" ref="M268:M331" si="49">L268*G268</f>
        <v>8.1405846173999983</v>
      </c>
      <c r="N268" s="9"/>
      <c r="O268" s="22">
        <v>1.19919</v>
      </c>
      <c r="P268" s="22">
        <v>26.381499999999999</v>
      </c>
      <c r="Q268" s="22">
        <v>-1.72882E-2</v>
      </c>
      <c r="R268" s="22">
        <v>258</v>
      </c>
      <c r="S268" s="22">
        <v>1.1984300000000001</v>
      </c>
      <c r="T268">
        <f t="shared" ref="T268:T331" si="50">-Q268/$F$2*1000</f>
        <v>17.2882</v>
      </c>
      <c r="U268">
        <f t="shared" ref="U268:U331" si="51">T268*O268</f>
        <v>20.731836557999998</v>
      </c>
      <c r="X268" s="9"/>
      <c r="Y268" s="22">
        <v>0.45089699999999999</v>
      </c>
      <c r="Z268" s="22">
        <v>33.765099999999997</v>
      </c>
      <c r="AA268" s="22">
        <v>-1.8103000000000001E-2</v>
      </c>
      <c r="AB268" s="22">
        <v>258</v>
      </c>
      <c r="AC268" s="22">
        <v>0.45031700000000002</v>
      </c>
      <c r="AD268">
        <f t="shared" ref="AD268:AD331" si="52">-AA268/$F$2*1000</f>
        <v>18.103000000000002</v>
      </c>
      <c r="AE268">
        <f t="shared" ref="AE268:AE331" si="53">AD268*Y268</f>
        <v>8.1625883909999999</v>
      </c>
      <c r="AF268" s="9"/>
      <c r="AG268" s="22">
        <v>1.19919</v>
      </c>
      <c r="AH268" s="22">
        <v>38.668700000000001</v>
      </c>
      <c r="AI268" s="22">
        <v>-1.7294299999999999E-2</v>
      </c>
      <c r="AJ268" s="22">
        <v>258</v>
      </c>
      <c r="AK268" s="22">
        <v>1.1984300000000001</v>
      </c>
      <c r="AL268">
        <f t="shared" ref="AL268:AL331" si="54">-AI268/$F$2*1000</f>
        <v>17.2943</v>
      </c>
      <c r="AM268">
        <f t="shared" ref="AM268:AM331" si="55">AL268*AG268</f>
        <v>20.739151617000001</v>
      </c>
      <c r="AP268" s="9"/>
      <c r="AQ268" s="22">
        <v>0.45089699999999999</v>
      </c>
      <c r="AR268" s="22">
        <v>43.502299999999998</v>
      </c>
      <c r="AS268" s="22">
        <v>-1.81091E-2</v>
      </c>
      <c r="AT268" s="22">
        <v>258</v>
      </c>
      <c r="AU268" s="22">
        <v>0.45050000000000001</v>
      </c>
      <c r="AV268">
        <f t="shared" ref="AV268:AV331" si="56">-AS268/$F$2*1000</f>
        <v>18.109099999999998</v>
      </c>
      <c r="AW268">
        <f t="shared" ref="AW268:AW331" si="57">AV268*AQ268</f>
        <v>8.1653388626999988</v>
      </c>
      <c r="AX268" s="9"/>
      <c r="AY268" s="22">
        <v>1.19919</v>
      </c>
      <c r="AZ268" s="22">
        <v>48.241900000000001</v>
      </c>
      <c r="BA268" s="22">
        <v>-1.7254599999999998E-2</v>
      </c>
      <c r="BB268" s="22">
        <v>258</v>
      </c>
      <c r="BC268" s="22">
        <v>1.1984300000000001</v>
      </c>
      <c r="BD268">
        <f t="shared" ref="BD268:BD331" si="58">-BA268/$F$2*1000</f>
        <v>17.2546</v>
      </c>
      <c r="BE268">
        <f t="shared" ref="BE268:BE331" si="59">BD268*AY268</f>
        <v>20.691543773999999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13.5038</v>
      </c>
      <c r="I269" s="22">
        <v>-1.8057299999999998E-2</v>
      </c>
      <c r="J269" s="22">
        <v>259</v>
      </c>
      <c r="K269" s="22">
        <v>0.44509900000000002</v>
      </c>
      <c r="L269">
        <f t="shared" si="48"/>
        <v>18.057299999999998</v>
      </c>
      <c r="M269">
        <f t="shared" si="49"/>
        <v>8.0510638925999984</v>
      </c>
      <c r="N269" s="9"/>
      <c r="O269" s="22">
        <v>1.2042200000000001</v>
      </c>
      <c r="P269" s="22">
        <v>26.3916</v>
      </c>
      <c r="Q269" s="22">
        <v>-1.7279099999999999E-2</v>
      </c>
      <c r="R269" s="22">
        <v>259</v>
      </c>
      <c r="S269" s="22">
        <v>1.2030000000000001</v>
      </c>
      <c r="T269">
        <f t="shared" si="50"/>
        <v>17.2791</v>
      </c>
      <c r="U269">
        <f t="shared" si="51"/>
        <v>20.807837802000002</v>
      </c>
      <c r="X269" s="9"/>
      <c r="Y269" s="22">
        <v>0.44586199999999998</v>
      </c>
      <c r="Z269" s="22">
        <v>33.775199999999998</v>
      </c>
      <c r="AA269" s="22">
        <v>-1.8112199999999998E-2</v>
      </c>
      <c r="AB269" s="22">
        <v>259</v>
      </c>
      <c r="AC269" s="22">
        <v>0.44516</v>
      </c>
      <c r="AD269">
        <f t="shared" si="52"/>
        <v>18.112199999999998</v>
      </c>
      <c r="AE269">
        <f t="shared" si="53"/>
        <v>8.0755417163999983</v>
      </c>
      <c r="AF269" s="9"/>
      <c r="AG269" s="22">
        <v>1.2042200000000001</v>
      </c>
      <c r="AH269" s="22">
        <v>38.678800000000003</v>
      </c>
      <c r="AI269" s="22">
        <v>-1.7285200000000001E-2</v>
      </c>
      <c r="AJ269" s="22">
        <v>259</v>
      </c>
      <c r="AK269" s="22">
        <v>1.2030000000000001</v>
      </c>
      <c r="AL269">
        <f t="shared" si="54"/>
        <v>17.2852</v>
      </c>
      <c r="AM269">
        <f t="shared" si="55"/>
        <v>20.815183544</v>
      </c>
      <c r="AP269" s="9"/>
      <c r="AQ269" s="22">
        <v>0.44586199999999998</v>
      </c>
      <c r="AR269" s="22">
        <v>43.5124</v>
      </c>
      <c r="AS269" s="22">
        <v>-1.8112199999999998E-2</v>
      </c>
      <c r="AT269" s="22">
        <v>259</v>
      </c>
      <c r="AU269" s="22">
        <v>0.44525100000000001</v>
      </c>
      <c r="AV269">
        <f t="shared" si="56"/>
        <v>18.112199999999998</v>
      </c>
      <c r="AW269">
        <f t="shared" si="57"/>
        <v>8.0755417163999983</v>
      </c>
      <c r="AX269" s="9"/>
      <c r="AY269" s="22">
        <v>1.2042200000000001</v>
      </c>
      <c r="AZ269" s="22">
        <v>48.252000000000002</v>
      </c>
      <c r="BA269" s="22">
        <v>-1.72455E-2</v>
      </c>
      <c r="BB269" s="22">
        <v>259</v>
      </c>
      <c r="BC269" s="22">
        <v>1.2036100000000001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13.5139</v>
      </c>
      <c r="I270" s="22">
        <v>-1.8060300000000001E-2</v>
      </c>
      <c r="J270" s="22">
        <v>260</v>
      </c>
      <c r="K270" s="22">
        <v>0.44003300000000001</v>
      </c>
      <c r="L270">
        <f t="shared" si="48"/>
        <v>18.060300000000002</v>
      </c>
      <c r="M270">
        <f t="shared" si="49"/>
        <v>7.9614498078000002</v>
      </c>
      <c r="N270" s="9"/>
      <c r="O270" s="22">
        <v>1.20926</v>
      </c>
      <c r="P270" s="22">
        <v>26.401599999999998</v>
      </c>
      <c r="Q270" s="22">
        <v>-1.7266799999999999E-2</v>
      </c>
      <c r="R270" s="22">
        <v>260</v>
      </c>
      <c r="S270" s="22">
        <v>1.2075800000000001</v>
      </c>
      <c r="T270">
        <f t="shared" si="50"/>
        <v>17.2668</v>
      </c>
      <c r="U270">
        <f t="shared" si="51"/>
        <v>20.880050568000001</v>
      </c>
      <c r="X270" s="9"/>
      <c r="Y270" s="22">
        <v>0.440826</v>
      </c>
      <c r="Z270" s="22">
        <v>33.785299999999999</v>
      </c>
      <c r="AA270" s="22">
        <v>-1.8115200000000001E-2</v>
      </c>
      <c r="AB270" s="22">
        <v>260</v>
      </c>
      <c r="AC270" s="22">
        <v>0.440247</v>
      </c>
      <c r="AD270">
        <f t="shared" si="52"/>
        <v>18.115200000000002</v>
      </c>
      <c r="AE270">
        <f t="shared" si="53"/>
        <v>7.9856511552000002</v>
      </c>
      <c r="AF270" s="9"/>
      <c r="AG270" s="22">
        <v>1.20926</v>
      </c>
      <c r="AH270" s="22">
        <v>38.688899999999997</v>
      </c>
      <c r="AI270" s="22">
        <v>-1.7269900000000001E-2</v>
      </c>
      <c r="AJ270" s="22">
        <v>260</v>
      </c>
      <c r="AK270" s="22">
        <v>1.2078899999999999</v>
      </c>
      <c r="AL270">
        <f t="shared" si="54"/>
        <v>17.2699</v>
      </c>
      <c r="AM270">
        <f t="shared" si="55"/>
        <v>20.883799274000001</v>
      </c>
      <c r="AP270" s="9"/>
      <c r="AQ270" s="22">
        <v>0.440826</v>
      </c>
      <c r="AR270" s="22">
        <v>43.522500000000001</v>
      </c>
      <c r="AS270" s="22">
        <v>-1.8112199999999998E-2</v>
      </c>
      <c r="AT270" s="22">
        <v>260</v>
      </c>
      <c r="AU270" s="22">
        <v>0.44073499999999999</v>
      </c>
      <c r="AV270">
        <f t="shared" si="56"/>
        <v>18.112199999999998</v>
      </c>
      <c r="AW270">
        <f t="shared" si="57"/>
        <v>7.9843286771999988</v>
      </c>
      <c r="AX270" s="9"/>
      <c r="AY270" s="22">
        <v>1.20926</v>
      </c>
      <c r="AZ270" s="22">
        <v>48.262099999999997</v>
      </c>
      <c r="BA270" s="22">
        <v>-1.72363E-2</v>
      </c>
      <c r="BB270" s="22">
        <v>260</v>
      </c>
      <c r="BC270" s="22">
        <v>1.2081900000000001</v>
      </c>
      <c r="BD270">
        <f t="shared" si="58"/>
        <v>17.2363</v>
      </c>
      <c r="BE270">
        <f t="shared" si="59"/>
        <v>20.843168137999999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13.523999999999999</v>
      </c>
      <c r="I271" s="22">
        <v>-1.80664E-2</v>
      </c>
      <c r="J271" s="22">
        <v>261</v>
      </c>
      <c r="K271" s="22">
        <v>0.43524200000000002</v>
      </c>
      <c r="L271">
        <f t="shared" si="48"/>
        <v>18.066400000000002</v>
      </c>
      <c r="M271">
        <f t="shared" si="49"/>
        <v>7.8731745224000003</v>
      </c>
      <c r="N271" s="9"/>
      <c r="O271" s="22">
        <v>1.2142900000000001</v>
      </c>
      <c r="P271" s="22">
        <v>26.4117</v>
      </c>
      <c r="Q271" s="22">
        <v>-1.7257700000000001E-2</v>
      </c>
      <c r="R271" s="22">
        <v>261</v>
      </c>
      <c r="S271" s="22">
        <v>1.2133799999999999</v>
      </c>
      <c r="T271">
        <f t="shared" si="50"/>
        <v>17.2577</v>
      </c>
      <c r="U271">
        <f t="shared" si="51"/>
        <v>20.955852533000002</v>
      </c>
      <c r="X271" s="9"/>
      <c r="Y271" s="22">
        <v>0.43579099999999998</v>
      </c>
      <c r="Z271" s="22">
        <v>33.795299999999997</v>
      </c>
      <c r="AA271" s="22">
        <v>-1.81213E-2</v>
      </c>
      <c r="AB271" s="22">
        <v>261</v>
      </c>
      <c r="AC271" s="22">
        <v>0.435303</v>
      </c>
      <c r="AD271">
        <f t="shared" si="52"/>
        <v>18.121300000000002</v>
      </c>
      <c r="AE271">
        <f t="shared" si="53"/>
        <v>7.8970994483000005</v>
      </c>
      <c r="AF271" s="9"/>
      <c r="AG271" s="22">
        <v>1.2142900000000001</v>
      </c>
      <c r="AH271" s="22">
        <v>38.698999999999998</v>
      </c>
      <c r="AI271" s="22">
        <v>-1.72607E-2</v>
      </c>
      <c r="AJ271" s="22">
        <v>261</v>
      </c>
      <c r="AK271" s="22">
        <v>1.2130700000000001</v>
      </c>
      <c r="AL271">
        <f t="shared" si="54"/>
        <v>17.2607</v>
      </c>
      <c r="AM271">
        <f t="shared" si="55"/>
        <v>20.959495403000002</v>
      </c>
      <c r="AP271" s="9"/>
      <c r="AQ271" s="22">
        <v>0.43579099999999998</v>
      </c>
      <c r="AR271" s="22">
        <v>43.532499999999999</v>
      </c>
      <c r="AS271" s="22">
        <v>-1.8115200000000001E-2</v>
      </c>
      <c r="AT271" s="22">
        <v>261</v>
      </c>
      <c r="AU271" s="22">
        <v>0.43545499999999998</v>
      </c>
      <c r="AV271">
        <f t="shared" si="56"/>
        <v>18.115200000000002</v>
      </c>
      <c r="AW271">
        <f t="shared" si="57"/>
        <v>7.8944411232</v>
      </c>
      <c r="AX271" s="9"/>
      <c r="AY271" s="22">
        <v>1.2142900000000001</v>
      </c>
      <c r="AZ271" s="22">
        <v>48.272199999999998</v>
      </c>
      <c r="BA271" s="22">
        <v>-1.7227200000000002E-2</v>
      </c>
      <c r="BB271" s="22">
        <v>261</v>
      </c>
      <c r="BC271" s="22">
        <v>1.2136800000000001</v>
      </c>
      <c r="BD271">
        <f t="shared" si="58"/>
        <v>17.2272</v>
      </c>
      <c r="BE271">
        <f t="shared" si="59"/>
        <v>20.918816688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13.534000000000001</v>
      </c>
      <c r="I272" s="22">
        <v>-1.8069499999999999E-2</v>
      </c>
      <c r="J272" s="22">
        <v>262</v>
      </c>
      <c r="K272" s="22">
        <v>0.42990099999999998</v>
      </c>
      <c r="L272">
        <f t="shared" si="48"/>
        <v>18.069499999999998</v>
      </c>
      <c r="M272">
        <f t="shared" si="49"/>
        <v>7.7835455419999997</v>
      </c>
      <c r="N272" s="9"/>
      <c r="O272" s="22">
        <v>1.21933</v>
      </c>
      <c r="P272" s="22">
        <v>26.421800000000001</v>
      </c>
      <c r="Q272" s="22">
        <v>-1.7251599999999999E-2</v>
      </c>
      <c r="R272" s="22">
        <v>262</v>
      </c>
      <c r="S272" s="22">
        <v>1.2182599999999999</v>
      </c>
      <c r="T272">
        <f t="shared" si="50"/>
        <v>17.2516</v>
      </c>
      <c r="U272">
        <f t="shared" si="51"/>
        <v>21.035393427999999</v>
      </c>
      <c r="X272" s="9"/>
      <c r="Y272" s="22">
        <v>0.43075600000000003</v>
      </c>
      <c r="Z272" s="22">
        <v>33.805399999999999</v>
      </c>
      <c r="AA272" s="22">
        <v>-1.8124399999999999E-2</v>
      </c>
      <c r="AB272" s="22">
        <v>262</v>
      </c>
      <c r="AC272" s="22">
        <v>0.43032799999999999</v>
      </c>
      <c r="AD272">
        <f t="shared" si="52"/>
        <v>18.124399999999998</v>
      </c>
      <c r="AE272">
        <f t="shared" si="53"/>
        <v>7.8071940463999994</v>
      </c>
      <c r="AF272" s="9"/>
      <c r="AG272" s="22">
        <v>1.21933</v>
      </c>
      <c r="AH272" s="22">
        <v>38.709000000000003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0.43075600000000003</v>
      </c>
      <c r="AR272" s="22">
        <v>43.5426</v>
      </c>
      <c r="AS272" s="22">
        <v>-1.81183E-2</v>
      </c>
      <c r="AT272" s="22">
        <v>262</v>
      </c>
      <c r="AU272" s="22">
        <v>0.43020599999999998</v>
      </c>
      <c r="AV272">
        <f t="shared" si="56"/>
        <v>18.118300000000001</v>
      </c>
      <c r="AW272">
        <f t="shared" si="57"/>
        <v>7.8045664348000008</v>
      </c>
      <c r="AX272" s="9"/>
      <c r="AY272" s="22">
        <v>1.21933</v>
      </c>
      <c r="AZ272" s="22">
        <v>48.282200000000003</v>
      </c>
      <c r="BA272" s="22">
        <v>-1.7215000000000001E-2</v>
      </c>
      <c r="BB272" s="22">
        <v>262</v>
      </c>
      <c r="BC272" s="22">
        <v>1.2185699999999999</v>
      </c>
      <c r="BD272">
        <f t="shared" si="58"/>
        <v>17.215</v>
      </c>
      <c r="BE272">
        <f t="shared" si="59"/>
        <v>20.99076595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13.5441</v>
      </c>
      <c r="I273" s="22">
        <v>-1.8075600000000001E-2</v>
      </c>
      <c r="J273" s="22">
        <v>263</v>
      </c>
      <c r="K273" s="22">
        <v>0.42465199999999997</v>
      </c>
      <c r="L273">
        <f t="shared" si="48"/>
        <v>18.075600000000001</v>
      </c>
      <c r="M273">
        <f t="shared" si="49"/>
        <v>7.6951444320000002</v>
      </c>
      <c r="N273" s="9"/>
      <c r="O273" s="22">
        <v>1.22437</v>
      </c>
      <c r="P273" s="22">
        <v>26.431899999999999</v>
      </c>
      <c r="Q273" s="22">
        <v>-1.7239399999999998E-2</v>
      </c>
      <c r="R273" s="22">
        <v>263</v>
      </c>
      <c r="S273" s="22">
        <v>1.2234499999999999</v>
      </c>
      <c r="T273">
        <f t="shared" si="50"/>
        <v>17.2394</v>
      </c>
      <c r="U273">
        <f t="shared" si="51"/>
        <v>21.107404177999999</v>
      </c>
      <c r="X273" s="9"/>
      <c r="Y273" s="22">
        <v>0.42571999999999999</v>
      </c>
      <c r="Z273" s="22">
        <v>33.8155</v>
      </c>
      <c r="AA273" s="22">
        <v>-1.8130500000000001E-2</v>
      </c>
      <c r="AB273" s="22">
        <v>263</v>
      </c>
      <c r="AC273" s="22">
        <v>0.42501800000000001</v>
      </c>
      <c r="AD273">
        <f t="shared" si="52"/>
        <v>18.130500000000001</v>
      </c>
      <c r="AE273">
        <f t="shared" si="53"/>
        <v>7.71851646</v>
      </c>
      <c r="AF273" s="9"/>
      <c r="AG273" s="22">
        <v>1.22437</v>
      </c>
      <c r="AH273" s="22">
        <v>38.719099999999997</v>
      </c>
      <c r="AI273" s="22">
        <v>-1.7242400000000001E-2</v>
      </c>
      <c r="AJ273" s="22">
        <v>263</v>
      </c>
      <c r="AK273" s="22">
        <v>1.2240599999999999</v>
      </c>
      <c r="AL273">
        <f t="shared" si="54"/>
        <v>17.2424</v>
      </c>
      <c r="AM273">
        <f t="shared" si="55"/>
        <v>21.111077288000001</v>
      </c>
      <c r="AP273" s="9"/>
      <c r="AQ273" s="22">
        <v>0.42571999999999999</v>
      </c>
      <c r="AR273" s="22">
        <v>43.552700000000002</v>
      </c>
      <c r="AS273" s="22">
        <v>-1.81213E-2</v>
      </c>
      <c r="AT273" s="22">
        <v>263</v>
      </c>
      <c r="AU273" s="22">
        <v>0.42507899999999998</v>
      </c>
      <c r="AV273">
        <f t="shared" si="56"/>
        <v>18.121300000000002</v>
      </c>
      <c r="AW273">
        <f t="shared" si="57"/>
        <v>7.7145998360000005</v>
      </c>
      <c r="AX273" s="9"/>
      <c r="AY273" s="22">
        <v>1.22437</v>
      </c>
      <c r="AZ273" s="22">
        <v>48.292299999999997</v>
      </c>
      <c r="BA273" s="22">
        <v>-1.7208899999999999E-2</v>
      </c>
      <c r="BB273" s="22">
        <v>263</v>
      </c>
      <c r="BC273" s="22">
        <v>1.2231399999999999</v>
      </c>
      <c r="BD273">
        <f t="shared" si="58"/>
        <v>17.2089</v>
      </c>
      <c r="BE273">
        <f t="shared" si="59"/>
        <v>21.070060893000001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13.5542</v>
      </c>
      <c r="I274" s="22">
        <v>-1.8081699999999999E-2</v>
      </c>
      <c r="J274" s="22">
        <v>264</v>
      </c>
      <c r="K274" s="22">
        <v>0.42010500000000001</v>
      </c>
      <c r="L274">
        <f t="shared" si="48"/>
        <v>18.081699999999998</v>
      </c>
      <c r="M274">
        <f t="shared" si="49"/>
        <v>7.6066999644999989</v>
      </c>
      <c r="N274" s="9"/>
      <c r="O274" s="22">
        <v>1.2294</v>
      </c>
      <c r="P274" s="22">
        <v>26.4419</v>
      </c>
      <c r="Q274" s="22">
        <v>-1.7230200000000001E-2</v>
      </c>
      <c r="R274" s="22">
        <v>264</v>
      </c>
      <c r="S274" s="22">
        <v>1.2283299999999999</v>
      </c>
      <c r="T274">
        <f t="shared" si="50"/>
        <v>17.2302</v>
      </c>
      <c r="U274">
        <f t="shared" si="51"/>
        <v>21.182807880000002</v>
      </c>
      <c r="X274" s="9"/>
      <c r="Y274" s="22">
        <v>0.42068499999999998</v>
      </c>
      <c r="Z274" s="22">
        <v>33.825600000000001</v>
      </c>
      <c r="AA274" s="22">
        <v>-1.81335E-2</v>
      </c>
      <c r="AB274" s="22">
        <v>264</v>
      </c>
      <c r="AC274" s="22">
        <v>0.420074</v>
      </c>
      <c r="AD274">
        <f t="shared" si="52"/>
        <v>18.133500000000002</v>
      </c>
      <c r="AE274">
        <f t="shared" si="53"/>
        <v>7.6284914475000001</v>
      </c>
      <c r="AF274" s="9"/>
      <c r="AG274" s="22">
        <v>1.2294</v>
      </c>
      <c r="AH274" s="22">
        <v>38.729199999999999</v>
      </c>
      <c r="AI274" s="22">
        <v>-1.72333E-2</v>
      </c>
      <c r="AJ274" s="22">
        <v>264</v>
      </c>
      <c r="AK274" s="22">
        <v>1.22864</v>
      </c>
      <c r="AL274">
        <f t="shared" si="54"/>
        <v>17.2333</v>
      </c>
      <c r="AM274">
        <f t="shared" si="55"/>
        <v>21.186619020000002</v>
      </c>
      <c r="AP274" s="9"/>
      <c r="AQ274" s="22">
        <v>0.42068499999999998</v>
      </c>
      <c r="AR274" s="22">
        <v>43.562800000000003</v>
      </c>
      <c r="AS274" s="22">
        <v>-1.8127399999999998E-2</v>
      </c>
      <c r="AT274" s="22">
        <v>264</v>
      </c>
      <c r="AU274" s="22">
        <v>0.419678</v>
      </c>
      <c r="AV274">
        <f t="shared" si="56"/>
        <v>18.127399999999998</v>
      </c>
      <c r="AW274">
        <f t="shared" si="57"/>
        <v>7.6259252689999988</v>
      </c>
      <c r="AX274" s="9"/>
      <c r="AY274" s="22">
        <v>1.2294</v>
      </c>
      <c r="AZ274" s="22">
        <v>48.302399999999999</v>
      </c>
      <c r="BA274" s="22">
        <v>-1.7196699999999999E-2</v>
      </c>
      <c r="BB274" s="22">
        <v>264</v>
      </c>
      <c r="BC274" s="22">
        <v>1.2289399999999999</v>
      </c>
      <c r="BD274">
        <f t="shared" si="58"/>
        <v>17.1967</v>
      </c>
      <c r="BE274">
        <f t="shared" si="59"/>
        <v>21.141622980000001</v>
      </c>
    </row>
    <row r="275" spans="6:101">
      <c r="F275" s="9"/>
      <c r="G275" s="22">
        <v>0.41564899999999999</v>
      </c>
      <c r="H275" s="22">
        <v>13.5642</v>
      </c>
      <c r="I275" s="22">
        <v>-1.8087800000000001E-2</v>
      </c>
      <c r="J275" s="22">
        <v>265</v>
      </c>
      <c r="K275" s="22">
        <v>0.41540500000000002</v>
      </c>
      <c r="L275">
        <f t="shared" si="48"/>
        <v>18.087800000000001</v>
      </c>
      <c r="M275">
        <f t="shared" si="49"/>
        <v>7.5181759822000007</v>
      </c>
      <c r="N275" s="9"/>
      <c r="O275" s="22">
        <v>1.23444</v>
      </c>
      <c r="P275" s="22">
        <v>26.452000000000002</v>
      </c>
      <c r="Q275" s="22">
        <v>-1.7224099999999999E-2</v>
      </c>
      <c r="R275" s="22">
        <v>265</v>
      </c>
      <c r="S275" s="22">
        <v>1.23444</v>
      </c>
      <c r="T275">
        <f t="shared" si="50"/>
        <v>17.2241</v>
      </c>
      <c r="U275">
        <f t="shared" si="51"/>
        <v>21.262118004000001</v>
      </c>
      <c r="X275" s="9"/>
      <c r="Y275" s="22">
        <v>0.41564899999999999</v>
      </c>
      <c r="Z275" s="22">
        <v>33.835599999999999</v>
      </c>
      <c r="AA275" s="22">
        <v>-1.8136599999999999E-2</v>
      </c>
      <c r="AB275" s="22">
        <v>265</v>
      </c>
      <c r="AC275" s="22">
        <v>0.41494799999999998</v>
      </c>
      <c r="AD275">
        <f t="shared" si="52"/>
        <v>18.136599999999998</v>
      </c>
      <c r="AE275">
        <f t="shared" si="53"/>
        <v>7.5384596533999986</v>
      </c>
      <c r="AF275" s="9"/>
      <c r="AG275" s="22">
        <v>1.23444</v>
      </c>
      <c r="AH275" s="22">
        <v>38.739199999999997</v>
      </c>
      <c r="AI275" s="22">
        <v>-1.72211E-2</v>
      </c>
      <c r="AJ275" s="22">
        <v>265</v>
      </c>
      <c r="AK275" s="22">
        <v>1.23383</v>
      </c>
      <c r="AL275">
        <f t="shared" si="54"/>
        <v>17.2211</v>
      </c>
      <c r="AM275">
        <f t="shared" si="55"/>
        <v>21.258414683999998</v>
      </c>
      <c r="AP275" s="9"/>
      <c r="AQ275" s="22">
        <v>0.41564899999999999</v>
      </c>
      <c r="AR275" s="22">
        <v>43.572800000000001</v>
      </c>
      <c r="AS275" s="22">
        <v>-1.81335E-2</v>
      </c>
      <c r="AT275" s="22">
        <v>265</v>
      </c>
      <c r="AU275" s="22">
        <v>0.41564899999999999</v>
      </c>
      <c r="AV275">
        <f t="shared" si="56"/>
        <v>18.133500000000002</v>
      </c>
      <c r="AW275">
        <f t="shared" si="57"/>
        <v>7.5371711415000009</v>
      </c>
      <c r="AX275" s="9"/>
      <c r="AY275" s="22">
        <v>1.23444</v>
      </c>
      <c r="AZ275" s="22">
        <v>48.312399999999997</v>
      </c>
      <c r="BA275" s="22">
        <v>-1.7184399999999999E-2</v>
      </c>
      <c r="BB275" s="22">
        <v>265</v>
      </c>
      <c r="BC275" s="22">
        <v>1.23383</v>
      </c>
      <c r="BD275">
        <f t="shared" si="58"/>
        <v>17.1844</v>
      </c>
      <c r="BE275">
        <f t="shared" si="59"/>
        <v>21.213110736000001</v>
      </c>
    </row>
    <row r="276" spans="6:101">
      <c r="F276" s="9"/>
      <c r="G276" s="22">
        <v>0.41061399999999998</v>
      </c>
      <c r="H276" s="22">
        <v>13.574299999999999</v>
      </c>
      <c r="I276" s="22">
        <v>-1.8090800000000001E-2</v>
      </c>
      <c r="J276" s="22">
        <v>266</v>
      </c>
      <c r="K276" s="22">
        <v>0.409912</v>
      </c>
      <c r="L276">
        <f t="shared" si="48"/>
        <v>18.090800000000002</v>
      </c>
      <c r="M276">
        <f t="shared" si="49"/>
        <v>7.4283357512000006</v>
      </c>
      <c r="N276" s="9"/>
      <c r="O276" s="22">
        <v>1.2394700000000001</v>
      </c>
      <c r="P276" s="22">
        <v>26.4621</v>
      </c>
      <c r="Q276" s="22">
        <v>-1.7218000000000001E-2</v>
      </c>
      <c r="R276" s="22">
        <v>266</v>
      </c>
      <c r="S276" s="22">
        <v>1.23871</v>
      </c>
      <c r="T276">
        <f t="shared" si="50"/>
        <v>17.218</v>
      </c>
      <c r="U276">
        <f t="shared" si="51"/>
        <v>21.341194460000001</v>
      </c>
      <c r="X276" s="9"/>
      <c r="Y276" s="22">
        <v>0.41061399999999998</v>
      </c>
      <c r="Z276" s="22">
        <v>33.845700000000001</v>
      </c>
      <c r="AA276" s="22">
        <v>-1.8139599999999999E-2</v>
      </c>
      <c r="AB276" s="22">
        <v>266</v>
      </c>
      <c r="AC276" s="22">
        <v>0.40985100000000002</v>
      </c>
      <c r="AD276">
        <f t="shared" si="52"/>
        <v>18.139599999999998</v>
      </c>
      <c r="AE276">
        <f t="shared" si="53"/>
        <v>7.4483737143999988</v>
      </c>
      <c r="AF276" s="9"/>
      <c r="AG276" s="22">
        <v>1.2394700000000001</v>
      </c>
      <c r="AH276" s="22">
        <v>38.749299999999998</v>
      </c>
      <c r="AI276" s="22">
        <v>-1.7208899999999999E-2</v>
      </c>
      <c r="AJ276" s="22">
        <v>266</v>
      </c>
      <c r="AK276" s="22">
        <v>1.2390099999999999</v>
      </c>
      <c r="AL276">
        <f t="shared" si="54"/>
        <v>17.2089</v>
      </c>
      <c r="AM276">
        <f t="shared" si="55"/>
        <v>21.329915283000002</v>
      </c>
      <c r="AP276" s="9"/>
      <c r="AQ276" s="22">
        <v>0.41061399999999998</v>
      </c>
      <c r="AR276" s="22">
        <v>43.582900000000002</v>
      </c>
      <c r="AS276" s="22">
        <v>-1.8142700000000001E-2</v>
      </c>
      <c r="AT276" s="22">
        <v>266</v>
      </c>
      <c r="AU276" s="22">
        <v>0.41043099999999999</v>
      </c>
      <c r="AV276">
        <f t="shared" si="56"/>
        <v>18.142700000000001</v>
      </c>
      <c r="AW276">
        <f t="shared" si="57"/>
        <v>7.4496466178</v>
      </c>
      <c r="AX276" s="9"/>
      <c r="AY276" s="22">
        <v>1.2394700000000001</v>
      </c>
      <c r="AZ276" s="22">
        <v>48.322499999999998</v>
      </c>
      <c r="BA276" s="22">
        <v>-1.7172199999999999E-2</v>
      </c>
      <c r="BB276" s="22">
        <v>266</v>
      </c>
      <c r="BC276" s="22">
        <v>1.23871</v>
      </c>
      <c r="BD276">
        <f t="shared" si="58"/>
        <v>17.1722</v>
      </c>
      <c r="BE276">
        <f t="shared" si="59"/>
        <v>21.284426734</v>
      </c>
    </row>
    <row r="277" spans="6:101">
      <c r="F277" s="9"/>
      <c r="G277" s="22">
        <v>0.40557900000000002</v>
      </c>
      <c r="H277" s="22">
        <v>13.5844</v>
      </c>
      <c r="I277" s="22">
        <v>-1.80939E-2</v>
      </c>
      <c r="J277" s="22">
        <v>267</v>
      </c>
      <c r="K277" s="22">
        <v>0.407196</v>
      </c>
      <c r="L277">
        <f t="shared" si="48"/>
        <v>18.093899999999998</v>
      </c>
      <c r="M277">
        <f t="shared" si="49"/>
        <v>7.3385058680999995</v>
      </c>
      <c r="N277" s="9"/>
      <c r="O277" s="22">
        <v>1.24451</v>
      </c>
      <c r="P277" s="22">
        <v>26.472100000000001</v>
      </c>
      <c r="Q277" s="22">
        <v>-1.7208899999999999E-2</v>
      </c>
      <c r="R277" s="22">
        <v>267</v>
      </c>
      <c r="S277" s="22">
        <v>1.2439</v>
      </c>
      <c r="T277">
        <f t="shared" si="50"/>
        <v>17.2089</v>
      </c>
      <c r="U277">
        <f t="shared" si="51"/>
        <v>21.416648138999999</v>
      </c>
      <c r="X277" s="9"/>
      <c r="Y277" s="22">
        <v>0.40557900000000002</v>
      </c>
      <c r="Z277" s="22">
        <v>33.855800000000002</v>
      </c>
      <c r="AA277" s="22">
        <v>-1.81458E-2</v>
      </c>
      <c r="AB277" s="22">
        <v>267</v>
      </c>
      <c r="AC277" s="22">
        <v>0.40490700000000002</v>
      </c>
      <c r="AD277">
        <f t="shared" si="52"/>
        <v>18.145800000000001</v>
      </c>
      <c r="AE277">
        <f t="shared" si="53"/>
        <v>7.3595554182000011</v>
      </c>
      <c r="AF277" s="9"/>
      <c r="AG277" s="22">
        <v>1.24451</v>
      </c>
      <c r="AH277" s="22">
        <v>38.759399999999999</v>
      </c>
      <c r="AI277" s="22">
        <v>-1.7196699999999999E-2</v>
      </c>
      <c r="AJ277" s="22">
        <v>267</v>
      </c>
      <c r="AK277" s="22">
        <v>1.24359</v>
      </c>
      <c r="AL277">
        <f t="shared" si="54"/>
        <v>17.1967</v>
      </c>
      <c r="AM277">
        <f t="shared" si="55"/>
        <v>21.401465117000001</v>
      </c>
      <c r="AP277" s="9"/>
      <c r="AQ277" s="22">
        <v>0.40557900000000002</v>
      </c>
      <c r="AR277" s="22">
        <v>43.593000000000004</v>
      </c>
      <c r="AS277" s="22">
        <v>-1.81488E-2</v>
      </c>
      <c r="AT277" s="22">
        <v>267</v>
      </c>
      <c r="AU277" s="22">
        <v>0.40478500000000001</v>
      </c>
      <c r="AV277">
        <f t="shared" si="56"/>
        <v>18.148800000000001</v>
      </c>
      <c r="AW277">
        <f t="shared" si="57"/>
        <v>7.3607721552000012</v>
      </c>
      <c r="AX277" s="9"/>
      <c r="AY277" s="22">
        <v>1.24451</v>
      </c>
      <c r="AZ277" s="22">
        <v>48.332599999999999</v>
      </c>
      <c r="BA277" s="22">
        <v>-1.7160000000000002E-2</v>
      </c>
      <c r="BB277" s="22">
        <v>267</v>
      </c>
      <c r="BC277" s="22">
        <v>1.2439</v>
      </c>
      <c r="BD277">
        <f t="shared" si="58"/>
        <v>17.16</v>
      </c>
      <c r="BE277">
        <f t="shared" si="59"/>
        <v>21.3557916</v>
      </c>
    </row>
    <row r="278" spans="6:101">
      <c r="F278" s="9"/>
      <c r="G278" s="22">
        <v>0.40054299999999998</v>
      </c>
      <c r="H278" s="22">
        <v>13.5945</v>
      </c>
      <c r="I278" s="22">
        <v>-1.8100000000000002E-2</v>
      </c>
      <c r="J278" s="22">
        <v>268</v>
      </c>
      <c r="K278" s="22">
        <v>0.39843800000000001</v>
      </c>
      <c r="L278">
        <f t="shared" si="48"/>
        <v>18.100000000000001</v>
      </c>
      <c r="M278">
        <f t="shared" si="49"/>
        <v>7.2498282999999999</v>
      </c>
      <c r="N278" s="9"/>
      <c r="O278" s="22">
        <v>1.2495400000000001</v>
      </c>
      <c r="P278" s="22">
        <v>26.482199999999999</v>
      </c>
      <c r="Q278" s="22">
        <v>-1.7196699999999999E-2</v>
      </c>
      <c r="R278" s="22">
        <v>268</v>
      </c>
      <c r="S278" s="22">
        <v>1.24878</v>
      </c>
      <c r="T278">
        <f t="shared" si="50"/>
        <v>17.1967</v>
      </c>
      <c r="U278">
        <f t="shared" si="51"/>
        <v>21.487964518000002</v>
      </c>
      <c r="X278" s="9"/>
      <c r="Y278" s="22">
        <v>0.40054299999999998</v>
      </c>
      <c r="Z278" s="22">
        <v>33.8658</v>
      </c>
      <c r="AA278" s="22">
        <v>-1.8154900000000002E-2</v>
      </c>
      <c r="AB278" s="22">
        <v>268</v>
      </c>
      <c r="AC278" s="22">
        <v>0.39974999999999999</v>
      </c>
      <c r="AD278">
        <f t="shared" si="52"/>
        <v>18.154900000000001</v>
      </c>
      <c r="AE278">
        <f t="shared" si="53"/>
        <v>7.2718181106999999</v>
      </c>
      <c r="AF278" s="9"/>
      <c r="AG278" s="22">
        <v>1.2495400000000001</v>
      </c>
      <c r="AH278" s="22">
        <v>38.769500000000001</v>
      </c>
      <c r="AI278" s="22">
        <v>-1.7181399999999999E-2</v>
      </c>
      <c r="AJ278" s="22">
        <v>268</v>
      </c>
      <c r="AK278" s="22">
        <v>1.24908</v>
      </c>
      <c r="AL278">
        <f t="shared" si="54"/>
        <v>17.1814</v>
      </c>
      <c r="AM278">
        <f t="shared" si="55"/>
        <v>21.468846556000003</v>
      </c>
      <c r="AP278" s="9"/>
      <c r="AQ278" s="22">
        <v>0.40054299999999998</v>
      </c>
      <c r="AR278" s="22">
        <v>43.603000000000002</v>
      </c>
      <c r="AS278" s="22">
        <v>-1.8154900000000002E-2</v>
      </c>
      <c r="AT278" s="22">
        <v>268</v>
      </c>
      <c r="AU278" s="22">
        <v>0.39962799999999998</v>
      </c>
      <c r="AV278">
        <f t="shared" si="56"/>
        <v>18.154900000000001</v>
      </c>
      <c r="AW278">
        <f t="shared" si="57"/>
        <v>7.2718181106999999</v>
      </c>
      <c r="AX278" s="9"/>
      <c r="AY278" s="22">
        <v>1.2495400000000001</v>
      </c>
      <c r="AZ278" s="22">
        <v>48.342599999999997</v>
      </c>
      <c r="BA278" s="22">
        <v>-1.7144800000000002E-2</v>
      </c>
      <c r="BB278" s="22">
        <v>268</v>
      </c>
      <c r="BC278" s="22">
        <v>1.24847</v>
      </c>
      <c r="BD278">
        <f t="shared" si="58"/>
        <v>17.1448</v>
      </c>
      <c r="BE278">
        <f t="shared" si="59"/>
        <v>21.423113392000001</v>
      </c>
    </row>
    <row r="279" spans="6:101">
      <c r="F279" s="9"/>
      <c r="G279" s="22">
        <v>0.39550800000000003</v>
      </c>
      <c r="H279" s="22">
        <v>13.6045</v>
      </c>
      <c r="I279" s="22">
        <v>-1.81061E-2</v>
      </c>
      <c r="J279" s="22">
        <v>269</v>
      </c>
      <c r="K279" s="22">
        <v>0.39498899999999998</v>
      </c>
      <c r="L279">
        <f t="shared" si="48"/>
        <v>18.106100000000001</v>
      </c>
      <c r="M279">
        <f t="shared" si="49"/>
        <v>7.1611073988000014</v>
      </c>
      <c r="N279" s="9"/>
      <c r="O279" s="22">
        <v>1.25458</v>
      </c>
      <c r="P279" s="22">
        <v>26.4923</v>
      </c>
      <c r="Q279" s="22">
        <v>-1.7187500000000001E-2</v>
      </c>
      <c r="R279" s="22">
        <v>269</v>
      </c>
      <c r="S279" s="22">
        <v>1.25336</v>
      </c>
      <c r="T279">
        <f t="shared" si="50"/>
        <v>17.1875</v>
      </c>
      <c r="U279">
        <f t="shared" si="51"/>
        <v>21.56309375</v>
      </c>
      <c r="X279" s="9"/>
      <c r="Y279" s="22">
        <v>0.39550800000000003</v>
      </c>
      <c r="Z279" s="22">
        <v>33.875900000000001</v>
      </c>
      <c r="AA279" s="22">
        <v>-1.8158000000000001E-2</v>
      </c>
      <c r="AB279" s="22">
        <v>269</v>
      </c>
      <c r="AC279" s="22">
        <v>0.39486700000000002</v>
      </c>
      <c r="AD279">
        <f t="shared" si="52"/>
        <v>18.158000000000001</v>
      </c>
      <c r="AE279">
        <f t="shared" si="53"/>
        <v>7.1816342640000013</v>
      </c>
      <c r="AF279" s="9"/>
      <c r="AG279" s="22">
        <v>1.25458</v>
      </c>
      <c r="AH279" s="22">
        <v>38.779499999999999</v>
      </c>
      <c r="AI279" s="22">
        <v>-1.71661E-2</v>
      </c>
      <c r="AJ279" s="22">
        <v>269</v>
      </c>
      <c r="AK279" s="22">
        <v>1.25336</v>
      </c>
      <c r="AL279">
        <f t="shared" si="54"/>
        <v>17.1661</v>
      </c>
      <c r="AM279">
        <f t="shared" si="55"/>
        <v>21.536245738000002</v>
      </c>
      <c r="AP279" s="9"/>
      <c r="AQ279" s="22">
        <v>0.39550800000000003</v>
      </c>
      <c r="AR279" s="22">
        <v>43.613100000000003</v>
      </c>
      <c r="AS279" s="22">
        <v>-1.8158000000000001E-2</v>
      </c>
      <c r="AT279" s="22">
        <v>269</v>
      </c>
      <c r="AU279" s="22">
        <v>0.39517200000000002</v>
      </c>
      <c r="AV279">
        <f t="shared" si="56"/>
        <v>18.158000000000001</v>
      </c>
      <c r="AW279">
        <f t="shared" si="57"/>
        <v>7.1816342640000013</v>
      </c>
      <c r="AX279" s="9"/>
      <c r="AY279" s="22">
        <v>1.25458</v>
      </c>
      <c r="AZ279" s="22">
        <v>48.352699999999999</v>
      </c>
      <c r="BA279" s="22">
        <v>-1.7129499999999999E-2</v>
      </c>
      <c r="BB279" s="22">
        <v>269</v>
      </c>
      <c r="BC279" s="22">
        <v>1.25397</v>
      </c>
      <c r="BD279">
        <f t="shared" si="58"/>
        <v>17.1295</v>
      </c>
      <c r="BE279">
        <f t="shared" si="59"/>
        <v>21.49032811</v>
      </c>
    </row>
    <row r="280" spans="6:101">
      <c r="F280" s="9"/>
      <c r="G280" s="22">
        <v>0.39047199999999999</v>
      </c>
      <c r="H280" s="22">
        <v>13.614599999999999</v>
      </c>
      <c r="I280" s="22">
        <v>-1.8112199999999998E-2</v>
      </c>
      <c r="J280" s="22">
        <v>270</v>
      </c>
      <c r="K280" s="22">
        <v>0.38980100000000001</v>
      </c>
      <c r="L280">
        <f t="shared" si="48"/>
        <v>18.112199999999998</v>
      </c>
      <c r="M280">
        <f t="shared" si="49"/>
        <v>7.0723069583999987</v>
      </c>
      <c r="N280" s="9"/>
      <c r="O280" s="22">
        <v>1.2596099999999999</v>
      </c>
      <c r="P280" s="22">
        <v>26.502300000000002</v>
      </c>
      <c r="Q280" s="22">
        <v>-1.7175300000000001E-2</v>
      </c>
      <c r="R280" s="22">
        <v>270</v>
      </c>
      <c r="S280" s="22">
        <v>1.2591600000000001</v>
      </c>
      <c r="T280">
        <f t="shared" si="50"/>
        <v>17.1753</v>
      </c>
      <c r="U280">
        <f t="shared" si="51"/>
        <v>21.634179632999999</v>
      </c>
      <c r="X280" s="9"/>
      <c r="Y280" s="22">
        <v>0.39047199999999999</v>
      </c>
      <c r="Z280" s="22">
        <v>33.886000000000003</v>
      </c>
      <c r="AA280" s="22">
        <v>-1.8164099999999999E-2</v>
      </c>
      <c r="AB280" s="22">
        <v>270</v>
      </c>
      <c r="AC280" s="22">
        <v>0.38977099999999998</v>
      </c>
      <c r="AD280">
        <f t="shared" si="52"/>
        <v>18.164099999999998</v>
      </c>
      <c r="AE280">
        <f t="shared" si="53"/>
        <v>7.0925724551999991</v>
      </c>
      <c r="AF280" s="9"/>
      <c r="AG280" s="22">
        <v>1.2596099999999999</v>
      </c>
      <c r="AH280" s="22">
        <v>38.7896</v>
      </c>
      <c r="AI280" s="22">
        <v>-1.71539E-2</v>
      </c>
      <c r="AJ280" s="22">
        <v>270</v>
      </c>
      <c r="AK280" s="22">
        <v>1.25946</v>
      </c>
      <c r="AL280">
        <f t="shared" si="54"/>
        <v>17.1539</v>
      </c>
      <c r="AM280">
        <f t="shared" si="55"/>
        <v>21.607223978999997</v>
      </c>
      <c r="AP280" s="9"/>
      <c r="AQ280" s="22">
        <v>0.39047199999999999</v>
      </c>
      <c r="AR280" s="22">
        <v>43.623199999999997</v>
      </c>
      <c r="AS280" s="22">
        <v>-1.8161E-2</v>
      </c>
      <c r="AT280" s="22">
        <v>270</v>
      </c>
      <c r="AU280" s="22">
        <v>0.38973999999999998</v>
      </c>
      <c r="AV280">
        <f t="shared" si="56"/>
        <v>18.161000000000001</v>
      </c>
      <c r="AW280">
        <f t="shared" si="57"/>
        <v>7.0913619920000004</v>
      </c>
      <c r="AX280" s="9"/>
      <c r="AY280" s="22">
        <v>1.2596099999999999</v>
      </c>
      <c r="AZ280" s="22">
        <v>48.3628</v>
      </c>
      <c r="BA280" s="22">
        <v>-1.7114299999999999E-2</v>
      </c>
      <c r="BB280" s="22">
        <v>270</v>
      </c>
      <c r="BC280" s="22">
        <v>1.25854</v>
      </c>
      <c r="BD280">
        <f t="shared" si="58"/>
        <v>17.1143</v>
      </c>
      <c r="BE280">
        <f t="shared" si="59"/>
        <v>21.557343422999999</v>
      </c>
    </row>
    <row r="281" spans="6:101">
      <c r="F281" s="9"/>
      <c r="G281" s="22">
        <v>0.38543699999999997</v>
      </c>
      <c r="H281" s="22">
        <v>13.624700000000001</v>
      </c>
      <c r="I281" s="22">
        <v>-1.8115200000000001E-2</v>
      </c>
      <c r="J281" s="22">
        <v>271</v>
      </c>
      <c r="K281" s="22">
        <v>0.38436900000000002</v>
      </c>
      <c r="L281">
        <f t="shared" si="48"/>
        <v>18.115200000000002</v>
      </c>
      <c r="M281">
        <f t="shared" si="49"/>
        <v>6.9822683424000003</v>
      </c>
      <c r="N281" s="9"/>
      <c r="O281" s="22">
        <v>1.2646500000000001</v>
      </c>
      <c r="P281" s="22">
        <v>26.5124</v>
      </c>
      <c r="Q281" s="22">
        <v>-1.7163100000000001E-2</v>
      </c>
      <c r="R281" s="22">
        <v>271</v>
      </c>
      <c r="S281" s="22">
        <v>1.26373</v>
      </c>
      <c r="T281">
        <f t="shared" si="50"/>
        <v>17.1631</v>
      </c>
      <c r="U281">
        <f t="shared" si="51"/>
        <v>21.705314415</v>
      </c>
      <c r="X281" s="9"/>
      <c r="Y281" s="22">
        <v>0.38543699999999997</v>
      </c>
      <c r="Z281" s="22">
        <v>33.896099999999997</v>
      </c>
      <c r="AA281" s="22">
        <v>-1.8170200000000001E-2</v>
      </c>
      <c r="AB281" s="22">
        <v>271</v>
      </c>
      <c r="AC281" s="22">
        <v>0.38482699999999997</v>
      </c>
      <c r="AD281">
        <f t="shared" si="52"/>
        <v>18.170200000000001</v>
      </c>
      <c r="AE281">
        <f t="shared" si="53"/>
        <v>7.0034673773999998</v>
      </c>
      <c r="AF281" s="9"/>
      <c r="AG281" s="22">
        <v>1.2646500000000001</v>
      </c>
      <c r="AH281" s="22">
        <v>38.799700000000001</v>
      </c>
      <c r="AI281" s="22">
        <v>-1.71387E-2</v>
      </c>
      <c r="AJ281" s="22">
        <v>271</v>
      </c>
      <c r="AK281" s="22">
        <v>1.2640400000000001</v>
      </c>
      <c r="AL281">
        <f t="shared" si="54"/>
        <v>17.1387</v>
      </c>
      <c r="AM281">
        <f t="shared" si="55"/>
        <v>21.674456955</v>
      </c>
      <c r="AP281" s="9"/>
      <c r="AQ281" s="22">
        <v>0.38543699999999997</v>
      </c>
      <c r="AR281" s="22">
        <v>43.633299999999998</v>
      </c>
      <c r="AS281" s="22">
        <v>-1.8164099999999999E-2</v>
      </c>
      <c r="AT281" s="22">
        <v>271</v>
      </c>
      <c r="AU281" s="22">
        <v>0.38473499999999999</v>
      </c>
      <c r="AV281">
        <f t="shared" si="56"/>
        <v>18.164099999999998</v>
      </c>
      <c r="AW281">
        <f t="shared" si="57"/>
        <v>7.0011162116999985</v>
      </c>
      <c r="AX281" s="9"/>
      <c r="AY281" s="22">
        <v>1.2646500000000001</v>
      </c>
      <c r="AZ281" s="22">
        <v>48.372900000000001</v>
      </c>
      <c r="BA281" s="22">
        <v>-1.7095900000000001E-2</v>
      </c>
      <c r="BB281" s="22">
        <v>271</v>
      </c>
      <c r="BC281" s="22">
        <v>1.26373</v>
      </c>
      <c r="BD281">
        <f t="shared" si="58"/>
        <v>17.0959</v>
      </c>
      <c r="BE281">
        <f t="shared" si="59"/>
        <v>21.620329935000001</v>
      </c>
    </row>
    <row r="282" spans="6:101">
      <c r="F282" s="9"/>
      <c r="G282" s="22">
        <v>0.38040200000000002</v>
      </c>
      <c r="H282" s="22">
        <v>13.6347</v>
      </c>
      <c r="I282" s="22">
        <v>-1.81213E-2</v>
      </c>
      <c r="J282" s="22">
        <v>272</v>
      </c>
      <c r="K282" s="22">
        <v>0.37976100000000002</v>
      </c>
      <c r="L282">
        <f t="shared" si="48"/>
        <v>18.121300000000002</v>
      </c>
      <c r="M282">
        <f t="shared" si="49"/>
        <v>6.8933787626000012</v>
      </c>
      <c r="N282" s="9"/>
      <c r="O282" s="22">
        <v>1.2696799999999999</v>
      </c>
      <c r="P282" s="22">
        <v>26.522500000000001</v>
      </c>
      <c r="Q282" s="22">
        <v>-1.71509E-2</v>
      </c>
      <c r="R282" s="22">
        <v>272</v>
      </c>
      <c r="S282" s="22">
        <v>1.2686200000000001</v>
      </c>
      <c r="T282">
        <f t="shared" si="50"/>
        <v>17.1509</v>
      </c>
      <c r="U282">
        <f t="shared" si="51"/>
        <v>21.776154712</v>
      </c>
      <c r="X282" s="9"/>
      <c r="Y282" s="22">
        <v>0.38040200000000002</v>
      </c>
      <c r="Z282" s="22">
        <v>33.906100000000002</v>
      </c>
      <c r="AA282" s="22">
        <v>-1.81732E-2</v>
      </c>
      <c r="AB282" s="22">
        <v>272</v>
      </c>
      <c r="AC282" s="22">
        <v>0.379639</v>
      </c>
      <c r="AD282">
        <f t="shared" si="52"/>
        <v>18.173200000000001</v>
      </c>
      <c r="AE282">
        <f t="shared" si="53"/>
        <v>6.9131216264000006</v>
      </c>
      <c r="AF282" s="9"/>
      <c r="AG282" s="22">
        <v>1.2696799999999999</v>
      </c>
      <c r="AH282" s="22">
        <v>38.809699999999999</v>
      </c>
      <c r="AI282" s="22">
        <v>-1.71234E-2</v>
      </c>
      <c r="AJ282" s="22">
        <v>272</v>
      </c>
      <c r="AK282" s="22">
        <v>1.26831</v>
      </c>
      <c r="AL282">
        <f t="shared" si="54"/>
        <v>17.1234</v>
      </c>
      <c r="AM282">
        <f t="shared" si="55"/>
        <v>21.741238511999999</v>
      </c>
      <c r="AP282" s="9"/>
      <c r="AQ282" s="22">
        <v>0.38040200000000002</v>
      </c>
      <c r="AR282" s="22">
        <v>43.643300000000004</v>
      </c>
      <c r="AS282" s="22">
        <v>-1.81732E-2</v>
      </c>
      <c r="AT282" s="22">
        <v>272</v>
      </c>
      <c r="AU282" s="22">
        <v>0.37939499999999998</v>
      </c>
      <c r="AV282">
        <f t="shared" si="56"/>
        <v>18.173200000000001</v>
      </c>
      <c r="AW282">
        <f t="shared" si="57"/>
        <v>6.9131216264000006</v>
      </c>
      <c r="AX282" s="9"/>
      <c r="AY282" s="22">
        <v>1.2696799999999999</v>
      </c>
      <c r="AZ282" s="22">
        <v>48.382899999999999</v>
      </c>
      <c r="BA282" s="22">
        <v>-1.7074599999999999E-2</v>
      </c>
      <c r="BB282" s="22">
        <v>272</v>
      </c>
      <c r="BC282" s="22">
        <v>1.2692300000000001</v>
      </c>
      <c r="BD282">
        <f t="shared" si="58"/>
        <v>17.0746</v>
      </c>
      <c r="BE282">
        <f t="shared" si="59"/>
        <v>21.679278128</v>
      </c>
    </row>
    <row r="283" spans="6:101">
      <c r="F283" s="9"/>
      <c r="G283" s="22">
        <v>0.37536599999999998</v>
      </c>
      <c r="H283" s="22">
        <v>13.6448</v>
      </c>
      <c r="I283" s="22">
        <v>-1.8127399999999998E-2</v>
      </c>
      <c r="J283" s="22">
        <v>273</v>
      </c>
      <c r="K283" s="22">
        <v>0.37478600000000001</v>
      </c>
      <c r="L283">
        <f t="shared" si="48"/>
        <v>18.127399999999998</v>
      </c>
      <c r="M283">
        <f t="shared" si="49"/>
        <v>6.8044096283999984</v>
      </c>
      <c r="N283" s="9"/>
      <c r="O283" s="22">
        <v>1.2747200000000001</v>
      </c>
      <c r="P283" s="22">
        <v>26.532599999999999</v>
      </c>
      <c r="Q283" s="22">
        <v>-1.7135600000000001E-2</v>
      </c>
      <c r="R283" s="22">
        <v>273</v>
      </c>
      <c r="S283" s="22">
        <v>1.2738</v>
      </c>
      <c r="T283">
        <f t="shared" si="50"/>
        <v>17.1356</v>
      </c>
      <c r="U283">
        <f t="shared" si="51"/>
        <v>21.843092032000001</v>
      </c>
      <c r="X283" s="9"/>
      <c r="Y283" s="22">
        <v>0.37536599999999998</v>
      </c>
      <c r="Z283" s="22">
        <v>33.916200000000003</v>
      </c>
      <c r="AA283" s="22">
        <v>-1.8179299999999999E-2</v>
      </c>
      <c r="AB283" s="22">
        <v>273</v>
      </c>
      <c r="AC283" s="22">
        <v>0.37460300000000002</v>
      </c>
      <c r="AD283">
        <f t="shared" si="52"/>
        <v>18.179299999999998</v>
      </c>
      <c r="AE283">
        <f t="shared" si="53"/>
        <v>6.8238911237999984</v>
      </c>
      <c r="AF283" s="9"/>
      <c r="AG283" s="22">
        <v>1.2747200000000001</v>
      </c>
      <c r="AH283" s="22">
        <v>38.819800000000001</v>
      </c>
      <c r="AI283" s="22">
        <v>-1.71112E-2</v>
      </c>
      <c r="AJ283" s="22">
        <v>273</v>
      </c>
      <c r="AK283" s="22">
        <v>1.2738</v>
      </c>
      <c r="AL283">
        <f t="shared" si="54"/>
        <v>17.1112</v>
      </c>
      <c r="AM283">
        <f t="shared" si="55"/>
        <v>21.811988864</v>
      </c>
      <c r="AP283" s="9"/>
      <c r="AQ283" s="22">
        <v>0.37536599999999998</v>
      </c>
      <c r="AR283" s="22">
        <v>43.653399999999998</v>
      </c>
      <c r="AS283" s="22">
        <v>-1.8179299999999999E-2</v>
      </c>
      <c r="AT283" s="22">
        <v>273</v>
      </c>
      <c r="AU283" s="22">
        <v>0.37481700000000001</v>
      </c>
      <c r="AV283">
        <f t="shared" si="56"/>
        <v>18.179299999999998</v>
      </c>
      <c r="AW283">
        <f t="shared" si="57"/>
        <v>6.8238911237999984</v>
      </c>
      <c r="AX283" s="9"/>
      <c r="AY283" s="22">
        <v>1.2747200000000001</v>
      </c>
      <c r="AZ283" s="22">
        <v>48.393000000000001</v>
      </c>
      <c r="BA283" s="22">
        <v>-1.7059299999999999E-2</v>
      </c>
      <c r="BB283" s="22">
        <v>273</v>
      </c>
      <c r="BC283" s="22">
        <v>1.27441</v>
      </c>
      <c r="BD283">
        <f t="shared" si="58"/>
        <v>17.0593</v>
      </c>
      <c r="BE283">
        <f t="shared" si="59"/>
        <v>21.745830896000001</v>
      </c>
    </row>
    <row r="284" spans="6:101">
      <c r="F284" s="9"/>
      <c r="G284" s="22">
        <v>0.37033100000000002</v>
      </c>
      <c r="H284" s="22">
        <v>13.6549</v>
      </c>
      <c r="I284" s="22">
        <v>-1.8130500000000001E-2</v>
      </c>
      <c r="J284" s="22">
        <v>274</v>
      </c>
      <c r="K284" s="22">
        <v>0.36950699999999997</v>
      </c>
      <c r="L284">
        <f t="shared" si="48"/>
        <v>18.130500000000001</v>
      </c>
      <c r="M284">
        <f t="shared" si="49"/>
        <v>6.7142861955000006</v>
      </c>
      <c r="N284" s="9"/>
      <c r="O284" s="22">
        <v>1.2797499999999999</v>
      </c>
      <c r="P284" s="22">
        <v>26.5426</v>
      </c>
      <c r="Q284" s="22">
        <v>-1.7117299999999998E-2</v>
      </c>
      <c r="R284" s="22">
        <v>274</v>
      </c>
      <c r="S284" s="22">
        <v>1.2786900000000001</v>
      </c>
      <c r="T284">
        <f t="shared" si="50"/>
        <v>17.1173</v>
      </c>
      <c r="U284">
        <f t="shared" si="51"/>
        <v>21.905864675</v>
      </c>
      <c r="X284" s="9"/>
      <c r="Y284" s="22">
        <v>0.37033100000000002</v>
      </c>
      <c r="Z284" s="22">
        <v>33.926299999999998</v>
      </c>
      <c r="AA284" s="22">
        <v>-1.8182400000000001E-2</v>
      </c>
      <c r="AB284" s="22">
        <v>274</v>
      </c>
      <c r="AC284" s="22">
        <v>0.369751</v>
      </c>
      <c r="AD284">
        <f t="shared" si="52"/>
        <v>18.182400000000001</v>
      </c>
      <c r="AE284">
        <f t="shared" si="53"/>
        <v>6.733506374400001</v>
      </c>
      <c r="AF284" s="9"/>
      <c r="AG284" s="22">
        <v>1.2797499999999999</v>
      </c>
      <c r="AH284" s="22">
        <v>38.829900000000002</v>
      </c>
      <c r="AI284" s="22">
        <v>-1.7089799999999999E-2</v>
      </c>
      <c r="AJ284" s="22">
        <v>274</v>
      </c>
      <c r="AK284" s="22">
        <v>1.2789900000000001</v>
      </c>
      <c r="AL284">
        <f t="shared" si="54"/>
        <v>17.0898</v>
      </c>
      <c r="AM284">
        <f t="shared" si="55"/>
        <v>21.870671550000001</v>
      </c>
      <c r="AP284" s="9"/>
      <c r="AQ284" s="22">
        <v>0.37033100000000002</v>
      </c>
      <c r="AR284" s="22">
        <v>43.663499999999999</v>
      </c>
      <c r="AS284" s="22">
        <v>-1.8179299999999999E-2</v>
      </c>
      <c r="AT284" s="22">
        <v>274</v>
      </c>
      <c r="AU284" s="22">
        <v>0.36971999999999999</v>
      </c>
      <c r="AV284">
        <f t="shared" si="56"/>
        <v>18.179299999999998</v>
      </c>
      <c r="AW284">
        <f t="shared" si="57"/>
        <v>6.7323583482999991</v>
      </c>
      <c r="AX284" s="9"/>
      <c r="AY284" s="22">
        <v>1.2797499999999999</v>
      </c>
      <c r="AZ284" s="22">
        <v>48.403100000000002</v>
      </c>
      <c r="BA284" s="22">
        <v>-1.7034899999999999E-2</v>
      </c>
      <c r="BB284" s="22">
        <v>274</v>
      </c>
      <c r="BC284" s="22">
        <v>1.2796000000000001</v>
      </c>
      <c r="BD284">
        <f t="shared" si="58"/>
        <v>17.0349</v>
      </c>
      <c r="BE284">
        <f t="shared" si="59"/>
        <v>21.800413275</v>
      </c>
    </row>
    <row r="285" spans="6:101">
      <c r="F285" s="9"/>
      <c r="G285" s="22">
        <v>0.36529499999999998</v>
      </c>
      <c r="H285" s="22">
        <v>13.664999999999999</v>
      </c>
      <c r="I285" s="22">
        <v>-1.81335E-2</v>
      </c>
      <c r="J285" s="22">
        <v>275</v>
      </c>
      <c r="K285" s="22">
        <v>0.36474600000000001</v>
      </c>
      <c r="L285">
        <f t="shared" si="48"/>
        <v>18.133500000000002</v>
      </c>
      <c r="M285">
        <f t="shared" si="49"/>
        <v>6.6240768824999998</v>
      </c>
      <c r="N285" s="9"/>
      <c r="O285" s="22">
        <v>1.2847900000000001</v>
      </c>
      <c r="P285" s="22">
        <v>26.552700000000002</v>
      </c>
      <c r="Q285" s="22">
        <v>-1.7099E-2</v>
      </c>
      <c r="R285" s="22">
        <v>275</v>
      </c>
      <c r="S285" s="22">
        <v>1.2844800000000001</v>
      </c>
      <c r="T285">
        <f t="shared" si="50"/>
        <v>17.099</v>
      </c>
      <c r="U285">
        <f t="shared" si="51"/>
        <v>21.968624210000002</v>
      </c>
      <c r="X285" s="9"/>
      <c r="Y285" s="22">
        <v>0.36529499999999998</v>
      </c>
      <c r="Z285" s="22">
        <v>33.936300000000003</v>
      </c>
      <c r="AA285" s="22">
        <v>-1.8185400000000001E-2</v>
      </c>
      <c r="AB285" s="22">
        <v>275</v>
      </c>
      <c r="AC285" s="22">
        <v>0.36477700000000002</v>
      </c>
      <c r="AD285">
        <f t="shared" si="52"/>
        <v>18.185400000000001</v>
      </c>
      <c r="AE285">
        <f t="shared" si="53"/>
        <v>6.6430356929999999</v>
      </c>
      <c r="AF285" s="9"/>
      <c r="AG285" s="22">
        <v>1.2847900000000001</v>
      </c>
      <c r="AH285" s="22">
        <v>38.8399</v>
      </c>
      <c r="AI285" s="22">
        <v>-1.70685E-2</v>
      </c>
      <c r="AJ285" s="22">
        <v>275</v>
      </c>
      <c r="AK285" s="22">
        <v>1.2838700000000001</v>
      </c>
      <c r="AL285">
        <f t="shared" si="54"/>
        <v>17.0685</v>
      </c>
      <c r="AM285">
        <f t="shared" si="55"/>
        <v>21.929438115000004</v>
      </c>
      <c r="AP285" s="9"/>
      <c r="AQ285" s="22">
        <v>0.36529499999999998</v>
      </c>
      <c r="AR285" s="22">
        <v>43.673499999999997</v>
      </c>
      <c r="AS285" s="22">
        <v>-1.8185400000000001E-2</v>
      </c>
      <c r="AT285" s="22">
        <v>275</v>
      </c>
      <c r="AU285" s="22">
        <v>0.36496000000000001</v>
      </c>
      <c r="AV285">
        <f t="shared" si="56"/>
        <v>18.185400000000001</v>
      </c>
      <c r="AW285">
        <f t="shared" si="57"/>
        <v>6.6430356929999999</v>
      </c>
      <c r="AX285" s="9"/>
      <c r="AY285" s="22">
        <v>1.2847900000000001</v>
      </c>
      <c r="AZ285" s="22">
        <v>48.4131</v>
      </c>
      <c r="BA285" s="22">
        <v>-1.7013500000000001E-2</v>
      </c>
      <c r="BB285" s="22">
        <v>275</v>
      </c>
      <c r="BC285" s="22">
        <v>1.2835700000000001</v>
      </c>
      <c r="BD285">
        <f t="shared" si="58"/>
        <v>17.013500000000001</v>
      </c>
      <c r="BE285">
        <f t="shared" si="59"/>
        <v>21.858774665000002</v>
      </c>
    </row>
    <row r="286" spans="6:101">
      <c r="F286" s="9"/>
      <c r="G286" s="22">
        <v>0.36026000000000002</v>
      </c>
      <c r="H286" s="22">
        <v>13.675000000000001</v>
      </c>
      <c r="I286" s="22">
        <v>-1.8139599999999999E-2</v>
      </c>
      <c r="J286" s="22">
        <v>276</v>
      </c>
      <c r="K286" s="22">
        <v>0.35949700000000001</v>
      </c>
      <c r="L286">
        <f t="shared" si="48"/>
        <v>18.139599999999998</v>
      </c>
      <c r="M286">
        <f t="shared" si="49"/>
        <v>6.5349722959999994</v>
      </c>
      <c r="N286" s="9"/>
      <c r="O286" s="22">
        <v>1.28983</v>
      </c>
      <c r="P286" s="22">
        <v>26.562799999999999</v>
      </c>
      <c r="Q286" s="22">
        <v>-1.7077599999999998E-2</v>
      </c>
      <c r="R286" s="22">
        <v>276</v>
      </c>
      <c r="S286" s="22">
        <v>1.2890600000000001</v>
      </c>
      <c r="T286">
        <f t="shared" si="50"/>
        <v>17.077599999999997</v>
      </c>
      <c r="U286">
        <f t="shared" si="51"/>
        <v>22.027200807999996</v>
      </c>
      <c r="X286" s="9"/>
      <c r="Y286" s="22">
        <v>0.36026000000000002</v>
      </c>
      <c r="Z286" s="22">
        <v>33.946399999999997</v>
      </c>
      <c r="AA286" s="22">
        <v>-1.81885E-2</v>
      </c>
      <c r="AB286" s="22">
        <v>276</v>
      </c>
      <c r="AC286" s="22">
        <v>0.35955799999999999</v>
      </c>
      <c r="AD286">
        <f t="shared" si="52"/>
        <v>18.188500000000001</v>
      </c>
      <c r="AE286">
        <f t="shared" si="53"/>
        <v>6.552589010000001</v>
      </c>
      <c r="AF286" s="9"/>
      <c r="AG286" s="22">
        <v>1.28983</v>
      </c>
      <c r="AH286" s="22">
        <v>38.85</v>
      </c>
      <c r="AI286" s="22">
        <v>-1.7047099999999999E-2</v>
      </c>
      <c r="AJ286" s="22">
        <v>276</v>
      </c>
      <c r="AK286" s="22">
        <v>1.2893699999999999</v>
      </c>
      <c r="AL286">
        <f t="shared" si="54"/>
        <v>17.0471</v>
      </c>
      <c r="AM286">
        <f t="shared" si="55"/>
        <v>21.987860993000002</v>
      </c>
      <c r="AP286" s="9"/>
      <c r="AQ286" s="22">
        <v>0.36026000000000002</v>
      </c>
      <c r="AR286" s="22">
        <v>43.683599999999998</v>
      </c>
      <c r="AS286" s="22">
        <v>-1.81885E-2</v>
      </c>
      <c r="AT286" s="22">
        <v>276</v>
      </c>
      <c r="AU286" s="22">
        <v>0.35974099999999998</v>
      </c>
      <c r="AV286">
        <f t="shared" si="56"/>
        <v>18.188500000000001</v>
      </c>
      <c r="AW286">
        <f t="shared" si="57"/>
        <v>6.552589010000001</v>
      </c>
      <c r="AX286" s="9"/>
      <c r="AY286" s="22">
        <v>1.28983</v>
      </c>
      <c r="AZ286" s="22">
        <v>48.423200000000001</v>
      </c>
      <c r="BA286" s="22">
        <v>-1.69891E-2</v>
      </c>
      <c r="BB286" s="22">
        <v>276</v>
      </c>
      <c r="BC286" s="22">
        <v>1.2890600000000001</v>
      </c>
      <c r="BD286">
        <f t="shared" si="58"/>
        <v>16.989100000000001</v>
      </c>
      <c r="BE286">
        <f t="shared" si="59"/>
        <v>21.913050853000001</v>
      </c>
    </row>
    <row r="287" spans="6:101">
      <c r="F287" s="9"/>
      <c r="G287" s="22">
        <v>0.35522500000000001</v>
      </c>
      <c r="H287" s="22">
        <v>13.6851</v>
      </c>
      <c r="I287" s="22">
        <v>-1.8142700000000001E-2</v>
      </c>
      <c r="J287" s="22">
        <v>277</v>
      </c>
      <c r="K287" s="22">
        <v>0.35458400000000001</v>
      </c>
      <c r="L287">
        <f t="shared" si="48"/>
        <v>18.142700000000001</v>
      </c>
      <c r="M287">
        <f t="shared" si="49"/>
        <v>6.4447406075000009</v>
      </c>
      <c r="N287" s="9"/>
      <c r="O287" s="22">
        <v>1.2948599999999999</v>
      </c>
      <c r="P287" s="22">
        <v>26.572800000000001</v>
      </c>
      <c r="Q287" s="22">
        <v>-1.7062399999999998E-2</v>
      </c>
      <c r="R287" s="22">
        <v>277</v>
      </c>
      <c r="S287" s="22">
        <v>1.2945599999999999</v>
      </c>
      <c r="T287">
        <f t="shared" si="50"/>
        <v>17.062399999999997</v>
      </c>
      <c r="U287">
        <f t="shared" si="51"/>
        <v>22.093419263999994</v>
      </c>
      <c r="X287" s="9"/>
      <c r="Y287" s="22">
        <v>0.35522500000000001</v>
      </c>
      <c r="Z287" s="22">
        <v>33.956499999999998</v>
      </c>
      <c r="AA287" s="22">
        <v>-1.8194599999999998E-2</v>
      </c>
      <c r="AB287" s="22">
        <v>277</v>
      </c>
      <c r="AC287" s="22">
        <v>0.35501100000000002</v>
      </c>
      <c r="AD287">
        <f t="shared" si="52"/>
        <v>18.194599999999998</v>
      </c>
      <c r="AE287">
        <f t="shared" si="53"/>
        <v>6.463176784999999</v>
      </c>
      <c r="AF287" s="9"/>
      <c r="AG287" s="22">
        <v>1.2948599999999999</v>
      </c>
      <c r="AH287" s="22">
        <v>38.860100000000003</v>
      </c>
      <c r="AI287" s="22">
        <v>-1.7022700000000002E-2</v>
      </c>
      <c r="AJ287" s="22">
        <v>277</v>
      </c>
      <c r="AK287" s="22">
        <v>1.2939499999999999</v>
      </c>
      <c r="AL287">
        <f t="shared" si="54"/>
        <v>17.0227</v>
      </c>
      <c r="AM287">
        <f t="shared" si="55"/>
        <v>22.042013321999999</v>
      </c>
      <c r="AP287" s="9"/>
      <c r="AQ287" s="22">
        <v>0.35522500000000001</v>
      </c>
      <c r="AR287" s="22">
        <v>43.6937</v>
      </c>
      <c r="AS287" s="22">
        <v>-1.8194599999999998E-2</v>
      </c>
      <c r="AT287" s="22">
        <v>277</v>
      </c>
      <c r="AU287" s="22">
        <v>0.35479699999999997</v>
      </c>
      <c r="AV287">
        <f t="shared" si="56"/>
        <v>18.194599999999998</v>
      </c>
      <c r="AW287">
        <f t="shared" si="57"/>
        <v>6.463176784999999</v>
      </c>
      <c r="AX287" s="9"/>
      <c r="AY287" s="22">
        <v>1.2948599999999999</v>
      </c>
      <c r="AZ287" s="22">
        <v>48.433300000000003</v>
      </c>
      <c r="BA287" s="22">
        <v>-1.6964699999999999E-2</v>
      </c>
      <c r="BB287" s="22">
        <v>277</v>
      </c>
      <c r="BC287" s="22">
        <v>1.2942499999999999</v>
      </c>
      <c r="BD287">
        <f t="shared" si="58"/>
        <v>16.964700000000001</v>
      </c>
      <c r="BE287">
        <f t="shared" si="59"/>
        <v>21.966911442000001</v>
      </c>
    </row>
    <row r="288" spans="6:101">
      <c r="F288" s="9"/>
      <c r="G288" s="22">
        <v>0.35018899999999997</v>
      </c>
      <c r="H288" s="22">
        <v>13.6952</v>
      </c>
      <c r="I288" s="22">
        <v>-1.81458E-2</v>
      </c>
      <c r="J288" s="22">
        <v>278</v>
      </c>
      <c r="K288" s="22">
        <v>0.349518</v>
      </c>
      <c r="L288">
        <f t="shared" si="48"/>
        <v>18.145800000000001</v>
      </c>
      <c r="M288">
        <f t="shared" si="49"/>
        <v>6.3544595562000001</v>
      </c>
      <c r="N288" s="9"/>
      <c r="O288" s="22">
        <v>1.2999000000000001</v>
      </c>
      <c r="P288" s="22">
        <v>26.582899999999999</v>
      </c>
      <c r="Q288" s="22">
        <v>-1.7041000000000001E-2</v>
      </c>
      <c r="R288" s="22">
        <v>278</v>
      </c>
      <c r="S288" s="22">
        <v>1.2994399999999999</v>
      </c>
      <c r="T288">
        <f t="shared" si="50"/>
        <v>17.041</v>
      </c>
      <c r="U288">
        <f t="shared" si="51"/>
        <v>22.1515959</v>
      </c>
      <c r="X288" s="9"/>
      <c r="Y288" s="22">
        <v>0.35018899999999997</v>
      </c>
      <c r="Z288" s="22">
        <v>33.966500000000003</v>
      </c>
      <c r="AA288" s="22">
        <v>-1.8197600000000001E-2</v>
      </c>
      <c r="AB288" s="22">
        <v>278</v>
      </c>
      <c r="AC288" s="22">
        <v>0.34954800000000003</v>
      </c>
      <c r="AD288">
        <f t="shared" si="52"/>
        <v>18.197600000000001</v>
      </c>
      <c r="AE288">
        <f t="shared" si="53"/>
        <v>6.3725993464000004</v>
      </c>
      <c r="AF288" s="9"/>
      <c r="AG288" s="22">
        <v>1.2999000000000001</v>
      </c>
      <c r="AH288" s="22">
        <v>38.870199999999997</v>
      </c>
      <c r="AI288" s="22">
        <v>-1.70013E-2</v>
      </c>
      <c r="AJ288" s="22">
        <v>278</v>
      </c>
      <c r="AK288" s="22">
        <v>1.2991299999999999</v>
      </c>
      <c r="AL288">
        <f t="shared" si="54"/>
        <v>17.001300000000001</v>
      </c>
      <c r="AM288">
        <f t="shared" si="55"/>
        <v>22.099989870000002</v>
      </c>
      <c r="AP288" s="9"/>
      <c r="AQ288" s="22">
        <v>0.35018899999999997</v>
      </c>
      <c r="AR288" s="22">
        <v>43.703800000000001</v>
      </c>
      <c r="AS288" s="22">
        <v>-1.82007E-2</v>
      </c>
      <c r="AT288" s="22">
        <v>278</v>
      </c>
      <c r="AU288" s="22">
        <v>0.34890700000000002</v>
      </c>
      <c r="AV288">
        <f t="shared" si="56"/>
        <v>18.200700000000001</v>
      </c>
      <c r="AW288">
        <f t="shared" si="57"/>
        <v>6.3736849322999998</v>
      </c>
      <c r="AX288" s="9"/>
      <c r="AY288" s="22">
        <v>1.2999000000000001</v>
      </c>
      <c r="AZ288" s="22">
        <v>48.443399999999997</v>
      </c>
      <c r="BA288" s="22">
        <v>-1.6940299999999998E-2</v>
      </c>
      <c r="BB288" s="22">
        <v>278</v>
      </c>
      <c r="BC288" s="22">
        <v>1.2994399999999999</v>
      </c>
      <c r="BD288">
        <f t="shared" si="58"/>
        <v>16.940299999999997</v>
      </c>
      <c r="BE288">
        <f t="shared" si="59"/>
        <v>22.020695969999998</v>
      </c>
    </row>
    <row r="289" spans="6:57">
      <c r="F289" s="9"/>
      <c r="G289" s="22">
        <v>0.34515400000000002</v>
      </c>
      <c r="H289" s="22">
        <v>13.7052</v>
      </c>
      <c r="I289" s="22">
        <v>-1.8151899999999999E-2</v>
      </c>
      <c r="J289" s="22">
        <v>279</v>
      </c>
      <c r="K289" s="22">
        <v>0.34396399999999999</v>
      </c>
      <c r="L289">
        <f t="shared" si="48"/>
        <v>18.151899999999998</v>
      </c>
      <c r="M289">
        <f t="shared" si="49"/>
        <v>6.2652008925999993</v>
      </c>
      <c r="N289" s="9"/>
      <c r="O289" s="22">
        <v>1.3049299999999999</v>
      </c>
      <c r="P289" s="22">
        <v>26.593</v>
      </c>
      <c r="Q289" s="22">
        <v>-1.7019699999999999E-2</v>
      </c>
      <c r="R289" s="22">
        <v>279</v>
      </c>
      <c r="S289" s="22">
        <v>1.3043199999999999</v>
      </c>
      <c r="T289">
        <f t="shared" si="50"/>
        <v>17.0197</v>
      </c>
      <c r="U289">
        <f t="shared" si="51"/>
        <v>22.209517120999998</v>
      </c>
      <c r="X289" s="9"/>
      <c r="Y289" s="22">
        <v>0.34515400000000002</v>
      </c>
      <c r="Z289" s="22">
        <v>33.976599999999998</v>
      </c>
      <c r="AA289" s="22">
        <v>-1.82007E-2</v>
      </c>
      <c r="AB289" s="22">
        <v>279</v>
      </c>
      <c r="AC289" s="22">
        <v>0.34481800000000001</v>
      </c>
      <c r="AD289">
        <f t="shared" si="52"/>
        <v>18.200700000000001</v>
      </c>
      <c r="AE289">
        <f t="shared" si="53"/>
        <v>6.2820444078000008</v>
      </c>
      <c r="AF289" s="9"/>
      <c r="AG289" s="22">
        <v>1.3049299999999999</v>
      </c>
      <c r="AH289" s="22">
        <v>38.880200000000002</v>
      </c>
      <c r="AI289" s="22">
        <v>-1.6979999999999999E-2</v>
      </c>
      <c r="AJ289" s="22">
        <v>279</v>
      </c>
      <c r="AK289" s="22">
        <v>1.30402</v>
      </c>
      <c r="AL289">
        <f t="shared" si="54"/>
        <v>16.979999999999997</v>
      </c>
      <c r="AM289">
        <f t="shared" si="55"/>
        <v>22.157711399999993</v>
      </c>
      <c r="AP289" s="9"/>
      <c r="AQ289" s="22">
        <v>0.34515400000000002</v>
      </c>
      <c r="AR289" s="22">
        <v>43.713799999999999</v>
      </c>
      <c r="AS289" s="22">
        <v>-1.82037E-2</v>
      </c>
      <c r="AT289" s="22">
        <v>279</v>
      </c>
      <c r="AU289" s="22">
        <v>0.34442099999999998</v>
      </c>
      <c r="AV289">
        <f t="shared" si="56"/>
        <v>18.203700000000001</v>
      </c>
      <c r="AW289">
        <f t="shared" si="57"/>
        <v>6.2830798698000008</v>
      </c>
      <c r="AX289" s="9"/>
      <c r="AY289" s="22">
        <v>1.3049299999999999</v>
      </c>
      <c r="AZ289" s="22">
        <v>48.453400000000002</v>
      </c>
      <c r="BA289" s="22">
        <v>-1.6909799999999999E-2</v>
      </c>
      <c r="BB289" s="22">
        <v>279</v>
      </c>
      <c r="BC289" s="22">
        <v>1.30402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0.34011799999999998</v>
      </c>
      <c r="H290" s="22">
        <v>13.715299999999999</v>
      </c>
      <c r="I290" s="22">
        <v>-1.8158000000000001E-2</v>
      </c>
      <c r="J290" s="22">
        <v>280</v>
      </c>
      <c r="K290" s="22">
        <v>0.339478</v>
      </c>
      <c r="L290">
        <f t="shared" si="48"/>
        <v>18.158000000000001</v>
      </c>
      <c r="M290">
        <f t="shared" si="49"/>
        <v>6.1758626440000004</v>
      </c>
      <c r="N290" s="9"/>
      <c r="O290" s="22">
        <v>1.3099700000000001</v>
      </c>
      <c r="P290" s="22">
        <v>26.603100000000001</v>
      </c>
      <c r="Q290" s="22">
        <v>-1.6995199999999999E-2</v>
      </c>
      <c r="R290" s="22">
        <v>280</v>
      </c>
      <c r="S290" s="22">
        <v>1.3089</v>
      </c>
      <c r="T290">
        <f t="shared" si="50"/>
        <v>16.995199999999997</v>
      </c>
      <c r="U290">
        <f t="shared" si="51"/>
        <v>22.263202143999997</v>
      </c>
      <c r="X290" s="9"/>
      <c r="Y290" s="22">
        <v>0.34011799999999998</v>
      </c>
      <c r="Z290" s="22">
        <v>33.986699999999999</v>
      </c>
      <c r="AA290" s="22">
        <v>-1.82037E-2</v>
      </c>
      <c r="AB290" s="22">
        <v>280</v>
      </c>
      <c r="AC290" s="22">
        <v>0.339478</v>
      </c>
      <c r="AD290">
        <f t="shared" si="52"/>
        <v>18.203700000000001</v>
      </c>
      <c r="AE290">
        <f t="shared" si="53"/>
        <v>6.1914060366000001</v>
      </c>
      <c r="AF290" s="9"/>
      <c r="AG290" s="22">
        <v>1.3099700000000001</v>
      </c>
      <c r="AH290" s="22">
        <v>38.890300000000003</v>
      </c>
      <c r="AI290" s="22">
        <v>-1.6955600000000001E-2</v>
      </c>
      <c r="AJ290" s="22">
        <v>280</v>
      </c>
      <c r="AK290" s="22">
        <v>1.3089</v>
      </c>
      <c r="AL290">
        <f t="shared" si="54"/>
        <v>16.9556</v>
      </c>
      <c r="AM290">
        <f t="shared" si="55"/>
        <v>22.211327332000003</v>
      </c>
      <c r="AP290" s="9"/>
      <c r="AQ290" s="22">
        <v>0.34011799999999998</v>
      </c>
      <c r="AR290" s="22">
        <v>43.7239</v>
      </c>
      <c r="AS290" s="22">
        <v>-1.8206799999999999E-2</v>
      </c>
      <c r="AT290" s="22">
        <v>280</v>
      </c>
      <c r="AU290" s="22">
        <v>0.33981299999999998</v>
      </c>
      <c r="AV290">
        <f t="shared" si="56"/>
        <v>18.206799999999998</v>
      </c>
      <c r="AW290">
        <f t="shared" si="57"/>
        <v>6.1924604023999992</v>
      </c>
      <c r="AX290" s="9"/>
      <c r="AY290" s="22">
        <v>1.3099700000000001</v>
      </c>
      <c r="AZ290" s="22">
        <v>48.463500000000003</v>
      </c>
      <c r="BA290" s="22">
        <v>-1.68793E-2</v>
      </c>
      <c r="BB290" s="22">
        <v>280</v>
      </c>
      <c r="BC290" s="22">
        <v>1.3091999999999999</v>
      </c>
      <c r="BD290">
        <f t="shared" si="58"/>
        <v>16.879300000000001</v>
      </c>
      <c r="BE290">
        <f t="shared" si="59"/>
        <v>22.111376621000002</v>
      </c>
    </row>
    <row r="291" spans="6:57">
      <c r="F291" s="9"/>
      <c r="G291" s="22">
        <v>0.33508300000000002</v>
      </c>
      <c r="H291" s="22">
        <v>13.7254</v>
      </c>
      <c r="I291" s="22">
        <v>-1.8164099999999999E-2</v>
      </c>
      <c r="J291" s="22">
        <v>281</v>
      </c>
      <c r="K291" s="22">
        <v>0.33459499999999998</v>
      </c>
      <c r="L291">
        <f t="shared" si="48"/>
        <v>18.164099999999998</v>
      </c>
      <c r="M291">
        <f t="shared" si="49"/>
        <v>6.0864811202999993</v>
      </c>
      <c r="N291" s="9"/>
      <c r="O291" s="22">
        <v>1.3149999999999999</v>
      </c>
      <c r="P291" s="22">
        <v>26.613099999999999</v>
      </c>
      <c r="Q291" s="22">
        <v>-1.6967800000000002E-2</v>
      </c>
      <c r="R291" s="22">
        <v>281</v>
      </c>
      <c r="S291" s="22">
        <v>1.3143899999999999</v>
      </c>
      <c r="T291">
        <f t="shared" si="50"/>
        <v>16.9678</v>
      </c>
      <c r="U291">
        <f t="shared" si="51"/>
        <v>22.312656999999998</v>
      </c>
      <c r="X291" s="9"/>
      <c r="Y291" s="22">
        <v>0.33508300000000002</v>
      </c>
      <c r="Z291" s="22">
        <v>33.9968</v>
      </c>
      <c r="AA291" s="22">
        <v>-1.8209800000000002E-2</v>
      </c>
      <c r="AB291" s="22">
        <v>281</v>
      </c>
      <c r="AC291" s="22">
        <v>0.33447300000000002</v>
      </c>
      <c r="AD291">
        <f t="shared" si="52"/>
        <v>18.209800000000001</v>
      </c>
      <c r="AE291">
        <f t="shared" si="53"/>
        <v>6.1017944134000004</v>
      </c>
      <c r="AF291" s="9"/>
      <c r="AG291" s="22">
        <v>1.3149999999999999</v>
      </c>
      <c r="AH291" s="22">
        <v>38.900399999999998</v>
      </c>
      <c r="AI291" s="22">
        <v>-1.69312E-2</v>
      </c>
      <c r="AJ291" s="22">
        <v>281</v>
      </c>
      <c r="AK291" s="22">
        <v>1.3147</v>
      </c>
      <c r="AL291">
        <f t="shared" si="54"/>
        <v>16.9312</v>
      </c>
      <c r="AM291">
        <f t="shared" si="55"/>
        <v>22.264527999999999</v>
      </c>
      <c r="AP291" s="9"/>
      <c r="AQ291" s="22">
        <v>0.33508300000000002</v>
      </c>
      <c r="AR291" s="22">
        <v>43.734000000000002</v>
      </c>
      <c r="AS291" s="22">
        <v>-1.8206799999999999E-2</v>
      </c>
      <c r="AT291" s="22">
        <v>281</v>
      </c>
      <c r="AU291" s="22">
        <v>0.33529700000000001</v>
      </c>
      <c r="AV291">
        <f t="shared" si="56"/>
        <v>18.206799999999998</v>
      </c>
      <c r="AW291">
        <f t="shared" si="57"/>
        <v>6.1007891643999992</v>
      </c>
      <c r="AX291" s="9"/>
      <c r="AY291" s="22">
        <v>1.3149999999999999</v>
      </c>
      <c r="AZ291" s="22">
        <v>48.473599999999998</v>
      </c>
      <c r="BA291" s="22">
        <v>-1.6848800000000001E-2</v>
      </c>
      <c r="BB291" s="22">
        <v>281</v>
      </c>
      <c r="BC291" s="22">
        <v>1.3137799999999999</v>
      </c>
      <c r="BD291">
        <f t="shared" si="58"/>
        <v>16.848800000000001</v>
      </c>
      <c r="BE291">
        <f t="shared" si="59"/>
        <v>22.156172000000002</v>
      </c>
    </row>
    <row r="292" spans="6:57">
      <c r="F292" s="9"/>
      <c r="G292" s="22">
        <v>0.33004800000000001</v>
      </c>
      <c r="H292" s="22">
        <v>13.7355</v>
      </c>
      <c r="I292" s="22">
        <v>-1.8170200000000001E-2</v>
      </c>
      <c r="J292" s="22">
        <v>282</v>
      </c>
      <c r="K292" s="22">
        <v>0.32931500000000002</v>
      </c>
      <c r="L292">
        <f t="shared" si="48"/>
        <v>18.170200000000001</v>
      </c>
      <c r="M292">
        <f t="shared" si="49"/>
        <v>5.9970381696000006</v>
      </c>
      <c r="N292" s="9"/>
      <c r="O292" s="22">
        <v>1.3200400000000001</v>
      </c>
      <c r="P292" s="22">
        <v>26.623200000000001</v>
      </c>
      <c r="Q292" s="22">
        <v>-1.69342E-2</v>
      </c>
      <c r="R292" s="22">
        <v>282</v>
      </c>
      <c r="S292" s="22">
        <v>1.3192699999999999</v>
      </c>
      <c r="T292">
        <f t="shared" si="50"/>
        <v>16.934200000000001</v>
      </c>
      <c r="U292">
        <f t="shared" si="51"/>
        <v>22.353821368000002</v>
      </c>
      <c r="X292" s="9"/>
      <c r="Y292" s="22">
        <v>0.33004800000000001</v>
      </c>
      <c r="Z292" s="22">
        <v>34.006799999999998</v>
      </c>
      <c r="AA292" s="22">
        <v>-1.82159E-2</v>
      </c>
      <c r="AB292" s="22">
        <v>282</v>
      </c>
      <c r="AC292" s="22">
        <v>0.32934600000000003</v>
      </c>
      <c r="AD292">
        <f t="shared" si="52"/>
        <v>18.215900000000001</v>
      </c>
      <c r="AE292">
        <f t="shared" si="53"/>
        <v>6.0121213632000003</v>
      </c>
      <c r="AF292" s="9"/>
      <c r="AG292" s="22">
        <v>1.3200400000000001</v>
      </c>
      <c r="AH292" s="22">
        <v>38.910400000000003</v>
      </c>
      <c r="AI292" s="22">
        <v>-1.6900600000000002E-2</v>
      </c>
      <c r="AJ292" s="22">
        <v>282</v>
      </c>
      <c r="AK292" s="22">
        <v>1.31897</v>
      </c>
      <c r="AL292">
        <f t="shared" si="54"/>
        <v>16.900600000000001</v>
      </c>
      <c r="AM292">
        <f t="shared" si="55"/>
        <v>22.309468024000001</v>
      </c>
      <c r="AP292" s="9"/>
      <c r="AQ292" s="22">
        <v>0.33004800000000001</v>
      </c>
      <c r="AR292" s="22">
        <v>43.744</v>
      </c>
      <c r="AS292" s="22">
        <v>-1.8209800000000002E-2</v>
      </c>
      <c r="AT292" s="22">
        <v>282</v>
      </c>
      <c r="AU292" s="22">
        <v>0.33004800000000001</v>
      </c>
      <c r="AV292">
        <f t="shared" si="56"/>
        <v>18.209800000000001</v>
      </c>
      <c r="AW292">
        <f t="shared" si="57"/>
        <v>6.0101080704000003</v>
      </c>
      <c r="AX292" s="9"/>
      <c r="AY292" s="22">
        <v>1.3200400000000001</v>
      </c>
      <c r="AZ292" s="22">
        <v>48.483600000000003</v>
      </c>
      <c r="BA292" s="22">
        <v>-1.6815199999999999E-2</v>
      </c>
      <c r="BB292" s="22">
        <v>282</v>
      </c>
      <c r="BC292" s="22">
        <v>1.3192699999999999</v>
      </c>
      <c r="BD292">
        <f t="shared" si="58"/>
        <v>16.815199999999997</v>
      </c>
      <c r="BE292">
        <f t="shared" si="59"/>
        <v>22.196736607999998</v>
      </c>
    </row>
    <row r="293" spans="6:57">
      <c r="F293" s="9"/>
      <c r="G293" s="22">
        <v>0.32501200000000002</v>
      </c>
      <c r="H293" s="22">
        <v>13.7455</v>
      </c>
      <c r="I293" s="22">
        <v>-1.81732E-2</v>
      </c>
      <c r="J293" s="22">
        <v>283</v>
      </c>
      <c r="K293" s="22">
        <v>0.324432</v>
      </c>
      <c r="L293">
        <f t="shared" si="48"/>
        <v>18.173200000000001</v>
      </c>
      <c r="M293">
        <f t="shared" si="49"/>
        <v>5.9065080784000008</v>
      </c>
      <c r="N293" s="9"/>
      <c r="O293" s="22">
        <v>1.32507</v>
      </c>
      <c r="P293" s="22">
        <v>26.633299999999998</v>
      </c>
      <c r="Q293" s="22">
        <v>-1.69067E-2</v>
      </c>
      <c r="R293" s="22">
        <v>283</v>
      </c>
      <c r="S293" s="22">
        <v>1.32446</v>
      </c>
      <c r="T293">
        <f t="shared" si="50"/>
        <v>16.906700000000001</v>
      </c>
      <c r="U293">
        <f t="shared" si="51"/>
        <v>22.402560969</v>
      </c>
      <c r="X293" s="9"/>
      <c r="Y293" s="22">
        <v>0.32501200000000002</v>
      </c>
      <c r="Z293" s="22">
        <v>34.0169</v>
      </c>
      <c r="AA293" s="22">
        <v>-1.8218999999999999E-2</v>
      </c>
      <c r="AB293" s="22">
        <v>283</v>
      </c>
      <c r="AC293" s="22">
        <v>0.324463</v>
      </c>
      <c r="AD293">
        <f t="shared" si="52"/>
        <v>18.218999999999998</v>
      </c>
      <c r="AE293">
        <f t="shared" si="53"/>
        <v>5.9213936279999997</v>
      </c>
      <c r="AF293" s="9"/>
      <c r="AG293" s="22">
        <v>1.32507</v>
      </c>
      <c r="AH293" s="22">
        <v>38.920499999999997</v>
      </c>
      <c r="AI293" s="22">
        <v>-1.6873200000000001E-2</v>
      </c>
      <c r="AJ293" s="22">
        <v>283</v>
      </c>
      <c r="AK293" s="22">
        <v>1.32416</v>
      </c>
      <c r="AL293">
        <f t="shared" si="54"/>
        <v>16.873200000000001</v>
      </c>
      <c r="AM293">
        <f t="shared" si="55"/>
        <v>22.358171124000002</v>
      </c>
      <c r="AP293" s="9"/>
      <c r="AQ293" s="22">
        <v>0.32501200000000002</v>
      </c>
      <c r="AR293" s="22">
        <v>43.754100000000001</v>
      </c>
      <c r="AS293" s="22">
        <v>-1.8212900000000001E-2</v>
      </c>
      <c r="AT293" s="22">
        <v>283</v>
      </c>
      <c r="AU293" s="22">
        <v>0.324463</v>
      </c>
      <c r="AV293">
        <f t="shared" si="56"/>
        <v>18.212900000000001</v>
      </c>
      <c r="AW293">
        <f t="shared" si="57"/>
        <v>5.9194110548000012</v>
      </c>
      <c r="AX293" s="9"/>
      <c r="AY293" s="22">
        <v>1.32507</v>
      </c>
      <c r="AZ293" s="22">
        <v>48.493699999999997</v>
      </c>
      <c r="BA293" s="22">
        <v>-1.67969E-2</v>
      </c>
      <c r="BB293" s="22">
        <v>283</v>
      </c>
      <c r="BC293" s="22">
        <v>1.32507</v>
      </c>
      <c r="BD293">
        <f t="shared" si="58"/>
        <v>16.796900000000001</v>
      </c>
      <c r="BE293">
        <f t="shared" si="59"/>
        <v>22.257068282999999</v>
      </c>
    </row>
    <row r="294" spans="6:57">
      <c r="F294" s="9"/>
      <c r="G294" s="22">
        <v>0.31997700000000001</v>
      </c>
      <c r="H294" s="22">
        <v>13.755599999999999</v>
      </c>
      <c r="I294" s="22">
        <v>-1.81732E-2</v>
      </c>
      <c r="J294" s="22">
        <v>284</v>
      </c>
      <c r="K294" s="22">
        <v>0.31942700000000002</v>
      </c>
      <c r="L294">
        <f t="shared" si="48"/>
        <v>18.173200000000001</v>
      </c>
      <c r="M294">
        <f t="shared" si="49"/>
        <v>5.8150060164000008</v>
      </c>
      <c r="N294" s="9"/>
      <c r="O294" s="22">
        <v>1.3301099999999999</v>
      </c>
      <c r="P294" s="22">
        <v>26.6433</v>
      </c>
      <c r="Q294" s="22">
        <v>-1.6876200000000001E-2</v>
      </c>
      <c r="R294" s="22">
        <v>284</v>
      </c>
      <c r="S294" s="22">
        <v>1.32935</v>
      </c>
      <c r="T294">
        <f t="shared" si="50"/>
        <v>16.876200000000001</v>
      </c>
      <c r="U294">
        <f t="shared" si="51"/>
        <v>22.447202382</v>
      </c>
      <c r="X294" s="9"/>
      <c r="Y294" s="22">
        <v>0.31997700000000001</v>
      </c>
      <c r="Z294" s="22">
        <v>34.027000000000001</v>
      </c>
      <c r="AA294" s="22">
        <v>-1.8225100000000001E-2</v>
      </c>
      <c r="AB294" s="22">
        <v>284</v>
      </c>
      <c r="AC294" s="22">
        <v>0.31930500000000001</v>
      </c>
      <c r="AD294">
        <f t="shared" si="52"/>
        <v>18.225100000000001</v>
      </c>
      <c r="AE294">
        <f t="shared" si="53"/>
        <v>5.8316128227000004</v>
      </c>
      <c r="AF294" s="9"/>
      <c r="AG294" s="22">
        <v>1.3301099999999999</v>
      </c>
      <c r="AH294" s="22">
        <v>38.930599999999998</v>
      </c>
      <c r="AI294" s="22">
        <v>-1.6836500000000001E-2</v>
      </c>
      <c r="AJ294" s="22">
        <v>284</v>
      </c>
      <c r="AK294" s="22">
        <v>1.32996</v>
      </c>
      <c r="AL294">
        <f t="shared" si="54"/>
        <v>16.836500000000001</v>
      </c>
      <c r="AM294">
        <f t="shared" si="55"/>
        <v>22.394397014999999</v>
      </c>
      <c r="AP294" s="9"/>
      <c r="AQ294" s="22">
        <v>0.31997700000000001</v>
      </c>
      <c r="AR294" s="22">
        <v>43.764200000000002</v>
      </c>
      <c r="AS294" s="22">
        <v>-1.8218999999999999E-2</v>
      </c>
      <c r="AT294" s="22">
        <v>284</v>
      </c>
      <c r="AU294" s="22">
        <v>0.32040400000000002</v>
      </c>
      <c r="AV294">
        <f t="shared" si="56"/>
        <v>18.218999999999998</v>
      </c>
      <c r="AW294">
        <f t="shared" si="57"/>
        <v>5.8296609629999994</v>
      </c>
      <c r="AX294" s="9"/>
      <c r="AY294" s="22">
        <v>1.3301099999999999</v>
      </c>
      <c r="AZ294" s="22">
        <v>48.503799999999998</v>
      </c>
      <c r="BA294" s="22">
        <v>-1.6744999999999999E-2</v>
      </c>
      <c r="BB294" s="22">
        <v>284</v>
      </c>
      <c r="BC294" s="22">
        <v>1.32904</v>
      </c>
      <c r="BD294">
        <f t="shared" si="58"/>
        <v>16.745000000000001</v>
      </c>
      <c r="BE294">
        <f t="shared" si="59"/>
        <v>22.272691949999999</v>
      </c>
    </row>
    <row r="295" spans="6:57">
      <c r="F295" s="9"/>
      <c r="G295" s="22">
        <v>0.31494100000000003</v>
      </c>
      <c r="H295" s="22">
        <v>13.765700000000001</v>
      </c>
      <c r="I295" s="22">
        <v>-1.8179299999999999E-2</v>
      </c>
      <c r="J295" s="22">
        <v>285</v>
      </c>
      <c r="K295" s="22">
        <v>0.31433100000000003</v>
      </c>
      <c r="L295">
        <f t="shared" si="48"/>
        <v>18.179299999999998</v>
      </c>
      <c r="M295">
        <f t="shared" si="49"/>
        <v>5.7254069212999994</v>
      </c>
      <c r="N295" s="9"/>
      <c r="O295" s="22">
        <v>1.33514</v>
      </c>
      <c r="P295" s="22">
        <v>26.653400000000001</v>
      </c>
      <c r="Q295" s="22">
        <v>-1.6848800000000001E-2</v>
      </c>
      <c r="R295" s="22">
        <v>285</v>
      </c>
      <c r="S295" s="22">
        <v>1.33453</v>
      </c>
      <c r="T295">
        <f t="shared" si="50"/>
        <v>16.848800000000001</v>
      </c>
      <c r="U295">
        <f t="shared" si="51"/>
        <v>22.495506832</v>
      </c>
      <c r="X295" s="9"/>
      <c r="Y295" s="22">
        <v>0.31494100000000003</v>
      </c>
      <c r="Z295" s="22">
        <v>34.036999999999999</v>
      </c>
      <c r="AA295" s="22">
        <v>-1.8228100000000001E-2</v>
      </c>
      <c r="AB295" s="22">
        <v>285</v>
      </c>
      <c r="AC295" s="22">
        <v>0.31445299999999998</v>
      </c>
      <c r="AD295">
        <f t="shared" si="52"/>
        <v>18.228100000000001</v>
      </c>
      <c r="AE295">
        <f t="shared" si="53"/>
        <v>5.7407760421000011</v>
      </c>
      <c r="AF295" s="9"/>
      <c r="AG295" s="22">
        <v>1.33514</v>
      </c>
      <c r="AH295" s="22">
        <v>38.9407</v>
      </c>
      <c r="AI295" s="22">
        <v>-1.6802999999999998E-2</v>
      </c>
      <c r="AJ295" s="22">
        <v>285</v>
      </c>
      <c r="AK295" s="22">
        <v>1.33484</v>
      </c>
      <c r="AL295">
        <f t="shared" si="54"/>
        <v>16.802999999999997</v>
      </c>
      <c r="AM295">
        <f t="shared" si="55"/>
        <v>22.434357419999998</v>
      </c>
      <c r="AP295" s="9"/>
      <c r="AQ295" s="22">
        <v>0.31494100000000003</v>
      </c>
      <c r="AR295" s="22">
        <v>43.7742</v>
      </c>
      <c r="AS295" s="22">
        <v>-1.8221999999999999E-2</v>
      </c>
      <c r="AT295" s="22">
        <v>285</v>
      </c>
      <c r="AU295" s="22">
        <v>0.31399500000000002</v>
      </c>
      <c r="AV295">
        <f t="shared" si="56"/>
        <v>18.221999999999998</v>
      </c>
      <c r="AW295">
        <f t="shared" si="57"/>
        <v>5.7388549019999999</v>
      </c>
      <c r="AX295" s="9"/>
      <c r="AY295" s="22">
        <v>1.33514</v>
      </c>
      <c r="AZ295" s="22">
        <v>48.5139</v>
      </c>
      <c r="BA295" s="22">
        <v>-1.6705299999999999E-2</v>
      </c>
      <c r="BB295" s="22">
        <v>285</v>
      </c>
      <c r="BC295" s="22">
        <v>1.33423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0.30990600000000001</v>
      </c>
      <c r="H296" s="22">
        <v>13.775700000000001</v>
      </c>
      <c r="I296" s="22">
        <v>-1.8179299999999999E-2</v>
      </c>
      <c r="J296" s="22">
        <v>286</v>
      </c>
      <c r="K296" s="22">
        <v>0.30898999999999999</v>
      </c>
      <c r="L296">
        <f t="shared" si="48"/>
        <v>18.179299999999998</v>
      </c>
      <c r="M296">
        <f t="shared" si="49"/>
        <v>5.6338741457999992</v>
      </c>
      <c r="N296" s="9"/>
      <c r="O296" s="22">
        <v>1.3401799999999999</v>
      </c>
      <c r="P296" s="22">
        <v>26.663499999999999</v>
      </c>
      <c r="Q296" s="22">
        <v>-1.6818199999999998E-2</v>
      </c>
      <c r="R296" s="22">
        <v>286</v>
      </c>
      <c r="S296" s="22">
        <v>1.33972</v>
      </c>
      <c r="T296">
        <f t="shared" si="50"/>
        <v>16.818199999999997</v>
      </c>
      <c r="U296">
        <f t="shared" si="51"/>
        <v>22.539415275999996</v>
      </c>
      <c r="X296" s="9"/>
      <c r="Y296" s="22">
        <v>0.30990600000000001</v>
      </c>
      <c r="Z296" s="22">
        <v>34.0471</v>
      </c>
      <c r="AA296" s="22">
        <v>-1.8228100000000001E-2</v>
      </c>
      <c r="AB296" s="22">
        <v>286</v>
      </c>
      <c r="AC296" s="22">
        <v>0.30938700000000002</v>
      </c>
      <c r="AD296">
        <f t="shared" si="52"/>
        <v>18.228100000000001</v>
      </c>
      <c r="AE296">
        <f t="shared" si="53"/>
        <v>5.6489975586000005</v>
      </c>
      <c r="AF296" s="9"/>
      <c r="AG296" s="22">
        <v>1.3401799999999999</v>
      </c>
      <c r="AH296" s="22">
        <v>38.950699999999998</v>
      </c>
      <c r="AI296" s="22">
        <v>-1.67847E-2</v>
      </c>
      <c r="AJ296" s="22">
        <v>286</v>
      </c>
      <c r="AK296" s="22">
        <v>1.33911</v>
      </c>
      <c r="AL296">
        <f t="shared" si="54"/>
        <v>16.784700000000001</v>
      </c>
      <c r="AM296">
        <f t="shared" si="55"/>
        <v>22.494519245999999</v>
      </c>
      <c r="AP296" s="9"/>
      <c r="AQ296" s="22">
        <v>0.30990600000000001</v>
      </c>
      <c r="AR296" s="22">
        <v>43.784300000000002</v>
      </c>
      <c r="AS296" s="22">
        <v>-1.8228100000000001E-2</v>
      </c>
      <c r="AT296" s="22">
        <v>286</v>
      </c>
      <c r="AU296" s="22">
        <v>0.30905199999999999</v>
      </c>
      <c r="AV296">
        <f t="shared" si="56"/>
        <v>18.228100000000001</v>
      </c>
      <c r="AW296">
        <f t="shared" si="57"/>
        <v>5.6489975586000005</v>
      </c>
      <c r="AX296" s="9"/>
      <c r="AY296" s="22">
        <v>1.3401799999999999</v>
      </c>
      <c r="AZ296" s="22">
        <v>48.523899999999998</v>
      </c>
      <c r="BA296" s="22">
        <v>-1.6665599999999999E-2</v>
      </c>
      <c r="BB296" s="22">
        <v>286</v>
      </c>
      <c r="BC296" s="22">
        <v>1.3394200000000001</v>
      </c>
      <c r="BD296">
        <f t="shared" si="58"/>
        <v>16.665599999999998</v>
      </c>
      <c r="BE296">
        <f t="shared" si="59"/>
        <v>22.334903807999996</v>
      </c>
    </row>
    <row r="297" spans="6:57">
      <c r="F297" s="9"/>
      <c r="G297" s="22">
        <v>0.304871</v>
      </c>
      <c r="H297" s="22">
        <v>13.7858</v>
      </c>
      <c r="I297" s="22">
        <v>-1.8185400000000001E-2</v>
      </c>
      <c r="J297" s="22">
        <v>287</v>
      </c>
      <c r="K297" s="22">
        <v>0.30416900000000002</v>
      </c>
      <c r="L297">
        <f t="shared" si="48"/>
        <v>18.185400000000001</v>
      </c>
      <c r="M297">
        <f t="shared" si="49"/>
        <v>5.5442010834000008</v>
      </c>
      <c r="N297" s="9"/>
      <c r="O297" s="22">
        <v>1.34521</v>
      </c>
      <c r="P297" s="22">
        <v>26.6736</v>
      </c>
      <c r="Q297" s="22">
        <v>-1.67847E-2</v>
      </c>
      <c r="R297" s="22">
        <v>287</v>
      </c>
      <c r="S297" s="22">
        <v>1.3443000000000001</v>
      </c>
      <c r="T297">
        <f t="shared" si="50"/>
        <v>16.784700000000001</v>
      </c>
      <c r="U297">
        <f t="shared" si="51"/>
        <v>22.578946287000001</v>
      </c>
      <c r="X297" s="9"/>
      <c r="Y297" s="22">
        <v>0.304871</v>
      </c>
      <c r="Z297" s="22">
        <v>34.057200000000002</v>
      </c>
      <c r="AA297" s="22">
        <v>-1.8234299999999998E-2</v>
      </c>
      <c r="AB297" s="22">
        <v>287</v>
      </c>
      <c r="AC297" s="22">
        <v>0.30429099999999998</v>
      </c>
      <c r="AD297">
        <f t="shared" si="52"/>
        <v>18.234299999999998</v>
      </c>
      <c r="AE297">
        <f t="shared" si="53"/>
        <v>5.5591092752999991</v>
      </c>
      <c r="AF297" s="9"/>
      <c r="AG297" s="22">
        <v>1.34521</v>
      </c>
      <c r="AH297" s="22">
        <v>38.960799999999999</v>
      </c>
      <c r="AI297" s="22">
        <v>-1.6735799999999999E-2</v>
      </c>
      <c r="AJ297" s="22">
        <v>287</v>
      </c>
      <c r="AK297" s="22">
        <v>1.3443000000000001</v>
      </c>
      <c r="AL297">
        <f t="shared" si="54"/>
        <v>16.735799999999998</v>
      </c>
      <c r="AM297">
        <f t="shared" si="55"/>
        <v>22.513165517999997</v>
      </c>
      <c r="AP297" s="9"/>
      <c r="AQ297" s="22">
        <v>0.304871</v>
      </c>
      <c r="AR297" s="22">
        <v>43.794400000000003</v>
      </c>
      <c r="AS297" s="22">
        <v>-1.8231199999999999E-2</v>
      </c>
      <c r="AT297" s="22">
        <v>287</v>
      </c>
      <c r="AU297" s="22">
        <v>0.30441299999999999</v>
      </c>
      <c r="AV297">
        <f t="shared" si="56"/>
        <v>18.231200000000001</v>
      </c>
      <c r="AW297">
        <f t="shared" si="57"/>
        <v>5.5581641752000008</v>
      </c>
      <c r="AX297" s="9"/>
      <c r="AY297" s="22">
        <v>1.34521</v>
      </c>
      <c r="AZ297" s="22">
        <v>48.533999999999999</v>
      </c>
      <c r="BA297" s="22">
        <v>-1.6622899999999999E-2</v>
      </c>
      <c r="BB297" s="22">
        <v>287</v>
      </c>
      <c r="BC297" s="22">
        <v>1.3446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0.29983500000000002</v>
      </c>
      <c r="H298" s="22">
        <v>13.7959</v>
      </c>
      <c r="I298" s="22">
        <v>-1.8191499999999999E-2</v>
      </c>
      <c r="J298" s="22">
        <v>288</v>
      </c>
      <c r="K298" s="22">
        <v>0.298981</v>
      </c>
      <c r="L298">
        <f t="shared" si="48"/>
        <v>18.191499999999998</v>
      </c>
      <c r="M298">
        <f t="shared" si="49"/>
        <v>5.4544484024999997</v>
      </c>
      <c r="N298" s="9"/>
      <c r="O298" s="22">
        <v>1.35025</v>
      </c>
      <c r="P298" s="22">
        <v>26.683599999999998</v>
      </c>
      <c r="Q298" s="22">
        <v>-1.6747999999999999E-2</v>
      </c>
      <c r="R298" s="22">
        <v>288</v>
      </c>
      <c r="S298" s="22">
        <v>1.3494900000000001</v>
      </c>
      <c r="T298">
        <f t="shared" si="50"/>
        <v>16.747999999999998</v>
      </c>
      <c r="U298">
        <f t="shared" si="51"/>
        <v>22.613986999999995</v>
      </c>
      <c r="X298" s="9"/>
      <c r="Y298" s="22">
        <v>0.29983500000000002</v>
      </c>
      <c r="Z298" s="22">
        <v>34.067300000000003</v>
      </c>
      <c r="AA298" s="22">
        <v>-1.8237300000000001E-2</v>
      </c>
      <c r="AB298" s="22">
        <v>288</v>
      </c>
      <c r="AC298" s="22">
        <v>0.29916399999999999</v>
      </c>
      <c r="AD298">
        <f t="shared" si="52"/>
        <v>18.237300000000001</v>
      </c>
      <c r="AE298">
        <f t="shared" si="53"/>
        <v>5.4681808455000009</v>
      </c>
      <c r="AF298" s="9"/>
      <c r="AG298" s="22">
        <v>1.35025</v>
      </c>
      <c r="AH298" s="22">
        <v>38.9709</v>
      </c>
      <c r="AI298" s="22">
        <v>-1.6696200000000001E-2</v>
      </c>
      <c r="AJ298" s="22">
        <v>288</v>
      </c>
      <c r="AK298" s="22">
        <v>1.3501000000000001</v>
      </c>
      <c r="AL298">
        <f t="shared" si="54"/>
        <v>16.696200000000001</v>
      </c>
      <c r="AM298">
        <f t="shared" si="55"/>
        <v>22.54404405</v>
      </c>
      <c r="AP298" s="9"/>
      <c r="AQ298" s="22">
        <v>0.29983500000000002</v>
      </c>
      <c r="AR298" s="22">
        <v>43.804499999999997</v>
      </c>
      <c r="AS298" s="22">
        <v>-1.8237300000000001E-2</v>
      </c>
      <c r="AT298" s="22">
        <v>288</v>
      </c>
      <c r="AU298" s="22">
        <v>0.29888900000000002</v>
      </c>
      <c r="AV298">
        <f t="shared" si="56"/>
        <v>18.237300000000001</v>
      </c>
      <c r="AW298">
        <f t="shared" si="57"/>
        <v>5.4681808455000009</v>
      </c>
      <c r="AX298" s="9"/>
      <c r="AY298" s="22">
        <v>1.35025</v>
      </c>
      <c r="AZ298" s="22">
        <v>48.5441</v>
      </c>
      <c r="BA298" s="22">
        <v>-1.65802E-2</v>
      </c>
      <c r="BB298" s="22">
        <v>288</v>
      </c>
      <c r="BC298" s="22">
        <v>1.34918</v>
      </c>
      <c r="BD298">
        <f t="shared" si="58"/>
        <v>16.580200000000001</v>
      </c>
      <c r="BE298">
        <f t="shared" si="59"/>
        <v>22.387415050000001</v>
      </c>
    </row>
    <row r="299" spans="6:57">
      <c r="F299" s="9"/>
      <c r="G299" s="22">
        <v>0.29480000000000001</v>
      </c>
      <c r="H299" s="22">
        <v>13.805899999999999</v>
      </c>
      <c r="I299" s="22">
        <v>-1.8194599999999998E-2</v>
      </c>
      <c r="J299" s="22">
        <v>289</v>
      </c>
      <c r="K299" s="22">
        <v>0.29409800000000003</v>
      </c>
      <c r="L299">
        <f t="shared" si="48"/>
        <v>18.194599999999998</v>
      </c>
      <c r="M299">
        <f t="shared" si="49"/>
        <v>5.3637680799999998</v>
      </c>
      <c r="N299" s="9"/>
      <c r="O299" s="22">
        <v>1.3552900000000001</v>
      </c>
      <c r="P299" s="22">
        <v>26.6937</v>
      </c>
      <c r="Q299" s="22">
        <v>-1.6708400000000002E-2</v>
      </c>
      <c r="R299" s="22">
        <v>289</v>
      </c>
      <c r="S299" s="22">
        <v>1.3543700000000001</v>
      </c>
      <c r="T299">
        <f t="shared" si="50"/>
        <v>16.708400000000001</v>
      </c>
      <c r="U299">
        <f t="shared" si="51"/>
        <v>22.644727436000004</v>
      </c>
      <c r="X299" s="9"/>
      <c r="Y299" s="22">
        <v>0.29480000000000001</v>
      </c>
      <c r="Z299" s="22">
        <v>34.077300000000001</v>
      </c>
      <c r="AA299" s="22">
        <v>-1.8237300000000001E-2</v>
      </c>
      <c r="AB299" s="22">
        <v>289</v>
      </c>
      <c r="AC299" s="22">
        <v>0.29425000000000001</v>
      </c>
      <c r="AD299">
        <f t="shared" si="52"/>
        <v>18.237300000000001</v>
      </c>
      <c r="AE299">
        <f t="shared" si="53"/>
        <v>5.3763560400000001</v>
      </c>
      <c r="AF299" s="9"/>
      <c r="AG299" s="22">
        <v>1.3552900000000001</v>
      </c>
      <c r="AH299" s="22">
        <v>38.980899999999998</v>
      </c>
      <c r="AI299" s="22">
        <v>-1.6653399999999999E-2</v>
      </c>
      <c r="AJ299" s="22">
        <v>289</v>
      </c>
      <c r="AK299" s="22">
        <v>1.35406</v>
      </c>
      <c r="AL299">
        <f t="shared" si="54"/>
        <v>16.653399999999998</v>
      </c>
      <c r="AM299">
        <f t="shared" si="55"/>
        <v>22.570186485999997</v>
      </c>
      <c r="AP299" s="9"/>
      <c r="AQ299" s="22">
        <v>0.29480000000000001</v>
      </c>
      <c r="AR299" s="22">
        <v>43.814500000000002</v>
      </c>
      <c r="AS299" s="22">
        <v>-1.82404E-2</v>
      </c>
      <c r="AT299" s="22">
        <v>289</v>
      </c>
      <c r="AU299" s="22">
        <v>0.29452499999999998</v>
      </c>
      <c r="AV299">
        <f t="shared" si="56"/>
        <v>18.240400000000001</v>
      </c>
      <c r="AW299">
        <f t="shared" si="57"/>
        <v>5.3772699200000007</v>
      </c>
      <c r="AX299" s="9"/>
      <c r="AY299" s="22">
        <v>1.3552900000000001</v>
      </c>
      <c r="AZ299" s="22">
        <v>48.554099999999998</v>
      </c>
      <c r="BA299" s="22">
        <v>-1.65375E-2</v>
      </c>
      <c r="BB299" s="22">
        <v>289</v>
      </c>
      <c r="BC299" s="22">
        <v>1.3543700000000001</v>
      </c>
      <c r="BD299">
        <f t="shared" si="58"/>
        <v>16.537500000000001</v>
      </c>
      <c r="BE299">
        <f t="shared" si="59"/>
        <v>22.413108375000004</v>
      </c>
    </row>
    <row r="300" spans="6:57">
      <c r="F300" s="9"/>
      <c r="G300" s="22">
        <v>0.28976400000000002</v>
      </c>
      <c r="H300" s="22">
        <v>13.816000000000001</v>
      </c>
      <c r="I300" s="22">
        <v>-1.82007E-2</v>
      </c>
      <c r="J300" s="22">
        <v>290</v>
      </c>
      <c r="K300" s="22">
        <v>0.28893999999999997</v>
      </c>
      <c r="L300">
        <f t="shared" si="48"/>
        <v>18.200700000000001</v>
      </c>
      <c r="M300">
        <f t="shared" si="49"/>
        <v>5.2739076348000005</v>
      </c>
      <c r="N300" s="9"/>
      <c r="O300" s="22">
        <v>1.36032</v>
      </c>
      <c r="P300" s="22">
        <v>26.703800000000001</v>
      </c>
      <c r="Q300" s="22">
        <v>-1.6668700000000002E-2</v>
      </c>
      <c r="R300" s="22">
        <v>290</v>
      </c>
      <c r="S300" s="22">
        <v>1.3595600000000001</v>
      </c>
      <c r="T300">
        <f t="shared" si="50"/>
        <v>16.668700000000001</v>
      </c>
      <c r="U300">
        <f t="shared" si="51"/>
        <v>22.674765984</v>
      </c>
      <c r="X300" s="9"/>
      <c r="Y300" s="22">
        <v>0.28976400000000002</v>
      </c>
      <c r="Z300" s="22">
        <v>34.087400000000002</v>
      </c>
      <c r="AA300" s="22">
        <v>-1.82434E-2</v>
      </c>
      <c r="AB300" s="22">
        <v>290</v>
      </c>
      <c r="AC300" s="22">
        <v>0.29000900000000002</v>
      </c>
      <c r="AD300">
        <f t="shared" si="52"/>
        <v>18.243400000000001</v>
      </c>
      <c r="AE300">
        <f t="shared" si="53"/>
        <v>5.2862805576000005</v>
      </c>
      <c r="AF300" s="9"/>
      <c r="AG300" s="22">
        <v>1.36032</v>
      </c>
      <c r="AH300" s="22">
        <v>38.991</v>
      </c>
      <c r="AI300" s="22">
        <v>-1.66077E-2</v>
      </c>
      <c r="AJ300" s="22">
        <v>290</v>
      </c>
      <c r="AK300" s="22">
        <v>1.3595600000000001</v>
      </c>
      <c r="AL300">
        <f t="shared" si="54"/>
        <v>16.607700000000001</v>
      </c>
      <c r="AM300">
        <f t="shared" si="55"/>
        <v>22.591786464000002</v>
      </c>
      <c r="AP300" s="9"/>
      <c r="AQ300" s="22">
        <v>0.28976400000000002</v>
      </c>
      <c r="AR300" s="22">
        <v>43.824599999999997</v>
      </c>
      <c r="AS300" s="22">
        <v>-1.82434E-2</v>
      </c>
      <c r="AT300" s="22">
        <v>290</v>
      </c>
      <c r="AU300" s="22">
        <v>0.28909299999999999</v>
      </c>
      <c r="AV300">
        <f t="shared" si="56"/>
        <v>18.243400000000001</v>
      </c>
      <c r="AW300">
        <f t="shared" si="57"/>
        <v>5.2862805576000005</v>
      </c>
      <c r="AX300" s="9"/>
      <c r="AY300" s="22">
        <v>1.36032</v>
      </c>
      <c r="AZ300" s="22">
        <v>48.5642</v>
      </c>
      <c r="BA300" s="22">
        <v>-1.6491700000000001E-2</v>
      </c>
      <c r="BB300" s="22">
        <v>290</v>
      </c>
      <c r="BC300" s="22">
        <v>1.3589500000000001</v>
      </c>
      <c r="BD300">
        <f t="shared" si="58"/>
        <v>16.491700000000002</v>
      </c>
      <c r="BE300">
        <f t="shared" si="59"/>
        <v>22.433989344</v>
      </c>
    </row>
    <row r="301" spans="6:57">
      <c r="F301" s="9"/>
      <c r="G301" s="22">
        <v>0.28472900000000001</v>
      </c>
      <c r="H301" s="22">
        <v>13.8261</v>
      </c>
      <c r="I301" s="22">
        <v>-1.82007E-2</v>
      </c>
      <c r="J301" s="22">
        <v>291</v>
      </c>
      <c r="K301" s="22">
        <v>0.28384399999999999</v>
      </c>
      <c r="L301">
        <f t="shared" si="48"/>
        <v>18.200700000000001</v>
      </c>
      <c r="M301">
        <f t="shared" si="49"/>
        <v>5.1822671103000006</v>
      </c>
      <c r="N301" s="9"/>
      <c r="O301" s="22">
        <v>1.3653599999999999</v>
      </c>
      <c r="P301" s="22">
        <v>26.713799999999999</v>
      </c>
      <c r="Q301" s="22">
        <v>-1.6625999999999998E-2</v>
      </c>
      <c r="R301" s="22">
        <v>291</v>
      </c>
      <c r="S301" s="22">
        <v>1.3647499999999999</v>
      </c>
      <c r="T301">
        <f t="shared" si="50"/>
        <v>16.625999999999998</v>
      </c>
      <c r="U301">
        <f t="shared" si="51"/>
        <v>22.700475359999995</v>
      </c>
      <c r="X301" s="9"/>
      <c r="Y301" s="22">
        <v>0.28472900000000001</v>
      </c>
      <c r="Z301" s="22">
        <v>34.097499999999997</v>
      </c>
      <c r="AA301" s="22">
        <v>-1.8249499999999998E-2</v>
      </c>
      <c r="AB301" s="22">
        <v>291</v>
      </c>
      <c r="AC301" s="22">
        <v>0.28424100000000002</v>
      </c>
      <c r="AD301">
        <f t="shared" si="52"/>
        <v>18.249499999999998</v>
      </c>
      <c r="AE301">
        <f t="shared" si="53"/>
        <v>5.1961618854999996</v>
      </c>
      <c r="AF301" s="9"/>
      <c r="AG301" s="22">
        <v>1.3653599999999999</v>
      </c>
      <c r="AH301" s="22">
        <v>39.001100000000001</v>
      </c>
      <c r="AI301" s="22">
        <v>-1.6558799999999999E-2</v>
      </c>
      <c r="AJ301" s="22">
        <v>291</v>
      </c>
      <c r="AK301" s="22">
        <v>1.3647499999999999</v>
      </c>
      <c r="AL301">
        <f t="shared" si="54"/>
        <v>16.558799999999998</v>
      </c>
      <c r="AM301">
        <f t="shared" si="55"/>
        <v>22.608723167999997</v>
      </c>
      <c r="AP301" s="9"/>
      <c r="AQ301" s="22">
        <v>0.28472900000000001</v>
      </c>
      <c r="AR301" s="22">
        <v>43.834699999999998</v>
      </c>
      <c r="AS301" s="22">
        <v>-1.8246499999999999E-2</v>
      </c>
      <c r="AT301" s="22">
        <v>291</v>
      </c>
      <c r="AU301" s="22">
        <v>0.28448499999999999</v>
      </c>
      <c r="AV301">
        <f t="shared" si="56"/>
        <v>18.246499999999997</v>
      </c>
      <c r="AW301">
        <f t="shared" si="57"/>
        <v>5.1953076984999997</v>
      </c>
      <c r="AX301" s="9"/>
      <c r="AY301" s="22">
        <v>1.3653599999999999</v>
      </c>
      <c r="AZ301" s="22">
        <v>48.574300000000001</v>
      </c>
      <c r="BA301" s="22">
        <v>-1.64429E-2</v>
      </c>
      <c r="BB301" s="22">
        <v>291</v>
      </c>
      <c r="BC301" s="22">
        <v>1.3641399999999999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0.279694</v>
      </c>
      <c r="H302" s="22">
        <v>13.8362</v>
      </c>
      <c r="I302" s="22">
        <v>-1.8206799999999999E-2</v>
      </c>
      <c r="J302" s="22">
        <v>292</v>
      </c>
      <c r="K302" s="22">
        <v>0.27899200000000002</v>
      </c>
      <c r="L302">
        <f t="shared" si="48"/>
        <v>18.206799999999998</v>
      </c>
      <c r="M302">
        <f t="shared" si="49"/>
        <v>5.092332719199999</v>
      </c>
      <c r="N302" s="9"/>
      <c r="O302" s="22">
        <v>1.37039</v>
      </c>
      <c r="P302" s="22">
        <v>26.7239</v>
      </c>
      <c r="Q302" s="22">
        <v>-1.6583299999999999E-2</v>
      </c>
      <c r="R302" s="22">
        <v>292</v>
      </c>
      <c r="S302" s="22">
        <v>1.3696299999999999</v>
      </c>
      <c r="T302">
        <f t="shared" si="50"/>
        <v>16.583299999999998</v>
      </c>
      <c r="U302">
        <f t="shared" si="51"/>
        <v>22.725588486999996</v>
      </c>
      <c r="X302" s="9"/>
      <c r="Y302" s="22">
        <v>0.279694</v>
      </c>
      <c r="Z302" s="22">
        <v>34.107500000000002</v>
      </c>
      <c r="AA302" s="22">
        <v>-1.8252600000000001E-2</v>
      </c>
      <c r="AB302" s="22">
        <v>292</v>
      </c>
      <c r="AC302" s="22">
        <v>0.27889999999999998</v>
      </c>
      <c r="AD302">
        <f t="shared" si="52"/>
        <v>18.252600000000001</v>
      </c>
      <c r="AE302">
        <f t="shared" si="53"/>
        <v>5.1051427044000004</v>
      </c>
      <c r="AF302" s="9"/>
      <c r="AG302" s="22">
        <v>1.37039</v>
      </c>
      <c r="AH302" s="22">
        <v>39.011200000000002</v>
      </c>
      <c r="AI302" s="22">
        <v>-1.651E-2</v>
      </c>
      <c r="AJ302" s="22">
        <v>292</v>
      </c>
      <c r="AK302" s="22">
        <v>1.3702399999999999</v>
      </c>
      <c r="AL302">
        <f t="shared" si="54"/>
        <v>16.510000000000002</v>
      </c>
      <c r="AM302">
        <f t="shared" si="55"/>
        <v>22.625138900000003</v>
      </c>
      <c r="AP302" s="9"/>
      <c r="AQ302" s="22">
        <v>0.279694</v>
      </c>
      <c r="AR302" s="22">
        <v>43.844700000000003</v>
      </c>
      <c r="AS302" s="22">
        <v>-1.8252600000000001E-2</v>
      </c>
      <c r="AT302" s="22">
        <v>292</v>
      </c>
      <c r="AU302" s="22">
        <v>0.27902199999999999</v>
      </c>
      <c r="AV302">
        <f t="shared" si="56"/>
        <v>18.252600000000001</v>
      </c>
      <c r="AW302">
        <f t="shared" si="57"/>
        <v>5.1051427044000004</v>
      </c>
      <c r="AX302" s="9"/>
      <c r="AY302" s="22">
        <v>1.37039</v>
      </c>
      <c r="AZ302" s="22">
        <v>48.584400000000002</v>
      </c>
      <c r="BA302" s="22">
        <v>-1.6390999999999999E-2</v>
      </c>
      <c r="BB302" s="22">
        <v>292</v>
      </c>
      <c r="BC302" s="22">
        <v>1.3696299999999999</v>
      </c>
      <c r="BD302">
        <f t="shared" si="58"/>
        <v>16.390999999999998</v>
      </c>
      <c r="BE302">
        <f t="shared" si="59"/>
        <v>22.462062489999997</v>
      </c>
    </row>
    <row r="303" spans="6:57">
      <c r="F303" s="9"/>
      <c r="G303" s="22">
        <v>0.27465800000000001</v>
      </c>
      <c r="H303" s="22">
        <v>13.8462</v>
      </c>
      <c r="I303" s="22">
        <v>-1.8212900000000001E-2</v>
      </c>
      <c r="J303" s="22">
        <v>293</v>
      </c>
      <c r="K303" s="22">
        <v>0.27386500000000003</v>
      </c>
      <c r="L303">
        <f t="shared" si="48"/>
        <v>18.212900000000001</v>
      </c>
      <c r="M303">
        <f t="shared" si="49"/>
        <v>5.0023186882000008</v>
      </c>
      <c r="N303" s="9"/>
      <c r="O303" s="22">
        <v>1.3754299999999999</v>
      </c>
      <c r="P303" s="22">
        <v>26.734000000000002</v>
      </c>
      <c r="Q303" s="22">
        <v>-1.6531400000000002E-2</v>
      </c>
      <c r="R303" s="22">
        <v>293</v>
      </c>
      <c r="S303" s="22">
        <v>1.3745099999999999</v>
      </c>
      <c r="T303">
        <f t="shared" si="50"/>
        <v>16.531400000000001</v>
      </c>
      <c r="U303">
        <f t="shared" si="51"/>
        <v>22.737783501999999</v>
      </c>
      <c r="X303" s="9"/>
      <c r="Y303" s="22">
        <v>0.27465800000000001</v>
      </c>
      <c r="Z303" s="22">
        <v>34.117600000000003</v>
      </c>
      <c r="AA303" s="22">
        <v>-1.82556E-2</v>
      </c>
      <c r="AB303" s="22">
        <v>293</v>
      </c>
      <c r="AC303" s="22">
        <v>0.27413900000000002</v>
      </c>
      <c r="AD303">
        <f t="shared" si="52"/>
        <v>18.255600000000001</v>
      </c>
      <c r="AE303">
        <f t="shared" si="53"/>
        <v>5.0140465848000009</v>
      </c>
      <c r="AF303" s="9"/>
      <c r="AG303" s="22">
        <v>1.3754299999999999</v>
      </c>
      <c r="AH303" s="22">
        <v>39.0212</v>
      </c>
      <c r="AI303" s="22">
        <v>-1.6464199999999998E-2</v>
      </c>
      <c r="AJ303" s="22">
        <v>293</v>
      </c>
      <c r="AK303" s="22">
        <v>1.3748199999999999</v>
      </c>
      <c r="AL303">
        <f t="shared" si="54"/>
        <v>16.464199999999998</v>
      </c>
      <c r="AM303">
        <f t="shared" si="55"/>
        <v>22.645354605999998</v>
      </c>
      <c r="AP303" s="9"/>
      <c r="AQ303" s="22">
        <v>0.27465800000000001</v>
      </c>
      <c r="AR303" s="22">
        <v>43.854799999999997</v>
      </c>
      <c r="AS303" s="22">
        <v>-1.8258699999999999E-2</v>
      </c>
      <c r="AT303" s="22">
        <v>293</v>
      </c>
      <c r="AU303" s="22">
        <v>0.273926</v>
      </c>
      <c r="AV303">
        <f t="shared" si="56"/>
        <v>18.258699999999997</v>
      </c>
      <c r="AW303">
        <f t="shared" si="57"/>
        <v>5.0148980245999999</v>
      </c>
      <c r="AX303" s="9"/>
      <c r="AY303" s="22">
        <v>1.3754299999999999</v>
      </c>
      <c r="AZ303" s="22">
        <v>48.5944</v>
      </c>
      <c r="BA303" s="22">
        <v>-1.6336099999999999E-2</v>
      </c>
      <c r="BB303" s="22">
        <v>293</v>
      </c>
      <c r="BC303" s="22">
        <v>1.3745099999999999</v>
      </c>
      <c r="BD303">
        <f t="shared" si="58"/>
        <v>16.336099999999998</v>
      </c>
      <c r="BE303">
        <f t="shared" si="59"/>
        <v>22.469162022999996</v>
      </c>
    </row>
    <row r="304" spans="6:57">
      <c r="F304" s="9"/>
      <c r="G304" s="22">
        <v>0.269623</v>
      </c>
      <c r="H304" s="22">
        <v>13.856299999999999</v>
      </c>
      <c r="I304" s="22">
        <v>-1.8218999999999999E-2</v>
      </c>
      <c r="J304" s="22">
        <v>294</v>
      </c>
      <c r="K304" s="22">
        <v>0.26882899999999998</v>
      </c>
      <c r="L304">
        <f t="shared" si="48"/>
        <v>18.218999999999998</v>
      </c>
      <c r="M304">
        <f t="shared" si="49"/>
        <v>4.9122614369999997</v>
      </c>
      <c r="N304" s="9"/>
      <c r="O304" s="22">
        <v>1.38046</v>
      </c>
      <c r="P304" s="22">
        <v>26.7441</v>
      </c>
      <c r="Q304" s="22">
        <v>-1.6479500000000001E-2</v>
      </c>
      <c r="R304" s="22">
        <v>294</v>
      </c>
      <c r="S304" s="22">
        <v>1.3796999999999999</v>
      </c>
      <c r="T304">
        <f t="shared" si="50"/>
        <v>16.479500000000002</v>
      </c>
      <c r="U304">
        <f t="shared" si="51"/>
        <v>22.749290570000003</v>
      </c>
      <c r="X304" s="9"/>
      <c r="Y304" s="22">
        <v>0.269623</v>
      </c>
      <c r="Z304" s="22">
        <v>34.127699999999997</v>
      </c>
      <c r="AA304" s="22">
        <v>-1.8261699999999999E-2</v>
      </c>
      <c r="AB304" s="22">
        <v>294</v>
      </c>
      <c r="AC304" s="22">
        <v>0.26944000000000001</v>
      </c>
      <c r="AD304">
        <f t="shared" si="52"/>
        <v>18.261699999999998</v>
      </c>
      <c r="AE304">
        <f t="shared" si="53"/>
        <v>4.9237743390999995</v>
      </c>
      <c r="AF304" s="9"/>
      <c r="AG304" s="22">
        <v>1.38046</v>
      </c>
      <c r="AH304" s="22">
        <v>39.031300000000002</v>
      </c>
      <c r="AI304" s="22">
        <v>-1.6412400000000001E-2</v>
      </c>
      <c r="AJ304" s="22">
        <v>294</v>
      </c>
      <c r="AK304" s="22">
        <v>1.3796999999999999</v>
      </c>
      <c r="AL304">
        <f t="shared" si="54"/>
        <v>16.412400000000002</v>
      </c>
      <c r="AM304">
        <f t="shared" si="55"/>
        <v>22.656661704000001</v>
      </c>
      <c r="AP304" s="9"/>
      <c r="AQ304" s="22">
        <v>0.269623</v>
      </c>
      <c r="AR304" s="22">
        <v>43.864899999999999</v>
      </c>
      <c r="AS304" s="22">
        <v>-1.8264800000000001E-2</v>
      </c>
      <c r="AT304" s="22">
        <v>294</v>
      </c>
      <c r="AU304" s="22">
        <v>0.26889000000000002</v>
      </c>
      <c r="AV304">
        <f t="shared" si="56"/>
        <v>18.264800000000001</v>
      </c>
      <c r="AW304">
        <f t="shared" si="57"/>
        <v>4.9246101704000003</v>
      </c>
      <c r="AX304" s="9"/>
      <c r="AY304" s="22">
        <v>1.38046</v>
      </c>
      <c r="AZ304" s="22">
        <v>48.604500000000002</v>
      </c>
      <c r="BA304" s="22">
        <v>-1.62781E-2</v>
      </c>
      <c r="BB304" s="22">
        <v>294</v>
      </c>
      <c r="BC304" s="22">
        <v>1.38062</v>
      </c>
      <c r="BD304">
        <f t="shared" si="58"/>
        <v>16.278099999999998</v>
      </c>
      <c r="BE304">
        <f t="shared" si="59"/>
        <v>22.471265925999997</v>
      </c>
    </row>
    <row r="305" spans="6:57">
      <c r="F305" s="9"/>
      <c r="G305" s="22">
        <v>0.26458700000000002</v>
      </c>
      <c r="H305" s="22">
        <v>13.866400000000001</v>
      </c>
      <c r="I305" s="22">
        <v>-1.8221999999999999E-2</v>
      </c>
      <c r="J305" s="22">
        <v>295</v>
      </c>
      <c r="K305" s="22">
        <v>0.26385500000000001</v>
      </c>
      <c r="L305">
        <f t="shared" si="48"/>
        <v>18.221999999999998</v>
      </c>
      <c r="M305">
        <f t="shared" si="49"/>
        <v>4.8213043139999998</v>
      </c>
      <c r="N305" s="9"/>
      <c r="O305" s="22">
        <v>1.3855</v>
      </c>
      <c r="P305" s="22">
        <v>26.754100000000001</v>
      </c>
      <c r="Q305" s="22">
        <v>-1.6427600000000001E-2</v>
      </c>
      <c r="R305" s="22">
        <v>295</v>
      </c>
      <c r="S305" s="22">
        <v>1.38428</v>
      </c>
      <c r="T305">
        <f t="shared" si="50"/>
        <v>16.427600000000002</v>
      </c>
      <c r="U305">
        <f t="shared" si="51"/>
        <v>22.7604398</v>
      </c>
      <c r="X305" s="9"/>
      <c r="Y305" s="22">
        <v>0.26458700000000002</v>
      </c>
      <c r="Z305" s="22">
        <v>34.137799999999999</v>
      </c>
      <c r="AA305" s="22">
        <v>-1.8267800000000001E-2</v>
      </c>
      <c r="AB305" s="22">
        <v>295</v>
      </c>
      <c r="AC305" s="22">
        <v>0.26403799999999999</v>
      </c>
      <c r="AD305">
        <f t="shared" si="52"/>
        <v>18.267800000000001</v>
      </c>
      <c r="AE305">
        <f t="shared" si="53"/>
        <v>4.8334223986000007</v>
      </c>
      <c r="AF305" s="9"/>
      <c r="AG305" s="22">
        <v>1.3855</v>
      </c>
      <c r="AH305" s="22">
        <v>39.041400000000003</v>
      </c>
      <c r="AI305" s="22">
        <v>-1.63605E-2</v>
      </c>
      <c r="AJ305" s="22">
        <v>295</v>
      </c>
      <c r="AK305" s="22">
        <v>1.3845799999999999</v>
      </c>
      <c r="AL305">
        <f t="shared" si="54"/>
        <v>16.360500000000002</v>
      </c>
      <c r="AM305">
        <f t="shared" si="55"/>
        <v>22.667472750000002</v>
      </c>
      <c r="AP305" s="9"/>
      <c r="AQ305" s="22">
        <v>0.26458700000000002</v>
      </c>
      <c r="AR305" s="22">
        <v>43.875</v>
      </c>
      <c r="AS305" s="22">
        <v>-1.82709E-2</v>
      </c>
      <c r="AT305" s="22">
        <v>295</v>
      </c>
      <c r="AU305" s="22">
        <v>0.26394699999999999</v>
      </c>
      <c r="AV305">
        <f t="shared" si="56"/>
        <v>18.270900000000001</v>
      </c>
      <c r="AW305">
        <f t="shared" si="57"/>
        <v>4.8342426183000002</v>
      </c>
      <c r="AX305" s="9"/>
      <c r="AY305" s="22">
        <v>1.3855</v>
      </c>
      <c r="AZ305" s="22">
        <v>48.614600000000003</v>
      </c>
      <c r="BA305" s="22">
        <v>-1.6220100000000001E-2</v>
      </c>
      <c r="BB305" s="22">
        <v>295</v>
      </c>
      <c r="BC305" s="22">
        <v>1.38489</v>
      </c>
      <c r="BD305">
        <f t="shared" si="58"/>
        <v>16.220100000000002</v>
      </c>
      <c r="BE305">
        <f t="shared" si="59"/>
        <v>22.472948550000002</v>
      </c>
    </row>
    <row r="306" spans="6:57">
      <c r="F306" s="9"/>
      <c r="G306" s="22">
        <v>0.259552</v>
      </c>
      <c r="H306" s="22">
        <v>13.8764</v>
      </c>
      <c r="I306" s="22">
        <v>-1.8221999999999999E-2</v>
      </c>
      <c r="J306" s="22">
        <v>296</v>
      </c>
      <c r="K306" s="22">
        <v>0.258606</v>
      </c>
      <c r="L306">
        <f t="shared" si="48"/>
        <v>18.221999999999998</v>
      </c>
      <c r="M306">
        <f t="shared" si="49"/>
        <v>4.7295565439999994</v>
      </c>
      <c r="N306" s="9"/>
      <c r="O306" s="22">
        <v>1.39053</v>
      </c>
      <c r="P306" s="22">
        <v>26.764199999999999</v>
      </c>
      <c r="Q306" s="22">
        <v>-1.63757E-2</v>
      </c>
      <c r="R306" s="22">
        <v>296</v>
      </c>
      <c r="S306" s="22">
        <v>1.3897699999999999</v>
      </c>
      <c r="T306">
        <f t="shared" si="50"/>
        <v>16.375699999999998</v>
      </c>
      <c r="U306">
        <f t="shared" si="51"/>
        <v>22.770902120999999</v>
      </c>
      <c r="X306" s="9"/>
      <c r="Y306" s="22">
        <v>0.259552</v>
      </c>
      <c r="Z306" s="22">
        <v>34.147799999999997</v>
      </c>
      <c r="AA306" s="22">
        <v>-1.8267800000000001E-2</v>
      </c>
      <c r="AB306" s="22">
        <v>296</v>
      </c>
      <c r="AC306" s="22">
        <v>0.25906400000000002</v>
      </c>
      <c r="AD306">
        <f t="shared" si="52"/>
        <v>18.267800000000001</v>
      </c>
      <c r="AE306">
        <f t="shared" si="53"/>
        <v>4.7414440256000008</v>
      </c>
      <c r="AF306" s="9"/>
      <c r="AG306" s="22">
        <v>1.39053</v>
      </c>
      <c r="AH306" s="22">
        <v>39.051400000000001</v>
      </c>
      <c r="AI306" s="22">
        <v>-1.6302500000000001E-2</v>
      </c>
      <c r="AJ306" s="22">
        <v>296</v>
      </c>
      <c r="AK306" s="22">
        <v>1.3897699999999999</v>
      </c>
      <c r="AL306">
        <f t="shared" si="54"/>
        <v>16.302500000000002</v>
      </c>
      <c r="AM306">
        <f t="shared" si="55"/>
        <v>22.669115325000003</v>
      </c>
      <c r="AP306" s="9"/>
      <c r="AQ306" s="22">
        <v>0.259552</v>
      </c>
      <c r="AR306" s="22">
        <v>43.884999999999998</v>
      </c>
      <c r="AS306" s="22">
        <v>-1.8273899999999999E-2</v>
      </c>
      <c r="AT306" s="22">
        <v>296</v>
      </c>
      <c r="AU306" s="22">
        <v>0.25900299999999998</v>
      </c>
      <c r="AV306">
        <f t="shared" si="56"/>
        <v>18.273899999999998</v>
      </c>
      <c r="AW306">
        <f t="shared" si="57"/>
        <v>4.7430272927999999</v>
      </c>
      <c r="AX306" s="9"/>
      <c r="AY306" s="22">
        <v>1.39053</v>
      </c>
      <c r="AZ306" s="22">
        <v>48.624600000000001</v>
      </c>
      <c r="BA306" s="22">
        <v>-1.6159099999999999E-2</v>
      </c>
      <c r="BB306" s="22">
        <v>296</v>
      </c>
      <c r="BC306" s="22">
        <v>1.38947</v>
      </c>
      <c r="BD306">
        <f t="shared" si="58"/>
        <v>16.159099999999999</v>
      </c>
      <c r="BE306">
        <f t="shared" si="59"/>
        <v>22.469713323000001</v>
      </c>
    </row>
    <row r="307" spans="6:57">
      <c r="F307" s="9"/>
      <c r="G307" s="22">
        <v>0.25451699999999999</v>
      </c>
      <c r="H307" s="22">
        <v>13.8865</v>
      </c>
      <c r="I307" s="22">
        <v>-1.8231199999999999E-2</v>
      </c>
      <c r="J307" s="22">
        <v>297</v>
      </c>
      <c r="K307" s="22">
        <v>0.25393700000000002</v>
      </c>
      <c r="L307">
        <f t="shared" si="48"/>
        <v>18.231200000000001</v>
      </c>
      <c r="M307">
        <f t="shared" si="49"/>
        <v>4.6401503304</v>
      </c>
      <c r="N307" s="9"/>
      <c r="O307" s="22">
        <v>1.39557</v>
      </c>
      <c r="P307" s="22">
        <v>26.7743</v>
      </c>
      <c r="Q307" s="22">
        <v>-1.63208E-2</v>
      </c>
      <c r="R307" s="22">
        <v>297</v>
      </c>
      <c r="S307" s="22">
        <v>1.39435</v>
      </c>
      <c r="T307">
        <f t="shared" si="50"/>
        <v>16.320799999999998</v>
      </c>
      <c r="U307">
        <f t="shared" si="51"/>
        <v>22.776818855999998</v>
      </c>
      <c r="X307" s="9"/>
      <c r="Y307" s="22">
        <v>0.25451699999999999</v>
      </c>
      <c r="Z307" s="22">
        <v>34.157899999999998</v>
      </c>
      <c r="AA307" s="22">
        <v>-1.8273899999999999E-2</v>
      </c>
      <c r="AB307" s="22">
        <v>297</v>
      </c>
      <c r="AC307" s="22">
        <v>0.253357</v>
      </c>
      <c r="AD307">
        <f t="shared" si="52"/>
        <v>18.273899999999998</v>
      </c>
      <c r="AE307">
        <f t="shared" si="53"/>
        <v>4.651018206299999</v>
      </c>
      <c r="AF307" s="9"/>
      <c r="AG307" s="22">
        <v>1.39557</v>
      </c>
      <c r="AH307" s="22">
        <v>39.061500000000002</v>
      </c>
      <c r="AI307" s="22">
        <v>-1.6241499999999999E-2</v>
      </c>
      <c r="AJ307" s="22">
        <v>297</v>
      </c>
      <c r="AK307" s="22">
        <v>1.39496</v>
      </c>
      <c r="AL307">
        <f t="shared" si="54"/>
        <v>16.241499999999998</v>
      </c>
      <c r="AM307">
        <f t="shared" si="55"/>
        <v>22.666150154999997</v>
      </c>
      <c r="AP307" s="9"/>
      <c r="AQ307" s="22">
        <v>0.25451699999999999</v>
      </c>
      <c r="AR307" s="22">
        <v>43.895099999999999</v>
      </c>
      <c r="AS307" s="22">
        <v>-1.8280000000000001E-2</v>
      </c>
      <c r="AT307" s="22">
        <v>297</v>
      </c>
      <c r="AU307" s="22">
        <v>0.25378400000000001</v>
      </c>
      <c r="AV307">
        <f t="shared" si="56"/>
        <v>18.28</v>
      </c>
      <c r="AW307">
        <f t="shared" si="57"/>
        <v>4.6525707600000006</v>
      </c>
      <c r="AX307" s="9"/>
      <c r="AY307" s="22">
        <v>1.39557</v>
      </c>
      <c r="AZ307" s="22">
        <v>48.634700000000002</v>
      </c>
      <c r="BA307" s="22">
        <v>-1.6098000000000001E-2</v>
      </c>
      <c r="BB307" s="22">
        <v>297</v>
      </c>
      <c r="BC307" s="22">
        <v>1.3946499999999999</v>
      </c>
      <c r="BD307">
        <f t="shared" si="58"/>
        <v>16.098000000000003</v>
      </c>
      <c r="BE307">
        <f t="shared" si="59"/>
        <v>22.465885860000004</v>
      </c>
    </row>
    <row r="308" spans="6:57">
      <c r="F308" s="9"/>
      <c r="G308" s="22">
        <v>0.24948100000000001</v>
      </c>
      <c r="H308" s="22">
        <v>13.896599999999999</v>
      </c>
      <c r="I308" s="22">
        <v>-1.8234299999999998E-2</v>
      </c>
      <c r="J308" s="22">
        <v>298</v>
      </c>
      <c r="K308" s="22">
        <v>0.24902299999999999</v>
      </c>
      <c r="L308">
        <f t="shared" si="48"/>
        <v>18.234299999999998</v>
      </c>
      <c r="M308">
        <f t="shared" si="49"/>
        <v>4.5491113982999991</v>
      </c>
      <c r="N308" s="9"/>
      <c r="O308" s="22">
        <v>1.4006000000000001</v>
      </c>
      <c r="P308" s="22">
        <v>26.784300000000002</v>
      </c>
      <c r="Q308" s="22">
        <v>-1.6259800000000001E-2</v>
      </c>
      <c r="R308" s="22">
        <v>298</v>
      </c>
      <c r="S308" s="22">
        <v>1.39984</v>
      </c>
      <c r="T308">
        <f t="shared" si="50"/>
        <v>16.259800000000002</v>
      </c>
      <c r="U308">
        <f t="shared" si="51"/>
        <v>22.773475880000003</v>
      </c>
      <c r="X308" s="9"/>
      <c r="Y308" s="22">
        <v>0.24948100000000001</v>
      </c>
      <c r="Z308" s="22">
        <v>34.167999999999999</v>
      </c>
      <c r="AA308" s="22">
        <v>-1.8277000000000002E-2</v>
      </c>
      <c r="AB308" s="22">
        <v>298</v>
      </c>
      <c r="AC308" s="22">
        <v>0.24902299999999999</v>
      </c>
      <c r="AD308">
        <f t="shared" si="52"/>
        <v>18.277000000000001</v>
      </c>
      <c r="AE308">
        <f t="shared" si="53"/>
        <v>4.5597642370000004</v>
      </c>
      <c r="AF308" s="9"/>
      <c r="AG308" s="22">
        <v>1.4006000000000001</v>
      </c>
      <c r="AH308" s="22">
        <v>39.071599999999997</v>
      </c>
      <c r="AI308" s="22">
        <v>-1.6180400000000001E-2</v>
      </c>
      <c r="AJ308" s="22">
        <v>298</v>
      </c>
      <c r="AK308" s="22">
        <v>1.39984</v>
      </c>
      <c r="AL308">
        <f t="shared" si="54"/>
        <v>16.180400000000002</v>
      </c>
      <c r="AM308">
        <f t="shared" si="55"/>
        <v>22.662268240000003</v>
      </c>
      <c r="AP308" s="9"/>
      <c r="AQ308" s="22">
        <v>0.24948100000000001</v>
      </c>
      <c r="AR308" s="22">
        <v>43.905200000000001</v>
      </c>
      <c r="AS308" s="22">
        <v>-1.82831E-2</v>
      </c>
      <c r="AT308" s="22">
        <v>298</v>
      </c>
      <c r="AU308" s="22">
        <v>0.248505</v>
      </c>
      <c r="AV308">
        <f t="shared" si="56"/>
        <v>18.283100000000001</v>
      </c>
      <c r="AW308">
        <f t="shared" si="57"/>
        <v>4.5612860711000005</v>
      </c>
      <c r="AX308" s="9"/>
      <c r="AY308" s="22">
        <v>1.4006000000000001</v>
      </c>
      <c r="AZ308" s="22">
        <v>48.644799999999996</v>
      </c>
      <c r="BA308" s="22">
        <v>-1.6030900000000001E-2</v>
      </c>
      <c r="BB308" s="22">
        <v>298</v>
      </c>
      <c r="BC308" s="22">
        <v>1.39954</v>
      </c>
      <c r="BD308">
        <f t="shared" si="58"/>
        <v>16.030899999999999</v>
      </c>
      <c r="BE308">
        <f t="shared" si="59"/>
        <v>22.45287854</v>
      </c>
    </row>
    <row r="309" spans="6:57">
      <c r="F309" s="9"/>
      <c r="G309" s="22">
        <v>0.244446</v>
      </c>
      <c r="H309" s="22">
        <v>13.906700000000001</v>
      </c>
      <c r="I309" s="22">
        <v>-1.82404E-2</v>
      </c>
      <c r="J309" s="22">
        <v>299</v>
      </c>
      <c r="K309" s="22">
        <v>0.243896</v>
      </c>
      <c r="L309">
        <f t="shared" si="48"/>
        <v>18.240400000000001</v>
      </c>
      <c r="M309">
        <f t="shared" si="49"/>
        <v>4.4587928184000001</v>
      </c>
      <c r="N309" s="9"/>
      <c r="O309" s="22">
        <v>1.40564</v>
      </c>
      <c r="P309" s="22">
        <v>26.7944</v>
      </c>
      <c r="Q309" s="22">
        <v>-1.61957E-2</v>
      </c>
      <c r="R309" s="22">
        <v>299</v>
      </c>
      <c r="S309" s="22">
        <v>1.40442</v>
      </c>
      <c r="T309">
        <f t="shared" si="50"/>
        <v>16.195699999999999</v>
      </c>
      <c r="U309">
        <f t="shared" si="51"/>
        <v>22.765323747999997</v>
      </c>
      <c r="X309" s="9"/>
      <c r="Y309" s="22">
        <v>0.244446</v>
      </c>
      <c r="Z309" s="22">
        <v>34.177999999999997</v>
      </c>
      <c r="AA309" s="22">
        <v>-1.82831E-2</v>
      </c>
      <c r="AB309" s="22">
        <v>299</v>
      </c>
      <c r="AC309" s="22">
        <v>0.24410999999999999</v>
      </c>
      <c r="AD309">
        <f t="shared" si="52"/>
        <v>18.283100000000001</v>
      </c>
      <c r="AE309">
        <f t="shared" si="53"/>
        <v>4.4692306626000002</v>
      </c>
      <c r="AF309" s="9"/>
      <c r="AG309" s="22">
        <v>1.40564</v>
      </c>
      <c r="AH309" s="22">
        <v>39.081699999999998</v>
      </c>
      <c r="AI309" s="22">
        <v>-1.6119399999999999E-2</v>
      </c>
      <c r="AJ309" s="22">
        <v>299</v>
      </c>
      <c r="AK309" s="22">
        <v>1.40503</v>
      </c>
      <c r="AL309">
        <f t="shared" si="54"/>
        <v>16.119399999999999</v>
      </c>
      <c r="AM309">
        <f t="shared" si="55"/>
        <v>22.658073415999997</v>
      </c>
      <c r="AP309" s="9"/>
      <c r="AQ309" s="22">
        <v>0.244446</v>
      </c>
      <c r="AR309" s="22">
        <v>43.915199999999999</v>
      </c>
      <c r="AS309" s="22">
        <v>-1.8289199999999999E-2</v>
      </c>
      <c r="AT309" s="22">
        <v>299</v>
      </c>
      <c r="AU309" s="22">
        <v>0.24346899999999999</v>
      </c>
      <c r="AV309">
        <f t="shared" si="56"/>
        <v>18.289199999999997</v>
      </c>
      <c r="AW309">
        <f t="shared" si="57"/>
        <v>4.4707217831999992</v>
      </c>
      <c r="AX309" s="9"/>
      <c r="AY309" s="22">
        <v>1.40564</v>
      </c>
      <c r="AZ309" s="22">
        <v>48.654899999999998</v>
      </c>
      <c r="BA309" s="22">
        <v>-1.5960700000000001E-2</v>
      </c>
      <c r="BB309" s="22">
        <v>299</v>
      </c>
      <c r="BC309" s="22">
        <v>1.40472</v>
      </c>
      <c r="BD309">
        <f t="shared" si="58"/>
        <v>15.960700000000001</v>
      </c>
      <c r="BE309">
        <f t="shared" si="59"/>
        <v>22.434998348000001</v>
      </c>
    </row>
    <row r="310" spans="6:57">
      <c r="F310" s="9"/>
      <c r="G310" s="22">
        <v>0.23941000000000001</v>
      </c>
      <c r="H310" s="22">
        <v>13.916700000000001</v>
      </c>
      <c r="I310" s="22">
        <v>-1.8246499999999999E-2</v>
      </c>
      <c r="J310" s="22">
        <v>300</v>
      </c>
      <c r="K310" s="22">
        <v>0.239014</v>
      </c>
      <c r="L310">
        <f t="shared" si="48"/>
        <v>18.246499999999997</v>
      </c>
      <c r="M310">
        <f t="shared" si="49"/>
        <v>4.368394565</v>
      </c>
      <c r="N310" s="9"/>
      <c r="O310" s="22">
        <v>1.4106799999999999</v>
      </c>
      <c r="P310" s="22">
        <v>26.804500000000001</v>
      </c>
      <c r="Q310" s="22">
        <v>-1.61285E-2</v>
      </c>
      <c r="R310" s="22">
        <v>300</v>
      </c>
      <c r="S310" s="22">
        <v>1.41022</v>
      </c>
      <c r="T310">
        <f t="shared" si="50"/>
        <v>16.128499999999999</v>
      </c>
      <c r="U310">
        <f t="shared" si="51"/>
        <v>22.752152379999998</v>
      </c>
      <c r="X310" s="9"/>
      <c r="Y310" s="22">
        <v>0.23941000000000001</v>
      </c>
      <c r="Z310" s="22">
        <v>34.188099999999999</v>
      </c>
      <c r="AA310" s="22">
        <v>-1.82861E-2</v>
      </c>
      <c r="AB310" s="22">
        <v>300</v>
      </c>
      <c r="AC310" s="22">
        <v>0.238647</v>
      </c>
      <c r="AD310">
        <f t="shared" si="52"/>
        <v>18.286100000000001</v>
      </c>
      <c r="AE310">
        <f t="shared" si="53"/>
        <v>4.3778752010000002</v>
      </c>
      <c r="AF310" s="9"/>
      <c r="AG310" s="22">
        <v>1.4106799999999999</v>
      </c>
      <c r="AH310" s="22">
        <v>39.091700000000003</v>
      </c>
      <c r="AI310" s="22">
        <v>-1.6052199999999999E-2</v>
      </c>
      <c r="AJ310" s="22">
        <v>300</v>
      </c>
      <c r="AK310" s="22">
        <v>1.41022</v>
      </c>
      <c r="AL310">
        <f t="shared" si="54"/>
        <v>16.052199999999999</v>
      </c>
      <c r="AM310">
        <f t="shared" si="55"/>
        <v>22.644517495999999</v>
      </c>
      <c r="AP310" s="9"/>
      <c r="AQ310" s="22">
        <v>0.23941000000000001</v>
      </c>
      <c r="AR310" s="22">
        <v>43.9253</v>
      </c>
      <c r="AS310" s="22">
        <v>-1.8292200000000002E-2</v>
      </c>
      <c r="AT310" s="22">
        <v>300</v>
      </c>
      <c r="AU310" s="22">
        <v>0.23883099999999999</v>
      </c>
      <c r="AV310">
        <f t="shared" si="56"/>
        <v>18.292200000000001</v>
      </c>
      <c r="AW310">
        <f t="shared" si="57"/>
        <v>4.3793356020000003</v>
      </c>
      <c r="AX310" s="9"/>
      <c r="AY310" s="22">
        <v>1.4106799999999999</v>
      </c>
      <c r="AZ310" s="22">
        <v>48.664900000000003</v>
      </c>
      <c r="BA310" s="22">
        <v>-1.5887499999999999E-2</v>
      </c>
      <c r="BB310" s="22">
        <v>300</v>
      </c>
      <c r="BC310" s="22">
        <v>1.41022</v>
      </c>
      <c r="BD310">
        <f t="shared" si="58"/>
        <v>15.887499999999999</v>
      </c>
      <c r="BE310">
        <f t="shared" si="59"/>
        <v>22.4121785</v>
      </c>
    </row>
    <row r="311" spans="6:57">
      <c r="F311" s="9"/>
      <c r="G311" s="22">
        <v>0.234375</v>
      </c>
      <c r="H311" s="22">
        <v>13.9268</v>
      </c>
      <c r="I311" s="22">
        <v>-1.8246499999999999E-2</v>
      </c>
      <c r="J311" s="22">
        <v>301</v>
      </c>
      <c r="K311" s="22">
        <v>0.23358200000000001</v>
      </c>
      <c r="L311">
        <f t="shared" si="48"/>
        <v>18.246499999999997</v>
      </c>
      <c r="M311">
        <f t="shared" si="49"/>
        <v>4.2765234374999999</v>
      </c>
      <c r="N311" s="9"/>
      <c r="O311" s="22">
        <v>1.41571</v>
      </c>
      <c r="P311" s="22">
        <v>26.814599999999999</v>
      </c>
      <c r="Q311" s="22">
        <v>-1.6058300000000001E-2</v>
      </c>
      <c r="R311" s="22">
        <v>301</v>
      </c>
      <c r="S311" s="22">
        <v>1.41479</v>
      </c>
      <c r="T311">
        <f t="shared" si="50"/>
        <v>16.058300000000003</v>
      </c>
      <c r="U311">
        <f t="shared" si="51"/>
        <v>22.733895893000003</v>
      </c>
      <c r="X311" s="9"/>
      <c r="Y311" s="22">
        <v>0.234375</v>
      </c>
      <c r="Z311" s="22">
        <v>34.1982</v>
      </c>
      <c r="AA311" s="22">
        <v>-1.8292200000000002E-2</v>
      </c>
      <c r="AB311" s="22">
        <v>301</v>
      </c>
      <c r="AC311" s="22">
        <v>0.233795</v>
      </c>
      <c r="AD311">
        <f t="shared" si="52"/>
        <v>18.292200000000001</v>
      </c>
      <c r="AE311">
        <f t="shared" si="53"/>
        <v>4.2872343750000006</v>
      </c>
      <c r="AF311" s="9"/>
      <c r="AG311" s="22">
        <v>1.41571</v>
      </c>
      <c r="AH311" s="22">
        <v>39.101799999999997</v>
      </c>
      <c r="AI311" s="22">
        <v>-1.5976000000000001E-2</v>
      </c>
      <c r="AJ311" s="22">
        <v>301</v>
      </c>
      <c r="AK311" s="22">
        <v>1.41479</v>
      </c>
      <c r="AL311">
        <f t="shared" si="54"/>
        <v>15.976000000000001</v>
      </c>
      <c r="AM311">
        <f t="shared" si="55"/>
        <v>22.61738296</v>
      </c>
      <c r="AP311" s="9"/>
      <c r="AQ311" s="22">
        <v>0.234375</v>
      </c>
      <c r="AR311" s="22">
        <v>43.935400000000001</v>
      </c>
      <c r="AS311" s="22">
        <v>-1.82953E-2</v>
      </c>
      <c r="AT311" s="22">
        <v>301</v>
      </c>
      <c r="AU311" s="22">
        <v>0.23400899999999999</v>
      </c>
      <c r="AV311">
        <f t="shared" si="56"/>
        <v>18.295300000000001</v>
      </c>
      <c r="AW311">
        <f t="shared" si="57"/>
        <v>4.2879609375000003</v>
      </c>
      <c r="AX311" s="9"/>
      <c r="AY311" s="22">
        <v>1.41571</v>
      </c>
      <c r="AZ311" s="22">
        <v>48.674999999999997</v>
      </c>
      <c r="BA311" s="22">
        <v>-1.58142E-2</v>
      </c>
      <c r="BB311" s="22">
        <v>301</v>
      </c>
      <c r="BC311" s="22">
        <v>1.4151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0.22933999999999999</v>
      </c>
      <c r="H312" s="22">
        <v>13.9369</v>
      </c>
      <c r="I312" s="22">
        <v>-1.8249499999999998E-2</v>
      </c>
      <c r="J312" s="22">
        <v>302</v>
      </c>
      <c r="K312" s="22">
        <v>0.22863800000000001</v>
      </c>
      <c r="L312">
        <f t="shared" si="48"/>
        <v>18.249499999999998</v>
      </c>
      <c r="M312">
        <f t="shared" si="49"/>
        <v>4.1853403299999989</v>
      </c>
      <c r="N312" s="9"/>
      <c r="O312" s="22">
        <v>1.42075</v>
      </c>
      <c r="P312" s="22">
        <v>26.8246</v>
      </c>
      <c r="Q312" s="22">
        <v>-1.5988200000000001E-2</v>
      </c>
      <c r="R312" s="22">
        <v>302</v>
      </c>
      <c r="S312" s="22">
        <v>1.4196800000000001</v>
      </c>
      <c r="T312">
        <f t="shared" si="50"/>
        <v>15.988200000000001</v>
      </c>
      <c r="U312">
        <f t="shared" si="51"/>
        <v>22.715235150000002</v>
      </c>
      <c r="X312" s="9"/>
      <c r="Y312" s="22">
        <v>0.22933999999999999</v>
      </c>
      <c r="Z312" s="22">
        <v>34.208300000000001</v>
      </c>
      <c r="AA312" s="22">
        <v>-1.82983E-2</v>
      </c>
      <c r="AB312" s="22">
        <v>302</v>
      </c>
      <c r="AC312" s="22">
        <v>0.22875999999999999</v>
      </c>
      <c r="AD312">
        <f t="shared" si="52"/>
        <v>18.298300000000001</v>
      </c>
      <c r="AE312">
        <f t="shared" si="53"/>
        <v>4.1965321219999998</v>
      </c>
      <c r="AF312" s="9"/>
      <c r="AG312" s="22">
        <v>1.42075</v>
      </c>
      <c r="AH312" s="22">
        <v>39.111899999999999</v>
      </c>
      <c r="AI312" s="22">
        <v>-1.5899699999999999E-2</v>
      </c>
      <c r="AJ312" s="22">
        <v>302</v>
      </c>
      <c r="AK312" s="22">
        <v>1.41998</v>
      </c>
      <c r="AL312">
        <f t="shared" si="54"/>
        <v>15.899699999999999</v>
      </c>
      <c r="AM312">
        <f t="shared" si="55"/>
        <v>22.589498774999999</v>
      </c>
      <c r="AP312" s="9"/>
      <c r="AQ312" s="22">
        <v>0.22933999999999999</v>
      </c>
      <c r="AR312" s="22">
        <v>43.945500000000003</v>
      </c>
      <c r="AS312" s="22">
        <v>-1.8301399999999999E-2</v>
      </c>
      <c r="AT312" s="22">
        <v>302</v>
      </c>
      <c r="AU312" s="22">
        <v>0.228851</v>
      </c>
      <c r="AV312">
        <f t="shared" si="56"/>
        <v>18.301399999999997</v>
      </c>
      <c r="AW312">
        <f t="shared" si="57"/>
        <v>4.1972430759999995</v>
      </c>
      <c r="AX312" s="9"/>
      <c r="AY312" s="22">
        <v>1.42075</v>
      </c>
      <c r="AZ312" s="22">
        <v>48.685099999999998</v>
      </c>
      <c r="BA312" s="22">
        <v>-1.5737899999999999E-2</v>
      </c>
      <c r="BB312" s="22">
        <v>302</v>
      </c>
      <c r="BC312" s="22">
        <v>1.4202900000000001</v>
      </c>
      <c r="BD312">
        <f t="shared" si="58"/>
        <v>15.7379</v>
      </c>
      <c r="BE312">
        <f t="shared" si="59"/>
        <v>22.359621425</v>
      </c>
    </row>
    <row r="313" spans="6:57">
      <c r="F313" s="9"/>
      <c r="G313" s="22">
        <v>0.224304</v>
      </c>
      <c r="H313" s="22">
        <v>13.946899999999999</v>
      </c>
      <c r="I313" s="22">
        <v>-1.82556E-2</v>
      </c>
      <c r="J313" s="22">
        <v>303</v>
      </c>
      <c r="K313" s="22">
        <v>0.223694</v>
      </c>
      <c r="L313">
        <f t="shared" si="48"/>
        <v>18.255600000000001</v>
      </c>
      <c r="M313">
        <f t="shared" si="49"/>
        <v>4.0948041024000004</v>
      </c>
      <c r="N313" s="9"/>
      <c r="O313" s="22">
        <v>1.42578</v>
      </c>
      <c r="P313" s="22">
        <v>26.834700000000002</v>
      </c>
      <c r="Q313" s="22">
        <v>-1.5918000000000002E-2</v>
      </c>
      <c r="R313" s="22">
        <v>303</v>
      </c>
      <c r="S313" s="22">
        <v>1.42456</v>
      </c>
      <c r="T313">
        <f t="shared" si="50"/>
        <v>15.918000000000001</v>
      </c>
      <c r="U313">
        <f t="shared" si="51"/>
        <v>22.695566040000003</v>
      </c>
      <c r="X313" s="9"/>
      <c r="Y313" s="22">
        <v>0.224304</v>
      </c>
      <c r="Z313" s="22">
        <v>34.218299999999999</v>
      </c>
      <c r="AA313" s="22">
        <v>-1.8304399999999998E-2</v>
      </c>
      <c r="AB313" s="22">
        <v>303</v>
      </c>
      <c r="AC313" s="22">
        <v>0.22387699999999999</v>
      </c>
      <c r="AD313">
        <f t="shared" si="52"/>
        <v>18.304399999999998</v>
      </c>
      <c r="AE313">
        <f t="shared" si="53"/>
        <v>4.1057501375999994</v>
      </c>
      <c r="AF313" s="9"/>
      <c r="AG313" s="22">
        <v>1.42578</v>
      </c>
      <c r="AH313" s="22">
        <v>39.121899999999997</v>
      </c>
      <c r="AI313" s="22">
        <v>-1.5823400000000001E-2</v>
      </c>
      <c r="AJ313" s="22">
        <v>303</v>
      </c>
      <c r="AK313" s="22">
        <v>1.42517</v>
      </c>
      <c r="AL313">
        <f t="shared" si="54"/>
        <v>15.823400000000001</v>
      </c>
      <c r="AM313">
        <f t="shared" si="55"/>
        <v>22.560687252000001</v>
      </c>
      <c r="AP313" s="9"/>
      <c r="AQ313" s="22">
        <v>0.224304</v>
      </c>
      <c r="AR313" s="22">
        <v>43.955500000000001</v>
      </c>
      <c r="AS313" s="22">
        <v>-1.8301399999999999E-2</v>
      </c>
      <c r="AT313" s="22">
        <v>303</v>
      </c>
      <c r="AU313" s="22">
        <v>0.22311400000000001</v>
      </c>
      <c r="AV313">
        <f t="shared" si="56"/>
        <v>18.301399999999997</v>
      </c>
      <c r="AW313">
        <f t="shared" si="57"/>
        <v>4.1050772255999997</v>
      </c>
      <c r="AX313" s="9"/>
      <c r="AY313" s="22">
        <v>1.42578</v>
      </c>
      <c r="AZ313" s="22">
        <v>48.695099999999996</v>
      </c>
      <c r="BA313" s="22">
        <v>-1.5661600000000001E-2</v>
      </c>
      <c r="BB313" s="22">
        <v>303</v>
      </c>
      <c r="BC313" s="22">
        <v>1.4242600000000001</v>
      </c>
      <c r="BD313">
        <f t="shared" si="58"/>
        <v>15.661600000000002</v>
      </c>
      <c r="BE313">
        <f t="shared" si="59"/>
        <v>22.329996048000002</v>
      </c>
    </row>
    <row r="314" spans="6:57">
      <c r="F314" s="9"/>
      <c r="G314" s="22">
        <v>0.21926899999999999</v>
      </c>
      <c r="H314" s="22">
        <v>13.957000000000001</v>
      </c>
      <c r="I314" s="22">
        <v>-1.8261699999999999E-2</v>
      </c>
      <c r="J314" s="22">
        <v>304</v>
      </c>
      <c r="K314" s="22">
        <v>0.219086</v>
      </c>
      <c r="L314">
        <f t="shared" si="48"/>
        <v>18.261699999999998</v>
      </c>
      <c r="M314">
        <f t="shared" si="49"/>
        <v>4.0042246972999997</v>
      </c>
      <c r="N314" s="9"/>
      <c r="O314" s="22">
        <v>1.43082</v>
      </c>
      <c r="P314" s="22">
        <v>26.844799999999999</v>
      </c>
      <c r="Q314" s="22">
        <v>-1.5838600000000001E-2</v>
      </c>
      <c r="R314" s="22">
        <v>304</v>
      </c>
      <c r="S314" s="22">
        <v>1.43005</v>
      </c>
      <c r="T314">
        <f t="shared" si="50"/>
        <v>15.838600000000001</v>
      </c>
      <c r="U314">
        <f t="shared" si="51"/>
        <v>22.662185652000002</v>
      </c>
      <c r="X314" s="9"/>
      <c r="Y314" s="22">
        <v>0.21926899999999999</v>
      </c>
      <c r="Z314" s="22">
        <v>34.228400000000001</v>
      </c>
      <c r="AA314" s="22">
        <v>-1.8313599999999999E-2</v>
      </c>
      <c r="AB314" s="22">
        <v>304</v>
      </c>
      <c r="AC314" s="22">
        <v>0.21853600000000001</v>
      </c>
      <c r="AD314">
        <f t="shared" si="52"/>
        <v>18.313600000000001</v>
      </c>
      <c r="AE314">
        <f t="shared" si="53"/>
        <v>4.0156047584000003</v>
      </c>
      <c r="AF314" s="9"/>
      <c r="AG314" s="22">
        <v>1.43082</v>
      </c>
      <c r="AH314" s="22">
        <v>39.131999999999998</v>
      </c>
      <c r="AI314" s="22">
        <v>-1.5741000000000002E-2</v>
      </c>
      <c r="AJ314" s="22">
        <v>304</v>
      </c>
      <c r="AK314" s="22">
        <v>1.43005</v>
      </c>
      <c r="AL314">
        <f t="shared" si="54"/>
        <v>15.741000000000001</v>
      </c>
      <c r="AM314">
        <f t="shared" si="55"/>
        <v>22.522537620000001</v>
      </c>
      <c r="AP314" s="9"/>
      <c r="AQ314" s="22">
        <v>0.21926899999999999</v>
      </c>
      <c r="AR314" s="22">
        <v>43.965600000000002</v>
      </c>
      <c r="AS314" s="22">
        <v>-1.8301399999999999E-2</v>
      </c>
      <c r="AT314" s="22">
        <v>304</v>
      </c>
      <c r="AU314" s="22">
        <v>0.21893299999999999</v>
      </c>
      <c r="AV314">
        <f t="shared" si="56"/>
        <v>18.301399999999997</v>
      </c>
      <c r="AW314">
        <f t="shared" si="57"/>
        <v>4.0129296765999989</v>
      </c>
      <c r="AX314" s="9"/>
      <c r="AY314" s="22">
        <v>1.43082</v>
      </c>
      <c r="AZ314" s="22">
        <v>48.705199999999998</v>
      </c>
      <c r="BA314" s="22">
        <v>-1.55762E-2</v>
      </c>
      <c r="BB314" s="22">
        <v>304</v>
      </c>
      <c r="BC314" s="22">
        <v>1.4303600000000001</v>
      </c>
      <c r="BD314">
        <f t="shared" si="58"/>
        <v>15.5762</v>
      </c>
      <c r="BE314">
        <f t="shared" si="59"/>
        <v>22.286738484000001</v>
      </c>
    </row>
    <row r="315" spans="6:57">
      <c r="F315" s="9"/>
      <c r="G315" s="22">
        <v>0.21423300000000001</v>
      </c>
      <c r="H315" s="22">
        <v>13.9671</v>
      </c>
      <c r="I315" s="22">
        <v>-1.8267800000000001E-2</v>
      </c>
      <c r="J315" s="22">
        <v>305</v>
      </c>
      <c r="K315" s="22">
        <v>0.21365400000000001</v>
      </c>
      <c r="L315">
        <f t="shared" si="48"/>
        <v>18.267800000000001</v>
      </c>
      <c r="M315">
        <f t="shared" si="49"/>
        <v>3.9135655974000003</v>
      </c>
      <c r="N315" s="9"/>
      <c r="O315" s="22">
        <v>1.4358500000000001</v>
      </c>
      <c r="P315" s="22">
        <v>26.854800000000001</v>
      </c>
      <c r="Q315" s="22">
        <v>-1.57623E-2</v>
      </c>
      <c r="R315" s="22">
        <v>305</v>
      </c>
      <c r="S315" s="22">
        <v>1.4349400000000001</v>
      </c>
      <c r="T315">
        <f t="shared" si="50"/>
        <v>15.7623</v>
      </c>
      <c r="U315">
        <f t="shared" si="51"/>
        <v>22.632298455000001</v>
      </c>
      <c r="X315" s="9"/>
      <c r="Y315" s="22">
        <v>0.21423300000000001</v>
      </c>
      <c r="Z315" s="22">
        <v>34.238500000000002</v>
      </c>
      <c r="AA315" s="22">
        <v>-1.8316700000000002E-2</v>
      </c>
      <c r="AB315" s="22">
        <v>305</v>
      </c>
      <c r="AC315" s="22">
        <v>0.21398900000000001</v>
      </c>
      <c r="AD315">
        <f t="shared" si="52"/>
        <v>18.316700000000001</v>
      </c>
      <c r="AE315">
        <f t="shared" si="53"/>
        <v>3.9240415911000004</v>
      </c>
      <c r="AF315" s="9"/>
      <c r="AG315" s="22">
        <v>1.4358500000000001</v>
      </c>
      <c r="AH315" s="22">
        <v>39.142099999999999</v>
      </c>
      <c r="AI315" s="22">
        <v>-1.5655499999999999E-2</v>
      </c>
      <c r="AJ315" s="22">
        <v>305</v>
      </c>
      <c r="AK315" s="22">
        <v>1.4343300000000001</v>
      </c>
      <c r="AL315">
        <f t="shared" si="54"/>
        <v>15.6555</v>
      </c>
      <c r="AM315">
        <f t="shared" si="55"/>
        <v>22.478949675000003</v>
      </c>
      <c r="AP315" s="9"/>
      <c r="AQ315" s="22">
        <v>0.21423300000000001</v>
      </c>
      <c r="AR315" s="22">
        <v>43.975700000000003</v>
      </c>
      <c r="AS315" s="22">
        <v>-1.8307500000000001E-2</v>
      </c>
      <c r="AT315" s="22">
        <v>305</v>
      </c>
      <c r="AU315" s="22">
        <v>0.21343999999999999</v>
      </c>
      <c r="AV315">
        <f t="shared" si="56"/>
        <v>18.307500000000001</v>
      </c>
      <c r="AW315">
        <f t="shared" si="57"/>
        <v>3.9220706475000005</v>
      </c>
      <c r="AX315" s="9"/>
      <c r="AY315" s="22">
        <v>1.4358500000000001</v>
      </c>
      <c r="AZ315" s="22">
        <v>48.715299999999999</v>
      </c>
      <c r="BA315" s="22">
        <v>-1.54877E-2</v>
      </c>
      <c r="BB315" s="22">
        <v>305</v>
      </c>
      <c r="BC315" s="22">
        <v>1.4352400000000001</v>
      </c>
      <c r="BD315">
        <f t="shared" si="58"/>
        <v>15.4877</v>
      </c>
      <c r="BE315">
        <f t="shared" si="59"/>
        <v>22.238014045</v>
      </c>
    </row>
    <row r="316" spans="6:57">
      <c r="F316" s="9"/>
      <c r="G316" s="22">
        <v>0.209198</v>
      </c>
      <c r="H316" s="22">
        <v>13.9772</v>
      </c>
      <c r="I316" s="22">
        <v>-1.8273899999999999E-2</v>
      </c>
      <c r="J316" s="22">
        <v>306</v>
      </c>
      <c r="K316" s="22">
        <v>0.208618</v>
      </c>
      <c r="L316">
        <f t="shared" si="48"/>
        <v>18.273899999999998</v>
      </c>
      <c r="M316">
        <f t="shared" si="49"/>
        <v>3.8228633321999994</v>
      </c>
      <c r="N316" s="9"/>
      <c r="O316" s="22">
        <v>1.44089</v>
      </c>
      <c r="P316" s="22">
        <v>26.864899999999999</v>
      </c>
      <c r="Q316" s="22">
        <v>-1.5676900000000001E-2</v>
      </c>
      <c r="R316" s="22">
        <v>306</v>
      </c>
      <c r="S316" s="22">
        <v>1.4404300000000001</v>
      </c>
      <c r="T316">
        <f t="shared" si="50"/>
        <v>15.6769</v>
      </c>
      <c r="U316">
        <f t="shared" si="51"/>
        <v>22.588688440999999</v>
      </c>
      <c r="X316" s="9"/>
      <c r="Y316" s="22">
        <v>0.209198</v>
      </c>
      <c r="Z316" s="22">
        <v>34.2485</v>
      </c>
      <c r="AA316" s="22">
        <v>-1.83228E-2</v>
      </c>
      <c r="AB316" s="22">
        <v>306</v>
      </c>
      <c r="AC316" s="22">
        <v>0.20883199999999999</v>
      </c>
      <c r="AD316">
        <f t="shared" si="52"/>
        <v>18.322800000000001</v>
      </c>
      <c r="AE316">
        <f t="shared" si="53"/>
        <v>3.8330931144</v>
      </c>
      <c r="AF316" s="9"/>
      <c r="AG316" s="22">
        <v>1.44089</v>
      </c>
      <c r="AH316" s="22">
        <v>39.152200000000001</v>
      </c>
      <c r="AI316" s="22">
        <v>-1.5566999999999999E-2</v>
      </c>
      <c r="AJ316" s="22">
        <v>306</v>
      </c>
      <c r="AK316" s="22">
        <v>1.4395100000000001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0.209198</v>
      </c>
      <c r="AR316" s="22">
        <v>43.985700000000001</v>
      </c>
      <c r="AS316" s="22">
        <v>-1.8313599999999999E-2</v>
      </c>
      <c r="AT316" s="22">
        <v>306</v>
      </c>
      <c r="AU316" s="22">
        <v>0.20874000000000001</v>
      </c>
      <c r="AV316">
        <f t="shared" si="56"/>
        <v>18.313600000000001</v>
      </c>
      <c r="AW316">
        <f t="shared" si="57"/>
        <v>3.8311684928000003</v>
      </c>
      <c r="AX316" s="9"/>
      <c r="AY316" s="22">
        <v>1.44089</v>
      </c>
      <c r="AZ316" s="22">
        <v>48.725299999999997</v>
      </c>
      <c r="BA316" s="22">
        <v>-1.54022E-2</v>
      </c>
      <c r="BB316" s="22">
        <v>306</v>
      </c>
      <c r="BC316" s="22">
        <v>1.4398200000000001</v>
      </c>
      <c r="BD316">
        <f t="shared" si="58"/>
        <v>15.402199999999999</v>
      </c>
      <c r="BE316">
        <f t="shared" si="59"/>
        <v>22.192875957999998</v>
      </c>
    </row>
    <row r="317" spans="6:57">
      <c r="F317" s="9"/>
      <c r="G317" s="22">
        <v>0.20416300000000001</v>
      </c>
      <c r="H317" s="22">
        <v>13.9872</v>
      </c>
      <c r="I317" s="22">
        <v>-1.8277000000000002E-2</v>
      </c>
      <c r="J317" s="22">
        <v>307</v>
      </c>
      <c r="K317" s="22">
        <v>0.20358299999999999</v>
      </c>
      <c r="L317">
        <f t="shared" si="48"/>
        <v>18.277000000000001</v>
      </c>
      <c r="M317">
        <f t="shared" si="49"/>
        <v>3.7314871510000005</v>
      </c>
      <c r="N317" s="9"/>
      <c r="O317" s="22">
        <v>1.4459200000000001</v>
      </c>
      <c r="P317" s="22">
        <v>26.875</v>
      </c>
      <c r="Q317" s="22">
        <v>-1.55914E-2</v>
      </c>
      <c r="R317" s="22">
        <v>307</v>
      </c>
      <c r="S317" s="22">
        <v>1.4450099999999999</v>
      </c>
      <c r="T317">
        <f t="shared" si="50"/>
        <v>15.5914</v>
      </c>
      <c r="U317">
        <f t="shared" si="51"/>
        <v>22.543917088000001</v>
      </c>
      <c r="X317" s="9"/>
      <c r="Y317" s="22">
        <v>0.20416300000000001</v>
      </c>
      <c r="Z317" s="22">
        <v>34.258600000000001</v>
      </c>
      <c r="AA317" s="22">
        <v>-1.83258E-2</v>
      </c>
      <c r="AB317" s="22">
        <v>307</v>
      </c>
      <c r="AC317" s="22">
        <v>0.20327799999999999</v>
      </c>
      <c r="AD317">
        <f t="shared" si="52"/>
        <v>18.325800000000001</v>
      </c>
      <c r="AE317">
        <f t="shared" si="53"/>
        <v>3.7414503054000003</v>
      </c>
      <c r="AF317" s="9"/>
      <c r="AG317" s="22">
        <v>1.4459200000000001</v>
      </c>
      <c r="AH317" s="22">
        <v>39.162199999999999</v>
      </c>
      <c r="AI317" s="22">
        <v>-1.54816E-2</v>
      </c>
      <c r="AJ317" s="22">
        <v>307</v>
      </c>
      <c r="AK317" s="22">
        <v>1.4450099999999999</v>
      </c>
      <c r="AL317">
        <f t="shared" si="54"/>
        <v>15.4816</v>
      </c>
      <c r="AM317">
        <f t="shared" si="55"/>
        <v>22.385155072000003</v>
      </c>
      <c r="AP317" s="9"/>
      <c r="AQ317" s="22">
        <v>0.20416300000000001</v>
      </c>
      <c r="AR317" s="22">
        <v>43.995800000000003</v>
      </c>
      <c r="AS317" s="22">
        <v>-1.8316700000000002E-2</v>
      </c>
      <c r="AT317" s="22">
        <v>307</v>
      </c>
      <c r="AU317" s="22">
        <v>0.203705</v>
      </c>
      <c r="AV317">
        <f t="shared" si="56"/>
        <v>18.316700000000001</v>
      </c>
      <c r="AW317">
        <f t="shared" si="57"/>
        <v>3.7395924221000003</v>
      </c>
      <c r="AX317" s="9"/>
      <c r="AY317" s="22">
        <v>1.4459200000000001</v>
      </c>
      <c r="AZ317" s="22">
        <v>48.735399999999998</v>
      </c>
      <c r="BA317" s="22">
        <v>-1.53168E-2</v>
      </c>
      <c r="BB317" s="22">
        <v>307</v>
      </c>
      <c r="BC317" s="22">
        <v>1.4450099999999999</v>
      </c>
      <c r="BD317">
        <f t="shared" si="58"/>
        <v>15.316800000000001</v>
      </c>
      <c r="BE317">
        <f t="shared" si="59"/>
        <v>22.146867456000003</v>
      </c>
    </row>
    <row r="318" spans="6:57">
      <c r="F318" s="9"/>
      <c r="G318" s="22">
        <v>0.199127</v>
      </c>
      <c r="H318" s="22">
        <v>13.997299999999999</v>
      </c>
      <c r="I318" s="22">
        <v>-1.8280000000000001E-2</v>
      </c>
      <c r="J318" s="22">
        <v>308</v>
      </c>
      <c r="K318" s="22">
        <v>0.19836400000000001</v>
      </c>
      <c r="L318">
        <f t="shared" si="48"/>
        <v>18.28</v>
      </c>
      <c r="M318">
        <f t="shared" si="49"/>
        <v>3.6400415600000002</v>
      </c>
      <c r="N318" s="9"/>
      <c r="O318" s="22">
        <v>1.45096</v>
      </c>
      <c r="P318" s="22">
        <v>26.885000000000002</v>
      </c>
      <c r="Q318" s="22">
        <v>-1.54968E-2</v>
      </c>
      <c r="R318" s="22">
        <v>308</v>
      </c>
      <c r="S318" s="22">
        <v>1.4508099999999999</v>
      </c>
      <c r="T318">
        <f t="shared" si="50"/>
        <v>15.4968</v>
      </c>
      <c r="U318">
        <f t="shared" si="51"/>
        <v>22.485236928000003</v>
      </c>
      <c r="X318" s="9"/>
      <c r="Y318" s="22">
        <v>0.199127</v>
      </c>
      <c r="Z318" s="22">
        <v>34.268700000000003</v>
      </c>
      <c r="AA318" s="22">
        <v>-1.8328899999999999E-2</v>
      </c>
      <c r="AB318" s="22">
        <v>308</v>
      </c>
      <c r="AC318" s="22">
        <v>0.198547</v>
      </c>
      <c r="AD318">
        <f t="shared" si="52"/>
        <v>18.328899999999997</v>
      </c>
      <c r="AE318">
        <f t="shared" si="53"/>
        <v>3.6497788702999996</v>
      </c>
      <c r="AF318" s="9"/>
      <c r="AG318" s="22">
        <v>1.45096</v>
      </c>
      <c r="AH318" s="22">
        <v>39.1723</v>
      </c>
      <c r="AI318" s="22">
        <v>-1.53931E-2</v>
      </c>
      <c r="AJ318" s="22">
        <v>308</v>
      </c>
      <c r="AK318" s="22">
        <v>1.4504999999999999</v>
      </c>
      <c r="AL318">
        <f t="shared" si="54"/>
        <v>15.3931</v>
      </c>
      <c r="AM318">
        <f t="shared" si="55"/>
        <v>22.334772376</v>
      </c>
      <c r="AP318" s="9"/>
      <c r="AQ318" s="22">
        <v>0.199127</v>
      </c>
      <c r="AR318" s="22">
        <v>44.005899999999997</v>
      </c>
      <c r="AS318" s="22">
        <v>-1.83228E-2</v>
      </c>
      <c r="AT318" s="22">
        <v>308</v>
      </c>
      <c r="AU318" s="22">
        <v>0.19753999999999999</v>
      </c>
      <c r="AV318">
        <f t="shared" si="56"/>
        <v>18.322800000000001</v>
      </c>
      <c r="AW318">
        <f t="shared" si="57"/>
        <v>3.6485641956000001</v>
      </c>
      <c r="AX318" s="9"/>
      <c r="AY318" s="22">
        <v>1.45096</v>
      </c>
      <c r="AZ318" s="22">
        <v>48.7455</v>
      </c>
      <c r="BA318" s="22">
        <v>-1.5225199999999999E-2</v>
      </c>
      <c r="BB318" s="22">
        <v>308</v>
      </c>
      <c r="BC318" s="22">
        <v>1.4498899999999999</v>
      </c>
      <c r="BD318">
        <f t="shared" si="58"/>
        <v>15.225199999999999</v>
      </c>
      <c r="BE318">
        <f t="shared" si="59"/>
        <v>22.091156192</v>
      </c>
    </row>
    <row r="319" spans="6:57">
      <c r="F319" s="9"/>
      <c r="G319" s="22">
        <v>0.19409199999999999</v>
      </c>
      <c r="H319" s="22">
        <v>14.007400000000001</v>
      </c>
      <c r="I319" s="22">
        <v>-1.82861E-2</v>
      </c>
      <c r="J319" s="22">
        <v>309</v>
      </c>
      <c r="K319" s="22">
        <v>0.193268</v>
      </c>
      <c r="L319">
        <f t="shared" si="48"/>
        <v>18.286100000000001</v>
      </c>
      <c r="M319">
        <f t="shared" si="49"/>
        <v>3.5491857212000002</v>
      </c>
      <c r="N319" s="9"/>
      <c r="O319" s="22">
        <v>1.4559899999999999</v>
      </c>
      <c r="P319" s="22">
        <v>26.895099999999999</v>
      </c>
      <c r="Q319" s="22">
        <v>-1.54083E-2</v>
      </c>
      <c r="R319" s="22">
        <v>309</v>
      </c>
      <c r="S319" s="22">
        <v>1.4553799999999999</v>
      </c>
      <c r="T319">
        <f t="shared" si="50"/>
        <v>15.408300000000001</v>
      </c>
      <c r="U319">
        <f t="shared" si="51"/>
        <v>22.434330716999998</v>
      </c>
      <c r="X319" s="9"/>
      <c r="Y319" s="22">
        <v>0.19409199999999999</v>
      </c>
      <c r="Z319" s="22">
        <v>34.278799999999997</v>
      </c>
      <c r="AA319" s="22">
        <v>-1.8331900000000002E-2</v>
      </c>
      <c r="AB319" s="22">
        <v>309</v>
      </c>
      <c r="AC319" s="22">
        <v>0.193665</v>
      </c>
      <c r="AD319">
        <f t="shared" si="52"/>
        <v>18.331900000000001</v>
      </c>
      <c r="AE319">
        <f t="shared" si="53"/>
        <v>3.5580751348000001</v>
      </c>
      <c r="AF319" s="9"/>
      <c r="AG319" s="22">
        <v>1.4559899999999999</v>
      </c>
      <c r="AH319" s="22">
        <v>39.182400000000001</v>
      </c>
      <c r="AI319" s="22">
        <v>-1.5301500000000001E-2</v>
      </c>
      <c r="AJ319" s="22">
        <v>309</v>
      </c>
      <c r="AK319" s="22">
        <v>1.4547699999999999</v>
      </c>
      <c r="AL319">
        <f t="shared" si="54"/>
        <v>15.301500000000001</v>
      </c>
      <c r="AM319">
        <f t="shared" si="55"/>
        <v>22.278830984999999</v>
      </c>
      <c r="AP319" s="9"/>
      <c r="AQ319" s="22">
        <v>0.19409199999999999</v>
      </c>
      <c r="AR319" s="22">
        <v>44.015999999999998</v>
      </c>
      <c r="AS319" s="22">
        <v>-1.8328899999999999E-2</v>
      </c>
      <c r="AT319" s="22">
        <v>309</v>
      </c>
      <c r="AU319" s="22">
        <v>0.19323699999999999</v>
      </c>
      <c r="AV319">
        <f t="shared" si="56"/>
        <v>18.328899999999997</v>
      </c>
      <c r="AW319">
        <f t="shared" si="57"/>
        <v>3.5574928587999994</v>
      </c>
      <c r="AX319" s="9"/>
      <c r="AY319" s="22">
        <v>1.4559899999999999</v>
      </c>
      <c r="AZ319" s="22">
        <v>48.755600000000001</v>
      </c>
      <c r="BA319" s="22">
        <v>-1.5130599999999999E-2</v>
      </c>
      <c r="BB319" s="22">
        <v>309</v>
      </c>
      <c r="BC319" s="22">
        <v>1.4550799999999999</v>
      </c>
      <c r="BD319">
        <f t="shared" si="58"/>
        <v>15.130599999999999</v>
      </c>
      <c r="BE319">
        <f t="shared" si="59"/>
        <v>22.030002293999999</v>
      </c>
    </row>
    <row r="320" spans="6:57">
      <c r="F320" s="9"/>
      <c r="G320" s="22">
        <v>0.189056</v>
      </c>
      <c r="H320" s="22">
        <v>14.0174</v>
      </c>
      <c r="I320" s="22">
        <v>-1.8289199999999999E-2</v>
      </c>
      <c r="J320" s="22">
        <v>310</v>
      </c>
      <c r="K320" s="22">
        <v>0.188385</v>
      </c>
      <c r="L320">
        <f t="shared" si="48"/>
        <v>18.289199999999997</v>
      </c>
      <c r="M320">
        <f t="shared" si="49"/>
        <v>3.4576829951999994</v>
      </c>
      <c r="N320" s="9"/>
      <c r="O320" s="22">
        <v>1.4610300000000001</v>
      </c>
      <c r="P320" s="22">
        <v>26.905200000000001</v>
      </c>
      <c r="Q320" s="22">
        <v>-1.53198E-2</v>
      </c>
      <c r="R320" s="22">
        <v>310</v>
      </c>
      <c r="S320" s="22">
        <v>1.46027</v>
      </c>
      <c r="T320">
        <f t="shared" si="50"/>
        <v>15.319799999999999</v>
      </c>
      <c r="U320">
        <f t="shared" si="51"/>
        <v>22.382687393999998</v>
      </c>
      <c r="X320" s="9"/>
      <c r="Y320" s="22">
        <v>0.189056</v>
      </c>
      <c r="Z320" s="22">
        <v>34.288800000000002</v>
      </c>
      <c r="AA320" s="22">
        <v>-1.8331900000000002E-2</v>
      </c>
      <c r="AB320" s="22">
        <v>310</v>
      </c>
      <c r="AC320" s="22">
        <v>0.18853800000000001</v>
      </c>
      <c r="AD320">
        <f t="shared" si="52"/>
        <v>18.331900000000001</v>
      </c>
      <c r="AE320">
        <f t="shared" si="53"/>
        <v>3.4657556864000001</v>
      </c>
      <c r="AF320" s="9"/>
      <c r="AG320" s="22">
        <v>1.4610300000000001</v>
      </c>
      <c r="AH320" s="22">
        <v>39.192399999999999</v>
      </c>
      <c r="AI320" s="22">
        <v>-1.5203899999999999E-2</v>
      </c>
      <c r="AJ320" s="22">
        <v>310</v>
      </c>
      <c r="AK320" s="22">
        <v>1.4605699999999999</v>
      </c>
      <c r="AL320">
        <f t="shared" si="54"/>
        <v>15.203899999999999</v>
      </c>
      <c r="AM320">
        <f t="shared" si="55"/>
        <v>22.213354017</v>
      </c>
      <c r="AP320" s="9"/>
      <c r="AQ320" s="22">
        <v>0.189056</v>
      </c>
      <c r="AR320" s="22">
        <v>44.026000000000003</v>
      </c>
      <c r="AS320" s="22">
        <v>-1.8331900000000002E-2</v>
      </c>
      <c r="AT320" s="22">
        <v>310</v>
      </c>
      <c r="AU320" s="22">
        <v>0.189606</v>
      </c>
      <c r="AV320">
        <f t="shared" si="56"/>
        <v>18.331900000000001</v>
      </c>
      <c r="AW320">
        <f t="shared" si="57"/>
        <v>3.4657556864000001</v>
      </c>
      <c r="AX320" s="9"/>
      <c r="AY320" s="22">
        <v>1.4610300000000001</v>
      </c>
      <c r="AZ320" s="22">
        <v>48.765599999999999</v>
      </c>
      <c r="BA320" s="22">
        <v>-1.50238E-2</v>
      </c>
      <c r="BB320" s="22">
        <v>310</v>
      </c>
      <c r="BC320" s="22">
        <v>1.4605699999999999</v>
      </c>
      <c r="BD320">
        <f t="shared" si="58"/>
        <v>15.0238</v>
      </c>
      <c r="BE320">
        <f t="shared" si="59"/>
        <v>21.950222514</v>
      </c>
    </row>
    <row r="321" spans="6:57">
      <c r="F321" s="9"/>
      <c r="G321" s="22">
        <v>0.18402099999999999</v>
      </c>
      <c r="H321" s="22">
        <v>14.0275</v>
      </c>
      <c r="I321" s="22">
        <v>-1.82953E-2</v>
      </c>
      <c r="J321" s="22">
        <v>311</v>
      </c>
      <c r="K321" s="22">
        <v>0.18328900000000001</v>
      </c>
      <c r="L321">
        <f t="shared" si="48"/>
        <v>18.295300000000001</v>
      </c>
      <c r="M321">
        <f t="shared" si="49"/>
        <v>3.3667194013000001</v>
      </c>
      <c r="N321" s="9"/>
      <c r="O321" s="22">
        <v>1.4660599999999999</v>
      </c>
      <c r="P321" s="22">
        <v>26.915299999999998</v>
      </c>
      <c r="Q321" s="22">
        <v>-1.5219099999999999E-2</v>
      </c>
      <c r="R321" s="22">
        <v>311</v>
      </c>
      <c r="S321" s="22">
        <v>1.46515</v>
      </c>
      <c r="T321">
        <f t="shared" si="50"/>
        <v>15.219099999999999</v>
      </c>
      <c r="U321">
        <f t="shared" si="51"/>
        <v>22.312113745999998</v>
      </c>
      <c r="X321" s="9"/>
      <c r="Y321" s="22">
        <v>0.18402099999999999</v>
      </c>
      <c r="Z321" s="22">
        <v>34.298900000000003</v>
      </c>
      <c r="AA321" s="22">
        <v>-1.8338E-2</v>
      </c>
      <c r="AB321" s="22">
        <v>311</v>
      </c>
      <c r="AC321" s="22">
        <v>0.18374599999999999</v>
      </c>
      <c r="AD321">
        <f t="shared" si="52"/>
        <v>18.338000000000001</v>
      </c>
      <c r="AE321">
        <f t="shared" si="53"/>
        <v>3.3745770980000001</v>
      </c>
      <c r="AF321" s="9"/>
      <c r="AG321" s="22">
        <v>1.4660599999999999</v>
      </c>
      <c r="AH321" s="22">
        <v>39.202500000000001</v>
      </c>
      <c r="AI321" s="22">
        <v>-1.51062E-2</v>
      </c>
      <c r="AJ321" s="22">
        <v>311</v>
      </c>
      <c r="AK321" s="22">
        <v>1.4654499999999999</v>
      </c>
      <c r="AL321">
        <f t="shared" si="54"/>
        <v>15.106199999999999</v>
      </c>
      <c r="AM321">
        <f t="shared" si="55"/>
        <v>22.146595571999999</v>
      </c>
      <c r="AP321" s="9"/>
      <c r="AQ321" s="22">
        <v>0.18402099999999999</v>
      </c>
      <c r="AR321" s="22">
        <v>44.036099999999998</v>
      </c>
      <c r="AS321" s="22">
        <v>-1.8338E-2</v>
      </c>
      <c r="AT321" s="22">
        <v>311</v>
      </c>
      <c r="AU321" s="22">
        <v>0.185059</v>
      </c>
      <c r="AV321">
        <f t="shared" si="56"/>
        <v>18.338000000000001</v>
      </c>
      <c r="AW321">
        <f t="shared" si="57"/>
        <v>3.3745770980000001</v>
      </c>
      <c r="AX321" s="9"/>
      <c r="AY321" s="22">
        <v>1.4660599999999999</v>
      </c>
      <c r="AZ321" s="22">
        <v>48.775700000000001</v>
      </c>
      <c r="BA321" s="22">
        <v>-1.49231E-2</v>
      </c>
      <c r="BB321" s="22">
        <v>311</v>
      </c>
      <c r="BC321" s="22">
        <v>1.4654499999999999</v>
      </c>
      <c r="BD321">
        <f t="shared" si="58"/>
        <v>14.9231</v>
      </c>
      <c r="BE321">
        <f t="shared" si="59"/>
        <v>21.878159986</v>
      </c>
    </row>
    <row r="322" spans="6:57">
      <c r="F322" s="9"/>
      <c r="G322" s="22">
        <v>0.17898600000000001</v>
      </c>
      <c r="H322" s="22">
        <v>14.037599999999999</v>
      </c>
      <c r="I322" s="22">
        <v>-1.82953E-2</v>
      </c>
      <c r="J322" s="22">
        <v>312</v>
      </c>
      <c r="K322" s="22">
        <v>0.17840600000000001</v>
      </c>
      <c r="L322">
        <f t="shared" si="48"/>
        <v>18.295300000000001</v>
      </c>
      <c r="M322">
        <f t="shared" si="49"/>
        <v>3.2746025658000004</v>
      </c>
      <c r="N322" s="9"/>
      <c r="O322" s="22">
        <v>1.4711000000000001</v>
      </c>
      <c r="P322" s="22">
        <v>26.9253</v>
      </c>
      <c r="Q322" s="22">
        <v>-1.51215E-2</v>
      </c>
      <c r="R322" s="22">
        <v>312</v>
      </c>
      <c r="S322" s="22">
        <v>1.4700299999999999</v>
      </c>
      <c r="T322">
        <f t="shared" si="50"/>
        <v>15.121499999999999</v>
      </c>
      <c r="U322">
        <f t="shared" si="51"/>
        <v>22.245238650000001</v>
      </c>
      <c r="X322" s="9"/>
      <c r="Y322" s="22">
        <v>0.17898600000000001</v>
      </c>
      <c r="Z322" s="22">
        <v>34.308999999999997</v>
      </c>
      <c r="AA322" s="22">
        <v>-1.8341099999999999E-2</v>
      </c>
      <c r="AB322" s="22">
        <v>312</v>
      </c>
      <c r="AC322" s="22">
        <v>0.17837500000000001</v>
      </c>
      <c r="AD322">
        <f t="shared" si="52"/>
        <v>18.341099999999997</v>
      </c>
      <c r="AE322">
        <f t="shared" si="53"/>
        <v>3.2828001245999996</v>
      </c>
      <c r="AF322" s="9"/>
      <c r="AG322" s="22">
        <v>1.4711000000000001</v>
      </c>
      <c r="AH322" s="22">
        <v>39.212600000000002</v>
      </c>
      <c r="AI322" s="22">
        <v>-1.5002400000000001E-2</v>
      </c>
      <c r="AJ322" s="22">
        <v>312</v>
      </c>
      <c r="AK322" s="22">
        <v>1.4700299999999999</v>
      </c>
      <c r="AL322">
        <f t="shared" si="54"/>
        <v>15.002400000000002</v>
      </c>
      <c r="AM322">
        <f t="shared" si="55"/>
        <v>22.070030640000002</v>
      </c>
      <c r="AP322" s="9"/>
      <c r="AQ322" s="22">
        <v>0.17898600000000001</v>
      </c>
      <c r="AR322" s="22">
        <v>44.046199999999999</v>
      </c>
      <c r="AS322" s="22">
        <v>-1.8341099999999999E-2</v>
      </c>
      <c r="AT322" s="22">
        <v>312</v>
      </c>
      <c r="AU322" s="22">
        <v>0.17849699999999999</v>
      </c>
      <c r="AV322">
        <f t="shared" si="56"/>
        <v>18.341099999999997</v>
      </c>
      <c r="AW322">
        <f t="shared" si="57"/>
        <v>3.2828001245999996</v>
      </c>
      <c r="AX322" s="9"/>
      <c r="AY322" s="22">
        <v>1.4711000000000001</v>
      </c>
      <c r="AZ322" s="22">
        <v>48.785800000000002</v>
      </c>
      <c r="BA322" s="22">
        <v>-1.4816299999999999E-2</v>
      </c>
      <c r="BB322" s="22">
        <v>312</v>
      </c>
      <c r="BC322" s="22">
        <v>1.47034</v>
      </c>
      <c r="BD322">
        <f t="shared" si="58"/>
        <v>14.8163</v>
      </c>
      <c r="BE322">
        <f t="shared" si="59"/>
        <v>21.79625893</v>
      </c>
    </row>
    <row r="323" spans="6:57">
      <c r="F323" s="9"/>
      <c r="G323" s="22">
        <v>0.17394999999999999</v>
      </c>
      <c r="H323" s="22">
        <v>14.047700000000001</v>
      </c>
      <c r="I323" s="22">
        <v>-1.8301399999999999E-2</v>
      </c>
      <c r="J323" s="22">
        <v>313</v>
      </c>
      <c r="K323" s="22">
        <v>0.17315700000000001</v>
      </c>
      <c r="L323">
        <f t="shared" si="48"/>
        <v>18.301399999999997</v>
      </c>
      <c r="M323">
        <f t="shared" si="49"/>
        <v>3.1835285299999994</v>
      </c>
      <c r="N323" s="9"/>
      <c r="O323" s="22">
        <v>1.47614</v>
      </c>
      <c r="P323" s="22">
        <v>26.935400000000001</v>
      </c>
      <c r="Q323" s="22">
        <v>-1.50177E-2</v>
      </c>
      <c r="R323" s="22">
        <v>313</v>
      </c>
      <c r="S323" s="22">
        <v>1.4755199999999999</v>
      </c>
      <c r="T323">
        <f t="shared" si="50"/>
        <v>15.0177</v>
      </c>
      <c r="U323">
        <f t="shared" si="51"/>
        <v>22.168227678000001</v>
      </c>
      <c r="X323" s="9"/>
      <c r="Y323" s="22">
        <v>0.17394999999999999</v>
      </c>
      <c r="Z323" s="22">
        <v>34.319000000000003</v>
      </c>
      <c r="AA323" s="22">
        <v>-1.8347200000000001E-2</v>
      </c>
      <c r="AB323" s="22">
        <v>313</v>
      </c>
      <c r="AC323" s="22">
        <v>0.17330899999999999</v>
      </c>
      <c r="AD323">
        <f t="shared" si="52"/>
        <v>18.347200000000001</v>
      </c>
      <c r="AE323">
        <f t="shared" si="53"/>
        <v>3.1914954400000002</v>
      </c>
      <c r="AF323" s="9"/>
      <c r="AG323" s="22">
        <v>1.47614</v>
      </c>
      <c r="AH323" s="22">
        <v>39.2226</v>
      </c>
      <c r="AI323" s="22">
        <v>-1.48956E-2</v>
      </c>
      <c r="AJ323" s="22">
        <v>313</v>
      </c>
      <c r="AK323" s="22">
        <v>1.4755199999999999</v>
      </c>
      <c r="AL323">
        <f t="shared" si="54"/>
        <v>14.8956</v>
      </c>
      <c r="AM323">
        <f t="shared" si="55"/>
        <v>21.987990984</v>
      </c>
      <c r="AP323" s="9"/>
      <c r="AQ323" s="22">
        <v>0.17394999999999999</v>
      </c>
      <c r="AR323" s="22">
        <v>44.056199999999997</v>
      </c>
      <c r="AS323" s="22">
        <v>-1.8344099999999999E-2</v>
      </c>
      <c r="AT323" s="22">
        <v>313</v>
      </c>
      <c r="AU323" s="22">
        <v>0.17315700000000001</v>
      </c>
      <c r="AV323">
        <f t="shared" si="56"/>
        <v>18.344099999999997</v>
      </c>
      <c r="AW323">
        <f t="shared" si="57"/>
        <v>3.1909561949999996</v>
      </c>
      <c r="AX323" s="9"/>
      <c r="AY323" s="22">
        <v>1.47614</v>
      </c>
      <c r="AZ323" s="22">
        <v>48.7958</v>
      </c>
      <c r="BA323" s="22">
        <v>-1.47064E-2</v>
      </c>
      <c r="BB323" s="22">
        <v>313</v>
      </c>
      <c r="BC323" s="22">
        <v>1.47614</v>
      </c>
      <c r="BD323">
        <f t="shared" si="58"/>
        <v>14.7064</v>
      </c>
      <c r="BE323">
        <f t="shared" si="59"/>
        <v>21.708705296000002</v>
      </c>
    </row>
    <row r="324" spans="6:57">
      <c r="F324" s="9"/>
      <c r="G324" s="22">
        <v>0.16891500000000001</v>
      </c>
      <c r="H324" s="22">
        <v>14.057700000000001</v>
      </c>
      <c r="I324" s="22">
        <v>-1.8304399999999998E-2</v>
      </c>
      <c r="J324" s="22">
        <v>314</v>
      </c>
      <c r="K324" s="22">
        <v>0.168518</v>
      </c>
      <c r="L324">
        <f t="shared" si="48"/>
        <v>18.304399999999998</v>
      </c>
      <c r="M324">
        <f t="shared" si="49"/>
        <v>3.0918877259999999</v>
      </c>
      <c r="N324" s="9"/>
      <c r="O324" s="22">
        <v>1.4811700000000001</v>
      </c>
      <c r="P324" s="22">
        <v>26.945499999999999</v>
      </c>
      <c r="Q324" s="22">
        <v>-1.49017E-2</v>
      </c>
      <c r="R324" s="22">
        <v>314</v>
      </c>
      <c r="S324" s="22">
        <v>1.48041</v>
      </c>
      <c r="T324">
        <f t="shared" si="50"/>
        <v>14.9017</v>
      </c>
      <c r="U324">
        <f t="shared" si="51"/>
        <v>22.071950989000001</v>
      </c>
      <c r="X324" s="9"/>
      <c r="Y324" s="22">
        <v>0.16891500000000001</v>
      </c>
      <c r="Z324" s="22">
        <v>34.329099999999997</v>
      </c>
      <c r="AA324" s="22">
        <v>-1.8353299999999999E-2</v>
      </c>
      <c r="AB324" s="22">
        <v>314</v>
      </c>
      <c r="AC324" s="22">
        <v>0.168488</v>
      </c>
      <c r="AD324">
        <f t="shared" si="52"/>
        <v>18.353300000000001</v>
      </c>
      <c r="AE324">
        <f t="shared" si="53"/>
        <v>3.1001476695000005</v>
      </c>
      <c r="AF324" s="9"/>
      <c r="AG324" s="22">
        <v>1.4811700000000001</v>
      </c>
      <c r="AH324" s="22">
        <v>39.232700000000001</v>
      </c>
      <c r="AI324" s="22">
        <v>-1.4782699999999999E-2</v>
      </c>
      <c r="AJ324" s="22">
        <v>314</v>
      </c>
      <c r="AK324" s="22">
        <v>1.4801</v>
      </c>
      <c r="AL324">
        <f t="shared" si="54"/>
        <v>14.7827</v>
      </c>
      <c r="AM324">
        <f t="shared" si="55"/>
        <v>21.895691759000002</v>
      </c>
      <c r="AP324" s="9"/>
      <c r="AQ324" s="22">
        <v>0.16891500000000001</v>
      </c>
      <c r="AR324" s="22">
        <v>44.066299999999998</v>
      </c>
      <c r="AS324" s="22">
        <v>-1.8350200000000001E-2</v>
      </c>
      <c r="AT324" s="22">
        <v>314</v>
      </c>
      <c r="AU324" s="22">
        <v>0.169159</v>
      </c>
      <c r="AV324">
        <f t="shared" si="56"/>
        <v>18.350200000000001</v>
      </c>
      <c r="AW324">
        <f t="shared" si="57"/>
        <v>3.0996240330000004</v>
      </c>
      <c r="AX324" s="9"/>
      <c r="AY324" s="22">
        <v>1.4811700000000001</v>
      </c>
      <c r="AZ324" s="22">
        <v>48.805900000000001</v>
      </c>
      <c r="BA324" s="22">
        <v>-1.4590499999999999E-2</v>
      </c>
      <c r="BB324" s="22">
        <v>314</v>
      </c>
      <c r="BC324" s="22">
        <v>1.48071</v>
      </c>
      <c r="BD324">
        <f t="shared" si="58"/>
        <v>14.590499999999999</v>
      </c>
      <c r="BE324">
        <f t="shared" si="59"/>
        <v>21.611010884999999</v>
      </c>
    </row>
    <row r="325" spans="6:57">
      <c r="F325" s="9"/>
      <c r="G325" s="22">
        <v>0.163879</v>
      </c>
      <c r="H325" s="22">
        <v>14.0678</v>
      </c>
      <c r="I325" s="22">
        <v>-1.83105E-2</v>
      </c>
      <c r="J325" s="22">
        <v>315</v>
      </c>
      <c r="K325" s="22">
        <v>0.163239</v>
      </c>
      <c r="L325">
        <f t="shared" si="48"/>
        <v>18.310500000000001</v>
      </c>
      <c r="M325">
        <f t="shared" si="49"/>
        <v>3.0007064295000001</v>
      </c>
      <c r="N325" s="9"/>
      <c r="O325" s="22">
        <v>1.48621</v>
      </c>
      <c r="P325" s="22">
        <v>26.955500000000001</v>
      </c>
      <c r="Q325" s="22">
        <v>-1.47949E-2</v>
      </c>
      <c r="R325" s="22">
        <v>315</v>
      </c>
      <c r="S325" s="22">
        <v>1.4856</v>
      </c>
      <c r="T325">
        <f t="shared" si="50"/>
        <v>14.7949</v>
      </c>
      <c r="U325">
        <f t="shared" si="51"/>
        <v>21.988328329000002</v>
      </c>
      <c r="X325" s="9"/>
      <c r="Y325" s="22">
        <v>0.163879</v>
      </c>
      <c r="Z325" s="22">
        <v>34.339199999999998</v>
      </c>
      <c r="AA325" s="22">
        <v>-1.8359400000000001E-2</v>
      </c>
      <c r="AB325" s="22">
        <v>315</v>
      </c>
      <c r="AC325" s="22">
        <v>0.16378799999999999</v>
      </c>
      <c r="AD325">
        <f t="shared" si="52"/>
        <v>18.359400000000001</v>
      </c>
      <c r="AE325">
        <f t="shared" si="53"/>
        <v>3.0087201126000003</v>
      </c>
      <c r="AF325" s="9"/>
      <c r="AG325" s="22">
        <v>1.48621</v>
      </c>
      <c r="AH325" s="22">
        <v>39.242800000000003</v>
      </c>
      <c r="AI325" s="22">
        <v>-1.46667E-2</v>
      </c>
      <c r="AJ325" s="22">
        <v>315</v>
      </c>
      <c r="AK325" s="22">
        <v>1.4856</v>
      </c>
      <c r="AL325">
        <f t="shared" si="54"/>
        <v>14.666699999999999</v>
      </c>
      <c r="AM325">
        <f t="shared" si="55"/>
        <v>21.797796206999998</v>
      </c>
      <c r="AP325" s="9"/>
      <c r="AQ325" s="22">
        <v>0.163879</v>
      </c>
      <c r="AR325" s="22">
        <v>44.0764</v>
      </c>
      <c r="AS325" s="22">
        <v>-1.8353299999999999E-2</v>
      </c>
      <c r="AT325" s="22">
        <v>315</v>
      </c>
      <c r="AU325" s="22">
        <v>0.163574</v>
      </c>
      <c r="AV325">
        <f t="shared" si="56"/>
        <v>18.353300000000001</v>
      </c>
      <c r="AW325">
        <f t="shared" si="57"/>
        <v>3.0077204506999999</v>
      </c>
      <c r="AX325" s="9"/>
      <c r="AY325" s="22">
        <v>1.48621</v>
      </c>
      <c r="AZ325" s="22">
        <v>48.816000000000003</v>
      </c>
      <c r="BA325" s="22">
        <v>-1.4471400000000001E-2</v>
      </c>
      <c r="BB325" s="22">
        <v>315</v>
      </c>
      <c r="BC325" s="22">
        <v>1.48499</v>
      </c>
      <c r="BD325">
        <f t="shared" si="58"/>
        <v>14.471400000000001</v>
      </c>
      <c r="BE325">
        <f t="shared" si="59"/>
        <v>21.507539394000002</v>
      </c>
    </row>
    <row r="326" spans="6:57">
      <c r="F326" s="9"/>
      <c r="G326" s="22">
        <v>0.15884400000000001</v>
      </c>
      <c r="H326" s="22">
        <v>14.0779</v>
      </c>
      <c r="I326" s="22">
        <v>-1.8313599999999999E-2</v>
      </c>
      <c r="J326" s="22">
        <v>316</v>
      </c>
      <c r="K326" s="22">
        <v>0.15832499999999999</v>
      </c>
      <c r="L326">
        <f t="shared" si="48"/>
        <v>18.313600000000001</v>
      </c>
      <c r="M326">
        <f t="shared" si="49"/>
        <v>2.9090054784000006</v>
      </c>
      <c r="N326" s="9"/>
      <c r="O326" s="22">
        <v>1.4912399999999999</v>
      </c>
      <c r="P326" s="22">
        <v>26.965599999999998</v>
      </c>
      <c r="Q326" s="22">
        <v>-1.46759E-2</v>
      </c>
      <c r="R326" s="22">
        <v>316</v>
      </c>
      <c r="S326" s="22">
        <v>1.48987</v>
      </c>
      <c r="T326">
        <f t="shared" si="50"/>
        <v>14.6759</v>
      </c>
      <c r="U326">
        <f t="shared" si="51"/>
        <v>21.885289115999999</v>
      </c>
      <c r="X326" s="9"/>
      <c r="Y326" s="22">
        <v>0.15884400000000001</v>
      </c>
      <c r="Z326" s="22">
        <v>34.349200000000003</v>
      </c>
      <c r="AA326" s="22">
        <v>-1.8362400000000001E-2</v>
      </c>
      <c r="AB326" s="22">
        <v>316</v>
      </c>
      <c r="AC326" s="22">
        <v>0.15832499999999999</v>
      </c>
      <c r="AD326">
        <f t="shared" si="52"/>
        <v>18.362400000000001</v>
      </c>
      <c r="AE326">
        <f t="shared" si="53"/>
        <v>2.9167570656000006</v>
      </c>
      <c r="AF326" s="9"/>
      <c r="AG326" s="22">
        <v>1.4912399999999999</v>
      </c>
      <c r="AH326" s="22">
        <v>39.252899999999997</v>
      </c>
      <c r="AI326" s="22">
        <v>-1.4544700000000001E-2</v>
      </c>
      <c r="AJ326" s="22">
        <v>316</v>
      </c>
      <c r="AK326" s="22">
        <v>1.49078</v>
      </c>
      <c r="AL326">
        <f t="shared" si="54"/>
        <v>14.544700000000001</v>
      </c>
      <c r="AM326">
        <f t="shared" si="55"/>
        <v>21.689638427999999</v>
      </c>
      <c r="AP326" s="9"/>
      <c r="AQ326" s="22">
        <v>0.15884400000000001</v>
      </c>
      <c r="AR326" s="22">
        <v>44.086399999999998</v>
      </c>
      <c r="AS326" s="22">
        <v>-1.8353299999999999E-2</v>
      </c>
      <c r="AT326" s="22">
        <v>316</v>
      </c>
      <c r="AU326" s="22">
        <v>0.158722</v>
      </c>
      <c r="AV326">
        <f t="shared" si="56"/>
        <v>18.353300000000001</v>
      </c>
      <c r="AW326">
        <f t="shared" si="57"/>
        <v>2.9153115852000004</v>
      </c>
      <c r="AX326" s="9"/>
      <c r="AY326" s="22">
        <v>1.4912399999999999</v>
      </c>
      <c r="AZ326" s="22">
        <v>48.826099999999997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0.153809</v>
      </c>
      <c r="H327" s="22">
        <v>14.087899999999999</v>
      </c>
      <c r="I327" s="22">
        <v>-1.8319700000000001E-2</v>
      </c>
      <c r="J327" s="22">
        <v>317</v>
      </c>
      <c r="K327" s="22">
        <v>0.15304599999999999</v>
      </c>
      <c r="L327">
        <f t="shared" si="48"/>
        <v>18.319700000000001</v>
      </c>
      <c r="M327">
        <f t="shared" si="49"/>
        <v>2.8177347373000003</v>
      </c>
      <c r="N327" s="9"/>
      <c r="O327" s="22">
        <v>1.4962800000000001</v>
      </c>
      <c r="P327" s="22">
        <v>26.9757</v>
      </c>
      <c r="Q327" s="22">
        <v>-1.4563E-2</v>
      </c>
      <c r="R327" s="22">
        <v>317</v>
      </c>
      <c r="S327" s="22">
        <v>1.49536</v>
      </c>
      <c r="T327">
        <f t="shared" si="50"/>
        <v>14.562999999999999</v>
      </c>
      <c r="U327">
        <f t="shared" si="51"/>
        <v>21.790325639999999</v>
      </c>
      <c r="X327" s="9"/>
      <c r="Y327" s="22">
        <v>0.153809</v>
      </c>
      <c r="Z327" s="22">
        <v>34.359299999999998</v>
      </c>
      <c r="AA327" s="22">
        <v>-1.8362400000000001E-2</v>
      </c>
      <c r="AB327" s="22">
        <v>317</v>
      </c>
      <c r="AC327" s="22">
        <v>0.15335099999999999</v>
      </c>
      <c r="AD327">
        <f t="shared" si="52"/>
        <v>18.362400000000001</v>
      </c>
      <c r="AE327">
        <f t="shared" si="53"/>
        <v>2.8243023816000004</v>
      </c>
      <c r="AF327" s="9"/>
      <c r="AG327" s="22">
        <v>1.4962800000000001</v>
      </c>
      <c r="AH327" s="22">
        <v>39.262900000000002</v>
      </c>
      <c r="AI327" s="22">
        <v>-1.4419599999999999E-2</v>
      </c>
      <c r="AJ327" s="22">
        <v>317</v>
      </c>
      <c r="AK327" s="22">
        <v>1.49536</v>
      </c>
      <c r="AL327">
        <f t="shared" si="54"/>
        <v>14.419599999999999</v>
      </c>
      <c r="AM327">
        <f t="shared" si="55"/>
        <v>21.575759087999998</v>
      </c>
      <c r="AP327" s="9"/>
      <c r="AQ327" s="22">
        <v>0.153809</v>
      </c>
      <c r="AR327" s="22">
        <v>44.096499999999999</v>
      </c>
      <c r="AS327" s="22">
        <v>-1.8362400000000001E-2</v>
      </c>
      <c r="AT327" s="22">
        <v>317</v>
      </c>
      <c r="AU327" s="22">
        <v>0.15295400000000001</v>
      </c>
      <c r="AV327">
        <f t="shared" si="56"/>
        <v>18.362400000000001</v>
      </c>
      <c r="AW327">
        <f t="shared" si="57"/>
        <v>2.8243023816000004</v>
      </c>
      <c r="AX327" s="9"/>
      <c r="AY327" s="22">
        <v>1.4962800000000001</v>
      </c>
      <c r="AZ327" s="22">
        <v>48.836100000000002</v>
      </c>
      <c r="BA327" s="22">
        <v>-1.4224199999999999E-2</v>
      </c>
      <c r="BB327" s="22">
        <v>317</v>
      </c>
      <c r="BC327" s="22">
        <v>1.49536</v>
      </c>
      <c r="BD327">
        <f t="shared" si="58"/>
        <v>14.2242</v>
      </c>
      <c r="BE327">
        <f t="shared" si="59"/>
        <v>21.283385976000002</v>
      </c>
    </row>
    <row r="328" spans="6:57">
      <c r="F328" s="9"/>
      <c r="G328" s="22">
        <v>0.14877299999999999</v>
      </c>
      <c r="H328" s="22">
        <v>14.098000000000001</v>
      </c>
      <c r="I328" s="22">
        <v>-1.83258E-2</v>
      </c>
      <c r="J328" s="22">
        <v>318</v>
      </c>
      <c r="K328" s="22">
        <v>0.14785799999999999</v>
      </c>
      <c r="L328">
        <f t="shared" si="48"/>
        <v>18.325800000000001</v>
      </c>
      <c r="M328">
        <f t="shared" si="49"/>
        <v>2.7263842434000001</v>
      </c>
      <c r="N328" s="9"/>
      <c r="O328" s="22">
        <v>1.5013099999999999</v>
      </c>
      <c r="P328" s="22">
        <v>26.985800000000001</v>
      </c>
      <c r="Q328" s="22">
        <v>-1.4434799999999999E-2</v>
      </c>
      <c r="R328" s="22">
        <v>318</v>
      </c>
      <c r="S328" s="22">
        <v>1.5005500000000001</v>
      </c>
      <c r="T328">
        <f t="shared" si="50"/>
        <v>14.434799999999999</v>
      </c>
      <c r="U328">
        <f t="shared" si="51"/>
        <v>21.671109587999997</v>
      </c>
      <c r="X328" s="9"/>
      <c r="Y328" s="22">
        <v>0.14877299999999999</v>
      </c>
      <c r="Z328" s="22">
        <v>34.369399999999999</v>
      </c>
      <c r="AA328" s="22">
        <v>-1.8368499999999999E-2</v>
      </c>
      <c r="AB328" s="22">
        <v>318</v>
      </c>
      <c r="AC328" s="22">
        <v>0.14807100000000001</v>
      </c>
      <c r="AD328">
        <f t="shared" si="52"/>
        <v>18.368500000000001</v>
      </c>
      <c r="AE328">
        <f t="shared" si="53"/>
        <v>2.7327368504999998</v>
      </c>
      <c r="AF328" s="9"/>
      <c r="AG328" s="22">
        <v>1.5013099999999999</v>
      </c>
      <c r="AH328" s="22">
        <v>39.273000000000003</v>
      </c>
      <c r="AI328" s="22">
        <v>-1.4294400000000001E-2</v>
      </c>
      <c r="AJ328" s="22">
        <v>318</v>
      </c>
      <c r="AK328" s="22">
        <v>1.50024</v>
      </c>
      <c r="AL328">
        <f t="shared" si="54"/>
        <v>14.294400000000001</v>
      </c>
      <c r="AM328">
        <f t="shared" si="55"/>
        <v>21.460325664000003</v>
      </c>
      <c r="AP328" s="9"/>
      <c r="AQ328" s="22">
        <v>0.14877299999999999</v>
      </c>
      <c r="AR328" s="22">
        <v>44.1066</v>
      </c>
      <c r="AS328" s="22">
        <v>-1.83655E-2</v>
      </c>
      <c r="AT328" s="22">
        <v>318</v>
      </c>
      <c r="AU328" s="22">
        <v>0.148254</v>
      </c>
      <c r="AV328">
        <f t="shared" si="56"/>
        <v>18.365500000000001</v>
      </c>
      <c r="AW328">
        <f t="shared" si="57"/>
        <v>2.7322905314999999</v>
      </c>
      <c r="AX328" s="9"/>
      <c r="AY328" s="22">
        <v>1.5013099999999999</v>
      </c>
      <c r="AZ328" s="22">
        <v>48.846200000000003</v>
      </c>
      <c r="BA328" s="22">
        <v>-1.40961E-2</v>
      </c>
      <c r="BB328" s="22">
        <v>318</v>
      </c>
      <c r="BC328" s="22">
        <v>1.5005500000000001</v>
      </c>
      <c r="BD328">
        <f t="shared" si="58"/>
        <v>14.0961</v>
      </c>
      <c r="BE328">
        <f t="shared" si="59"/>
        <v>21.162615890999998</v>
      </c>
    </row>
    <row r="329" spans="6:57">
      <c r="F329" s="9"/>
      <c r="G329" s="22">
        <v>0.143738</v>
      </c>
      <c r="H329" s="22">
        <v>14.1081</v>
      </c>
      <c r="I329" s="22">
        <v>-1.8331900000000002E-2</v>
      </c>
      <c r="J329" s="22">
        <v>319</v>
      </c>
      <c r="K329" s="22">
        <v>0.143036</v>
      </c>
      <c r="L329">
        <f t="shared" si="48"/>
        <v>18.331900000000001</v>
      </c>
      <c r="M329">
        <f t="shared" si="49"/>
        <v>2.6349906422</v>
      </c>
      <c r="N329" s="9"/>
      <c r="O329" s="22">
        <v>1.5063500000000001</v>
      </c>
      <c r="P329" s="22">
        <v>26.995799999999999</v>
      </c>
      <c r="Q329" s="22">
        <v>-1.43158E-2</v>
      </c>
      <c r="R329" s="22">
        <v>319</v>
      </c>
      <c r="S329" s="22">
        <v>1.50543</v>
      </c>
      <c r="T329">
        <f t="shared" si="50"/>
        <v>14.315799999999999</v>
      </c>
      <c r="U329">
        <f t="shared" si="51"/>
        <v>21.564605329999999</v>
      </c>
      <c r="X329" s="9"/>
      <c r="Y329" s="22">
        <v>0.143738</v>
      </c>
      <c r="Z329" s="22">
        <v>34.3795</v>
      </c>
      <c r="AA329" s="22">
        <v>-1.8371599999999998E-2</v>
      </c>
      <c r="AB329" s="22">
        <v>319</v>
      </c>
      <c r="AC329" s="22">
        <v>0.143066</v>
      </c>
      <c r="AD329">
        <f t="shared" si="52"/>
        <v>18.371599999999997</v>
      </c>
      <c r="AE329">
        <f t="shared" si="53"/>
        <v>2.6406970407999997</v>
      </c>
      <c r="AF329" s="9"/>
      <c r="AG329" s="22">
        <v>1.5063500000000001</v>
      </c>
      <c r="AH329" s="22">
        <v>39.283099999999997</v>
      </c>
      <c r="AI329" s="22">
        <v>-1.4163200000000001E-2</v>
      </c>
      <c r="AJ329" s="22">
        <v>319</v>
      </c>
      <c r="AK329" s="22">
        <v>1.5057400000000001</v>
      </c>
      <c r="AL329">
        <f t="shared" si="54"/>
        <v>14.163200000000002</v>
      </c>
      <c r="AM329">
        <f t="shared" si="55"/>
        <v>21.334736320000005</v>
      </c>
      <c r="AP329" s="9"/>
      <c r="AQ329" s="22">
        <v>0.143738</v>
      </c>
      <c r="AR329" s="22">
        <v>44.116700000000002</v>
      </c>
      <c r="AS329" s="22">
        <v>-1.8368499999999999E-2</v>
      </c>
      <c r="AT329" s="22">
        <v>319</v>
      </c>
      <c r="AU329" s="22">
        <v>0.143097</v>
      </c>
      <c r="AV329">
        <f t="shared" si="56"/>
        <v>18.368500000000001</v>
      </c>
      <c r="AW329">
        <f t="shared" si="57"/>
        <v>2.6402514530000003</v>
      </c>
      <c r="AX329" s="9"/>
      <c r="AY329" s="22">
        <v>1.5063500000000001</v>
      </c>
      <c r="AZ329" s="22">
        <v>48.856299999999997</v>
      </c>
      <c r="BA329" s="22">
        <v>-1.3964799999999999E-2</v>
      </c>
      <c r="BB329" s="22">
        <v>319</v>
      </c>
      <c r="BC329" s="22">
        <v>1.50543</v>
      </c>
      <c r="BD329">
        <f t="shared" si="58"/>
        <v>13.9648</v>
      </c>
      <c r="BE329">
        <f t="shared" si="59"/>
        <v>21.035876480000002</v>
      </c>
    </row>
    <row r="330" spans="6:57">
      <c r="F330" s="9"/>
      <c r="G330" s="22">
        <v>0.13870199999999999</v>
      </c>
      <c r="H330" s="22">
        <v>14.1181</v>
      </c>
      <c r="I330" s="22">
        <v>-1.8335000000000001E-2</v>
      </c>
      <c r="J330" s="22">
        <v>320</v>
      </c>
      <c r="K330" s="22">
        <v>0.138184</v>
      </c>
      <c r="L330">
        <f t="shared" si="48"/>
        <v>18.335000000000001</v>
      </c>
      <c r="M330">
        <f t="shared" si="49"/>
        <v>2.5431011699999999</v>
      </c>
      <c r="N330" s="9"/>
      <c r="O330" s="22">
        <v>1.5113799999999999</v>
      </c>
      <c r="P330" s="22">
        <v>27.0059</v>
      </c>
      <c r="Q330" s="22">
        <v>-1.41846E-2</v>
      </c>
      <c r="R330" s="22">
        <v>320</v>
      </c>
      <c r="S330" s="22">
        <v>1.51031</v>
      </c>
      <c r="T330">
        <f t="shared" si="50"/>
        <v>14.1846</v>
      </c>
      <c r="U330">
        <f t="shared" si="51"/>
        <v>21.438320747999999</v>
      </c>
      <c r="X330" s="9"/>
      <c r="Y330" s="22">
        <v>0.13870199999999999</v>
      </c>
      <c r="Z330" s="22">
        <v>34.389499999999998</v>
      </c>
      <c r="AA330" s="22">
        <v>-1.83777E-2</v>
      </c>
      <c r="AB330" s="22">
        <v>320</v>
      </c>
      <c r="AC330" s="22">
        <v>0.13778699999999999</v>
      </c>
      <c r="AD330">
        <f t="shared" si="52"/>
        <v>18.377700000000001</v>
      </c>
      <c r="AE330">
        <f t="shared" si="53"/>
        <v>2.5490237454</v>
      </c>
      <c r="AF330" s="9"/>
      <c r="AG330" s="22">
        <v>1.5113799999999999</v>
      </c>
      <c r="AH330" s="22">
        <v>39.293100000000003</v>
      </c>
      <c r="AI330" s="22">
        <v>-1.40289E-2</v>
      </c>
      <c r="AJ330" s="22">
        <v>320</v>
      </c>
      <c r="AK330" s="22">
        <v>1.5100100000000001</v>
      </c>
      <c r="AL330">
        <f t="shared" si="54"/>
        <v>14.0289</v>
      </c>
      <c r="AM330">
        <f t="shared" si="55"/>
        <v>21.202998881999999</v>
      </c>
      <c r="AP330" s="9"/>
      <c r="AQ330" s="22">
        <v>0.13870199999999999</v>
      </c>
      <c r="AR330" s="22">
        <v>44.1267</v>
      </c>
      <c r="AS330" s="22">
        <v>-1.8371599999999998E-2</v>
      </c>
      <c r="AT330" s="22">
        <v>320</v>
      </c>
      <c r="AU330" s="22">
        <v>0.13806199999999999</v>
      </c>
      <c r="AV330">
        <f t="shared" si="56"/>
        <v>18.371599999999997</v>
      </c>
      <c r="AW330">
        <f t="shared" si="57"/>
        <v>2.5481776631999993</v>
      </c>
      <c r="AX330" s="9"/>
      <c r="AY330" s="22">
        <v>1.5113799999999999</v>
      </c>
      <c r="AZ330" s="22">
        <v>48.866300000000003</v>
      </c>
      <c r="BA330" s="22">
        <v>-1.38275E-2</v>
      </c>
      <c r="BB330" s="22">
        <v>320</v>
      </c>
      <c r="BC330" s="22">
        <v>1.5109300000000001</v>
      </c>
      <c r="BD330">
        <f t="shared" si="58"/>
        <v>13.827499999999999</v>
      </c>
      <c r="BE330">
        <f t="shared" si="59"/>
        <v>20.898606949999998</v>
      </c>
    </row>
    <row r="331" spans="6:57">
      <c r="F331" s="9"/>
      <c r="G331" s="22">
        <v>0.13366700000000001</v>
      </c>
      <c r="H331" s="22">
        <v>14.1282</v>
      </c>
      <c r="I331" s="22">
        <v>-1.8341099999999999E-2</v>
      </c>
      <c r="J331" s="22">
        <v>321</v>
      </c>
      <c r="K331" s="22">
        <v>0.13317899999999999</v>
      </c>
      <c r="L331">
        <f t="shared" si="48"/>
        <v>18.341099999999997</v>
      </c>
      <c r="M331">
        <f t="shared" si="49"/>
        <v>2.4515998136999997</v>
      </c>
      <c r="N331" s="9"/>
      <c r="O331" s="22">
        <v>1.5164200000000001</v>
      </c>
      <c r="P331" s="22">
        <v>27.015999999999998</v>
      </c>
      <c r="Q331" s="22">
        <v>-1.4047199999999999E-2</v>
      </c>
      <c r="R331" s="22">
        <v>321</v>
      </c>
      <c r="S331" s="22">
        <v>1.5148900000000001</v>
      </c>
      <c r="T331">
        <f t="shared" si="50"/>
        <v>14.0472</v>
      </c>
      <c r="U331">
        <f t="shared" si="51"/>
        <v>21.301455024000003</v>
      </c>
      <c r="X331" s="9"/>
      <c r="Y331" s="22">
        <v>0.13366700000000001</v>
      </c>
      <c r="Z331" s="22">
        <v>34.3996</v>
      </c>
      <c r="AA331" s="22">
        <v>-1.83777E-2</v>
      </c>
      <c r="AB331" s="22">
        <v>321</v>
      </c>
      <c r="AC331" s="22">
        <v>0.13317899999999999</v>
      </c>
      <c r="AD331">
        <f t="shared" si="52"/>
        <v>18.377700000000001</v>
      </c>
      <c r="AE331">
        <f t="shared" si="53"/>
        <v>2.4564920259000003</v>
      </c>
      <c r="AF331" s="9"/>
      <c r="AG331" s="22">
        <v>1.5164200000000001</v>
      </c>
      <c r="AH331" s="22">
        <v>39.303199999999997</v>
      </c>
      <c r="AI331" s="22">
        <v>-1.38916E-2</v>
      </c>
      <c r="AJ331" s="22">
        <v>321</v>
      </c>
      <c r="AK331" s="22">
        <v>1.5158100000000001</v>
      </c>
      <c r="AL331">
        <f t="shared" si="54"/>
        <v>13.8916</v>
      </c>
      <c r="AM331">
        <f t="shared" si="55"/>
        <v>21.065500072000003</v>
      </c>
      <c r="AP331" s="9"/>
      <c r="AQ331" s="22">
        <v>0.13366700000000001</v>
      </c>
      <c r="AR331" s="22">
        <v>44.136800000000001</v>
      </c>
      <c r="AS331" s="22">
        <v>-1.83777E-2</v>
      </c>
      <c r="AT331" s="22">
        <v>321</v>
      </c>
      <c r="AU331" s="22">
        <v>0.13311799999999999</v>
      </c>
      <c r="AV331">
        <f t="shared" si="56"/>
        <v>18.377700000000001</v>
      </c>
      <c r="AW331">
        <f t="shared" si="57"/>
        <v>2.4564920259000003</v>
      </c>
      <c r="AX331" s="9"/>
      <c r="AY331" s="22">
        <v>1.5164200000000001</v>
      </c>
      <c r="AZ331" s="22">
        <v>48.876399999999997</v>
      </c>
      <c r="BA331" s="22">
        <v>-1.3687100000000001E-2</v>
      </c>
      <c r="BB331" s="22">
        <v>321</v>
      </c>
      <c r="BC331" s="22">
        <v>1.5155000000000001</v>
      </c>
      <c r="BD331">
        <f t="shared" si="58"/>
        <v>13.687100000000001</v>
      </c>
      <c r="BE331">
        <f t="shared" si="59"/>
        <v>20.755392182000001</v>
      </c>
    </row>
    <row r="332" spans="6:57">
      <c r="F332" s="9"/>
      <c r="G332" s="22">
        <v>0.128632</v>
      </c>
      <c r="H332" s="22">
        <v>14.138299999999999</v>
      </c>
      <c r="I332" s="22">
        <v>-1.8344099999999999E-2</v>
      </c>
      <c r="J332" s="22">
        <v>322</v>
      </c>
      <c r="K332" s="22">
        <v>0.12795999999999999</v>
      </c>
      <c r="L332">
        <f t="shared" ref="L332:L378" si="60">-I332/$F$2*1000</f>
        <v>18.344099999999997</v>
      </c>
      <c r="M332">
        <f t="shared" ref="M332:M378" si="61">L332*G332</f>
        <v>2.3596382711999997</v>
      </c>
      <c r="N332" s="9"/>
      <c r="O332" s="22">
        <v>1.52145</v>
      </c>
      <c r="P332" s="22">
        <v>27.026</v>
      </c>
      <c r="Q332" s="22">
        <v>-1.39069E-2</v>
      </c>
      <c r="R332" s="22">
        <v>322</v>
      </c>
      <c r="S332" s="22">
        <v>1.5209999999999999</v>
      </c>
      <c r="T332">
        <f t="shared" ref="T332:T378" si="62">-Q332/$F$2*1000</f>
        <v>13.9069</v>
      </c>
      <c r="U332">
        <f t="shared" ref="U332:U378" si="63">T332*O332</f>
        <v>21.158653005000001</v>
      </c>
      <c r="X332" s="9"/>
      <c r="Y332" s="22">
        <v>0.128632</v>
      </c>
      <c r="Z332" s="22">
        <v>34.409700000000001</v>
      </c>
      <c r="AA332" s="22">
        <v>-1.83807E-2</v>
      </c>
      <c r="AB332" s="22">
        <v>322</v>
      </c>
      <c r="AC332" s="22">
        <v>0.128021</v>
      </c>
      <c r="AD332">
        <f t="shared" ref="AD332:AD378" si="64">-AA332/$F$2*1000</f>
        <v>18.380700000000001</v>
      </c>
      <c r="AE332">
        <f t="shared" ref="AE332:AE378" si="65">AD332*Y332</f>
        <v>2.3643462024000002</v>
      </c>
      <c r="AF332" s="9"/>
      <c r="AG332" s="22">
        <v>1.52145</v>
      </c>
      <c r="AH332" s="22">
        <v>39.313299999999998</v>
      </c>
      <c r="AI332" s="22">
        <v>-1.37512E-2</v>
      </c>
      <c r="AJ332" s="22">
        <v>322</v>
      </c>
      <c r="AK332" s="22">
        <v>1.5206900000000001</v>
      </c>
      <c r="AL332">
        <f t="shared" ref="AL332:AL378" si="66">-AI332/$F$2*1000</f>
        <v>13.751200000000001</v>
      </c>
      <c r="AM332">
        <f t="shared" ref="AM332:AM378" si="67">AL332*AG332</f>
        <v>20.921763240000001</v>
      </c>
      <c r="AP332" s="9"/>
      <c r="AQ332" s="22">
        <v>0.128632</v>
      </c>
      <c r="AR332" s="22">
        <v>44.146900000000002</v>
      </c>
      <c r="AS332" s="22">
        <v>-1.83807E-2</v>
      </c>
      <c r="AT332" s="22">
        <v>322</v>
      </c>
      <c r="AU332" s="22">
        <v>0.128113</v>
      </c>
      <c r="AV332">
        <f t="shared" ref="AV332:AV378" si="68">-AS332/$F$2*1000</f>
        <v>18.380700000000001</v>
      </c>
      <c r="AW332">
        <f t="shared" ref="AW332:AW378" si="69">AV332*AQ332</f>
        <v>2.3643462024000002</v>
      </c>
      <c r="AX332" s="9"/>
      <c r="AY332" s="22">
        <v>1.52145</v>
      </c>
      <c r="AZ332" s="22">
        <v>48.886499999999998</v>
      </c>
      <c r="BA332" s="22">
        <v>-1.3543700000000001E-2</v>
      </c>
      <c r="BB332" s="22">
        <v>322</v>
      </c>
      <c r="BC332" s="22">
        <v>1.5206900000000001</v>
      </c>
      <c r="BD332">
        <f t="shared" ref="BD332:BD378" si="70">-BA332/$F$2*1000</f>
        <v>13.543700000000001</v>
      </c>
      <c r="BE332">
        <f t="shared" ref="BE332:BE378" si="71">BD332*AY332</f>
        <v>20.606062365</v>
      </c>
    </row>
    <row r="333" spans="6:57">
      <c r="F333" s="9"/>
      <c r="G333" s="22">
        <v>0.123596</v>
      </c>
      <c r="H333" s="22">
        <v>14.148400000000001</v>
      </c>
      <c r="I333" s="22">
        <v>-1.8347200000000001E-2</v>
      </c>
      <c r="J333" s="22">
        <v>323</v>
      </c>
      <c r="K333" s="22">
        <v>0.12292500000000001</v>
      </c>
      <c r="L333">
        <f t="shared" si="60"/>
        <v>18.347200000000001</v>
      </c>
      <c r="M333">
        <f t="shared" si="61"/>
        <v>2.2676405312000001</v>
      </c>
      <c r="N333" s="9"/>
      <c r="O333" s="22">
        <v>1.5264899999999999</v>
      </c>
      <c r="P333" s="22">
        <v>27.036100000000001</v>
      </c>
      <c r="Q333" s="22">
        <v>-1.37634E-2</v>
      </c>
      <c r="R333" s="22">
        <v>323</v>
      </c>
      <c r="S333" s="22">
        <v>1.5261800000000001</v>
      </c>
      <c r="T333">
        <f t="shared" si="62"/>
        <v>13.763400000000001</v>
      </c>
      <c r="U333">
        <f t="shared" si="63"/>
        <v>21.009692466000001</v>
      </c>
      <c r="X333" s="9"/>
      <c r="Y333" s="22">
        <v>0.123596</v>
      </c>
      <c r="Z333" s="22">
        <v>34.419699999999999</v>
      </c>
      <c r="AA333" s="22">
        <v>-1.8389900000000001E-2</v>
      </c>
      <c r="AB333" s="22">
        <v>323</v>
      </c>
      <c r="AC333" s="22">
        <v>0.123108</v>
      </c>
      <c r="AD333">
        <f t="shared" si="64"/>
        <v>18.389900000000001</v>
      </c>
      <c r="AE333">
        <f t="shared" si="65"/>
        <v>2.2729180804000002</v>
      </c>
      <c r="AF333" s="9"/>
      <c r="AG333" s="22">
        <v>1.5264899999999999</v>
      </c>
      <c r="AH333" s="22">
        <v>39.323399999999999</v>
      </c>
      <c r="AI333" s="22">
        <v>-1.36078E-2</v>
      </c>
      <c r="AJ333" s="22">
        <v>323</v>
      </c>
      <c r="AK333" s="22">
        <v>1.5258799999999999</v>
      </c>
      <c r="AL333">
        <f t="shared" si="66"/>
        <v>13.607799999999999</v>
      </c>
      <c r="AM333">
        <f t="shared" si="67"/>
        <v>20.772170621999997</v>
      </c>
      <c r="AP333" s="9"/>
      <c r="AQ333" s="22">
        <v>0.123596</v>
      </c>
      <c r="AR333" s="22">
        <v>44.1569</v>
      </c>
      <c r="AS333" s="22">
        <v>-1.8383799999999999E-2</v>
      </c>
      <c r="AT333" s="22">
        <v>323</v>
      </c>
      <c r="AU333" s="22">
        <v>0.123169</v>
      </c>
      <c r="AV333">
        <f t="shared" si="68"/>
        <v>18.383799999999997</v>
      </c>
      <c r="AW333">
        <f t="shared" si="69"/>
        <v>2.2721641447999996</v>
      </c>
      <c r="AX333" s="9"/>
      <c r="AY333" s="22">
        <v>1.5264899999999999</v>
      </c>
      <c r="AZ333" s="22">
        <v>48.896599999999999</v>
      </c>
      <c r="BA333" s="22">
        <v>-1.33911E-2</v>
      </c>
      <c r="BB333" s="22">
        <v>323</v>
      </c>
      <c r="BC333" s="22">
        <v>1.5252699999999999</v>
      </c>
      <c r="BD333">
        <f t="shared" si="70"/>
        <v>13.3911</v>
      </c>
      <c r="BE333">
        <f t="shared" si="71"/>
        <v>20.441380238999997</v>
      </c>
    </row>
    <row r="334" spans="6:57">
      <c r="F334" s="9"/>
      <c r="G334" s="22">
        <v>0.118561</v>
      </c>
      <c r="H334" s="22">
        <v>14.1584</v>
      </c>
      <c r="I334" s="22">
        <v>-1.8353299999999999E-2</v>
      </c>
      <c r="J334" s="22">
        <v>324</v>
      </c>
      <c r="K334" s="22">
        <v>0.11755400000000001</v>
      </c>
      <c r="L334">
        <f t="shared" si="60"/>
        <v>18.353300000000001</v>
      </c>
      <c r="M334">
        <f t="shared" si="61"/>
        <v>2.1759856013000003</v>
      </c>
      <c r="N334" s="9"/>
      <c r="O334" s="22">
        <v>1.53152</v>
      </c>
      <c r="P334" s="22">
        <v>27.046199999999999</v>
      </c>
      <c r="Q334" s="22">
        <v>-1.362E-2</v>
      </c>
      <c r="R334" s="22">
        <v>324</v>
      </c>
      <c r="S334" s="22">
        <v>1.5304599999999999</v>
      </c>
      <c r="T334">
        <f t="shared" si="62"/>
        <v>13.620000000000001</v>
      </c>
      <c r="U334">
        <f t="shared" si="63"/>
        <v>20.859302400000001</v>
      </c>
      <c r="X334" s="9"/>
      <c r="Y334" s="22">
        <v>0.118561</v>
      </c>
      <c r="Z334" s="22">
        <v>34.4298</v>
      </c>
      <c r="AA334" s="22">
        <v>-1.8395999999999999E-2</v>
      </c>
      <c r="AB334" s="22">
        <v>324</v>
      </c>
      <c r="AC334" s="22">
        <v>0.11834699999999999</v>
      </c>
      <c r="AD334">
        <f t="shared" si="64"/>
        <v>18.396000000000001</v>
      </c>
      <c r="AE334">
        <f t="shared" si="65"/>
        <v>2.1810481560000001</v>
      </c>
      <c r="AF334" s="9"/>
      <c r="AG334" s="22">
        <v>1.53152</v>
      </c>
      <c r="AH334" s="22">
        <v>39.333399999999997</v>
      </c>
      <c r="AI334" s="22">
        <v>-1.3461300000000001E-2</v>
      </c>
      <c r="AJ334" s="22">
        <v>324</v>
      </c>
      <c r="AK334" s="22">
        <v>1.5301499999999999</v>
      </c>
      <c r="AL334">
        <f t="shared" si="66"/>
        <v>13.461300000000001</v>
      </c>
      <c r="AM334">
        <f t="shared" si="67"/>
        <v>20.616250176000001</v>
      </c>
      <c r="AP334" s="9"/>
      <c r="AQ334" s="22">
        <v>0.118561</v>
      </c>
      <c r="AR334" s="22">
        <v>44.167000000000002</v>
      </c>
      <c r="AS334" s="22">
        <v>-1.8389900000000001E-2</v>
      </c>
      <c r="AT334" s="22">
        <v>324</v>
      </c>
      <c r="AU334" s="22">
        <v>0.11758399999999999</v>
      </c>
      <c r="AV334">
        <f t="shared" si="68"/>
        <v>18.389900000000001</v>
      </c>
      <c r="AW334">
        <f t="shared" si="69"/>
        <v>2.1803249339000002</v>
      </c>
      <c r="AX334" s="9"/>
      <c r="AY334" s="22">
        <v>1.53152</v>
      </c>
      <c r="AZ334" s="22">
        <v>48.906599999999997</v>
      </c>
      <c r="BA334" s="22">
        <v>-1.32446E-2</v>
      </c>
      <c r="BB334" s="22">
        <v>324</v>
      </c>
      <c r="BC334" s="22">
        <v>1.5313699999999999</v>
      </c>
      <c r="BD334">
        <f t="shared" si="70"/>
        <v>13.2446</v>
      </c>
      <c r="BE334">
        <f t="shared" si="71"/>
        <v>20.284369792</v>
      </c>
    </row>
    <row r="335" spans="6:57">
      <c r="F335" s="9"/>
      <c r="G335" s="22">
        <v>0.113525</v>
      </c>
      <c r="H335" s="22">
        <v>14.1685</v>
      </c>
      <c r="I335" s="22">
        <v>-1.8356299999999999E-2</v>
      </c>
      <c r="J335" s="22">
        <v>325</v>
      </c>
      <c r="K335" s="22">
        <v>0.112854</v>
      </c>
      <c r="L335">
        <f t="shared" si="60"/>
        <v>18.356299999999997</v>
      </c>
      <c r="M335">
        <f t="shared" si="61"/>
        <v>2.0838989574999998</v>
      </c>
      <c r="N335" s="9"/>
      <c r="O335" s="22">
        <v>1.5365599999999999</v>
      </c>
      <c r="P335" s="22">
        <v>27.0563</v>
      </c>
      <c r="Q335" s="22">
        <v>-1.3461300000000001E-2</v>
      </c>
      <c r="R335" s="22">
        <v>325</v>
      </c>
      <c r="S335" s="22">
        <v>1.5356399999999999</v>
      </c>
      <c r="T335">
        <f t="shared" si="62"/>
        <v>13.461300000000001</v>
      </c>
      <c r="U335">
        <f t="shared" si="63"/>
        <v>20.684095128000003</v>
      </c>
      <c r="X335" s="9"/>
      <c r="Y335" s="22">
        <v>0.113525</v>
      </c>
      <c r="Z335" s="22">
        <v>34.439900000000002</v>
      </c>
      <c r="AA335" s="22">
        <v>-1.8398999999999999E-2</v>
      </c>
      <c r="AB335" s="22">
        <v>325</v>
      </c>
      <c r="AC335" s="22">
        <v>0.11261</v>
      </c>
      <c r="AD335">
        <f t="shared" si="64"/>
        <v>18.398999999999997</v>
      </c>
      <c r="AE335">
        <f t="shared" si="65"/>
        <v>2.0887464749999998</v>
      </c>
      <c r="AF335" s="9"/>
      <c r="AG335" s="22">
        <v>1.5365599999999999</v>
      </c>
      <c r="AH335" s="22">
        <v>39.343499999999999</v>
      </c>
      <c r="AI335" s="22">
        <v>-1.33057E-2</v>
      </c>
      <c r="AJ335" s="22">
        <v>325</v>
      </c>
      <c r="AK335" s="22">
        <v>1.5356399999999999</v>
      </c>
      <c r="AL335">
        <f t="shared" si="66"/>
        <v>13.3057</v>
      </c>
      <c r="AM335">
        <f t="shared" si="67"/>
        <v>20.445006392</v>
      </c>
      <c r="AP335" s="9"/>
      <c r="AQ335" s="22">
        <v>0.113525</v>
      </c>
      <c r="AR335" s="22">
        <v>44.177100000000003</v>
      </c>
      <c r="AS335" s="22">
        <v>-1.8395999999999999E-2</v>
      </c>
      <c r="AT335" s="22">
        <v>325</v>
      </c>
      <c r="AU335" s="22">
        <v>0.11343399999999999</v>
      </c>
      <c r="AV335">
        <f t="shared" si="68"/>
        <v>18.396000000000001</v>
      </c>
      <c r="AW335">
        <f t="shared" si="69"/>
        <v>2.0884059000000001</v>
      </c>
      <c r="AX335" s="9"/>
      <c r="AY335" s="22">
        <v>1.5365599999999999</v>
      </c>
      <c r="AZ335" s="22">
        <v>48.916699999999999</v>
      </c>
      <c r="BA335" s="22">
        <v>-1.30829E-2</v>
      </c>
      <c r="BB335" s="22">
        <v>325</v>
      </c>
      <c r="BC335" s="22">
        <v>1.5356399999999999</v>
      </c>
      <c r="BD335">
        <f t="shared" si="70"/>
        <v>13.0829</v>
      </c>
      <c r="BE335">
        <f t="shared" si="71"/>
        <v>20.102660824000001</v>
      </c>
    </row>
    <row r="336" spans="6:57">
      <c r="F336" s="9"/>
      <c r="G336" s="22">
        <v>0.10849</v>
      </c>
      <c r="H336" s="22">
        <v>14.178599999999999</v>
      </c>
      <c r="I336" s="22">
        <v>-1.8362400000000001E-2</v>
      </c>
      <c r="J336" s="22">
        <v>326</v>
      </c>
      <c r="K336" s="22">
        <v>0.108307</v>
      </c>
      <c r="L336">
        <f t="shared" si="60"/>
        <v>18.362400000000001</v>
      </c>
      <c r="M336">
        <f t="shared" si="61"/>
        <v>1.9921367760000002</v>
      </c>
      <c r="N336" s="9"/>
      <c r="O336" s="22">
        <v>1.5416000000000001</v>
      </c>
      <c r="P336" s="22">
        <v>27.066299999999998</v>
      </c>
      <c r="Q336" s="22">
        <v>-1.33118E-2</v>
      </c>
      <c r="R336" s="22">
        <v>326</v>
      </c>
      <c r="S336" s="22">
        <v>1.5408299999999999</v>
      </c>
      <c r="T336">
        <f t="shared" si="62"/>
        <v>13.3118</v>
      </c>
      <c r="U336">
        <f t="shared" si="63"/>
        <v>20.521470880000003</v>
      </c>
      <c r="X336" s="9"/>
      <c r="Y336" s="22">
        <v>0.10849</v>
      </c>
      <c r="Z336" s="22">
        <v>34.450000000000003</v>
      </c>
      <c r="AA336" s="22">
        <v>-1.84052E-2</v>
      </c>
      <c r="AB336" s="22">
        <v>326</v>
      </c>
      <c r="AC336" s="22">
        <v>0.108704</v>
      </c>
      <c r="AD336">
        <f t="shared" si="64"/>
        <v>18.405200000000001</v>
      </c>
      <c r="AE336">
        <f t="shared" si="65"/>
        <v>1.996780148</v>
      </c>
      <c r="AF336" s="9"/>
      <c r="AG336" s="22">
        <v>1.5416000000000001</v>
      </c>
      <c r="AH336" s="22">
        <v>39.3536</v>
      </c>
      <c r="AI336" s="22">
        <v>-1.3153099999999999E-2</v>
      </c>
      <c r="AJ336" s="22">
        <v>326</v>
      </c>
      <c r="AK336" s="22">
        <v>1.5414399999999999</v>
      </c>
      <c r="AL336">
        <f t="shared" si="66"/>
        <v>13.153099999999998</v>
      </c>
      <c r="AM336">
        <f t="shared" si="67"/>
        <v>20.27681896</v>
      </c>
      <c r="AP336" s="9"/>
      <c r="AQ336" s="22">
        <v>0.10849</v>
      </c>
      <c r="AR336" s="22">
        <v>44.187199999999997</v>
      </c>
      <c r="AS336" s="22">
        <v>-1.8398999999999999E-2</v>
      </c>
      <c r="AT336" s="22">
        <v>326</v>
      </c>
      <c r="AU336" s="22">
        <v>0.107727</v>
      </c>
      <c r="AV336">
        <f t="shared" si="68"/>
        <v>18.398999999999997</v>
      </c>
      <c r="AW336">
        <f t="shared" si="69"/>
        <v>1.9961075099999999</v>
      </c>
      <c r="AX336" s="9"/>
      <c r="AY336" s="22">
        <v>1.5416000000000001</v>
      </c>
      <c r="AZ336" s="22">
        <v>48.9268</v>
      </c>
      <c r="BA336" s="22">
        <v>-1.29333E-2</v>
      </c>
      <c r="BB336" s="22">
        <v>326</v>
      </c>
      <c r="BC336" s="22">
        <v>1.5408299999999999</v>
      </c>
      <c r="BD336">
        <f t="shared" si="70"/>
        <v>12.933299999999999</v>
      </c>
      <c r="BE336">
        <f t="shared" si="71"/>
        <v>19.93797528</v>
      </c>
    </row>
    <row r="337" spans="6:57">
      <c r="F337" s="9"/>
      <c r="G337" s="22">
        <v>0.10345500000000001</v>
      </c>
      <c r="H337" s="22">
        <v>14.188599999999999</v>
      </c>
      <c r="I337" s="22">
        <v>-1.8362400000000001E-2</v>
      </c>
      <c r="J337" s="22">
        <v>327</v>
      </c>
      <c r="K337" s="22">
        <v>0.102753</v>
      </c>
      <c r="L337">
        <f t="shared" si="60"/>
        <v>18.362400000000001</v>
      </c>
      <c r="M337">
        <f t="shared" si="61"/>
        <v>1.8996820920000002</v>
      </c>
      <c r="N337" s="9"/>
      <c r="O337" s="22">
        <v>1.5466299999999999</v>
      </c>
      <c r="P337" s="22">
        <v>27.0764</v>
      </c>
      <c r="Q337" s="22">
        <v>-1.3153099999999999E-2</v>
      </c>
      <c r="R337" s="22">
        <v>327</v>
      </c>
      <c r="S337" s="22">
        <v>1.5460199999999999</v>
      </c>
      <c r="T337">
        <f t="shared" si="62"/>
        <v>13.153099999999998</v>
      </c>
      <c r="U337">
        <f t="shared" si="63"/>
        <v>20.342979052999997</v>
      </c>
      <c r="X337" s="9"/>
      <c r="Y337" s="22">
        <v>0.10345500000000001</v>
      </c>
      <c r="Z337" s="22">
        <v>34.46</v>
      </c>
      <c r="AA337" s="22">
        <v>-1.84082E-2</v>
      </c>
      <c r="AB337" s="22">
        <v>327</v>
      </c>
      <c r="AC337" s="22">
        <v>0.10272199999999999</v>
      </c>
      <c r="AD337">
        <f t="shared" si="64"/>
        <v>18.408200000000001</v>
      </c>
      <c r="AE337">
        <f t="shared" si="65"/>
        <v>1.9044203310000001</v>
      </c>
      <c r="AF337" s="9"/>
      <c r="AG337" s="22">
        <v>1.5466299999999999</v>
      </c>
      <c r="AH337" s="22">
        <v>39.363599999999998</v>
      </c>
      <c r="AI337" s="22">
        <v>-1.2985200000000001E-2</v>
      </c>
      <c r="AJ337" s="22">
        <v>327</v>
      </c>
      <c r="AK337" s="22">
        <v>1.5460199999999999</v>
      </c>
      <c r="AL337">
        <f t="shared" si="66"/>
        <v>12.985200000000001</v>
      </c>
      <c r="AM337">
        <f t="shared" si="67"/>
        <v>20.083299876000002</v>
      </c>
      <c r="AP337" s="9"/>
      <c r="AQ337" s="22">
        <v>0.10345500000000001</v>
      </c>
      <c r="AR337" s="22">
        <v>44.197200000000002</v>
      </c>
      <c r="AS337" s="22">
        <v>-1.84052E-2</v>
      </c>
      <c r="AT337" s="22">
        <v>327</v>
      </c>
      <c r="AU337" s="22">
        <v>0.10302699999999999</v>
      </c>
      <c r="AV337">
        <f t="shared" si="68"/>
        <v>18.405200000000001</v>
      </c>
      <c r="AW337">
        <f t="shared" si="69"/>
        <v>1.9041099660000003</v>
      </c>
      <c r="AX337" s="9"/>
      <c r="AY337" s="22">
        <v>1.5466299999999999</v>
      </c>
      <c r="AZ337" s="22">
        <v>48.936799999999998</v>
      </c>
      <c r="BA337" s="22">
        <v>-1.27686E-2</v>
      </c>
      <c r="BB337" s="22">
        <v>327</v>
      </c>
      <c r="BC337" s="22">
        <v>1.5450999999999999</v>
      </c>
      <c r="BD337">
        <f t="shared" si="70"/>
        <v>12.768599999999999</v>
      </c>
      <c r="BE337">
        <f t="shared" si="71"/>
        <v>19.748299818</v>
      </c>
    </row>
    <row r="338" spans="6:57">
      <c r="F338" s="9"/>
      <c r="G338" s="22">
        <v>9.8419199999999998E-2</v>
      </c>
      <c r="H338" s="22">
        <v>14.198700000000001</v>
      </c>
      <c r="I338" s="22">
        <v>-1.83655E-2</v>
      </c>
      <c r="J338" s="22">
        <v>328</v>
      </c>
      <c r="K338" s="22">
        <v>9.7961400000000004E-2</v>
      </c>
      <c r="L338">
        <f t="shared" si="60"/>
        <v>18.365500000000001</v>
      </c>
      <c r="M338">
        <f t="shared" si="61"/>
        <v>1.8075178176</v>
      </c>
      <c r="N338" s="9"/>
      <c r="O338" s="22">
        <v>1.5516700000000001</v>
      </c>
      <c r="P338" s="22">
        <v>27.086500000000001</v>
      </c>
      <c r="Q338" s="22">
        <v>-1.2985200000000001E-2</v>
      </c>
      <c r="R338" s="22">
        <v>328</v>
      </c>
      <c r="S338" s="22">
        <v>1.5496799999999999</v>
      </c>
      <c r="T338">
        <f t="shared" si="62"/>
        <v>12.985200000000001</v>
      </c>
      <c r="U338">
        <f t="shared" si="63"/>
        <v>20.148745284000004</v>
      </c>
      <c r="X338" s="9"/>
      <c r="Y338" s="22">
        <v>9.8419199999999998E-2</v>
      </c>
      <c r="Z338" s="22">
        <v>34.470100000000002</v>
      </c>
      <c r="AA338" s="22">
        <v>-1.8414300000000002E-2</v>
      </c>
      <c r="AB338" s="22">
        <v>328</v>
      </c>
      <c r="AC338" s="22">
        <v>9.8174999999999998E-2</v>
      </c>
      <c r="AD338">
        <f t="shared" si="64"/>
        <v>18.414300000000001</v>
      </c>
      <c r="AE338">
        <f t="shared" si="65"/>
        <v>1.81232067456</v>
      </c>
      <c r="AF338" s="9"/>
      <c r="AG338" s="22">
        <v>1.5516700000000001</v>
      </c>
      <c r="AH338" s="22">
        <v>39.373699999999999</v>
      </c>
      <c r="AI338" s="22">
        <v>-1.28174E-2</v>
      </c>
      <c r="AJ338" s="22">
        <v>328</v>
      </c>
      <c r="AK338" s="22">
        <v>1.5506</v>
      </c>
      <c r="AL338">
        <f t="shared" si="66"/>
        <v>12.817399999999999</v>
      </c>
      <c r="AM338">
        <f t="shared" si="67"/>
        <v>19.888375058000001</v>
      </c>
      <c r="AP338" s="9"/>
      <c r="AQ338" s="22">
        <v>9.8419199999999998E-2</v>
      </c>
      <c r="AR338" s="22">
        <v>44.207299999999996</v>
      </c>
      <c r="AS338" s="22">
        <v>-1.84052E-2</v>
      </c>
      <c r="AT338" s="22">
        <v>328</v>
      </c>
      <c r="AU338" s="22">
        <v>9.8999000000000004E-2</v>
      </c>
      <c r="AV338">
        <f t="shared" si="68"/>
        <v>18.405200000000001</v>
      </c>
      <c r="AW338">
        <f t="shared" si="69"/>
        <v>1.8114250598400001</v>
      </c>
      <c r="AX338" s="9"/>
      <c r="AY338" s="22">
        <v>1.5516700000000001</v>
      </c>
      <c r="AZ338" s="22">
        <v>48.946899999999999</v>
      </c>
      <c r="BA338" s="22">
        <v>-1.26099E-2</v>
      </c>
      <c r="BB338" s="22">
        <v>328</v>
      </c>
      <c r="BC338" s="22">
        <v>1.5508999999999999</v>
      </c>
      <c r="BD338">
        <f t="shared" si="70"/>
        <v>12.6099</v>
      </c>
      <c r="BE338">
        <f t="shared" si="71"/>
        <v>19.566403533000003</v>
      </c>
    </row>
    <row r="339" spans="6:57">
      <c r="F339" s="9"/>
      <c r="G339" s="22">
        <v>9.3383800000000003E-2</v>
      </c>
      <c r="H339" s="22">
        <v>14.2088</v>
      </c>
      <c r="I339" s="22">
        <v>-1.8368499999999999E-2</v>
      </c>
      <c r="J339" s="22">
        <v>329</v>
      </c>
      <c r="K339" s="22">
        <v>9.2742900000000003E-2</v>
      </c>
      <c r="L339">
        <f t="shared" si="60"/>
        <v>18.368500000000001</v>
      </c>
      <c r="M339">
        <f t="shared" si="61"/>
        <v>1.7153203303000002</v>
      </c>
      <c r="N339" s="9"/>
      <c r="O339" s="22">
        <v>1.5567</v>
      </c>
      <c r="P339" s="22">
        <v>27.096499999999999</v>
      </c>
      <c r="Q339" s="22">
        <v>-1.28235E-2</v>
      </c>
      <c r="R339" s="22">
        <v>329</v>
      </c>
      <c r="S339" s="22">
        <v>1.55579</v>
      </c>
      <c r="T339">
        <f t="shared" si="62"/>
        <v>12.823499999999999</v>
      </c>
      <c r="U339">
        <f t="shared" si="63"/>
        <v>19.962342449999998</v>
      </c>
      <c r="X339" s="9"/>
      <c r="Y339" s="22">
        <v>9.3383800000000003E-2</v>
      </c>
      <c r="Z339" s="22">
        <v>34.480200000000004</v>
      </c>
      <c r="AA339" s="22">
        <v>-1.8423499999999999E-2</v>
      </c>
      <c r="AB339" s="22">
        <v>329</v>
      </c>
      <c r="AC339" s="22">
        <v>9.2956499999999997E-2</v>
      </c>
      <c r="AD339">
        <f t="shared" si="64"/>
        <v>18.423500000000001</v>
      </c>
      <c r="AE339">
        <f t="shared" si="65"/>
        <v>1.7204564393000001</v>
      </c>
      <c r="AF339" s="9"/>
      <c r="AG339" s="22">
        <v>1.5567</v>
      </c>
      <c r="AH339" s="22">
        <v>39.383800000000001</v>
      </c>
      <c r="AI339" s="22">
        <v>-1.2655599999999999E-2</v>
      </c>
      <c r="AJ339" s="22">
        <v>329</v>
      </c>
      <c r="AK339" s="22">
        <v>1.55609</v>
      </c>
      <c r="AL339">
        <f t="shared" si="66"/>
        <v>12.6556</v>
      </c>
      <c r="AM339">
        <f t="shared" si="67"/>
        <v>19.700972520000001</v>
      </c>
      <c r="AP339" s="9"/>
      <c r="AQ339" s="22">
        <v>9.3383800000000003E-2</v>
      </c>
      <c r="AR339" s="22">
        <v>44.217399999999998</v>
      </c>
      <c r="AS339" s="22">
        <v>-1.8411299999999999E-2</v>
      </c>
      <c r="AT339" s="22">
        <v>329</v>
      </c>
      <c r="AU339" s="22">
        <v>9.2193600000000001E-2</v>
      </c>
      <c r="AV339">
        <f t="shared" si="68"/>
        <v>18.411299999999997</v>
      </c>
      <c r="AW339">
        <f t="shared" si="69"/>
        <v>1.7193171569399999</v>
      </c>
      <c r="AX339" s="9"/>
      <c r="AY339" s="22">
        <v>1.5567</v>
      </c>
      <c r="AZ339" s="22">
        <v>48.957000000000001</v>
      </c>
      <c r="BA339" s="22">
        <v>-1.24329E-2</v>
      </c>
      <c r="BB339" s="22">
        <v>329</v>
      </c>
      <c r="BC339" s="22">
        <v>1.55609</v>
      </c>
      <c r="BD339">
        <f t="shared" si="70"/>
        <v>12.4329</v>
      </c>
      <c r="BE339">
        <f t="shared" si="71"/>
        <v>19.354295430000001</v>
      </c>
    </row>
    <row r="340" spans="6:57">
      <c r="F340" s="9"/>
      <c r="G340" s="22">
        <v>8.8348399999999994E-2</v>
      </c>
      <c r="H340" s="22">
        <v>14.2189</v>
      </c>
      <c r="I340" s="22">
        <v>-1.8371599999999998E-2</v>
      </c>
      <c r="J340" s="22">
        <v>330</v>
      </c>
      <c r="K340" s="22">
        <v>8.7737999999999997E-2</v>
      </c>
      <c r="L340">
        <f t="shared" si="60"/>
        <v>18.371599999999997</v>
      </c>
      <c r="M340">
        <f t="shared" si="61"/>
        <v>1.6231014654399996</v>
      </c>
      <c r="N340" s="9"/>
      <c r="O340" s="22">
        <v>1.5617399999999999</v>
      </c>
      <c r="P340" s="22">
        <v>27.1066</v>
      </c>
      <c r="Q340" s="22">
        <v>-1.26526E-2</v>
      </c>
      <c r="R340" s="22">
        <v>330</v>
      </c>
      <c r="S340" s="22">
        <v>1.56067</v>
      </c>
      <c r="T340">
        <f t="shared" si="62"/>
        <v>12.6526</v>
      </c>
      <c r="U340">
        <f t="shared" si="63"/>
        <v>19.760071523999997</v>
      </c>
      <c r="X340" s="9"/>
      <c r="Y340" s="22">
        <v>8.8348399999999994E-2</v>
      </c>
      <c r="Z340" s="22">
        <v>34.490200000000002</v>
      </c>
      <c r="AA340" s="22">
        <v>-1.8429600000000001E-2</v>
      </c>
      <c r="AB340" s="22">
        <v>330</v>
      </c>
      <c r="AC340" s="22">
        <v>8.7921100000000002E-2</v>
      </c>
      <c r="AD340">
        <f t="shared" si="64"/>
        <v>18.429600000000001</v>
      </c>
      <c r="AE340">
        <f t="shared" si="65"/>
        <v>1.62822567264</v>
      </c>
      <c r="AF340" s="9"/>
      <c r="AG340" s="22">
        <v>1.5617399999999999</v>
      </c>
      <c r="AH340" s="22">
        <v>39.393900000000002</v>
      </c>
      <c r="AI340" s="22">
        <v>-1.24817E-2</v>
      </c>
      <c r="AJ340" s="22">
        <v>330</v>
      </c>
      <c r="AK340" s="22">
        <v>1.56097</v>
      </c>
      <c r="AL340">
        <f t="shared" si="66"/>
        <v>12.4817</v>
      </c>
      <c r="AM340">
        <f t="shared" si="67"/>
        <v>19.493170157999998</v>
      </c>
      <c r="AP340" s="9"/>
      <c r="AQ340" s="22">
        <v>8.8348399999999994E-2</v>
      </c>
      <c r="AR340" s="22">
        <v>44.227400000000003</v>
      </c>
      <c r="AS340" s="22">
        <v>-1.84174E-2</v>
      </c>
      <c r="AT340" s="22">
        <v>330</v>
      </c>
      <c r="AU340" s="22">
        <v>8.8470499999999994E-2</v>
      </c>
      <c r="AV340">
        <f t="shared" si="68"/>
        <v>18.417400000000001</v>
      </c>
      <c r="AW340">
        <f t="shared" si="69"/>
        <v>1.62714782216</v>
      </c>
      <c r="AX340" s="9"/>
      <c r="AY340" s="22">
        <v>1.5617399999999999</v>
      </c>
      <c r="AZ340" s="22">
        <v>48.967100000000002</v>
      </c>
      <c r="BA340" s="22">
        <v>-1.2262E-2</v>
      </c>
      <c r="BB340" s="22">
        <v>330</v>
      </c>
      <c r="BC340" s="22">
        <v>1.56097</v>
      </c>
      <c r="BD340">
        <f t="shared" si="70"/>
        <v>12.262</v>
      </c>
      <c r="BE340">
        <f t="shared" si="71"/>
        <v>19.15005588</v>
      </c>
    </row>
    <row r="341" spans="6:57">
      <c r="F341" s="9"/>
      <c r="G341" s="22">
        <v>8.3312999999999998E-2</v>
      </c>
      <c r="H341" s="22">
        <v>14.228899999999999</v>
      </c>
      <c r="I341" s="22">
        <v>-1.8374600000000001E-2</v>
      </c>
      <c r="J341" s="22">
        <v>331</v>
      </c>
      <c r="K341" s="22">
        <v>8.2702600000000001E-2</v>
      </c>
      <c r="L341">
        <f t="shared" si="60"/>
        <v>18.374600000000001</v>
      </c>
      <c r="M341">
        <f t="shared" si="61"/>
        <v>1.5308430498000001</v>
      </c>
      <c r="N341" s="9"/>
      <c r="O341" s="22">
        <v>1.56677</v>
      </c>
      <c r="P341" s="22">
        <v>27.116700000000002</v>
      </c>
      <c r="Q341" s="22">
        <v>-1.24817E-2</v>
      </c>
      <c r="R341" s="22">
        <v>331</v>
      </c>
      <c r="S341" s="22">
        <v>1.56616</v>
      </c>
      <c r="T341">
        <f t="shared" si="62"/>
        <v>12.4817</v>
      </c>
      <c r="U341">
        <f t="shared" si="63"/>
        <v>19.555953109000001</v>
      </c>
      <c r="X341" s="9"/>
      <c r="Y341" s="22">
        <v>8.3312999999999998E-2</v>
      </c>
      <c r="Z341" s="22">
        <v>34.500300000000003</v>
      </c>
      <c r="AA341" s="22">
        <v>-1.84326E-2</v>
      </c>
      <c r="AB341" s="22">
        <v>331</v>
      </c>
      <c r="AC341" s="22">
        <v>8.2885700000000007E-2</v>
      </c>
      <c r="AD341">
        <f t="shared" si="64"/>
        <v>18.432600000000001</v>
      </c>
      <c r="AE341">
        <f t="shared" si="65"/>
        <v>1.5356752038000001</v>
      </c>
      <c r="AF341" s="9"/>
      <c r="AG341" s="22">
        <v>1.56677</v>
      </c>
      <c r="AH341" s="22">
        <v>39.4039</v>
      </c>
      <c r="AI341" s="22">
        <v>-1.23047E-2</v>
      </c>
      <c r="AJ341" s="22">
        <v>331</v>
      </c>
      <c r="AK341" s="22">
        <v>1.56616</v>
      </c>
      <c r="AL341">
        <f t="shared" si="66"/>
        <v>12.3047</v>
      </c>
      <c r="AM341">
        <f t="shared" si="67"/>
        <v>19.278634819000001</v>
      </c>
      <c r="AP341" s="9"/>
      <c r="AQ341" s="22">
        <v>8.3312999999999998E-2</v>
      </c>
      <c r="AR341" s="22">
        <v>44.237499999999997</v>
      </c>
      <c r="AS341" s="22">
        <v>-1.8423499999999999E-2</v>
      </c>
      <c r="AT341" s="22">
        <v>331</v>
      </c>
      <c r="AU341" s="22">
        <v>8.2458500000000004E-2</v>
      </c>
      <c r="AV341">
        <f t="shared" si="68"/>
        <v>18.423500000000001</v>
      </c>
      <c r="AW341">
        <f t="shared" si="69"/>
        <v>1.5349170555</v>
      </c>
      <c r="AX341" s="9"/>
      <c r="AY341" s="22">
        <v>1.56677</v>
      </c>
      <c r="AZ341" s="22">
        <v>48.9771</v>
      </c>
      <c r="BA341" s="22">
        <v>-1.20789E-2</v>
      </c>
      <c r="BB341" s="22">
        <v>331</v>
      </c>
      <c r="BC341" s="22">
        <v>1.56555</v>
      </c>
      <c r="BD341">
        <f t="shared" si="70"/>
        <v>12.078900000000001</v>
      </c>
      <c r="BE341">
        <f t="shared" si="71"/>
        <v>18.924858153000002</v>
      </c>
    </row>
    <row r="342" spans="6:57">
      <c r="F342" s="9"/>
      <c r="G342" s="22">
        <v>7.8277600000000003E-2</v>
      </c>
      <c r="H342" s="22">
        <v>14.239000000000001</v>
      </c>
      <c r="I342" s="22">
        <v>-1.83777E-2</v>
      </c>
      <c r="J342" s="22">
        <v>332</v>
      </c>
      <c r="K342" s="22">
        <v>7.7514600000000003E-2</v>
      </c>
      <c r="L342">
        <f t="shared" si="60"/>
        <v>18.377700000000001</v>
      </c>
      <c r="M342">
        <f t="shared" si="61"/>
        <v>1.4385622495200001</v>
      </c>
      <c r="N342" s="9"/>
      <c r="O342" s="22">
        <v>1.5718099999999999</v>
      </c>
      <c r="P342" s="22">
        <v>27.126799999999999</v>
      </c>
      <c r="Q342" s="22">
        <v>-1.2335199999999999E-2</v>
      </c>
      <c r="R342" s="22">
        <v>332</v>
      </c>
      <c r="S342" s="22">
        <v>1.57074</v>
      </c>
      <c r="T342">
        <f t="shared" si="62"/>
        <v>12.335199999999999</v>
      </c>
      <c r="U342">
        <f t="shared" si="63"/>
        <v>19.388590711999996</v>
      </c>
      <c r="X342" s="9"/>
      <c r="Y342" s="22">
        <v>7.8277600000000003E-2</v>
      </c>
      <c r="Z342" s="22">
        <v>34.510399999999997</v>
      </c>
      <c r="AA342" s="22">
        <v>-1.8438699999999999E-2</v>
      </c>
      <c r="AB342" s="22">
        <v>332</v>
      </c>
      <c r="AC342" s="22">
        <v>7.77283E-2</v>
      </c>
      <c r="AD342">
        <f t="shared" si="64"/>
        <v>18.438699999999997</v>
      </c>
      <c r="AE342">
        <f t="shared" si="65"/>
        <v>1.4433371831199999</v>
      </c>
      <c r="AF342" s="9"/>
      <c r="AG342" s="22">
        <v>1.5718099999999999</v>
      </c>
      <c r="AH342" s="22">
        <v>39.414000000000001</v>
      </c>
      <c r="AI342" s="22">
        <v>-1.2124599999999999E-2</v>
      </c>
      <c r="AJ342" s="22">
        <v>332</v>
      </c>
      <c r="AK342" s="22">
        <v>1.57135</v>
      </c>
      <c r="AL342">
        <f t="shared" si="66"/>
        <v>12.124599999999999</v>
      </c>
      <c r="AM342">
        <f t="shared" si="67"/>
        <v>19.057567525999996</v>
      </c>
      <c r="AP342" s="9"/>
      <c r="AQ342" s="22">
        <v>7.8277600000000003E-2</v>
      </c>
      <c r="AR342" s="22">
        <v>44.247599999999998</v>
      </c>
      <c r="AS342" s="22">
        <v>-1.8426499999999998E-2</v>
      </c>
      <c r="AT342" s="22">
        <v>332</v>
      </c>
      <c r="AU342" s="22">
        <v>7.8369099999999997E-2</v>
      </c>
      <c r="AV342">
        <f t="shared" si="68"/>
        <v>18.426499999999997</v>
      </c>
      <c r="AW342">
        <f t="shared" si="69"/>
        <v>1.4423821963999999</v>
      </c>
      <c r="AX342" s="9"/>
      <c r="AY342" s="22">
        <v>1.5718099999999999</v>
      </c>
      <c r="AZ342" s="22">
        <v>48.987200000000001</v>
      </c>
      <c r="BA342" s="22">
        <v>-1.1898799999999999E-2</v>
      </c>
      <c r="BB342" s="22">
        <v>332</v>
      </c>
      <c r="BC342" s="22">
        <v>1.57074</v>
      </c>
      <c r="BD342">
        <f t="shared" si="70"/>
        <v>11.8988</v>
      </c>
      <c r="BE342">
        <f t="shared" si="71"/>
        <v>18.702652827999998</v>
      </c>
    </row>
    <row r="343" spans="6:57">
      <c r="F343" s="9"/>
      <c r="G343" s="22">
        <v>7.3242199999999993E-2</v>
      </c>
      <c r="H343" s="22">
        <v>14.2491</v>
      </c>
      <c r="I343" s="22">
        <v>-1.8383799999999999E-2</v>
      </c>
      <c r="J343" s="22">
        <v>333</v>
      </c>
      <c r="K343" s="22">
        <v>7.2631799999999996E-2</v>
      </c>
      <c r="L343">
        <f t="shared" si="60"/>
        <v>18.383799999999997</v>
      </c>
      <c r="M343">
        <f t="shared" si="61"/>
        <v>1.3464699563599998</v>
      </c>
      <c r="N343" s="9"/>
      <c r="O343" s="22">
        <v>1.57684</v>
      </c>
      <c r="P343" s="22">
        <v>27.136800000000001</v>
      </c>
      <c r="Q343" s="22">
        <v>-1.21216E-2</v>
      </c>
      <c r="R343" s="22">
        <v>333</v>
      </c>
      <c r="S343" s="22">
        <v>1.5765400000000001</v>
      </c>
      <c r="T343">
        <f t="shared" si="62"/>
        <v>12.121599999999999</v>
      </c>
      <c r="U343">
        <f t="shared" si="63"/>
        <v>19.113823743999998</v>
      </c>
      <c r="X343" s="9"/>
      <c r="Y343" s="22">
        <v>7.3242199999999993E-2</v>
      </c>
      <c r="Z343" s="22">
        <v>34.520499999999998</v>
      </c>
      <c r="AA343" s="22">
        <v>-1.8444800000000001E-2</v>
      </c>
      <c r="AB343" s="22">
        <v>333</v>
      </c>
      <c r="AC343" s="22">
        <v>7.2723399999999994E-2</v>
      </c>
      <c r="AD343">
        <f t="shared" si="64"/>
        <v>18.444800000000001</v>
      </c>
      <c r="AE343">
        <f t="shared" si="65"/>
        <v>1.3509377305599999</v>
      </c>
      <c r="AF343" s="9"/>
      <c r="AG343" s="22">
        <v>1.57684</v>
      </c>
      <c r="AH343" s="22">
        <v>39.424100000000003</v>
      </c>
      <c r="AI343" s="22">
        <v>-1.1941500000000001E-2</v>
      </c>
      <c r="AJ343" s="22">
        <v>333</v>
      </c>
      <c r="AK343" s="22">
        <v>1.57562</v>
      </c>
      <c r="AL343">
        <f t="shared" si="66"/>
        <v>11.941500000000001</v>
      </c>
      <c r="AM343">
        <f t="shared" si="67"/>
        <v>18.829834860000002</v>
      </c>
      <c r="AP343" s="9"/>
      <c r="AQ343" s="22">
        <v>7.3242199999999993E-2</v>
      </c>
      <c r="AR343" s="22">
        <v>44.2577</v>
      </c>
      <c r="AS343" s="22">
        <v>-1.84326E-2</v>
      </c>
      <c r="AT343" s="22">
        <v>333</v>
      </c>
      <c r="AU343" s="22">
        <v>7.3120099999999993E-2</v>
      </c>
      <c r="AV343">
        <f t="shared" si="68"/>
        <v>18.432600000000001</v>
      </c>
      <c r="AW343">
        <f t="shared" si="69"/>
        <v>1.3500441757199999</v>
      </c>
      <c r="AX343" s="9"/>
      <c r="AY343" s="22">
        <v>1.57684</v>
      </c>
      <c r="AZ343" s="22">
        <v>48.997300000000003</v>
      </c>
      <c r="BA343" s="22">
        <v>-1.17065E-2</v>
      </c>
      <c r="BB343" s="22">
        <v>333</v>
      </c>
      <c r="BC343" s="22">
        <v>1.5759300000000001</v>
      </c>
      <c r="BD343">
        <f t="shared" si="70"/>
        <v>11.7065</v>
      </c>
      <c r="BE343">
        <f t="shared" si="71"/>
        <v>18.459277459999999</v>
      </c>
    </row>
    <row r="344" spans="6:57">
      <c r="F344" s="9"/>
      <c r="G344" s="22">
        <v>6.8206799999999998E-2</v>
      </c>
      <c r="H344" s="22">
        <v>14.2591</v>
      </c>
      <c r="I344" s="22">
        <v>-1.8386799999999998E-2</v>
      </c>
      <c r="J344" s="22">
        <v>334</v>
      </c>
      <c r="K344" s="22">
        <v>6.7535399999999995E-2</v>
      </c>
      <c r="L344">
        <f t="shared" si="60"/>
        <v>18.386799999999997</v>
      </c>
      <c r="M344">
        <f t="shared" si="61"/>
        <v>1.2541047902399998</v>
      </c>
      <c r="N344" s="9"/>
      <c r="O344" s="22">
        <v>1.58188</v>
      </c>
      <c r="P344" s="22">
        <v>27.146899999999999</v>
      </c>
      <c r="Q344" s="22">
        <v>-1.1926300000000001E-2</v>
      </c>
      <c r="R344" s="22">
        <v>334</v>
      </c>
      <c r="S344" s="22">
        <v>1.5811200000000001</v>
      </c>
      <c r="T344">
        <f t="shared" si="62"/>
        <v>11.926300000000001</v>
      </c>
      <c r="U344">
        <f t="shared" si="63"/>
        <v>18.865975444</v>
      </c>
      <c r="X344" s="9"/>
      <c r="Y344" s="22">
        <v>6.8206799999999998E-2</v>
      </c>
      <c r="Z344" s="22">
        <v>34.530500000000004</v>
      </c>
      <c r="AA344" s="22">
        <v>-1.84479E-2</v>
      </c>
      <c r="AB344" s="22">
        <v>334</v>
      </c>
      <c r="AC344" s="22">
        <v>6.7382800000000007E-2</v>
      </c>
      <c r="AD344">
        <f t="shared" si="64"/>
        <v>18.447900000000001</v>
      </c>
      <c r="AE344">
        <f t="shared" si="65"/>
        <v>1.2582722257200001</v>
      </c>
      <c r="AF344" s="9"/>
      <c r="AG344" s="22">
        <v>1.58188</v>
      </c>
      <c r="AH344" s="22">
        <v>39.434100000000001</v>
      </c>
      <c r="AI344" s="22">
        <v>-1.17462E-2</v>
      </c>
      <c r="AJ344" s="22">
        <v>334</v>
      </c>
      <c r="AK344" s="22">
        <v>1.58081</v>
      </c>
      <c r="AL344">
        <f t="shared" si="66"/>
        <v>11.7462</v>
      </c>
      <c r="AM344">
        <f t="shared" si="67"/>
        <v>18.581078855999998</v>
      </c>
      <c r="AP344" s="9"/>
      <c r="AQ344" s="22">
        <v>6.8206799999999998E-2</v>
      </c>
      <c r="AR344" s="22">
        <v>44.267699999999998</v>
      </c>
      <c r="AS344" s="22">
        <v>-1.8435699999999999E-2</v>
      </c>
      <c r="AT344" s="22">
        <v>334</v>
      </c>
      <c r="AU344" s="22">
        <v>6.9763199999999997E-2</v>
      </c>
      <c r="AV344">
        <f t="shared" si="68"/>
        <v>18.435700000000001</v>
      </c>
      <c r="AW344">
        <f t="shared" si="69"/>
        <v>1.25744010276</v>
      </c>
      <c r="AX344" s="9"/>
      <c r="AY344" s="22">
        <v>1.58188</v>
      </c>
      <c r="AZ344" s="22">
        <v>49.007300000000001</v>
      </c>
      <c r="BA344" s="22">
        <v>-1.15204E-2</v>
      </c>
      <c r="BB344" s="22">
        <v>334</v>
      </c>
      <c r="BC344" s="22">
        <v>1.5805100000000001</v>
      </c>
      <c r="BD344">
        <f t="shared" si="70"/>
        <v>11.5204</v>
      </c>
      <c r="BE344">
        <f t="shared" si="71"/>
        <v>18.223890352000002</v>
      </c>
    </row>
    <row r="345" spans="6:57">
      <c r="F345" s="9"/>
      <c r="G345" s="22">
        <v>6.3171400000000003E-2</v>
      </c>
      <c r="H345" s="22">
        <v>14.2692</v>
      </c>
      <c r="I345" s="22">
        <v>-1.83929E-2</v>
      </c>
      <c r="J345" s="22">
        <v>335</v>
      </c>
      <c r="K345" s="22">
        <v>6.25E-2</v>
      </c>
      <c r="L345">
        <f t="shared" si="60"/>
        <v>18.392900000000001</v>
      </c>
      <c r="M345">
        <f t="shared" si="61"/>
        <v>1.1619052430600001</v>
      </c>
      <c r="N345" s="9"/>
      <c r="O345" s="22">
        <v>1.58691</v>
      </c>
      <c r="P345" s="22">
        <v>27.157</v>
      </c>
      <c r="Q345" s="22">
        <v>-1.17401E-2</v>
      </c>
      <c r="R345" s="22">
        <v>335</v>
      </c>
      <c r="S345" s="22">
        <v>1.58569</v>
      </c>
      <c r="T345">
        <f t="shared" si="62"/>
        <v>11.7401</v>
      </c>
      <c r="U345">
        <f t="shared" si="63"/>
        <v>18.630482091000001</v>
      </c>
      <c r="X345" s="9"/>
      <c r="Y345" s="22">
        <v>6.3171400000000003E-2</v>
      </c>
      <c r="Z345" s="22">
        <v>34.540599999999998</v>
      </c>
      <c r="AA345" s="22">
        <v>-1.84479E-2</v>
      </c>
      <c r="AB345" s="22">
        <v>335</v>
      </c>
      <c r="AC345" s="22">
        <v>6.25E-2</v>
      </c>
      <c r="AD345">
        <f t="shared" si="64"/>
        <v>18.447900000000001</v>
      </c>
      <c r="AE345">
        <f t="shared" si="65"/>
        <v>1.1653796700600001</v>
      </c>
      <c r="AF345" s="9"/>
      <c r="AG345" s="22">
        <v>1.58691</v>
      </c>
      <c r="AH345" s="22">
        <v>39.444200000000002</v>
      </c>
      <c r="AI345" s="22">
        <v>-1.1554E-2</v>
      </c>
      <c r="AJ345" s="22">
        <v>335</v>
      </c>
      <c r="AK345" s="22">
        <v>1.5853900000000001</v>
      </c>
      <c r="AL345">
        <f t="shared" si="66"/>
        <v>11.554</v>
      </c>
      <c r="AM345">
        <f t="shared" si="67"/>
        <v>18.335158140000001</v>
      </c>
      <c r="AP345" s="9"/>
      <c r="AQ345" s="22">
        <v>6.3171400000000003E-2</v>
      </c>
      <c r="AR345" s="22">
        <v>44.277799999999999</v>
      </c>
      <c r="AS345" s="22">
        <v>-1.8441800000000001E-2</v>
      </c>
      <c r="AT345" s="22">
        <v>335</v>
      </c>
      <c r="AU345" s="22">
        <v>6.2530500000000003E-2</v>
      </c>
      <c r="AV345">
        <f t="shared" si="68"/>
        <v>18.441800000000001</v>
      </c>
      <c r="AW345">
        <f t="shared" si="69"/>
        <v>1.1649943245200001</v>
      </c>
      <c r="AX345" s="9"/>
      <c r="AY345" s="22">
        <v>1.58691</v>
      </c>
      <c r="AZ345" s="22">
        <v>49.017400000000002</v>
      </c>
      <c r="BA345" s="22">
        <v>-1.1322E-2</v>
      </c>
      <c r="BB345" s="22">
        <v>335</v>
      </c>
      <c r="BC345" s="22">
        <v>1.58569</v>
      </c>
      <c r="BD345">
        <f t="shared" si="70"/>
        <v>11.322000000000001</v>
      </c>
      <c r="BE345">
        <f t="shared" si="71"/>
        <v>17.966995020000002</v>
      </c>
    </row>
    <row r="346" spans="6:57">
      <c r="F346" s="9"/>
      <c r="G346" s="22">
        <v>5.8136E-2</v>
      </c>
      <c r="H346" s="22">
        <v>14.279299999999999</v>
      </c>
      <c r="I346" s="22">
        <v>-1.8398999999999999E-2</v>
      </c>
      <c r="J346" s="22">
        <v>336</v>
      </c>
      <c r="K346" s="22">
        <v>5.6182900000000001E-2</v>
      </c>
      <c r="L346">
        <f t="shared" si="60"/>
        <v>18.398999999999997</v>
      </c>
      <c r="M346">
        <f t="shared" si="61"/>
        <v>1.0696442639999999</v>
      </c>
      <c r="N346" s="9"/>
      <c r="O346" s="22">
        <v>1.59195</v>
      </c>
      <c r="P346" s="22">
        <v>27.167000000000002</v>
      </c>
      <c r="Q346" s="22">
        <v>-1.15356E-2</v>
      </c>
      <c r="R346" s="22">
        <v>336</v>
      </c>
      <c r="S346" s="22">
        <v>1.5911900000000001</v>
      </c>
      <c r="T346">
        <f t="shared" si="62"/>
        <v>11.535600000000001</v>
      </c>
      <c r="U346">
        <f t="shared" si="63"/>
        <v>18.364098420000001</v>
      </c>
      <c r="X346" s="9"/>
      <c r="Y346" s="22">
        <v>5.8136E-2</v>
      </c>
      <c r="Z346" s="22">
        <v>34.550699999999999</v>
      </c>
      <c r="AA346" s="22">
        <v>-1.8450899999999999E-2</v>
      </c>
      <c r="AB346" s="22">
        <v>336</v>
      </c>
      <c r="AC346" s="22">
        <v>5.7800299999999999E-2</v>
      </c>
      <c r="AD346">
        <f t="shared" si="64"/>
        <v>18.450900000000001</v>
      </c>
      <c r="AE346">
        <f t="shared" si="65"/>
        <v>1.0726615224</v>
      </c>
      <c r="AF346" s="9"/>
      <c r="AG346" s="22">
        <v>1.59195</v>
      </c>
      <c r="AH346" s="22">
        <v>39.454300000000003</v>
      </c>
      <c r="AI346" s="22">
        <v>-1.13525E-2</v>
      </c>
      <c r="AJ346" s="22">
        <v>336</v>
      </c>
      <c r="AK346" s="22">
        <v>1.5911900000000001</v>
      </c>
      <c r="AL346">
        <f t="shared" si="66"/>
        <v>11.352499999999999</v>
      </c>
      <c r="AM346">
        <f t="shared" si="67"/>
        <v>18.072612374999999</v>
      </c>
      <c r="AP346" s="9"/>
      <c r="AQ346" s="22">
        <v>5.8136E-2</v>
      </c>
      <c r="AR346" s="22">
        <v>44.2879</v>
      </c>
      <c r="AS346" s="22">
        <v>-1.8444800000000001E-2</v>
      </c>
      <c r="AT346" s="22">
        <v>336</v>
      </c>
      <c r="AU346" s="22">
        <v>5.8380099999999997E-2</v>
      </c>
      <c r="AV346">
        <f t="shared" si="68"/>
        <v>18.444800000000001</v>
      </c>
      <c r="AW346">
        <f t="shared" si="69"/>
        <v>1.0723068928000001</v>
      </c>
      <c r="AX346" s="9"/>
      <c r="AY346" s="22">
        <v>1.59195</v>
      </c>
      <c r="AZ346" s="22">
        <v>49.027500000000003</v>
      </c>
      <c r="BA346" s="22">
        <v>-1.11267E-2</v>
      </c>
      <c r="BB346" s="22">
        <v>336</v>
      </c>
      <c r="BC346" s="22">
        <v>1.5908800000000001</v>
      </c>
      <c r="BD346">
        <f t="shared" si="70"/>
        <v>11.1267</v>
      </c>
      <c r="BE346">
        <f t="shared" si="71"/>
        <v>17.713150065000001</v>
      </c>
    </row>
    <row r="347" spans="6:57">
      <c r="F347" s="9"/>
      <c r="G347" s="22">
        <v>5.3100599999999998E-2</v>
      </c>
      <c r="H347" s="22">
        <v>14.289400000000001</v>
      </c>
      <c r="I347" s="22">
        <v>-1.84052E-2</v>
      </c>
      <c r="J347" s="22">
        <v>337</v>
      </c>
      <c r="K347" s="22">
        <v>5.2307100000000002E-2</v>
      </c>
      <c r="L347">
        <f t="shared" si="60"/>
        <v>18.405200000000001</v>
      </c>
      <c r="M347">
        <f t="shared" si="61"/>
        <v>0.97732716312000001</v>
      </c>
      <c r="N347" s="9"/>
      <c r="O347" s="22">
        <v>1.5969800000000001</v>
      </c>
      <c r="P347" s="22">
        <v>27.177099999999999</v>
      </c>
      <c r="Q347" s="22">
        <v>-1.1328100000000001E-2</v>
      </c>
      <c r="R347" s="22">
        <v>337</v>
      </c>
      <c r="S347" s="22">
        <v>1.5957600000000001</v>
      </c>
      <c r="T347">
        <f t="shared" si="62"/>
        <v>11.328100000000001</v>
      </c>
      <c r="U347">
        <f t="shared" si="63"/>
        <v>18.090749138000003</v>
      </c>
      <c r="X347" s="9"/>
      <c r="Y347" s="22">
        <v>5.3100599999999998E-2</v>
      </c>
      <c r="Z347" s="22">
        <v>34.560699999999997</v>
      </c>
      <c r="AA347" s="22">
        <v>-1.8454000000000002E-2</v>
      </c>
      <c r="AB347" s="22">
        <v>337</v>
      </c>
      <c r="AC347" s="22">
        <v>5.2612300000000001E-2</v>
      </c>
      <c r="AD347">
        <f t="shared" si="64"/>
        <v>18.454000000000001</v>
      </c>
      <c r="AE347">
        <f t="shared" si="65"/>
        <v>0.97991847239999996</v>
      </c>
      <c r="AF347" s="9"/>
      <c r="AG347" s="22">
        <v>1.5969800000000001</v>
      </c>
      <c r="AH347" s="22">
        <v>39.464399999999998</v>
      </c>
      <c r="AI347" s="22">
        <v>-1.1148099999999999E-2</v>
      </c>
      <c r="AJ347" s="22">
        <v>337</v>
      </c>
      <c r="AK347" s="22">
        <v>1.5960700000000001</v>
      </c>
      <c r="AL347">
        <f t="shared" si="66"/>
        <v>11.148099999999999</v>
      </c>
      <c r="AM347">
        <f t="shared" si="67"/>
        <v>17.803292738</v>
      </c>
      <c r="AP347" s="9"/>
      <c r="AQ347" s="22">
        <v>5.3100599999999998E-2</v>
      </c>
      <c r="AR347" s="22">
        <v>44.297899999999998</v>
      </c>
      <c r="AS347" s="22">
        <v>-1.84479E-2</v>
      </c>
      <c r="AT347" s="22">
        <v>337</v>
      </c>
      <c r="AU347" s="22">
        <v>5.1849399999999997E-2</v>
      </c>
      <c r="AV347">
        <f t="shared" si="68"/>
        <v>18.447900000000001</v>
      </c>
      <c r="AW347">
        <f t="shared" si="69"/>
        <v>0.97959455874000001</v>
      </c>
      <c r="AX347" s="9"/>
      <c r="AY347" s="22">
        <v>1.5969800000000001</v>
      </c>
      <c r="AZ347" s="22">
        <v>49.037500000000001</v>
      </c>
      <c r="BA347" s="22">
        <v>-1.09161E-2</v>
      </c>
      <c r="BB347" s="22">
        <v>337</v>
      </c>
      <c r="BC347" s="22">
        <v>1.5963700000000001</v>
      </c>
      <c r="BD347">
        <f t="shared" si="70"/>
        <v>10.9161</v>
      </c>
      <c r="BE347">
        <f t="shared" si="71"/>
        <v>17.432793378</v>
      </c>
    </row>
    <row r="348" spans="6:57">
      <c r="F348" s="9"/>
      <c r="G348" s="22">
        <v>4.8065200000000002E-2</v>
      </c>
      <c r="H348" s="22">
        <v>14.2994</v>
      </c>
      <c r="I348" s="22">
        <v>-1.8411299999999999E-2</v>
      </c>
      <c r="J348" s="22">
        <v>338</v>
      </c>
      <c r="K348" s="22">
        <v>4.8043799999999998E-2</v>
      </c>
      <c r="L348">
        <f t="shared" si="60"/>
        <v>18.411299999999997</v>
      </c>
      <c r="M348">
        <f t="shared" si="61"/>
        <v>0.88494281675999986</v>
      </c>
      <c r="N348" s="9"/>
      <c r="O348" s="22">
        <v>1.60202</v>
      </c>
      <c r="P348" s="22">
        <v>27.187200000000001</v>
      </c>
      <c r="Q348" s="22">
        <v>-1.11237E-2</v>
      </c>
      <c r="R348" s="22">
        <v>338</v>
      </c>
      <c r="S348" s="22">
        <v>1.6012599999999999</v>
      </c>
      <c r="T348">
        <f t="shared" si="62"/>
        <v>11.123699999999999</v>
      </c>
      <c r="U348">
        <f t="shared" si="63"/>
        <v>17.820389874</v>
      </c>
      <c r="X348" s="9"/>
      <c r="Y348" s="22">
        <v>4.8065200000000002E-2</v>
      </c>
      <c r="Z348" s="22">
        <v>34.570799999999998</v>
      </c>
      <c r="AA348" s="22">
        <v>-1.84601E-2</v>
      </c>
      <c r="AB348" s="22">
        <v>338</v>
      </c>
      <c r="AC348" s="22">
        <v>4.7763100000000003E-2</v>
      </c>
      <c r="AD348">
        <f t="shared" si="64"/>
        <v>18.460100000000001</v>
      </c>
      <c r="AE348">
        <f t="shared" si="65"/>
        <v>0.88728839852000008</v>
      </c>
      <c r="AF348" s="9"/>
      <c r="AG348" s="22">
        <v>1.60202</v>
      </c>
      <c r="AH348" s="22">
        <v>39.474400000000003</v>
      </c>
      <c r="AI348" s="22">
        <v>-1.0937499999999999E-2</v>
      </c>
      <c r="AJ348" s="22">
        <v>338</v>
      </c>
      <c r="AK348" s="22">
        <v>1.6006499999999999</v>
      </c>
      <c r="AL348">
        <f t="shared" si="66"/>
        <v>10.9375</v>
      </c>
      <c r="AM348">
        <f t="shared" si="67"/>
        <v>17.52209375</v>
      </c>
      <c r="AP348" s="9"/>
      <c r="AQ348" s="22">
        <v>4.8065200000000002E-2</v>
      </c>
      <c r="AR348" s="22">
        <v>44.308</v>
      </c>
      <c r="AS348" s="22">
        <v>-1.8454000000000002E-2</v>
      </c>
      <c r="AT348" s="22">
        <v>338</v>
      </c>
      <c r="AU348" s="22">
        <v>4.6545400000000001E-2</v>
      </c>
      <c r="AV348">
        <f t="shared" si="68"/>
        <v>18.454000000000001</v>
      </c>
      <c r="AW348">
        <f t="shared" si="69"/>
        <v>0.88699520080000005</v>
      </c>
      <c r="AX348" s="9"/>
      <c r="AY348" s="22">
        <v>1.60202</v>
      </c>
      <c r="AZ348" s="22">
        <v>49.047600000000003</v>
      </c>
      <c r="BA348" s="22">
        <v>-1.0711699999999999E-2</v>
      </c>
      <c r="BB348" s="22">
        <v>338</v>
      </c>
      <c r="BC348" s="22">
        <v>1.6015600000000001</v>
      </c>
      <c r="BD348">
        <f t="shared" si="70"/>
        <v>10.711699999999999</v>
      </c>
      <c r="BE348">
        <f t="shared" si="71"/>
        <v>17.160357633999997</v>
      </c>
    </row>
    <row r="349" spans="6:57">
      <c r="F349" s="9"/>
      <c r="G349" s="22">
        <v>4.30298E-2</v>
      </c>
      <c r="H349" s="22">
        <v>14.3095</v>
      </c>
      <c r="I349" s="22">
        <v>-1.84174E-2</v>
      </c>
      <c r="J349" s="22">
        <v>339</v>
      </c>
      <c r="K349" s="22">
        <v>4.2883299999999999E-2</v>
      </c>
      <c r="L349">
        <f t="shared" si="60"/>
        <v>18.417400000000001</v>
      </c>
      <c r="M349">
        <f t="shared" si="61"/>
        <v>0.79249703851999997</v>
      </c>
      <c r="N349" s="9"/>
      <c r="O349" s="22">
        <v>1.6070599999999999</v>
      </c>
      <c r="P349" s="22">
        <v>27.197199999999999</v>
      </c>
      <c r="Q349" s="22">
        <v>-1.09131E-2</v>
      </c>
      <c r="R349" s="22">
        <v>339</v>
      </c>
      <c r="S349" s="22">
        <v>1.6061399999999999</v>
      </c>
      <c r="T349">
        <f t="shared" si="62"/>
        <v>10.9131</v>
      </c>
      <c r="U349">
        <f t="shared" si="63"/>
        <v>17.538006486</v>
      </c>
      <c r="X349" s="9"/>
      <c r="Y349" s="22">
        <v>4.30298E-2</v>
      </c>
      <c r="Z349" s="22">
        <v>34.5809</v>
      </c>
      <c r="AA349" s="22">
        <v>-1.84631E-2</v>
      </c>
      <c r="AB349" s="22">
        <v>339</v>
      </c>
      <c r="AC349" s="22">
        <v>4.33563E-2</v>
      </c>
      <c r="AD349">
        <f t="shared" si="64"/>
        <v>18.463100000000001</v>
      </c>
      <c r="AE349">
        <f t="shared" si="65"/>
        <v>0.79446350038000002</v>
      </c>
      <c r="AF349" s="9"/>
      <c r="AG349" s="22">
        <v>1.6070599999999999</v>
      </c>
      <c r="AH349" s="22">
        <v>39.484499999999997</v>
      </c>
      <c r="AI349" s="22">
        <v>-1.07239E-2</v>
      </c>
      <c r="AJ349" s="22">
        <v>339</v>
      </c>
      <c r="AK349" s="22">
        <v>1.6058300000000001</v>
      </c>
      <c r="AL349">
        <f t="shared" si="66"/>
        <v>10.7239</v>
      </c>
      <c r="AM349">
        <f t="shared" si="67"/>
        <v>17.233950734</v>
      </c>
      <c r="AP349" s="9"/>
      <c r="AQ349" s="22">
        <v>4.30298E-2</v>
      </c>
      <c r="AR349" s="22">
        <v>44.318100000000001</v>
      </c>
      <c r="AS349" s="22">
        <v>-1.8457000000000001E-2</v>
      </c>
      <c r="AT349" s="22">
        <v>339</v>
      </c>
      <c r="AU349" s="22">
        <v>4.3838500000000002E-2</v>
      </c>
      <c r="AV349">
        <f t="shared" si="68"/>
        <v>18.457000000000001</v>
      </c>
      <c r="AW349">
        <f t="shared" si="69"/>
        <v>0.79420101860000003</v>
      </c>
      <c r="AX349" s="9"/>
      <c r="AY349" s="22">
        <v>1.6070599999999999</v>
      </c>
      <c r="AZ349" s="22">
        <v>49.057699999999997</v>
      </c>
      <c r="BA349" s="22">
        <v>-1.0495000000000001E-2</v>
      </c>
      <c r="BB349" s="22">
        <v>339</v>
      </c>
      <c r="BC349" s="22">
        <v>1.6061399999999999</v>
      </c>
      <c r="BD349">
        <f t="shared" si="70"/>
        <v>10.495000000000001</v>
      </c>
      <c r="BE349">
        <f t="shared" si="71"/>
        <v>16.866094700000001</v>
      </c>
    </row>
    <row r="350" spans="6:57">
      <c r="F350" s="9"/>
      <c r="G350" s="22">
        <v>3.7994399999999998E-2</v>
      </c>
      <c r="H350" s="22">
        <v>14.319599999999999</v>
      </c>
      <c r="I350" s="22">
        <v>-1.84174E-2</v>
      </c>
      <c r="J350" s="22">
        <v>340</v>
      </c>
      <c r="K350" s="22">
        <v>3.8104199999999998E-2</v>
      </c>
      <c r="L350">
        <f t="shared" si="60"/>
        <v>18.417400000000001</v>
      </c>
      <c r="M350">
        <f t="shared" si="61"/>
        <v>0.69975806255999995</v>
      </c>
      <c r="N350" s="9"/>
      <c r="O350" s="22">
        <v>1.61209</v>
      </c>
      <c r="P350" s="22">
        <v>27.2073</v>
      </c>
      <c r="Q350" s="22">
        <v>-1.06964E-2</v>
      </c>
      <c r="R350" s="22">
        <v>340</v>
      </c>
      <c r="S350" s="22">
        <v>1.6107199999999999</v>
      </c>
      <c r="T350">
        <f t="shared" si="62"/>
        <v>10.696400000000001</v>
      </c>
      <c r="U350">
        <f t="shared" si="63"/>
        <v>17.243559476000001</v>
      </c>
      <c r="X350" s="9"/>
      <c r="Y350" s="22">
        <v>3.7994399999999998E-2</v>
      </c>
      <c r="Z350" s="22">
        <v>34.591000000000001</v>
      </c>
      <c r="AA350" s="22">
        <v>-1.8469200000000002E-2</v>
      </c>
      <c r="AB350" s="22">
        <v>340</v>
      </c>
      <c r="AC350" s="22">
        <v>3.7774700000000001E-2</v>
      </c>
      <c r="AD350">
        <f t="shared" si="64"/>
        <v>18.469200000000001</v>
      </c>
      <c r="AE350">
        <f t="shared" si="65"/>
        <v>0.70172617248000002</v>
      </c>
      <c r="AF350" s="9"/>
      <c r="AG350" s="22">
        <v>1.61209</v>
      </c>
      <c r="AH350" s="22">
        <v>39.494599999999998</v>
      </c>
      <c r="AI350" s="22">
        <v>-1.0501099999999999E-2</v>
      </c>
      <c r="AJ350" s="22">
        <v>340</v>
      </c>
      <c r="AK350" s="22">
        <v>1.6113299999999999</v>
      </c>
      <c r="AL350">
        <f t="shared" si="66"/>
        <v>10.501099999999999</v>
      </c>
      <c r="AM350">
        <f t="shared" si="67"/>
        <v>16.928718299</v>
      </c>
      <c r="AP350" s="9"/>
      <c r="AQ350" s="22">
        <v>3.7994399999999998E-2</v>
      </c>
      <c r="AR350" s="22">
        <v>44.328200000000002</v>
      </c>
      <c r="AS350" s="22">
        <v>-1.84601E-2</v>
      </c>
      <c r="AT350" s="22">
        <v>340</v>
      </c>
      <c r="AU350" s="22">
        <v>3.7384000000000001E-2</v>
      </c>
      <c r="AV350">
        <f t="shared" si="68"/>
        <v>18.460100000000001</v>
      </c>
      <c r="AW350">
        <f t="shared" si="69"/>
        <v>0.70138042343999996</v>
      </c>
      <c r="AX350" s="9"/>
      <c r="AY350" s="22">
        <v>1.61209</v>
      </c>
      <c r="AZ350" s="22">
        <v>49.067799999999998</v>
      </c>
      <c r="BA350" s="22">
        <v>-1.02814E-2</v>
      </c>
      <c r="BB350" s="22">
        <v>340</v>
      </c>
      <c r="BC350" s="22">
        <v>1.6113299999999999</v>
      </c>
      <c r="BD350">
        <f t="shared" si="70"/>
        <v>10.2814</v>
      </c>
      <c r="BE350">
        <f t="shared" si="71"/>
        <v>16.574542126000001</v>
      </c>
    </row>
    <row r="351" spans="6:57">
      <c r="F351" s="9"/>
      <c r="G351" s="22">
        <v>3.2959000000000002E-2</v>
      </c>
      <c r="H351" s="22">
        <v>14.329599999999999</v>
      </c>
      <c r="I351" s="22">
        <v>-1.8423499999999999E-2</v>
      </c>
      <c r="J351" s="22">
        <v>341</v>
      </c>
      <c r="K351" s="22">
        <v>3.5555999999999997E-2</v>
      </c>
      <c r="L351">
        <f t="shared" si="60"/>
        <v>18.423500000000001</v>
      </c>
      <c r="M351">
        <f t="shared" si="61"/>
        <v>0.60722013650000006</v>
      </c>
      <c r="N351" s="9"/>
      <c r="O351" s="22">
        <v>1.61713</v>
      </c>
      <c r="P351" s="22">
        <v>27.217400000000001</v>
      </c>
      <c r="Q351" s="22">
        <v>-1.04736E-2</v>
      </c>
      <c r="R351" s="22">
        <v>341</v>
      </c>
      <c r="S351" s="22">
        <v>1.6162099999999999</v>
      </c>
      <c r="T351">
        <f t="shared" si="62"/>
        <v>10.473599999999999</v>
      </c>
      <c r="U351">
        <f t="shared" si="63"/>
        <v>16.937172768</v>
      </c>
      <c r="X351" s="9"/>
      <c r="Y351" s="22">
        <v>3.2959000000000002E-2</v>
      </c>
      <c r="Z351" s="22">
        <v>34.600999999999999</v>
      </c>
      <c r="AA351" s="22">
        <v>-1.8472300000000001E-2</v>
      </c>
      <c r="AB351" s="22">
        <v>341</v>
      </c>
      <c r="AC351" s="22">
        <v>3.29956E-2</v>
      </c>
      <c r="AD351">
        <f t="shared" si="64"/>
        <v>18.472300000000001</v>
      </c>
      <c r="AE351">
        <f t="shared" si="65"/>
        <v>0.60882853570000006</v>
      </c>
      <c r="AF351" s="9"/>
      <c r="AG351" s="22">
        <v>1.61713</v>
      </c>
      <c r="AH351" s="22">
        <v>39.504600000000003</v>
      </c>
      <c r="AI351" s="22">
        <v>-1.0278300000000001E-2</v>
      </c>
      <c r="AJ351" s="22">
        <v>341</v>
      </c>
      <c r="AK351" s="22">
        <v>1.6162099999999999</v>
      </c>
      <c r="AL351">
        <f t="shared" si="66"/>
        <v>10.2783</v>
      </c>
      <c r="AM351">
        <f t="shared" si="67"/>
        <v>16.621347278999998</v>
      </c>
      <c r="AP351" s="9"/>
      <c r="AQ351" s="22">
        <v>3.2959000000000002E-2</v>
      </c>
      <c r="AR351" s="22">
        <v>44.338200000000001</v>
      </c>
      <c r="AS351" s="22">
        <v>-1.84631E-2</v>
      </c>
      <c r="AT351" s="22">
        <v>341</v>
      </c>
      <c r="AU351" s="22">
        <v>3.1921400000000003E-2</v>
      </c>
      <c r="AV351">
        <f t="shared" si="68"/>
        <v>18.463100000000001</v>
      </c>
      <c r="AW351">
        <f t="shared" si="69"/>
        <v>0.60852531290000011</v>
      </c>
      <c r="AX351" s="9"/>
      <c r="AY351" s="22">
        <v>1.61713</v>
      </c>
      <c r="AZ351" s="22">
        <v>49.077800000000003</v>
      </c>
      <c r="BA351" s="22">
        <v>-1.00494E-2</v>
      </c>
      <c r="BB351" s="22">
        <v>341</v>
      </c>
      <c r="BC351" s="22">
        <v>1.61652</v>
      </c>
      <c r="BD351">
        <f t="shared" si="70"/>
        <v>10.0494</v>
      </c>
      <c r="BE351">
        <f t="shared" si="71"/>
        <v>16.251186222000001</v>
      </c>
    </row>
    <row r="352" spans="6:57">
      <c r="F352" s="9"/>
      <c r="G352" s="22">
        <v>2.79236E-2</v>
      </c>
      <c r="H352" s="22">
        <v>14.339700000000001</v>
      </c>
      <c r="I352" s="22">
        <v>-1.8429600000000001E-2</v>
      </c>
      <c r="J352" s="22">
        <v>342</v>
      </c>
      <c r="K352" s="22">
        <v>2.7774E-2</v>
      </c>
      <c r="L352">
        <f t="shared" si="60"/>
        <v>18.429600000000001</v>
      </c>
      <c r="M352">
        <f t="shared" si="61"/>
        <v>0.51462077855999999</v>
      </c>
      <c r="N352" s="9"/>
      <c r="O352" s="22">
        <v>1.62216</v>
      </c>
      <c r="P352" s="22">
        <v>27.227499999999999</v>
      </c>
      <c r="Q352" s="22">
        <v>-1.02448E-2</v>
      </c>
      <c r="R352" s="22">
        <v>342</v>
      </c>
      <c r="S352" s="22">
        <v>1.6216999999999999</v>
      </c>
      <c r="T352">
        <f t="shared" si="62"/>
        <v>10.2448</v>
      </c>
      <c r="U352">
        <f t="shared" si="63"/>
        <v>16.618704768000001</v>
      </c>
      <c r="X352" s="9"/>
      <c r="Y352" s="22">
        <v>2.79236E-2</v>
      </c>
      <c r="Z352" s="22">
        <v>34.6111</v>
      </c>
      <c r="AA352" s="22">
        <v>-1.8481399999999999E-2</v>
      </c>
      <c r="AB352" s="22">
        <v>342</v>
      </c>
      <c r="AC352" s="22">
        <v>2.8231800000000001E-2</v>
      </c>
      <c r="AD352">
        <f t="shared" si="64"/>
        <v>18.481399999999997</v>
      </c>
      <c r="AE352">
        <f t="shared" si="65"/>
        <v>0.51606722103999991</v>
      </c>
      <c r="AF352" s="9"/>
      <c r="AG352" s="22">
        <v>1.62216</v>
      </c>
      <c r="AH352" s="22">
        <v>39.514699999999998</v>
      </c>
      <c r="AI352" s="22">
        <v>-1.00433E-2</v>
      </c>
      <c r="AJ352" s="22">
        <v>342</v>
      </c>
      <c r="AK352" s="22">
        <v>1.6214</v>
      </c>
      <c r="AL352">
        <f t="shared" si="66"/>
        <v>10.0433</v>
      </c>
      <c r="AM352">
        <f t="shared" si="67"/>
        <v>16.291839528000001</v>
      </c>
      <c r="AP352" s="9"/>
      <c r="AQ352" s="22">
        <v>2.79236E-2</v>
      </c>
      <c r="AR352" s="22">
        <v>44.348300000000002</v>
      </c>
      <c r="AS352" s="22">
        <v>-1.8472300000000001E-2</v>
      </c>
      <c r="AT352" s="22">
        <v>342</v>
      </c>
      <c r="AU352" s="22">
        <v>2.8546100000000001E-2</v>
      </c>
      <c r="AV352">
        <f t="shared" si="68"/>
        <v>18.472300000000001</v>
      </c>
      <c r="AW352">
        <f t="shared" si="69"/>
        <v>0.51581311628000004</v>
      </c>
      <c r="AX352" s="9"/>
      <c r="AY352" s="22">
        <v>1.62216</v>
      </c>
      <c r="AZ352" s="22">
        <v>49.087899999999998</v>
      </c>
      <c r="BA352" s="22">
        <v>-9.8266599999999992E-3</v>
      </c>
      <c r="BB352" s="22">
        <v>342</v>
      </c>
      <c r="BC352" s="22">
        <v>1.6214</v>
      </c>
      <c r="BD352">
        <f t="shared" si="70"/>
        <v>9.8266599999999986</v>
      </c>
      <c r="BE352">
        <f t="shared" si="71"/>
        <v>15.940414785599998</v>
      </c>
    </row>
    <row r="353" spans="6:57">
      <c r="F353" s="9"/>
      <c r="G353" s="22">
        <v>2.2888200000000001E-2</v>
      </c>
      <c r="H353" s="22">
        <v>14.3498</v>
      </c>
      <c r="I353" s="22">
        <v>-1.84326E-2</v>
      </c>
      <c r="J353" s="22">
        <v>343</v>
      </c>
      <c r="K353" s="22">
        <v>2.2827099999999999E-2</v>
      </c>
      <c r="L353">
        <f t="shared" si="60"/>
        <v>18.432600000000001</v>
      </c>
      <c r="M353">
        <f t="shared" si="61"/>
        <v>0.42188903532000005</v>
      </c>
      <c r="N353" s="9"/>
      <c r="O353" s="22">
        <v>1.6272</v>
      </c>
      <c r="P353" s="22">
        <v>27.237500000000001</v>
      </c>
      <c r="Q353" s="22">
        <v>-1.0003700000000001E-2</v>
      </c>
      <c r="R353" s="22">
        <v>343</v>
      </c>
      <c r="S353" s="22">
        <v>1.62598</v>
      </c>
      <c r="T353">
        <f t="shared" si="62"/>
        <v>10.0037</v>
      </c>
      <c r="U353">
        <f t="shared" si="63"/>
        <v>16.278020640000001</v>
      </c>
      <c r="X353" s="9"/>
      <c r="Y353" s="22">
        <v>2.2888200000000001E-2</v>
      </c>
      <c r="Z353" s="22">
        <v>34.621200000000002</v>
      </c>
      <c r="AA353" s="22">
        <v>-1.8481399999999999E-2</v>
      </c>
      <c r="AB353" s="22">
        <v>343</v>
      </c>
      <c r="AC353" s="22">
        <v>2.2735600000000002E-2</v>
      </c>
      <c r="AD353">
        <f t="shared" si="64"/>
        <v>18.481399999999997</v>
      </c>
      <c r="AE353">
        <f t="shared" si="65"/>
        <v>0.42300597947999996</v>
      </c>
      <c r="AF353" s="9"/>
      <c r="AG353" s="22">
        <v>1.6272</v>
      </c>
      <c r="AH353" s="22">
        <v>39.524799999999999</v>
      </c>
      <c r="AI353" s="22">
        <v>-9.8113999999999996E-3</v>
      </c>
      <c r="AJ353" s="22">
        <v>343</v>
      </c>
      <c r="AK353" s="22">
        <v>1.62659</v>
      </c>
      <c r="AL353">
        <f t="shared" si="66"/>
        <v>9.811399999999999</v>
      </c>
      <c r="AM353">
        <f t="shared" si="67"/>
        <v>15.965110079999999</v>
      </c>
      <c r="AP353" s="9"/>
      <c r="AQ353" s="22">
        <v>2.2888200000000001E-2</v>
      </c>
      <c r="AR353" s="22">
        <v>44.358400000000003</v>
      </c>
      <c r="AS353" s="22">
        <v>-1.8478399999999999E-2</v>
      </c>
      <c r="AT353" s="22">
        <v>343</v>
      </c>
      <c r="AU353" s="22">
        <v>2.2930900000000001E-2</v>
      </c>
      <c r="AV353">
        <f t="shared" si="68"/>
        <v>18.478400000000001</v>
      </c>
      <c r="AW353">
        <f t="shared" si="69"/>
        <v>0.42293731488000003</v>
      </c>
      <c r="AX353" s="9"/>
      <c r="AY353" s="22">
        <v>1.6272</v>
      </c>
      <c r="AZ353" s="22">
        <v>49.097999999999999</v>
      </c>
      <c r="BA353" s="22">
        <v>-9.5947299999999992E-3</v>
      </c>
      <c r="BB353" s="22">
        <v>343</v>
      </c>
      <c r="BC353" s="22">
        <v>1.62598</v>
      </c>
      <c r="BD353">
        <f t="shared" si="70"/>
        <v>9.5947299999999984</v>
      </c>
      <c r="BE353">
        <f t="shared" si="71"/>
        <v>15.612544655999997</v>
      </c>
    </row>
    <row r="354" spans="6:57">
      <c r="F354" s="9"/>
      <c r="G354" s="22">
        <v>1.7852799999999999E-2</v>
      </c>
      <c r="H354" s="22">
        <v>14.3599</v>
      </c>
      <c r="I354" s="22">
        <v>-1.8438699999999999E-2</v>
      </c>
      <c r="J354" s="22">
        <v>344</v>
      </c>
      <c r="K354" s="22">
        <v>1.77643E-2</v>
      </c>
      <c r="L354">
        <f t="shared" si="60"/>
        <v>18.438699999999997</v>
      </c>
      <c r="M354">
        <f t="shared" si="61"/>
        <v>0.32918242335999992</v>
      </c>
      <c r="N354" s="9"/>
      <c r="O354" s="22">
        <v>1.6322300000000001</v>
      </c>
      <c r="P354" s="22">
        <v>27.247599999999998</v>
      </c>
      <c r="Q354" s="22">
        <v>-9.7595200000000007E-3</v>
      </c>
      <c r="R354" s="22">
        <v>344</v>
      </c>
      <c r="S354" s="22">
        <v>1.63086</v>
      </c>
      <c r="T354">
        <f t="shared" si="62"/>
        <v>9.7595200000000002</v>
      </c>
      <c r="U354">
        <f t="shared" si="63"/>
        <v>15.929781329600001</v>
      </c>
      <c r="X354" s="9"/>
      <c r="Y354" s="22">
        <v>1.7852799999999999E-2</v>
      </c>
      <c r="Z354" s="22">
        <v>34.6312</v>
      </c>
      <c r="AA354" s="22">
        <v>-1.84875E-2</v>
      </c>
      <c r="AB354" s="22">
        <v>344</v>
      </c>
      <c r="AC354" s="22">
        <v>1.8139599999999999E-2</v>
      </c>
      <c r="AD354">
        <f t="shared" si="64"/>
        <v>18.487500000000001</v>
      </c>
      <c r="AE354">
        <f t="shared" si="65"/>
        <v>0.33005363999999998</v>
      </c>
      <c r="AF354" s="9"/>
      <c r="AG354" s="22">
        <v>1.6322300000000001</v>
      </c>
      <c r="AH354" s="22">
        <v>39.534799999999997</v>
      </c>
      <c r="AI354" s="22">
        <v>-9.5611600000000008E-3</v>
      </c>
      <c r="AJ354" s="22">
        <v>344</v>
      </c>
      <c r="AK354" s="22">
        <v>1.6311599999999999</v>
      </c>
      <c r="AL354">
        <f t="shared" si="66"/>
        <v>9.561160000000001</v>
      </c>
      <c r="AM354">
        <f t="shared" si="67"/>
        <v>15.606012186800003</v>
      </c>
      <c r="AP354" s="9"/>
      <c r="AQ354" s="22">
        <v>1.7852799999999999E-2</v>
      </c>
      <c r="AR354" s="22">
        <v>44.368400000000001</v>
      </c>
      <c r="AS354" s="22">
        <v>-1.8481399999999999E-2</v>
      </c>
      <c r="AT354" s="22">
        <v>344</v>
      </c>
      <c r="AU354" s="22">
        <v>1.83655E-2</v>
      </c>
      <c r="AV354">
        <f t="shared" si="68"/>
        <v>18.481399999999997</v>
      </c>
      <c r="AW354">
        <f t="shared" si="69"/>
        <v>0.3299447379199999</v>
      </c>
      <c r="AX354" s="9"/>
      <c r="AY354" s="22">
        <v>1.6322300000000001</v>
      </c>
      <c r="AZ354" s="22">
        <v>49.107999999999997</v>
      </c>
      <c r="BA354" s="22">
        <v>-9.3597400000000001E-3</v>
      </c>
      <c r="BB354" s="22">
        <v>344</v>
      </c>
      <c r="BC354" s="22">
        <v>1.63086</v>
      </c>
      <c r="BD354">
        <f t="shared" si="70"/>
        <v>9.3597400000000004</v>
      </c>
      <c r="BE354">
        <f t="shared" si="71"/>
        <v>15.277248420200001</v>
      </c>
    </row>
    <row r="355" spans="6:57">
      <c r="F355" s="9"/>
      <c r="G355" s="22">
        <v>1.28174E-2</v>
      </c>
      <c r="H355" s="22">
        <v>14.369899999999999</v>
      </c>
      <c r="I355" s="22">
        <v>-1.8444800000000001E-2</v>
      </c>
      <c r="J355" s="22">
        <v>345</v>
      </c>
      <c r="K355" s="22">
        <v>1.3028E-2</v>
      </c>
      <c r="L355">
        <f t="shared" si="60"/>
        <v>18.444800000000001</v>
      </c>
      <c r="M355">
        <f t="shared" si="61"/>
        <v>0.23641437952</v>
      </c>
      <c r="N355" s="9"/>
      <c r="O355" s="22">
        <v>1.63727</v>
      </c>
      <c r="P355" s="22">
        <v>27.2577</v>
      </c>
      <c r="Q355" s="22">
        <v>-9.5062299999999992E-3</v>
      </c>
      <c r="R355" s="22">
        <v>345</v>
      </c>
      <c r="S355" s="22">
        <v>1.63635</v>
      </c>
      <c r="T355">
        <f t="shared" si="62"/>
        <v>9.5062299999999986</v>
      </c>
      <c r="U355">
        <f t="shared" si="63"/>
        <v>15.564265192099997</v>
      </c>
      <c r="X355" s="9"/>
      <c r="Y355" s="22">
        <v>1.28174E-2</v>
      </c>
      <c r="Z355" s="22">
        <v>34.641300000000001</v>
      </c>
      <c r="AA355" s="22">
        <v>-1.8490599999999999E-2</v>
      </c>
      <c r="AB355" s="22">
        <v>345</v>
      </c>
      <c r="AC355" s="22">
        <v>1.25244E-2</v>
      </c>
      <c r="AD355">
        <f t="shared" si="64"/>
        <v>18.490600000000001</v>
      </c>
      <c r="AE355">
        <f t="shared" si="65"/>
        <v>0.23700141644</v>
      </c>
      <c r="AF355" s="9"/>
      <c r="AG355" s="22">
        <v>1.63727</v>
      </c>
      <c r="AH355" s="22">
        <v>39.544899999999998</v>
      </c>
      <c r="AI355" s="22">
        <v>-9.3139599999999996E-3</v>
      </c>
      <c r="AJ355" s="22">
        <v>345</v>
      </c>
      <c r="AK355" s="22">
        <v>1.63635</v>
      </c>
      <c r="AL355">
        <f t="shared" si="66"/>
        <v>9.3139599999999998</v>
      </c>
      <c r="AM355">
        <f t="shared" si="67"/>
        <v>15.2494672892</v>
      </c>
      <c r="AP355" s="9"/>
      <c r="AQ355" s="22">
        <v>1.28174E-2</v>
      </c>
      <c r="AR355" s="22">
        <v>44.378500000000003</v>
      </c>
      <c r="AS355" s="22">
        <v>-1.8484500000000001E-2</v>
      </c>
      <c r="AT355" s="22">
        <v>345</v>
      </c>
      <c r="AU355" s="22">
        <v>1.2643400000000001E-2</v>
      </c>
      <c r="AV355">
        <f t="shared" si="68"/>
        <v>18.484500000000001</v>
      </c>
      <c r="AW355">
        <f t="shared" si="69"/>
        <v>0.23692323030000001</v>
      </c>
      <c r="AX355" s="9"/>
      <c r="AY355" s="22">
        <v>1.63727</v>
      </c>
      <c r="AZ355" s="22">
        <v>49.118099999999998</v>
      </c>
      <c r="BA355" s="22">
        <v>-9.1125500000000005E-3</v>
      </c>
      <c r="BB355" s="22">
        <v>345</v>
      </c>
      <c r="BC355" s="22">
        <v>1.63635</v>
      </c>
      <c r="BD355">
        <f t="shared" si="70"/>
        <v>9.1125500000000006</v>
      </c>
      <c r="BE355">
        <f t="shared" si="71"/>
        <v>14.9197047385</v>
      </c>
    </row>
    <row r="356" spans="6:57">
      <c r="F356" s="9"/>
      <c r="G356" s="22">
        <v>7.78198E-3</v>
      </c>
      <c r="H356" s="22">
        <v>14.38</v>
      </c>
      <c r="I356" s="22">
        <v>-1.8450899999999999E-2</v>
      </c>
      <c r="J356" s="22">
        <v>346</v>
      </c>
      <c r="K356" s="22">
        <v>7.6202400000000003E-3</v>
      </c>
      <c r="L356">
        <f t="shared" si="60"/>
        <v>18.450900000000001</v>
      </c>
      <c r="M356">
        <f t="shared" si="61"/>
        <v>0.14358453478200001</v>
      </c>
      <c r="N356" s="9"/>
      <c r="O356" s="22">
        <v>1.6423000000000001</v>
      </c>
      <c r="P356" s="22">
        <v>27.267700000000001</v>
      </c>
      <c r="Q356" s="22">
        <v>-9.2498800000000003E-3</v>
      </c>
      <c r="R356" s="22">
        <v>346</v>
      </c>
      <c r="S356" s="22">
        <v>1.64154</v>
      </c>
      <c r="T356">
        <f t="shared" si="62"/>
        <v>9.249880000000001</v>
      </c>
      <c r="U356">
        <f t="shared" si="63"/>
        <v>15.191077924000002</v>
      </c>
      <c r="X356" s="9"/>
      <c r="Y356" s="22">
        <v>7.78198E-3</v>
      </c>
      <c r="Z356" s="22">
        <v>34.651400000000002</v>
      </c>
      <c r="AA356" s="22">
        <v>-1.8493699999999998E-2</v>
      </c>
      <c r="AB356" s="22">
        <v>346</v>
      </c>
      <c r="AC356" s="22">
        <v>7.8613299999999997E-3</v>
      </c>
      <c r="AD356">
        <f t="shared" si="64"/>
        <v>18.493699999999997</v>
      </c>
      <c r="AE356">
        <f t="shared" si="65"/>
        <v>0.14391760352599997</v>
      </c>
      <c r="AF356" s="9"/>
      <c r="AG356" s="22">
        <v>1.6423000000000001</v>
      </c>
      <c r="AH356" s="22">
        <v>39.555</v>
      </c>
      <c r="AI356" s="22">
        <v>-9.0545699999999996E-3</v>
      </c>
      <c r="AJ356" s="22">
        <v>346</v>
      </c>
      <c r="AK356" s="22">
        <v>1.64124</v>
      </c>
      <c r="AL356">
        <f t="shared" si="66"/>
        <v>9.05457</v>
      </c>
      <c r="AM356">
        <f t="shared" si="67"/>
        <v>14.870320311</v>
      </c>
      <c r="AP356" s="9"/>
      <c r="AQ356" s="22">
        <v>7.78198E-3</v>
      </c>
      <c r="AR356" s="22">
        <v>44.388599999999997</v>
      </c>
      <c r="AS356" s="22">
        <v>-1.84875E-2</v>
      </c>
      <c r="AT356" s="22">
        <v>346</v>
      </c>
      <c r="AU356" s="22">
        <v>7.5347900000000004E-3</v>
      </c>
      <c r="AV356">
        <f t="shared" si="68"/>
        <v>18.487500000000001</v>
      </c>
      <c r="AW356">
        <f t="shared" si="69"/>
        <v>0.14386935525</v>
      </c>
      <c r="AX356" s="9"/>
      <c r="AY356" s="22">
        <v>1.6423000000000001</v>
      </c>
      <c r="AZ356" s="22">
        <v>49.1282</v>
      </c>
      <c r="BA356" s="22">
        <v>-8.8653599999999992E-3</v>
      </c>
      <c r="BB356" s="22">
        <v>346</v>
      </c>
      <c r="BC356" s="22">
        <v>1.64154</v>
      </c>
      <c r="BD356">
        <f t="shared" si="70"/>
        <v>8.865359999999999</v>
      </c>
      <c r="BE356">
        <f t="shared" si="71"/>
        <v>14.559580727999998</v>
      </c>
    </row>
    <row r="357" spans="6:57">
      <c r="F357" s="9"/>
      <c r="G357" s="22">
        <v>2.7465800000000002E-3</v>
      </c>
      <c r="H357" s="22">
        <v>14.3901</v>
      </c>
      <c r="I357" s="22">
        <v>-1.8457000000000001E-2</v>
      </c>
      <c r="J357" s="22">
        <v>347</v>
      </c>
      <c r="K357" s="22">
        <v>2.88696E-3</v>
      </c>
      <c r="L357">
        <f t="shared" si="60"/>
        <v>18.457000000000001</v>
      </c>
      <c r="M357">
        <f t="shared" si="61"/>
        <v>5.0693627060000003E-2</v>
      </c>
      <c r="N357" s="9"/>
      <c r="O357" s="22">
        <v>1.64734</v>
      </c>
      <c r="P357" s="22">
        <v>27.277799999999999</v>
      </c>
      <c r="Q357" s="22">
        <v>-8.97827E-3</v>
      </c>
      <c r="R357" s="22">
        <v>347</v>
      </c>
      <c r="S357" s="22">
        <v>1.64581</v>
      </c>
      <c r="T357">
        <f t="shared" si="62"/>
        <v>8.9782700000000002</v>
      </c>
      <c r="U357">
        <f t="shared" si="63"/>
        <v>14.790263301800001</v>
      </c>
      <c r="X357" s="9"/>
      <c r="Y357" s="22">
        <v>2.7465800000000002E-3</v>
      </c>
      <c r="Z357" s="22">
        <v>34.6614</v>
      </c>
      <c r="AA357" s="22">
        <v>-1.8496700000000001E-2</v>
      </c>
      <c r="AB357" s="22">
        <v>347</v>
      </c>
      <c r="AC357" s="22">
        <v>2.6886000000000002E-3</v>
      </c>
      <c r="AD357">
        <f t="shared" si="64"/>
        <v>18.496700000000001</v>
      </c>
      <c r="AE357">
        <f t="shared" si="65"/>
        <v>5.0802666286000005E-2</v>
      </c>
      <c r="AF357" s="9"/>
      <c r="AG357" s="22">
        <v>1.64734</v>
      </c>
      <c r="AH357" s="22">
        <v>39.565100000000001</v>
      </c>
      <c r="AI357" s="22">
        <v>-8.7951699999999997E-3</v>
      </c>
      <c r="AJ357" s="22">
        <v>347</v>
      </c>
      <c r="AK357" s="22">
        <v>1.64642</v>
      </c>
      <c r="AL357">
        <f t="shared" si="66"/>
        <v>8.7951700000000006</v>
      </c>
      <c r="AM357">
        <f t="shared" si="67"/>
        <v>14.488635347800001</v>
      </c>
      <c r="AP357" s="9"/>
      <c r="AQ357" s="22">
        <v>2.7465800000000002E-3</v>
      </c>
      <c r="AR357" s="22">
        <v>44.398600000000002</v>
      </c>
      <c r="AS357" s="22">
        <v>-1.8490599999999999E-2</v>
      </c>
      <c r="AT357" s="22">
        <v>347</v>
      </c>
      <c r="AU357" s="22">
        <v>1.9653299999999999E-3</v>
      </c>
      <c r="AV357">
        <f t="shared" si="68"/>
        <v>18.490600000000001</v>
      </c>
      <c r="AW357">
        <f t="shared" si="69"/>
        <v>5.0785912148000004E-2</v>
      </c>
      <c r="AX357" s="9"/>
      <c r="AY357" s="22">
        <v>1.64734</v>
      </c>
      <c r="AZ357" s="22">
        <v>49.138300000000001</v>
      </c>
      <c r="BA357" s="22">
        <v>-8.6029100000000001E-3</v>
      </c>
      <c r="BB357" s="22">
        <v>347</v>
      </c>
      <c r="BC357" s="22">
        <v>1.64612</v>
      </c>
      <c r="BD357">
        <f t="shared" si="70"/>
        <v>8.6029099999999996</v>
      </c>
      <c r="BE357">
        <f t="shared" si="71"/>
        <v>14.171917759399999</v>
      </c>
    </row>
    <row r="358" spans="6:57">
      <c r="F358" s="9"/>
      <c r="G358" s="22">
        <v>-2.28882E-3</v>
      </c>
      <c r="H358" s="22">
        <v>14.4001</v>
      </c>
      <c r="I358" s="22">
        <v>-1.84601E-2</v>
      </c>
      <c r="J358" s="22">
        <v>348</v>
      </c>
      <c r="K358" s="22">
        <v>-2.8228799999999998E-3</v>
      </c>
      <c r="L358">
        <f t="shared" si="60"/>
        <v>18.460100000000001</v>
      </c>
      <c r="M358">
        <f t="shared" si="61"/>
        <v>-4.2251846082E-2</v>
      </c>
      <c r="N358" s="9"/>
      <c r="O358" s="22">
        <v>1.6523699999999999</v>
      </c>
      <c r="P358" s="22">
        <v>27.2879</v>
      </c>
      <c r="Q358" s="22">
        <v>-8.7097200000000007E-3</v>
      </c>
      <c r="R358" s="22">
        <v>348</v>
      </c>
      <c r="S358" s="22">
        <v>1.65161</v>
      </c>
      <c r="T358">
        <f t="shared" si="62"/>
        <v>8.7097200000000008</v>
      </c>
      <c r="U358">
        <f t="shared" si="63"/>
        <v>14.3916800364</v>
      </c>
      <c r="X358" s="9"/>
      <c r="Y358" s="22">
        <v>-2.28882E-3</v>
      </c>
      <c r="Z358" s="22">
        <v>34.671500000000002</v>
      </c>
      <c r="AA358" s="22">
        <v>-1.84998E-2</v>
      </c>
      <c r="AB358" s="22">
        <v>348</v>
      </c>
      <c r="AC358" s="22">
        <v>-2.3284899999999999E-3</v>
      </c>
      <c r="AD358">
        <f t="shared" si="64"/>
        <v>18.4998</v>
      </c>
      <c r="AE358">
        <f t="shared" si="65"/>
        <v>-4.2342712236000002E-2</v>
      </c>
      <c r="AF358" s="9"/>
      <c r="AG358" s="22">
        <v>1.6523699999999999</v>
      </c>
      <c r="AH358" s="22">
        <v>39.575099999999999</v>
      </c>
      <c r="AI358" s="22">
        <v>-8.5205100000000002E-3</v>
      </c>
      <c r="AJ358" s="22">
        <v>348</v>
      </c>
      <c r="AK358" s="22">
        <v>1.65161</v>
      </c>
      <c r="AL358">
        <f t="shared" si="66"/>
        <v>8.5205099999999998</v>
      </c>
      <c r="AM358">
        <f t="shared" si="67"/>
        <v>14.079035108699999</v>
      </c>
      <c r="AP358" s="9"/>
      <c r="AQ358" s="22">
        <v>-2.28882E-3</v>
      </c>
      <c r="AR358" s="22">
        <v>44.408700000000003</v>
      </c>
      <c r="AS358" s="22">
        <v>-1.8496700000000001E-2</v>
      </c>
      <c r="AT358" s="22">
        <v>348</v>
      </c>
      <c r="AU358" s="22">
        <v>-2.62451E-3</v>
      </c>
      <c r="AV358">
        <f t="shared" si="68"/>
        <v>18.496700000000001</v>
      </c>
      <c r="AW358">
        <f t="shared" si="69"/>
        <v>-4.2335616893999999E-2</v>
      </c>
      <c r="AX358" s="9"/>
      <c r="AY358" s="22">
        <v>1.6523699999999999</v>
      </c>
      <c r="AZ358" s="22">
        <v>49.148299999999999</v>
      </c>
      <c r="BA358" s="22">
        <v>-8.3435100000000002E-3</v>
      </c>
      <c r="BB358" s="22">
        <v>348</v>
      </c>
      <c r="BC358" s="22">
        <v>1.6513100000000001</v>
      </c>
      <c r="BD358">
        <f t="shared" si="70"/>
        <v>8.3435100000000002</v>
      </c>
      <c r="BE358">
        <f t="shared" si="71"/>
        <v>13.786565618699999</v>
      </c>
    </row>
    <row r="359" spans="6:57">
      <c r="F359" s="9"/>
      <c r="G359" s="22">
        <v>-7.3242200000000002E-3</v>
      </c>
      <c r="H359" s="22">
        <v>14.4102</v>
      </c>
      <c r="I359" s="22">
        <v>-1.84601E-2</v>
      </c>
      <c r="J359" s="22">
        <v>349</v>
      </c>
      <c r="K359" s="22">
        <v>-8.1390400000000002E-3</v>
      </c>
      <c r="L359">
        <f t="shared" si="60"/>
        <v>18.460100000000001</v>
      </c>
      <c r="M359">
        <f t="shared" si="61"/>
        <v>-0.135205833622</v>
      </c>
      <c r="N359" s="9"/>
      <c r="O359" s="22">
        <v>1.65741</v>
      </c>
      <c r="P359" s="22">
        <v>27.297999999999998</v>
      </c>
      <c r="Q359" s="22">
        <v>-8.4167500000000006E-3</v>
      </c>
      <c r="R359" s="22">
        <v>349</v>
      </c>
      <c r="S359" s="22">
        <v>1.6561900000000001</v>
      </c>
      <c r="T359">
        <f t="shared" si="62"/>
        <v>8.4167500000000004</v>
      </c>
      <c r="U359">
        <f t="shared" si="63"/>
        <v>13.9500056175</v>
      </c>
      <c r="X359" s="9"/>
      <c r="Y359" s="22">
        <v>-7.3242200000000002E-3</v>
      </c>
      <c r="Z359" s="22">
        <v>34.681600000000003</v>
      </c>
      <c r="AA359" s="22">
        <v>-1.8505899999999999E-2</v>
      </c>
      <c r="AB359" s="22">
        <v>349</v>
      </c>
      <c r="AC359" s="22">
        <v>-7.1624799999999997E-3</v>
      </c>
      <c r="AD359">
        <f t="shared" si="64"/>
        <v>18.5059</v>
      </c>
      <c r="AE359">
        <f t="shared" si="65"/>
        <v>-0.13554128289800002</v>
      </c>
      <c r="AF359" s="9"/>
      <c r="AG359" s="22">
        <v>1.65741</v>
      </c>
      <c r="AH359" s="22">
        <v>39.5852</v>
      </c>
      <c r="AI359" s="22">
        <v>-8.2427999999999998E-3</v>
      </c>
      <c r="AJ359" s="22">
        <v>349</v>
      </c>
      <c r="AK359" s="22">
        <v>1.6568000000000001</v>
      </c>
      <c r="AL359">
        <f t="shared" si="66"/>
        <v>8.242799999999999</v>
      </c>
      <c r="AM359">
        <f t="shared" si="67"/>
        <v>13.661699147999999</v>
      </c>
      <c r="AP359" s="9"/>
      <c r="AQ359" s="22">
        <v>-7.3242200000000002E-3</v>
      </c>
      <c r="AR359" s="22">
        <v>44.418799999999997</v>
      </c>
      <c r="AS359" s="22">
        <v>-1.84998E-2</v>
      </c>
      <c r="AT359" s="22">
        <v>349</v>
      </c>
      <c r="AU359" s="22">
        <v>-5.9265100000000003E-3</v>
      </c>
      <c r="AV359">
        <f t="shared" si="68"/>
        <v>18.4998</v>
      </c>
      <c r="AW359">
        <f t="shared" si="69"/>
        <v>-0.13549660515600001</v>
      </c>
      <c r="AX359" s="9"/>
      <c r="AY359" s="22">
        <v>1.65741</v>
      </c>
      <c r="AZ359" s="22">
        <v>49.1584</v>
      </c>
      <c r="BA359" s="22">
        <v>-8.0657999999999997E-3</v>
      </c>
      <c r="BB359" s="22">
        <v>349</v>
      </c>
      <c r="BC359" s="22">
        <v>1.6568000000000001</v>
      </c>
      <c r="BD359">
        <f t="shared" si="70"/>
        <v>8.0657999999999994</v>
      </c>
      <c r="BE359">
        <f t="shared" si="71"/>
        <v>13.368337578</v>
      </c>
    </row>
    <row r="360" spans="6:57">
      <c r="F360" s="9"/>
      <c r="G360" s="22">
        <v>-1.23596E-2</v>
      </c>
      <c r="H360" s="22">
        <v>14.420299999999999</v>
      </c>
      <c r="I360" s="22">
        <v>-1.84631E-2</v>
      </c>
      <c r="J360" s="22">
        <v>350</v>
      </c>
      <c r="K360" s="22">
        <v>-1.24847E-2</v>
      </c>
      <c r="L360">
        <f t="shared" si="60"/>
        <v>18.463100000000001</v>
      </c>
      <c r="M360">
        <f t="shared" si="61"/>
        <v>-0.22819653076000002</v>
      </c>
      <c r="N360" s="9"/>
      <c r="O360" s="22">
        <v>1.66245</v>
      </c>
      <c r="P360" s="22">
        <v>27.308</v>
      </c>
      <c r="Q360" s="22">
        <v>-8.1268299999999998E-3</v>
      </c>
      <c r="R360" s="22">
        <v>350</v>
      </c>
      <c r="S360" s="22">
        <v>1.66107</v>
      </c>
      <c r="T360">
        <f t="shared" si="62"/>
        <v>8.12683</v>
      </c>
      <c r="U360">
        <f t="shared" si="63"/>
        <v>13.5104485335</v>
      </c>
      <c r="X360" s="9"/>
      <c r="Y360" s="22">
        <v>-1.23596E-2</v>
      </c>
      <c r="Z360" s="22">
        <v>34.691699999999997</v>
      </c>
      <c r="AA360" s="22">
        <v>-1.8512000000000001E-2</v>
      </c>
      <c r="AB360" s="22">
        <v>350</v>
      </c>
      <c r="AC360" s="22">
        <v>-1.17859E-2</v>
      </c>
      <c r="AD360">
        <f t="shared" si="64"/>
        <v>18.512</v>
      </c>
      <c r="AE360">
        <f t="shared" si="65"/>
        <v>-0.22880091520000001</v>
      </c>
      <c r="AF360" s="9"/>
      <c r="AG360" s="22">
        <v>1.66245</v>
      </c>
      <c r="AH360" s="22">
        <v>39.595300000000002</v>
      </c>
      <c r="AI360" s="22">
        <v>-7.9437299999999995E-3</v>
      </c>
      <c r="AJ360" s="22">
        <v>350</v>
      </c>
      <c r="AK360" s="22">
        <v>1.66168</v>
      </c>
      <c r="AL360">
        <f t="shared" si="66"/>
        <v>7.9437299999999995</v>
      </c>
      <c r="AM360">
        <f t="shared" si="67"/>
        <v>13.206053938499998</v>
      </c>
      <c r="AP360" s="9"/>
      <c r="AQ360" s="22">
        <v>-1.23596E-2</v>
      </c>
      <c r="AR360" s="22">
        <v>44.428899999999999</v>
      </c>
      <c r="AS360" s="22">
        <v>-1.8505899999999999E-2</v>
      </c>
      <c r="AT360" s="22">
        <v>350</v>
      </c>
      <c r="AU360" s="22">
        <v>-1.2191799999999999E-2</v>
      </c>
      <c r="AV360">
        <f t="shared" si="68"/>
        <v>18.5059</v>
      </c>
      <c r="AW360">
        <f t="shared" si="69"/>
        <v>-0.22872552164000001</v>
      </c>
      <c r="AX360" s="9"/>
      <c r="AY360" s="22">
        <v>1.66245</v>
      </c>
      <c r="AZ360" s="22">
        <v>49.168500000000002</v>
      </c>
      <c r="BA360" s="22">
        <v>-7.7850300000000001E-3</v>
      </c>
      <c r="BB360" s="22">
        <v>350</v>
      </c>
      <c r="BC360" s="22">
        <v>1.66107</v>
      </c>
      <c r="BD360">
        <f t="shared" si="70"/>
        <v>7.7850299999999999</v>
      </c>
      <c r="BE360">
        <f t="shared" si="71"/>
        <v>12.9422231235</v>
      </c>
    </row>
    <row r="361" spans="6:57">
      <c r="F361" s="9"/>
      <c r="G361" s="22">
        <v>-1.7395000000000001E-2</v>
      </c>
      <c r="H361" s="22">
        <v>14.430400000000001</v>
      </c>
      <c r="I361" s="22">
        <v>-1.8466199999999999E-2</v>
      </c>
      <c r="J361" s="22">
        <v>351</v>
      </c>
      <c r="K361" s="22">
        <v>-1.7434700000000001E-2</v>
      </c>
      <c r="L361">
        <f t="shared" si="60"/>
        <v>18.466199999999997</v>
      </c>
      <c r="M361">
        <f t="shared" si="61"/>
        <v>-0.32121954899999994</v>
      </c>
      <c r="N361" s="9"/>
      <c r="O361" s="22">
        <v>1.6674800000000001</v>
      </c>
      <c r="P361" s="22">
        <v>27.318100000000001</v>
      </c>
      <c r="Q361" s="22">
        <v>-7.8094499999999999E-3</v>
      </c>
      <c r="R361" s="22">
        <v>351</v>
      </c>
      <c r="S361" s="22">
        <v>1.66656</v>
      </c>
      <c r="T361">
        <f t="shared" si="62"/>
        <v>7.80945</v>
      </c>
      <c r="U361">
        <f t="shared" si="63"/>
        <v>13.022101686000001</v>
      </c>
      <c r="X361" s="9"/>
      <c r="Y361" s="22">
        <v>-1.7395000000000001E-2</v>
      </c>
      <c r="Z361" s="22">
        <v>34.701700000000002</v>
      </c>
      <c r="AA361" s="22">
        <v>-1.8515E-2</v>
      </c>
      <c r="AB361" s="22">
        <v>351</v>
      </c>
      <c r="AC361" s="22">
        <v>-1.7309600000000001E-2</v>
      </c>
      <c r="AD361">
        <f t="shared" si="64"/>
        <v>18.515000000000001</v>
      </c>
      <c r="AE361">
        <f t="shared" si="65"/>
        <v>-0.32206842500000005</v>
      </c>
      <c r="AF361" s="9"/>
      <c r="AG361" s="22">
        <v>1.6674800000000001</v>
      </c>
      <c r="AH361" s="22">
        <v>39.6053</v>
      </c>
      <c r="AI361" s="22">
        <v>-7.6416000000000001E-3</v>
      </c>
      <c r="AJ361" s="22">
        <v>351</v>
      </c>
      <c r="AK361" s="22">
        <v>1.6662600000000001</v>
      </c>
      <c r="AL361">
        <f t="shared" si="66"/>
        <v>7.6416000000000004</v>
      </c>
      <c r="AM361">
        <f t="shared" si="67"/>
        <v>12.742215168000001</v>
      </c>
      <c r="AP361" s="9"/>
      <c r="AQ361" s="22">
        <v>-1.7395000000000001E-2</v>
      </c>
      <c r="AR361" s="22">
        <v>44.438899999999997</v>
      </c>
      <c r="AS361" s="22">
        <v>-1.8512000000000001E-2</v>
      </c>
      <c r="AT361" s="22">
        <v>351</v>
      </c>
      <c r="AU361" s="22">
        <v>-1.7532300000000001E-2</v>
      </c>
      <c r="AV361">
        <f t="shared" si="68"/>
        <v>18.512</v>
      </c>
      <c r="AW361">
        <f t="shared" si="69"/>
        <v>-0.32201624000000001</v>
      </c>
      <c r="AX361" s="9"/>
      <c r="AY361" s="22">
        <v>1.6674800000000001</v>
      </c>
      <c r="AZ361" s="22">
        <v>49.1785</v>
      </c>
      <c r="BA361" s="22">
        <v>-7.4829099999999997E-3</v>
      </c>
      <c r="BB361" s="22">
        <v>351</v>
      </c>
      <c r="BC361" s="22">
        <v>1.6668700000000001</v>
      </c>
      <c r="BD361">
        <f t="shared" si="70"/>
        <v>7.4829099999999995</v>
      </c>
      <c r="BE361">
        <f t="shared" si="71"/>
        <v>12.4776027668</v>
      </c>
    </row>
    <row r="362" spans="6:57">
      <c r="F362" s="9"/>
      <c r="G362" s="22">
        <v>-2.24304E-2</v>
      </c>
      <c r="H362" s="22">
        <v>14.4404</v>
      </c>
      <c r="I362" s="22">
        <v>-1.8472300000000001E-2</v>
      </c>
      <c r="J362" s="22">
        <v>352</v>
      </c>
      <c r="K362" s="22">
        <v>-2.2540299999999999E-2</v>
      </c>
      <c r="L362">
        <f t="shared" si="60"/>
        <v>18.472300000000001</v>
      </c>
      <c r="M362">
        <f t="shared" si="61"/>
        <v>-0.41434107792000002</v>
      </c>
      <c r="N362" s="9"/>
      <c r="O362" s="22">
        <v>1.67252</v>
      </c>
      <c r="P362" s="22">
        <v>27.328199999999999</v>
      </c>
      <c r="Q362" s="22">
        <v>-7.4890099999999999E-3</v>
      </c>
      <c r="R362" s="22">
        <v>352</v>
      </c>
      <c r="S362" s="22">
        <v>1.6714500000000001</v>
      </c>
      <c r="T362">
        <f t="shared" si="62"/>
        <v>7.4890099999999995</v>
      </c>
      <c r="U362">
        <f t="shared" si="63"/>
        <v>12.5255190052</v>
      </c>
      <c r="X362" s="9"/>
      <c r="Y362" s="22">
        <v>-2.24304E-2</v>
      </c>
      <c r="Z362" s="22">
        <v>34.711799999999997</v>
      </c>
      <c r="AA362" s="22">
        <v>-1.8521099999999999E-2</v>
      </c>
      <c r="AB362" s="22">
        <v>352</v>
      </c>
      <c r="AC362" s="22">
        <v>-2.3071299999999999E-2</v>
      </c>
      <c r="AD362">
        <f t="shared" si="64"/>
        <v>18.521099999999997</v>
      </c>
      <c r="AE362">
        <f t="shared" si="65"/>
        <v>-0.41543568143999993</v>
      </c>
      <c r="AF362" s="9"/>
      <c r="AG362" s="22">
        <v>1.67252</v>
      </c>
      <c r="AH362" s="22">
        <v>39.615400000000001</v>
      </c>
      <c r="AI362" s="22">
        <v>-7.3211700000000001E-3</v>
      </c>
      <c r="AJ362" s="22">
        <v>352</v>
      </c>
      <c r="AK362" s="22">
        <v>1.6717500000000001</v>
      </c>
      <c r="AL362">
        <f t="shared" si="66"/>
        <v>7.3211700000000004</v>
      </c>
      <c r="AM362">
        <f t="shared" si="67"/>
        <v>12.2448032484</v>
      </c>
      <c r="AP362" s="9"/>
      <c r="AQ362" s="22">
        <v>-2.24304E-2</v>
      </c>
      <c r="AR362" s="22">
        <v>44.448999999999998</v>
      </c>
      <c r="AS362" s="22">
        <v>-1.8515E-2</v>
      </c>
      <c r="AT362" s="22">
        <v>352</v>
      </c>
      <c r="AU362" s="22">
        <v>-2.2518900000000001E-2</v>
      </c>
      <c r="AV362">
        <f t="shared" si="68"/>
        <v>18.515000000000001</v>
      </c>
      <c r="AW362">
        <f t="shared" si="69"/>
        <v>-0.41529885599999999</v>
      </c>
      <c r="AX362" s="9"/>
      <c r="AY362" s="22">
        <v>1.67252</v>
      </c>
      <c r="AZ362" s="22">
        <v>49.188600000000001</v>
      </c>
      <c r="BA362" s="22">
        <v>-7.1807900000000003E-3</v>
      </c>
      <c r="BB362" s="22">
        <v>352</v>
      </c>
      <c r="BC362" s="22">
        <v>1.6714500000000001</v>
      </c>
      <c r="BD362">
        <f t="shared" si="70"/>
        <v>7.18079</v>
      </c>
      <c r="BE362">
        <f t="shared" si="71"/>
        <v>12.010014890800001</v>
      </c>
    </row>
    <row r="363" spans="6:57">
      <c r="F363" s="9"/>
      <c r="G363" s="22">
        <v>-2.7465799999999999E-2</v>
      </c>
      <c r="H363" s="22">
        <v>14.4505</v>
      </c>
      <c r="I363" s="22">
        <v>-1.84753E-2</v>
      </c>
      <c r="J363" s="22">
        <v>353</v>
      </c>
      <c r="K363" s="22">
        <v>-2.77466E-2</v>
      </c>
      <c r="L363">
        <f t="shared" si="60"/>
        <v>18.475300000000001</v>
      </c>
      <c r="M363">
        <f t="shared" si="61"/>
        <v>-0.50743889474000003</v>
      </c>
      <c r="N363" s="9"/>
      <c r="O363" s="22">
        <v>1.6775500000000001</v>
      </c>
      <c r="P363" s="22">
        <v>27.338200000000001</v>
      </c>
      <c r="Q363" s="22">
        <v>-7.14417E-3</v>
      </c>
      <c r="R363" s="22">
        <v>353</v>
      </c>
      <c r="S363" s="22">
        <v>1.6769400000000001</v>
      </c>
      <c r="T363">
        <f t="shared" si="62"/>
        <v>7.1441699999999999</v>
      </c>
      <c r="U363">
        <f t="shared" si="63"/>
        <v>11.9847023835</v>
      </c>
      <c r="X363" s="9"/>
      <c r="Y363" s="22">
        <v>-2.7465799999999999E-2</v>
      </c>
      <c r="Z363" s="22">
        <v>34.721899999999998</v>
      </c>
      <c r="AA363" s="22">
        <v>-1.8524200000000001E-2</v>
      </c>
      <c r="AB363" s="22">
        <v>353</v>
      </c>
      <c r="AC363" s="22">
        <v>-2.77588E-2</v>
      </c>
      <c r="AD363">
        <f t="shared" si="64"/>
        <v>18.5242</v>
      </c>
      <c r="AE363">
        <f t="shared" si="65"/>
        <v>-0.50878197236</v>
      </c>
      <c r="AF363" s="9"/>
      <c r="AG363" s="22">
        <v>1.6775500000000001</v>
      </c>
      <c r="AH363" s="22">
        <v>39.625500000000002</v>
      </c>
      <c r="AI363" s="22">
        <v>-6.9885299999999997E-3</v>
      </c>
      <c r="AJ363" s="22">
        <v>353</v>
      </c>
      <c r="AK363" s="22">
        <v>1.6769400000000001</v>
      </c>
      <c r="AL363">
        <f t="shared" si="66"/>
        <v>6.9885299999999999</v>
      </c>
      <c r="AM363">
        <f t="shared" si="67"/>
        <v>11.723608501500001</v>
      </c>
      <c r="AP363" s="9"/>
      <c r="AQ363" s="22">
        <v>-2.7465799999999999E-2</v>
      </c>
      <c r="AR363" s="22">
        <v>44.459099999999999</v>
      </c>
      <c r="AS363" s="22">
        <v>-1.8518099999999999E-2</v>
      </c>
      <c r="AT363" s="22">
        <v>353</v>
      </c>
      <c r="AU363" s="22">
        <v>-2.7993799999999999E-2</v>
      </c>
      <c r="AV363">
        <f t="shared" si="68"/>
        <v>18.5181</v>
      </c>
      <c r="AW363">
        <f t="shared" si="69"/>
        <v>-0.50861443098000003</v>
      </c>
      <c r="AX363" s="9"/>
      <c r="AY363" s="22">
        <v>1.6775500000000001</v>
      </c>
      <c r="AZ363" s="22">
        <v>49.198700000000002</v>
      </c>
      <c r="BA363" s="22">
        <v>-6.84814E-3</v>
      </c>
      <c r="BB363" s="22">
        <v>353</v>
      </c>
      <c r="BC363" s="22">
        <v>1.6763300000000001</v>
      </c>
      <c r="BD363">
        <f t="shared" si="70"/>
        <v>6.8481399999999999</v>
      </c>
      <c r="BE363">
        <f t="shared" si="71"/>
        <v>11.488097257</v>
      </c>
    </row>
    <row r="364" spans="6:57">
      <c r="F364" s="9"/>
      <c r="G364" s="22">
        <v>-3.2501200000000001E-2</v>
      </c>
      <c r="H364" s="22">
        <v>14.460599999999999</v>
      </c>
      <c r="I364" s="22">
        <v>-1.8481399999999999E-2</v>
      </c>
      <c r="J364" s="22">
        <v>354</v>
      </c>
      <c r="K364" s="22">
        <v>-3.2760600000000001E-2</v>
      </c>
      <c r="L364">
        <f t="shared" si="60"/>
        <v>18.481399999999997</v>
      </c>
      <c r="M364">
        <f t="shared" si="61"/>
        <v>-0.60066767767999996</v>
      </c>
      <c r="N364" s="9"/>
      <c r="O364" s="22">
        <v>1.68259</v>
      </c>
      <c r="P364" s="22">
        <v>27.348299999999998</v>
      </c>
      <c r="Q364" s="22">
        <v>-6.7810099999999996E-3</v>
      </c>
      <c r="R364" s="22">
        <v>354</v>
      </c>
      <c r="S364" s="22">
        <v>1.6818200000000001</v>
      </c>
      <c r="T364">
        <f t="shared" si="62"/>
        <v>6.7810099999999993</v>
      </c>
      <c r="U364">
        <f t="shared" si="63"/>
        <v>11.409659615899999</v>
      </c>
      <c r="X364" s="9"/>
      <c r="Y364" s="22">
        <v>-3.2501200000000001E-2</v>
      </c>
      <c r="Z364" s="22">
        <v>34.731900000000003</v>
      </c>
      <c r="AA364" s="22">
        <v>-1.85303E-2</v>
      </c>
      <c r="AB364" s="22">
        <v>354</v>
      </c>
      <c r="AC364" s="22">
        <v>-3.2278399999999999E-2</v>
      </c>
      <c r="AD364">
        <f t="shared" si="64"/>
        <v>18.5303</v>
      </c>
      <c r="AE364">
        <f t="shared" si="65"/>
        <v>-0.60225698636000002</v>
      </c>
      <c r="AF364" s="9"/>
      <c r="AG364" s="22">
        <v>1.68259</v>
      </c>
      <c r="AH364" s="22">
        <v>39.635599999999997</v>
      </c>
      <c r="AI364" s="22">
        <v>-6.6253700000000002E-3</v>
      </c>
      <c r="AJ364" s="22">
        <v>354</v>
      </c>
      <c r="AK364" s="22">
        <v>1.6818200000000001</v>
      </c>
      <c r="AL364">
        <f t="shared" si="66"/>
        <v>6.6253700000000002</v>
      </c>
      <c r="AM364">
        <f t="shared" si="67"/>
        <v>11.147781308300001</v>
      </c>
      <c r="AP364" s="9"/>
      <c r="AQ364" s="22">
        <v>-3.2501200000000001E-2</v>
      </c>
      <c r="AR364" s="22">
        <v>44.469099999999997</v>
      </c>
      <c r="AS364" s="22">
        <v>-1.8521099999999999E-2</v>
      </c>
      <c r="AT364" s="22">
        <v>354</v>
      </c>
      <c r="AU364" s="22">
        <v>-3.2498199999999998E-2</v>
      </c>
      <c r="AV364">
        <f t="shared" si="68"/>
        <v>18.521099999999997</v>
      </c>
      <c r="AW364">
        <f t="shared" si="69"/>
        <v>-0.60195797531999995</v>
      </c>
      <c r="AX364" s="9"/>
      <c r="AY364" s="22">
        <v>1.68259</v>
      </c>
      <c r="AZ364" s="22">
        <v>49.208799999999997</v>
      </c>
      <c r="BA364" s="22">
        <v>-6.50024E-3</v>
      </c>
      <c r="BB364" s="22">
        <v>354</v>
      </c>
      <c r="BC364" s="22">
        <v>1.6818200000000001</v>
      </c>
      <c r="BD364">
        <f t="shared" si="70"/>
        <v>6.5002399999999998</v>
      </c>
      <c r="BE364">
        <f t="shared" si="71"/>
        <v>10.937238821599999</v>
      </c>
    </row>
    <row r="365" spans="6:57">
      <c r="F365" s="9"/>
      <c r="G365" s="22">
        <v>-3.7536600000000003E-2</v>
      </c>
      <c r="H365" s="22">
        <v>14.470599999999999</v>
      </c>
      <c r="I365" s="22">
        <v>-1.8484500000000001E-2</v>
      </c>
      <c r="J365" s="22">
        <v>355</v>
      </c>
      <c r="K365" s="22">
        <v>-3.77655E-2</v>
      </c>
      <c r="L365">
        <f t="shared" si="60"/>
        <v>18.484500000000001</v>
      </c>
      <c r="M365">
        <f t="shared" si="61"/>
        <v>-0.69384528270000012</v>
      </c>
      <c r="N365" s="9"/>
      <c r="O365" s="22">
        <v>1.6876199999999999</v>
      </c>
      <c r="P365" s="22">
        <v>27.3584</v>
      </c>
      <c r="Q365" s="22">
        <v>-6.3903800000000002E-3</v>
      </c>
      <c r="R365" s="22">
        <v>355</v>
      </c>
      <c r="S365" s="22">
        <v>1.6867099999999999</v>
      </c>
      <c r="T365">
        <f t="shared" si="62"/>
        <v>6.3903800000000004</v>
      </c>
      <c r="U365">
        <f t="shared" si="63"/>
        <v>10.784533095600001</v>
      </c>
      <c r="X365" s="9"/>
      <c r="Y365" s="22">
        <v>-3.7536600000000003E-2</v>
      </c>
      <c r="Z365" s="22">
        <v>34.741999999999997</v>
      </c>
      <c r="AA365" s="22">
        <v>-1.8533299999999999E-2</v>
      </c>
      <c r="AB365" s="22">
        <v>355</v>
      </c>
      <c r="AC365" s="22">
        <v>-3.7805199999999997E-2</v>
      </c>
      <c r="AD365">
        <f t="shared" si="64"/>
        <v>18.533300000000001</v>
      </c>
      <c r="AE365">
        <f t="shared" si="65"/>
        <v>-0.69567706878000013</v>
      </c>
      <c r="AF365" s="9"/>
      <c r="AG365" s="22">
        <v>1.6876199999999999</v>
      </c>
      <c r="AH365" s="22">
        <v>39.645600000000002</v>
      </c>
      <c r="AI365" s="22">
        <v>-6.2469500000000002E-3</v>
      </c>
      <c r="AJ365" s="22">
        <v>355</v>
      </c>
      <c r="AK365" s="22">
        <v>1.6870099999999999</v>
      </c>
      <c r="AL365">
        <f t="shared" si="66"/>
        <v>6.24695</v>
      </c>
      <c r="AM365">
        <f t="shared" si="67"/>
        <v>10.542477758999999</v>
      </c>
      <c r="AP365" s="9"/>
      <c r="AQ365" s="22">
        <v>-3.7536600000000003E-2</v>
      </c>
      <c r="AR365" s="22">
        <v>44.479199999999999</v>
      </c>
      <c r="AS365" s="22">
        <v>-1.8524200000000001E-2</v>
      </c>
      <c r="AT365" s="22">
        <v>355</v>
      </c>
      <c r="AU365" s="22">
        <v>-3.7802099999999998E-2</v>
      </c>
      <c r="AV365">
        <f t="shared" si="68"/>
        <v>18.5242</v>
      </c>
      <c r="AW365">
        <f t="shared" si="69"/>
        <v>-0.69533548572000003</v>
      </c>
      <c r="AX365" s="9"/>
      <c r="AY365" s="22">
        <v>1.6876199999999999</v>
      </c>
      <c r="AZ365" s="22">
        <v>49.218800000000002</v>
      </c>
      <c r="BA365" s="22">
        <v>-6.12183E-3</v>
      </c>
      <c r="BB365" s="22">
        <v>355</v>
      </c>
      <c r="BC365" s="22">
        <v>1.6860999999999999</v>
      </c>
      <c r="BD365">
        <f t="shared" si="70"/>
        <v>6.1218300000000001</v>
      </c>
      <c r="BE365">
        <f t="shared" si="71"/>
        <v>10.3313227446</v>
      </c>
    </row>
    <row r="366" spans="6:57">
      <c r="F366" s="9"/>
      <c r="G366" s="22">
        <v>-4.2571999999999999E-2</v>
      </c>
      <c r="H366" s="22">
        <v>14.480700000000001</v>
      </c>
      <c r="I366" s="22">
        <v>-1.84875E-2</v>
      </c>
      <c r="J366" s="22">
        <v>356</v>
      </c>
      <c r="K366" s="22">
        <v>-4.2889400000000001E-2</v>
      </c>
      <c r="L366">
        <f t="shared" si="60"/>
        <v>18.487500000000001</v>
      </c>
      <c r="M366">
        <f t="shared" si="61"/>
        <v>-0.78704985000000005</v>
      </c>
      <c r="N366" s="9"/>
      <c r="O366" s="22">
        <v>1.6926600000000001</v>
      </c>
      <c r="P366" s="22">
        <v>27.368500000000001</v>
      </c>
      <c r="Q366" s="22">
        <v>-5.9692399999999998E-3</v>
      </c>
      <c r="R366" s="22">
        <v>356</v>
      </c>
      <c r="S366" s="22">
        <v>1.6915899999999999</v>
      </c>
      <c r="T366">
        <f t="shared" si="62"/>
        <v>5.9692400000000001</v>
      </c>
      <c r="U366">
        <f t="shared" si="63"/>
        <v>10.1038937784</v>
      </c>
      <c r="X366" s="9"/>
      <c r="Y366" s="22">
        <v>-4.2571999999999999E-2</v>
      </c>
      <c r="Z366" s="22">
        <v>34.752099999999999</v>
      </c>
      <c r="AA366" s="22">
        <v>-1.8539400000000001E-2</v>
      </c>
      <c r="AB366" s="22">
        <v>356</v>
      </c>
      <c r="AC366" s="22">
        <v>-4.2569000000000003E-2</v>
      </c>
      <c r="AD366">
        <f t="shared" si="64"/>
        <v>18.539400000000001</v>
      </c>
      <c r="AE366">
        <f t="shared" si="65"/>
        <v>-0.78925933680000004</v>
      </c>
      <c r="AF366" s="9"/>
      <c r="AG366" s="22">
        <v>1.6926600000000001</v>
      </c>
      <c r="AH366" s="22">
        <v>39.655700000000003</v>
      </c>
      <c r="AI366" s="22">
        <v>-5.8166499999999996E-3</v>
      </c>
      <c r="AJ366" s="22">
        <v>356</v>
      </c>
      <c r="AK366" s="22">
        <v>1.6921999999999999</v>
      </c>
      <c r="AL366">
        <f t="shared" si="66"/>
        <v>5.8166499999999992</v>
      </c>
      <c r="AM366">
        <f t="shared" si="67"/>
        <v>9.8456107889999984</v>
      </c>
      <c r="AP366" s="9"/>
      <c r="AQ366" s="22">
        <v>-4.2571999999999999E-2</v>
      </c>
      <c r="AR366" s="22">
        <v>44.4893</v>
      </c>
      <c r="AS366" s="22">
        <v>-1.8527200000000001E-2</v>
      </c>
      <c r="AT366" s="22">
        <v>356</v>
      </c>
      <c r="AU366" s="22">
        <v>-4.27979E-2</v>
      </c>
      <c r="AV366">
        <f t="shared" si="68"/>
        <v>18.527200000000001</v>
      </c>
      <c r="AW366">
        <f t="shared" si="69"/>
        <v>-0.7887399584</v>
      </c>
      <c r="AX366" s="9"/>
      <c r="AY366" s="22">
        <v>1.6926600000000001</v>
      </c>
      <c r="AZ366" s="22">
        <v>49.228900000000003</v>
      </c>
      <c r="BA366" s="22">
        <v>-5.7189900000000002E-3</v>
      </c>
      <c r="BB366" s="22">
        <v>356</v>
      </c>
      <c r="BC366" s="22">
        <v>1.6918899999999999</v>
      </c>
      <c r="BD366">
        <f t="shared" si="70"/>
        <v>5.7189899999999998</v>
      </c>
      <c r="BE366">
        <f t="shared" si="71"/>
        <v>9.6803056133999998</v>
      </c>
    </row>
    <row r="367" spans="6:57">
      <c r="F367" s="9"/>
      <c r="G367" s="22">
        <v>-4.7607400000000001E-2</v>
      </c>
      <c r="H367" s="22">
        <v>14.4908</v>
      </c>
      <c r="I367" s="22">
        <v>-1.8490599999999999E-2</v>
      </c>
      <c r="J367" s="22">
        <v>357</v>
      </c>
      <c r="K367" s="22">
        <v>-4.80499E-2</v>
      </c>
      <c r="L367">
        <f t="shared" si="60"/>
        <v>18.490600000000001</v>
      </c>
      <c r="M367">
        <f t="shared" si="61"/>
        <v>-0.8802893904400001</v>
      </c>
      <c r="N367" s="9"/>
      <c r="O367" s="22">
        <v>1.6976899999999999</v>
      </c>
      <c r="P367" s="22">
        <v>27.378499999999999</v>
      </c>
      <c r="Q367" s="22">
        <v>-5.4992699999999997E-3</v>
      </c>
      <c r="R367" s="22">
        <v>357</v>
      </c>
      <c r="S367" s="22">
        <v>1.6964699999999999</v>
      </c>
      <c r="T367">
        <f t="shared" si="62"/>
        <v>5.4992700000000001</v>
      </c>
      <c r="U367">
        <f t="shared" si="63"/>
        <v>9.3360556862999999</v>
      </c>
      <c r="X367" s="9"/>
      <c r="Y367" s="22">
        <v>-4.7607400000000001E-2</v>
      </c>
      <c r="Z367" s="22">
        <v>34.7622</v>
      </c>
      <c r="AA367" s="22">
        <v>-1.85425E-2</v>
      </c>
      <c r="AB367" s="22">
        <v>357</v>
      </c>
      <c r="AC367" s="22">
        <v>-4.7836299999999998E-2</v>
      </c>
      <c r="AD367">
        <f t="shared" si="64"/>
        <v>18.5425</v>
      </c>
      <c r="AE367">
        <f t="shared" si="65"/>
        <v>-0.88276021450000008</v>
      </c>
      <c r="AF367" s="9"/>
      <c r="AG367" s="22">
        <v>1.6976899999999999</v>
      </c>
      <c r="AH367" s="22">
        <v>39.665799999999997</v>
      </c>
      <c r="AI367" s="22">
        <v>-5.3680400000000001E-3</v>
      </c>
      <c r="AJ367" s="22">
        <v>357</v>
      </c>
      <c r="AK367" s="22">
        <v>1.69678</v>
      </c>
      <c r="AL367">
        <f t="shared" si="66"/>
        <v>5.3680399999999997</v>
      </c>
      <c r="AM367">
        <f t="shared" si="67"/>
        <v>9.1132678275999996</v>
      </c>
      <c r="AP367" s="9"/>
      <c r="AQ367" s="22">
        <v>-4.7607400000000001E-2</v>
      </c>
      <c r="AR367" s="22">
        <v>44.499400000000001</v>
      </c>
      <c r="AS367" s="22">
        <v>-1.85303E-2</v>
      </c>
      <c r="AT367" s="22">
        <v>357</v>
      </c>
      <c r="AU367" s="22">
        <v>-4.7708100000000003E-2</v>
      </c>
      <c r="AV367">
        <f t="shared" si="68"/>
        <v>18.5303</v>
      </c>
      <c r="AW367">
        <f t="shared" si="69"/>
        <v>-0.88217940422000007</v>
      </c>
      <c r="AX367" s="9"/>
      <c r="AY367" s="22">
        <v>1.6976899999999999</v>
      </c>
      <c r="AZ367" s="22">
        <v>49.238999999999997</v>
      </c>
      <c r="BA367" s="22">
        <v>-5.2825900000000002E-3</v>
      </c>
      <c r="BB367" s="22">
        <v>357</v>
      </c>
      <c r="BC367" s="22">
        <v>1.69617</v>
      </c>
      <c r="BD367">
        <f t="shared" si="70"/>
        <v>5.2825899999999999</v>
      </c>
      <c r="BE367">
        <f t="shared" si="71"/>
        <v>8.9682002170999997</v>
      </c>
    </row>
    <row r="368" spans="6:57">
      <c r="F368" s="9"/>
      <c r="G368" s="22">
        <v>-5.2642799999999997E-2</v>
      </c>
      <c r="H368" s="22">
        <v>14.5008</v>
      </c>
      <c r="I368" s="22">
        <v>-1.8493699999999998E-2</v>
      </c>
      <c r="J368" s="22">
        <v>358</v>
      </c>
      <c r="K368" s="22">
        <v>-5.3222699999999998E-2</v>
      </c>
      <c r="L368">
        <f t="shared" si="60"/>
        <v>18.493699999999997</v>
      </c>
      <c r="M368">
        <f t="shared" si="61"/>
        <v>-0.97356015035999977</v>
      </c>
      <c r="N368" s="9"/>
      <c r="O368" s="22">
        <v>1.7027300000000001</v>
      </c>
      <c r="P368" s="22">
        <v>27.3886</v>
      </c>
      <c r="Q368" s="22">
        <v>-4.9865700000000001E-3</v>
      </c>
      <c r="R368" s="22">
        <v>358</v>
      </c>
      <c r="S368" s="22">
        <v>1.70197</v>
      </c>
      <c r="T368">
        <f t="shared" si="62"/>
        <v>4.9865700000000004</v>
      </c>
      <c r="U368">
        <f t="shared" si="63"/>
        <v>8.4907823361000005</v>
      </c>
      <c r="X368" s="9"/>
      <c r="Y368" s="22">
        <v>-5.2642799999999997E-2</v>
      </c>
      <c r="Z368" s="22">
        <v>34.772199999999998</v>
      </c>
      <c r="AA368" s="22">
        <v>-1.8545499999999999E-2</v>
      </c>
      <c r="AB368" s="22">
        <v>358</v>
      </c>
      <c r="AC368" s="22">
        <v>-5.3405800000000003E-2</v>
      </c>
      <c r="AD368">
        <f t="shared" si="64"/>
        <v>18.545500000000001</v>
      </c>
      <c r="AE368">
        <f t="shared" si="65"/>
        <v>-0.97628704739999994</v>
      </c>
      <c r="AF368" s="9"/>
      <c r="AG368" s="22">
        <v>1.7027300000000001</v>
      </c>
      <c r="AH368" s="22">
        <v>39.675800000000002</v>
      </c>
      <c r="AI368" s="22">
        <v>-4.86084E-3</v>
      </c>
      <c r="AJ368" s="22">
        <v>358</v>
      </c>
      <c r="AK368" s="22">
        <v>1.7022699999999999</v>
      </c>
      <c r="AL368">
        <f t="shared" si="66"/>
        <v>4.8608399999999996</v>
      </c>
      <c r="AM368">
        <f t="shared" si="67"/>
        <v>8.2766980932000003</v>
      </c>
      <c r="AP368" s="9"/>
      <c r="AQ368" s="22">
        <v>-5.2642799999999997E-2</v>
      </c>
      <c r="AR368" s="22">
        <v>44.509399999999999</v>
      </c>
      <c r="AS368" s="22">
        <v>-1.8533299999999999E-2</v>
      </c>
      <c r="AT368" s="22">
        <v>358</v>
      </c>
      <c r="AU368" s="22">
        <v>-5.2948000000000002E-2</v>
      </c>
      <c r="AV368">
        <f t="shared" si="68"/>
        <v>18.533300000000001</v>
      </c>
      <c r="AW368">
        <f t="shared" si="69"/>
        <v>-0.97564480523999997</v>
      </c>
      <c r="AX368" s="9"/>
      <c r="AY368" s="22">
        <v>1.7027300000000001</v>
      </c>
      <c r="AZ368" s="22">
        <v>49.249000000000002</v>
      </c>
      <c r="BA368" s="22">
        <v>-4.8138399999999998E-3</v>
      </c>
      <c r="BB368" s="22">
        <v>358</v>
      </c>
      <c r="BC368" s="22">
        <v>1.70197</v>
      </c>
      <c r="BD368">
        <f t="shared" si="70"/>
        <v>4.8138399999999999</v>
      </c>
      <c r="BE368">
        <f t="shared" si="71"/>
        <v>8.1966697832000008</v>
      </c>
    </row>
    <row r="369" spans="6:57">
      <c r="F369" s="9"/>
      <c r="G369" s="22">
        <v>-5.7678199999999999E-2</v>
      </c>
      <c r="H369" s="22">
        <v>14.510899999999999</v>
      </c>
      <c r="I369" s="22">
        <v>-1.8496700000000001E-2</v>
      </c>
      <c r="J369" s="22">
        <v>359</v>
      </c>
      <c r="K369" s="22">
        <v>-5.7983399999999997E-2</v>
      </c>
      <c r="L369">
        <f t="shared" si="60"/>
        <v>18.496700000000001</v>
      </c>
      <c r="M369">
        <f t="shared" si="61"/>
        <v>-1.06685636194</v>
      </c>
      <c r="N369" s="9"/>
      <c r="O369" s="22">
        <v>1.7077599999999999</v>
      </c>
      <c r="P369" s="22">
        <v>27.398700000000002</v>
      </c>
      <c r="Q369" s="22">
        <v>-4.4162000000000003E-3</v>
      </c>
      <c r="R369" s="22">
        <v>359</v>
      </c>
      <c r="S369" s="22">
        <v>1.7065399999999999</v>
      </c>
      <c r="T369">
        <f t="shared" si="62"/>
        <v>4.4161999999999999</v>
      </c>
      <c r="U369">
        <f t="shared" si="63"/>
        <v>7.5418097119999992</v>
      </c>
      <c r="X369" s="9"/>
      <c r="Y369" s="22">
        <v>-5.7678199999999999E-2</v>
      </c>
      <c r="Z369" s="22">
        <v>34.782299999999999</v>
      </c>
      <c r="AA369" s="22">
        <v>-1.8548599999999998E-2</v>
      </c>
      <c r="AB369" s="22">
        <v>359</v>
      </c>
      <c r="AC369" s="22">
        <v>-5.7586699999999998E-2</v>
      </c>
      <c r="AD369">
        <f t="shared" si="64"/>
        <v>18.548599999999997</v>
      </c>
      <c r="AE369">
        <f t="shared" si="65"/>
        <v>-1.0698498605199998</v>
      </c>
      <c r="AF369" s="9"/>
      <c r="AG369" s="22">
        <v>1.7077599999999999</v>
      </c>
      <c r="AH369" s="22">
        <v>39.685899999999997</v>
      </c>
      <c r="AI369" s="22">
        <v>-4.3277000000000003E-3</v>
      </c>
      <c r="AJ369" s="22">
        <v>359</v>
      </c>
      <c r="AK369" s="22">
        <v>1.70685</v>
      </c>
      <c r="AL369">
        <f t="shared" si="66"/>
        <v>4.3277000000000001</v>
      </c>
      <c r="AM369">
        <f t="shared" si="67"/>
        <v>7.3906729520000001</v>
      </c>
      <c r="AP369" s="9"/>
      <c r="AQ369" s="22">
        <v>-5.7678199999999999E-2</v>
      </c>
      <c r="AR369" s="22">
        <v>44.519500000000001</v>
      </c>
      <c r="AS369" s="22">
        <v>-1.85425E-2</v>
      </c>
      <c r="AT369" s="22">
        <v>359</v>
      </c>
      <c r="AU369" s="22">
        <v>-5.7830800000000002E-2</v>
      </c>
      <c r="AV369">
        <f t="shared" si="68"/>
        <v>18.5425</v>
      </c>
      <c r="AW369">
        <f t="shared" si="69"/>
        <v>-1.0694980235</v>
      </c>
      <c r="AX369" s="9"/>
      <c r="AY369" s="22">
        <v>1.7077599999999999</v>
      </c>
      <c r="AZ369" s="22">
        <v>49.259099999999997</v>
      </c>
      <c r="BA369" s="22">
        <v>-4.2977900000000001E-3</v>
      </c>
      <c r="BB369" s="22">
        <v>359</v>
      </c>
      <c r="BC369" s="22">
        <v>1.70685</v>
      </c>
      <c r="BD369">
        <f t="shared" si="70"/>
        <v>4.29779</v>
      </c>
      <c r="BE369">
        <f t="shared" si="71"/>
        <v>7.3395938504</v>
      </c>
    </row>
    <row r="370" spans="6:57">
      <c r="F370" s="9"/>
      <c r="G370" s="22">
        <v>-6.2713599999999994E-2</v>
      </c>
      <c r="H370" s="22">
        <v>14.521000000000001</v>
      </c>
      <c r="I370" s="22">
        <v>-1.85028E-2</v>
      </c>
      <c r="J370" s="22">
        <v>360</v>
      </c>
      <c r="K370" s="22">
        <v>-6.3598600000000005E-2</v>
      </c>
      <c r="L370">
        <f t="shared" si="60"/>
        <v>18.502800000000001</v>
      </c>
      <c r="M370">
        <f t="shared" si="61"/>
        <v>-1.1603771980799999</v>
      </c>
      <c r="N370" s="9"/>
      <c r="O370" s="22">
        <v>1.7128000000000001</v>
      </c>
      <c r="P370" s="22">
        <v>27.4087</v>
      </c>
      <c r="Q370" s="22">
        <v>-3.8174400000000001E-3</v>
      </c>
      <c r="R370" s="22">
        <v>360</v>
      </c>
      <c r="S370" s="22">
        <v>1.71234</v>
      </c>
      <c r="T370">
        <f t="shared" si="62"/>
        <v>3.8174399999999999</v>
      </c>
      <c r="U370">
        <f t="shared" si="63"/>
        <v>6.5385112320000003</v>
      </c>
      <c r="X370" s="9"/>
      <c r="Y370" s="22">
        <v>-6.2713599999999994E-2</v>
      </c>
      <c r="Z370" s="22">
        <v>34.792400000000001</v>
      </c>
      <c r="AA370" s="22">
        <v>-1.8551600000000001E-2</v>
      </c>
      <c r="AB370" s="22">
        <v>360</v>
      </c>
      <c r="AC370" s="22">
        <v>-6.34155E-2</v>
      </c>
      <c r="AD370">
        <f t="shared" si="64"/>
        <v>18.551600000000001</v>
      </c>
      <c r="AE370">
        <f t="shared" si="65"/>
        <v>-1.16343762176</v>
      </c>
      <c r="AF370" s="9"/>
      <c r="AG370" s="22">
        <v>1.7128000000000001</v>
      </c>
      <c r="AH370" s="22">
        <v>39.695999999999998</v>
      </c>
      <c r="AI370" s="22">
        <v>-3.7463399999999999E-3</v>
      </c>
      <c r="AJ370" s="22">
        <v>360</v>
      </c>
      <c r="AK370" s="22">
        <v>1.71204</v>
      </c>
      <c r="AL370">
        <f t="shared" si="66"/>
        <v>3.74634</v>
      </c>
      <c r="AM370">
        <f t="shared" si="67"/>
        <v>6.4167311520000005</v>
      </c>
      <c r="AP370" s="9"/>
      <c r="AQ370" s="22">
        <v>-6.2713599999999994E-2</v>
      </c>
      <c r="AR370" s="22">
        <v>44.529600000000002</v>
      </c>
      <c r="AS370" s="22">
        <v>-1.8545499999999999E-2</v>
      </c>
      <c r="AT370" s="22">
        <v>360</v>
      </c>
      <c r="AU370" s="22">
        <v>-6.2042199999999999E-2</v>
      </c>
      <c r="AV370">
        <f t="shared" si="68"/>
        <v>18.545500000000001</v>
      </c>
      <c r="AW370">
        <f t="shared" si="69"/>
        <v>-1.1630550687999999</v>
      </c>
      <c r="AX370" s="9"/>
      <c r="AY370" s="22">
        <v>1.7128000000000001</v>
      </c>
      <c r="AZ370" s="22">
        <v>49.269199999999998</v>
      </c>
      <c r="BA370" s="22">
        <v>-3.7594600000000001E-3</v>
      </c>
      <c r="BB370" s="22">
        <v>360</v>
      </c>
      <c r="BC370" s="22">
        <v>1.71204</v>
      </c>
      <c r="BD370">
        <f t="shared" si="70"/>
        <v>3.7594600000000002</v>
      </c>
      <c r="BE370">
        <f t="shared" si="71"/>
        <v>6.4392030880000011</v>
      </c>
    </row>
    <row r="371" spans="6:57">
      <c r="F371" s="9"/>
      <c r="G371" s="22">
        <v>-6.7749000000000004E-2</v>
      </c>
      <c r="H371" s="22">
        <v>14.5311</v>
      </c>
      <c r="I371" s="22">
        <v>-1.8505899999999999E-2</v>
      </c>
      <c r="J371" s="22">
        <v>361</v>
      </c>
      <c r="K371" s="22">
        <v>-6.8176299999999995E-2</v>
      </c>
      <c r="L371">
        <f t="shared" si="60"/>
        <v>18.5059</v>
      </c>
      <c r="M371">
        <f t="shared" si="61"/>
        <v>-1.2537562191</v>
      </c>
      <c r="N371" s="9"/>
      <c r="O371" s="22">
        <v>1.71783</v>
      </c>
      <c r="P371" s="22">
        <v>27.418800000000001</v>
      </c>
      <c r="Q371" s="22">
        <v>-3.1640599999999998E-3</v>
      </c>
      <c r="R371" s="22">
        <v>361</v>
      </c>
      <c r="S371" s="22">
        <v>1.71692</v>
      </c>
      <c r="T371">
        <f t="shared" si="62"/>
        <v>3.1640599999999997</v>
      </c>
      <c r="U371">
        <f t="shared" si="63"/>
        <v>5.4353171897999992</v>
      </c>
      <c r="X371" s="9"/>
      <c r="Y371" s="22">
        <v>-6.7749000000000004E-2</v>
      </c>
      <c r="Z371" s="22">
        <v>34.802399999999999</v>
      </c>
      <c r="AA371" s="22">
        <v>-1.85547E-2</v>
      </c>
      <c r="AB371" s="22">
        <v>361</v>
      </c>
      <c r="AC371" s="22">
        <v>-6.8450899999999995E-2</v>
      </c>
      <c r="AD371">
        <f t="shared" si="64"/>
        <v>18.5547</v>
      </c>
      <c r="AE371">
        <f t="shared" si="65"/>
        <v>-1.2570623703000001</v>
      </c>
      <c r="AF371" s="9"/>
      <c r="AG371" s="22">
        <v>1.71783</v>
      </c>
      <c r="AH371" s="22">
        <v>39.706099999999999</v>
      </c>
      <c r="AI371" s="22">
        <v>-3.1424000000000001E-3</v>
      </c>
      <c r="AJ371" s="22">
        <v>361</v>
      </c>
      <c r="AK371" s="22">
        <v>1.71722</v>
      </c>
      <c r="AL371">
        <f t="shared" si="66"/>
        <v>3.1423999999999999</v>
      </c>
      <c r="AM371">
        <f t="shared" si="67"/>
        <v>5.3981089920000001</v>
      </c>
      <c r="AP371" s="9"/>
      <c r="AQ371" s="22">
        <v>-6.7749000000000004E-2</v>
      </c>
      <c r="AR371" s="22">
        <v>44.5396</v>
      </c>
      <c r="AS371" s="22">
        <v>-1.8548599999999998E-2</v>
      </c>
      <c r="AT371" s="22">
        <v>361</v>
      </c>
      <c r="AU371" s="22">
        <v>-6.8542500000000006E-2</v>
      </c>
      <c r="AV371">
        <f t="shared" si="68"/>
        <v>18.548599999999997</v>
      </c>
      <c r="AW371">
        <f t="shared" si="69"/>
        <v>-1.2566491013999999</v>
      </c>
      <c r="AX371" s="9"/>
      <c r="AY371" s="22">
        <v>1.71783</v>
      </c>
      <c r="AZ371" s="22">
        <v>49.279299999999999</v>
      </c>
      <c r="BA371" s="22">
        <v>-3.1707800000000002E-3</v>
      </c>
      <c r="BB371" s="22">
        <v>361</v>
      </c>
      <c r="BC371" s="22">
        <v>1.71692</v>
      </c>
      <c r="BD371">
        <f t="shared" si="70"/>
        <v>3.1707800000000002</v>
      </c>
      <c r="BE371">
        <f t="shared" si="71"/>
        <v>5.4468610073999999</v>
      </c>
    </row>
    <row r="372" spans="6:57">
      <c r="F372" s="9"/>
      <c r="G372" s="22">
        <v>-7.2784399999999999E-2</v>
      </c>
      <c r="H372" s="22">
        <v>14.5411</v>
      </c>
      <c r="I372" s="22">
        <v>-1.8508899999999998E-2</v>
      </c>
      <c r="J372" s="22">
        <v>362</v>
      </c>
      <c r="K372" s="22">
        <v>-7.3547399999999999E-2</v>
      </c>
      <c r="L372">
        <f t="shared" si="60"/>
        <v>18.508899999999997</v>
      </c>
      <c r="M372">
        <f t="shared" si="61"/>
        <v>-1.3471591811599997</v>
      </c>
      <c r="N372" s="9"/>
      <c r="O372" s="22">
        <v>1.7228699999999999</v>
      </c>
      <c r="P372" s="22">
        <v>27.428899999999999</v>
      </c>
      <c r="Q372" s="22">
        <v>-2.4850499999999999E-3</v>
      </c>
      <c r="R372" s="22">
        <v>362</v>
      </c>
      <c r="S372" s="22">
        <v>1.72241</v>
      </c>
      <c r="T372">
        <f t="shared" si="62"/>
        <v>2.4850499999999998</v>
      </c>
      <c r="U372">
        <f t="shared" si="63"/>
        <v>4.2814180934999992</v>
      </c>
      <c r="X372" s="9"/>
      <c r="Y372" s="22">
        <v>-7.2784399999999999E-2</v>
      </c>
      <c r="Z372" s="22">
        <v>34.8125</v>
      </c>
      <c r="AA372" s="22">
        <v>-1.85577E-2</v>
      </c>
      <c r="AB372" s="22">
        <v>362</v>
      </c>
      <c r="AC372" s="22">
        <v>-7.3089600000000005E-2</v>
      </c>
      <c r="AD372">
        <f t="shared" si="64"/>
        <v>18.557700000000001</v>
      </c>
      <c r="AE372">
        <f t="shared" si="65"/>
        <v>-1.3507110598800001</v>
      </c>
      <c r="AF372" s="9"/>
      <c r="AG372" s="22">
        <v>1.7228699999999999</v>
      </c>
      <c r="AH372" s="22">
        <v>39.716099999999997</v>
      </c>
      <c r="AI372" s="22">
        <v>-2.49359E-3</v>
      </c>
      <c r="AJ372" s="22">
        <v>362</v>
      </c>
      <c r="AK372" s="22">
        <v>1.7218</v>
      </c>
      <c r="AL372">
        <f t="shared" si="66"/>
        <v>2.4935899999999998</v>
      </c>
      <c r="AM372">
        <f t="shared" si="67"/>
        <v>4.2961314032999995</v>
      </c>
      <c r="AP372" s="9"/>
      <c r="AQ372" s="22">
        <v>-7.2784399999999999E-2</v>
      </c>
      <c r="AR372" s="22">
        <v>44.549700000000001</v>
      </c>
      <c r="AS372" s="22">
        <v>-1.85547E-2</v>
      </c>
      <c r="AT372" s="22">
        <v>362</v>
      </c>
      <c r="AU372" s="22">
        <v>-7.3303199999999999E-2</v>
      </c>
      <c r="AV372">
        <f t="shared" si="68"/>
        <v>18.5547</v>
      </c>
      <c r="AW372">
        <f t="shared" si="69"/>
        <v>-1.3504927066800001</v>
      </c>
      <c r="AX372" s="9"/>
      <c r="AY372" s="22">
        <v>1.7228699999999999</v>
      </c>
      <c r="AZ372" s="22">
        <v>49.289299999999997</v>
      </c>
      <c r="BA372" s="22">
        <v>-2.55493E-3</v>
      </c>
      <c r="BB372" s="22">
        <v>362</v>
      </c>
      <c r="BC372" s="22">
        <v>1.7218</v>
      </c>
      <c r="BD372">
        <f t="shared" si="70"/>
        <v>2.5549300000000001</v>
      </c>
      <c r="BE372">
        <f t="shared" si="71"/>
        <v>4.4018122490999998</v>
      </c>
    </row>
    <row r="373" spans="6:57">
      <c r="F373" s="9"/>
      <c r="G373" s="22">
        <v>-7.7819799999999995E-2</v>
      </c>
      <c r="H373" s="22">
        <v>14.5512</v>
      </c>
      <c r="I373" s="22">
        <v>-1.8512000000000001E-2</v>
      </c>
      <c r="J373" s="22">
        <v>363</v>
      </c>
      <c r="K373" s="22">
        <v>-7.8338599999999994E-2</v>
      </c>
      <c r="L373">
        <f t="shared" si="60"/>
        <v>18.512</v>
      </c>
      <c r="M373">
        <f t="shared" si="61"/>
        <v>-1.4406001375999999</v>
      </c>
      <c r="N373" s="9"/>
      <c r="O373" s="22">
        <v>1.7279100000000001</v>
      </c>
      <c r="P373" s="22">
        <v>27.439</v>
      </c>
      <c r="Q373" s="22">
        <v>-1.7694099999999999E-3</v>
      </c>
      <c r="R373" s="22">
        <v>363</v>
      </c>
      <c r="S373" s="22">
        <v>1.72699</v>
      </c>
      <c r="T373">
        <f t="shared" si="62"/>
        <v>1.7694099999999999</v>
      </c>
      <c r="U373">
        <f t="shared" si="63"/>
        <v>3.0573812331000001</v>
      </c>
      <c r="X373" s="9"/>
      <c r="Y373" s="22">
        <v>-7.7819799999999995E-2</v>
      </c>
      <c r="Z373" s="22">
        <v>34.822600000000001</v>
      </c>
      <c r="AA373" s="22">
        <v>-1.8560799999999999E-2</v>
      </c>
      <c r="AB373" s="22">
        <v>363</v>
      </c>
      <c r="AC373" s="22">
        <v>-7.7026399999999995E-2</v>
      </c>
      <c r="AD373">
        <f t="shared" si="64"/>
        <v>18.5608</v>
      </c>
      <c r="AE373">
        <f t="shared" si="65"/>
        <v>-1.44439774384</v>
      </c>
      <c r="AF373" s="9"/>
      <c r="AG373" s="22">
        <v>1.7279100000000001</v>
      </c>
      <c r="AH373" s="22">
        <v>39.726199999999999</v>
      </c>
      <c r="AI373" s="22">
        <v>-1.8215900000000001E-3</v>
      </c>
      <c r="AJ373" s="22">
        <v>363</v>
      </c>
      <c r="AK373" s="22">
        <v>1.72729</v>
      </c>
      <c r="AL373">
        <f t="shared" si="66"/>
        <v>1.82159</v>
      </c>
      <c r="AM373">
        <f t="shared" si="67"/>
        <v>3.1475435769</v>
      </c>
      <c r="AP373" s="9"/>
      <c r="AQ373" s="22">
        <v>-7.7819799999999995E-2</v>
      </c>
      <c r="AR373" s="22">
        <v>44.559800000000003</v>
      </c>
      <c r="AS373" s="22">
        <v>-1.8560799999999999E-2</v>
      </c>
      <c r="AT373" s="22">
        <v>363</v>
      </c>
      <c r="AU373" s="22">
        <v>-7.8399700000000003E-2</v>
      </c>
      <c r="AV373">
        <f t="shared" si="68"/>
        <v>18.5608</v>
      </c>
      <c r="AW373">
        <f t="shared" si="69"/>
        <v>-1.44439774384</v>
      </c>
      <c r="AX373" s="9"/>
      <c r="AY373" s="22">
        <v>1.7279100000000001</v>
      </c>
      <c r="AZ373" s="22">
        <v>49.299399999999999</v>
      </c>
      <c r="BA373" s="22">
        <v>-1.9067400000000001E-3</v>
      </c>
      <c r="BB373" s="22">
        <v>363</v>
      </c>
      <c r="BC373" s="22">
        <v>1.72668</v>
      </c>
      <c r="BD373">
        <f t="shared" si="70"/>
        <v>1.9067400000000001</v>
      </c>
      <c r="BE373">
        <f t="shared" si="71"/>
        <v>3.2946751134000003</v>
      </c>
    </row>
    <row r="374" spans="6:57">
      <c r="F374" s="9"/>
      <c r="G374" s="22">
        <v>-8.2855200000000004E-2</v>
      </c>
      <c r="H374" s="22">
        <v>14.561299999999999</v>
      </c>
      <c r="I374" s="22">
        <v>-1.8521099999999999E-2</v>
      </c>
      <c r="J374" s="22">
        <v>364</v>
      </c>
      <c r="K374" s="22">
        <v>-8.3679199999999995E-2</v>
      </c>
      <c r="L374">
        <f t="shared" si="60"/>
        <v>18.521099999999997</v>
      </c>
      <c r="M374">
        <f t="shared" si="61"/>
        <v>-1.5345694447199998</v>
      </c>
      <c r="N374" s="9"/>
      <c r="O374" s="22">
        <v>1.7329399999999999</v>
      </c>
      <c r="P374" s="22">
        <v>27.449000000000002</v>
      </c>
      <c r="Q374" s="22">
        <v>-1.0177599999999999E-3</v>
      </c>
      <c r="R374" s="22">
        <v>364</v>
      </c>
      <c r="S374" s="22">
        <v>1.73187</v>
      </c>
      <c r="T374">
        <f t="shared" si="62"/>
        <v>1.01776</v>
      </c>
      <c r="U374">
        <f t="shared" si="63"/>
        <v>1.7637170143999998</v>
      </c>
      <c r="X374" s="9"/>
      <c r="Y374" s="22">
        <v>-8.2855200000000004E-2</v>
      </c>
      <c r="Z374" s="22">
        <v>34.832700000000003</v>
      </c>
      <c r="AA374" s="22">
        <v>-1.8566900000000001E-2</v>
      </c>
      <c r="AB374" s="22">
        <v>364</v>
      </c>
      <c r="AC374" s="22">
        <v>-8.3892800000000003E-2</v>
      </c>
      <c r="AD374">
        <f t="shared" si="64"/>
        <v>18.5669</v>
      </c>
      <c r="AE374">
        <f t="shared" si="65"/>
        <v>-1.5383642128800001</v>
      </c>
      <c r="AF374" s="9"/>
      <c r="AG374" s="22">
        <v>1.7329399999999999</v>
      </c>
      <c r="AH374" s="22">
        <v>39.7363</v>
      </c>
      <c r="AI374" s="22">
        <v>-1.0946700000000001E-3</v>
      </c>
      <c r="AJ374" s="22">
        <v>364</v>
      </c>
      <c r="AK374" s="22">
        <v>1.7315700000000001</v>
      </c>
      <c r="AL374">
        <f t="shared" si="66"/>
        <v>1.09467</v>
      </c>
      <c r="AM374">
        <f t="shared" si="67"/>
        <v>1.8969974298000001</v>
      </c>
      <c r="AP374" s="9"/>
      <c r="AQ374" s="22">
        <v>-8.2855200000000004E-2</v>
      </c>
      <c r="AR374" s="22">
        <v>44.569899999999997</v>
      </c>
      <c r="AS374" s="22">
        <v>-1.8563799999999998E-2</v>
      </c>
      <c r="AT374" s="22">
        <v>364</v>
      </c>
      <c r="AU374" s="22">
        <v>-8.3129900000000007E-2</v>
      </c>
      <c r="AV374">
        <f t="shared" si="68"/>
        <v>18.563799999999997</v>
      </c>
      <c r="AW374">
        <f t="shared" si="69"/>
        <v>-1.5381073617599998</v>
      </c>
      <c r="AX374" s="9"/>
      <c r="AY374" s="22">
        <v>1.7329399999999999</v>
      </c>
      <c r="AZ374" s="22">
        <v>49.3095</v>
      </c>
      <c r="BA374" s="22">
        <v>-1.2225300000000001E-3</v>
      </c>
      <c r="BB374" s="22">
        <v>364</v>
      </c>
      <c r="BC374" s="22">
        <v>1.73248</v>
      </c>
      <c r="BD374">
        <f t="shared" si="70"/>
        <v>1.2225300000000001</v>
      </c>
      <c r="BE374">
        <f t="shared" si="71"/>
        <v>2.1185711382000001</v>
      </c>
    </row>
    <row r="375" spans="6:57">
      <c r="F375" s="9"/>
      <c r="G375" s="22">
        <v>-8.7890599999999999E-2</v>
      </c>
      <c r="H375" s="22">
        <v>14.571300000000001</v>
      </c>
      <c r="I375" s="22">
        <v>-1.8524200000000001E-2</v>
      </c>
      <c r="J375" s="22">
        <v>365</v>
      </c>
      <c r="K375" s="22">
        <v>-8.8592500000000005E-2</v>
      </c>
      <c r="L375">
        <f t="shared" si="60"/>
        <v>18.5242</v>
      </c>
      <c r="M375">
        <f t="shared" si="61"/>
        <v>-1.62810305252</v>
      </c>
      <c r="N375" s="9"/>
      <c r="O375" s="22">
        <v>1.7379800000000001</v>
      </c>
      <c r="P375" s="22">
        <v>27.459099999999999</v>
      </c>
      <c r="Q375" s="22">
        <v>-2.3245199999999999E-4</v>
      </c>
      <c r="R375" s="22">
        <v>365</v>
      </c>
      <c r="S375" s="22">
        <v>1.7367600000000001</v>
      </c>
      <c r="T375">
        <f t="shared" si="62"/>
        <v>0.23245199999999999</v>
      </c>
      <c r="U375">
        <f t="shared" si="63"/>
        <v>0.40399692696</v>
      </c>
      <c r="X375" s="9"/>
      <c r="Y375" s="22">
        <v>-8.7890599999999999E-2</v>
      </c>
      <c r="Z375" s="22">
        <v>34.842700000000001</v>
      </c>
      <c r="AA375" s="22">
        <v>-1.85699E-2</v>
      </c>
      <c r="AB375" s="22">
        <v>365</v>
      </c>
      <c r="AC375" s="22">
        <v>-8.8714600000000005E-2</v>
      </c>
      <c r="AD375">
        <f t="shared" si="64"/>
        <v>18.569900000000001</v>
      </c>
      <c r="AE375">
        <f t="shared" si="65"/>
        <v>-1.6321196529399999</v>
      </c>
      <c r="AF375" s="9"/>
      <c r="AG375" s="22">
        <v>1.7379800000000001</v>
      </c>
      <c r="AH375" s="22">
        <v>39.746299999999998</v>
      </c>
      <c r="AI375" s="22">
        <v>-3.5525500000000001E-4</v>
      </c>
      <c r="AJ375" s="22">
        <v>365</v>
      </c>
      <c r="AK375" s="22">
        <v>1.73767</v>
      </c>
      <c r="AL375">
        <f t="shared" si="66"/>
        <v>0.35525499999999999</v>
      </c>
      <c r="AM375">
        <f t="shared" si="67"/>
        <v>0.61742608490000006</v>
      </c>
      <c r="AP375" s="9"/>
      <c r="AQ375" s="22">
        <v>-8.7890599999999999E-2</v>
      </c>
      <c r="AR375" s="22">
        <v>44.579900000000002</v>
      </c>
      <c r="AS375" s="22">
        <v>-1.8566900000000001E-2</v>
      </c>
      <c r="AT375" s="22">
        <v>365</v>
      </c>
      <c r="AU375" s="22">
        <v>-8.8439900000000002E-2</v>
      </c>
      <c r="AV375">
        <f t="shared" si="68"/>
        <v>18.5669</v>
      </c>
      <c r="AW375">
        <f t="shared" si="69"/>
        <v>-1.63185598114</v>
      </c>
      <c r="AX375" s="9"/>
      <c r="AY375" s="22">
        <v>1.7379800000000001</v>
      </c>
      <c r="AZ375" s="22">
        <v>49.319499999999998</v>
      </c>
      <c r="BA375" s="22">
        <v>-5.0231899999999999E-4</v>
      </c>
      <c r="BB375" s="22">
        <v>365</v>
      </c>
      <c r="BC375" s="22">
        <v>1.7367600000000001</v>
      </c>
      <c r="BD375">
        <f t="shared" si="70"/>
        <v>0.50231899999999996</v>
      </c>
      <c r="BE375">
        <f t="shared" si="71"/>
        <v>0.87302037562000001</v>
      </c>
    </row>
    <row r="376" spans="6:57">
      <c r="F376" s="9"/>
      <c r="G376" s="22">
        <v>-9.2925999999999995E-2</v>
      </c>
      <c r="H376" s="22">
        <v>14.5814</v>
      </c>
      <c r="I376" s="22">
        <v>-1.85303E-2</v>
      </c>
      <c r="J376" s="22">
        <v>366</v>
      </c>
      <c r="K376" s="22">
        <v>-9.3536400000000006E-2</v>
      </c>
      <c r="L376">
        <f t="shared" si="60"/>
        <v>18.5303</v>
      </c>
      <c r="M376">
        <f t="shared" si="61"/>
        <v>-1.7219466578</v>
      </c>
      <c r="N376" s="9"/>
      <c r="O376" s="22">
        <v>1.7430099999999999</v>
      </c>
      <c r="P376" s="22">
        <v>27.469200000000001</v>
      </c>
      <c r="Q376" s="22">
        <v>5.8105500000000003E-4</v>
      </c>
      <c r="R376" s="22">
        <v>366</v>
      </c>
      <c r="S376" s="22">
        <v>1.74255</v>
      </c>
      <c r="T376">
        <f t="shared" si="62"/>
        <v>-0.58105499999999999</v>
      </c>
      <c r="U376">
        <f t="shared" si="63"/>
        <v>-1.0127846755499998</v>
      </c>
      <c r="X376" s="9"/>
      <c r="Y376" s="22">
        <v>-9.2925999999999995E-2</v>
      </c>
      <c r="Z376" s="22">
        <v>34.852800000000002</v>
      </c>
      <c r="AA376" s="22">
        <v>-1.8572999999999999E-2</v>
      </c>
      <c r="AB376" s="22">
        <v>366</v>
      </c>
      <c r="AC376" s="22">
        <v>-9.3017600000000006E-2</v>
      </c>
      <c r="AD376">
        <f t="shared" si="64"/>
        <v>18.573</v>
      </c>
      <c r="AE376">
        <f t="shared" si="65"/>
        <v>-1.7259145979999999</v>
      </c>
      <c r="AF376" s="9"/>
      <c r="AG376" s="22">
        <v>1.7430099999999999</v>
      </c>
      <c r="AH376" s="22">
        <v>39.756399999999999</v>
      </c>
      <c r="AI376" s="22">
        <v>4.3051100000000001E-4</v>
      </c>
      <c r="AJ376" s="22">
        <v>366</v>
      </c>
      <c r="AK376" s="22">
        <v>1.7422500000000001</v>
      </c>
      <c r="AL376">
        <f t="shared" si="66"/>
        <v>-0.43051100000000003</v>
      </c>
      <c r="AM376">
        <f t="shared" si="67"/>
        <v>-0.75038497811000004</v>
      </c>
      <c r="AP376" s="9"/>
      <c r="AQ376" s="22">
        <v>-9.2925999999999995E-2</v>
      </c>
      <c r="AR376" s="22">
        <v>44.59</v>
      </c>
      <c r="AS376" s="22">
        <v>-1.8572999999999999E-2</v>
      </c>
      <c r="AT376" s="22">
        <v>366</v>
      </c>
      <c r="AU376" s="22">
        <v>-9.3505900000000003E-2</v>
      </c>
      <c r="AV376">
        <f t="shared" si="68"/>
        <v>18.573</v>
      </c>
      <c r="AW376">
        <f t="shared" si="69"/>
        <v>-1.7259145979999999</v>
      </c>
      <c r="AX376" s="9"/>
      <c r="AY376" s="22">
        <v>1.7430099999999999</v>
      </c>
      <c r="AZ376" s="22">
        <v>49.329599999999999</v>
      </c>
      <c r="BA376" s="22">
        <v>2.5116E-4</v>
      </c>
      <c r="BB376" s="22">
        <v>366</v>
      </c>
      <c r="BC376" s="22">
        <v>1.7422500000000001</v>
      </c>
      <c r="BD376">
        <f t="shared" si="70"/>
        <v>-0.25115999999999999</v>
      </c>
      <c r="BE376">
        <f t="shared" si="71"/>
        <v>-0.43777439159999998</v>
      </c>
    </row>
    <row r="377" spans="6:57">
      <c r="F377" s="9"/>
      <c r="G377" s="22">
        <v>-9.7961400000000004E-2</v>
      </c>
      <c r="H377" s="22">
        <v>14.5915</v>
      </c>
      <c r="I377" s="22">
        <v>-1.8536400000000001E-2</v>
      </c>
      <c r="J377" s="22">
        <v>367</v>
      </c>
      <c r="K377" s="22">
        <v>-9.8541299999999998E-2</v>
      </c>
      <c r="L377">
        <f t="shared" si="60"/>
        <v>18.5364</v>
      </c>
      <c r="M377">
        <f t="shared" si="61"/>
        <v>-1.8158516949600001</v>
      </c>
      <c r="N377" s="9"/>
      <c r="O377" s="22">
        <v>1.7480500000000001</v>
      </c>
      <c r="P377" s="22">
        <v>27.479199999999999</v>
      </c>
      <c r="Q377" s="22">
        <v>1.4498899999999999E-3</v>
      </c>
      <c r="R377" s="22">
        <v>367</v>
      </c>
      <c r="S377" s="22">
        <v>1.7471300000000001</v>
      </c>
      <c r="T377">
        <f t="shared" si="62"/>
        <v>-1.4498899999999999</v>
      </c>
      <c r="U377">
        <f t="shared" si="63"/>
        <v>-2.5344802144999998</v>
      </c>
      <c r="X377" s="9"/>
      <c r="Y377" s="22">
        <v>-9.7961400000000004E-2</v>
      </c>
      <c r="Z377" s="22">
        <v>34.862900000000003</v>
      </c>
      <c r="AA377" s="22">
        <v>-1.8575999999999999E-2</v>
      </c>
      <c r="AB377" s="22">
        <v>367</v>
      </c>
      <c r="AC377" s="22">
        <v>-9.9182099999999995E-2</v>
      </c>
      <c r="AD377">
        <f t="shared" si="64"/>
        <v>18.576000000000001</v>
      </c>
      <c r="AE377">
        <f t="shared" si="65"/>
        <v>-1.8197309664000001</v>
      </c>
      <c r="AF377" s="9"/>
      <c r="AG377" s="22">
        <v>1.7480500000000001</v>
      </c>
      <c r="AH377" s="22">
        <v>39.766500000000001</v>
      </c>
      <c r="AI377" s="22">
        <v>1.24329E-3</v>
      </c>
      <c r="AJ377" s="22">
        <v>367</v>
      </c>
      <c r="AK377" s="22">
        <v>1.7471300000000001</v>
      </c>
      <c r="AL377">
        <f t="shared" si="66"/>
        <v>-1.24329</v>
      </c>
      <c r="AM377">
        <f t="shared" si="67"/>
        <v>-2.1733330845000003</v>
      </c>
      <c r="AP377" s="9"/>
      <c r="AQ377" s="22">
        <v>-9.7961400000000004E-2</v>
      </c>
      <c r="AR377" s="22">
        <v>44.600099999999998</v>
      </c>
      <c r="AS377" s="22">
        <v>-1.8572999999999999E-2</v>
      </c>
      <c r="AT377" s="22">
        <v>367</v>
      </c>
      <c r="AU377" s="22">
        <v>-9.8632800000000007E-2</v>
      </c>
      <c r="AV377">
        <f t="shared" si="68"/>
        <v>18.573</v>
      </c>
      <c r="AW377">
        <f t="shared" si="69"/>
        <v>-1.8194370822000001</v>
      </c>
      <c r="AX377" s="9"/>
      <c r="AY377" s="22">
        <v>1.7480500000000001</v>
      </c>
      <c r="AZ377" s="22">
        <v>49.339700000000001</v>
      </c>
      <c r="BA377" s="22">
        <v>1.05591E-3</v>
      </c>
      <c r="BB377" s="22">
        <v>367</v>
      </c>
      <c r="BC377" s="22">
        <v>1.7471300000000001</v>
      </c>
      <c r="BD377">
        <f t="shared" si="70"/>
        <v>-1.0559099999999999</v>
      </c>
      <c r="BE377">
        <f t="shared" si="71"/>
        <v>-1.8457834755</v>
      </c>
    </row>
    <row r="378" spans="6:57">
      <c r="F378" s="9"/>
      <c r="G378" s="22">
        <v>-0.10299700000000001</v>
      </c>
      <c r="H378" s="22">
        <v>14.601599999999999</v>
      </c>
      <c r="I378" s="22">
        <v>-1.8539400000000001E-2</v>
      </c>
      <c r="J378" s="22">
        <v>368</v>
      </c>
      <c r="K378" s="22">
        <v>-0.10363799999999999</v>
      </c>
      <c r="L378">
        <f t="shared" si="60"/>
        <v>18.539400000000001</v>
      </c>
      <c r="M378">
        <f t="shared" si="61"/>
        <v>-1.9095025818000002</v>
      </c>
      <c r="N378" s="9"/>
      <c r="O378" s="22">
        <v>1.75308</v>
      </c>
      <c r="P378" s="22">
        <v>27.4893</v>
      </c>
      <c r="Q378" s="22">
        <v>2.3626699999999999E-3</v>
      </c>
      <c r="R378" s="22">
        <v>368</v>
      </c>
      <c r="S378" s="22">
        <v>1.7520100000000001</v>
      </c>
      <c r="T378">
        <f t="shared" si="62"/>
        <v>-2.36267</v>
      </c>
      <c r="U378">
        <f t="shared" si="63"/>
        <v>-4.1419495236000001</v>
      </c>
      <c r="X378" s="9"/>
      <c r="Y378" s="22">
        <v>-0.10299700000000001</v>
      </c>
      <c r="Z378" s="22">
        <v>34.872900000000001</v>
      </c>
      <c r="AA378" s="22">
        <v>-1.85822E-2</v>
      </c>
      <c r="AB378" s="22">
        <v>368</v>
      </c>
      <c r="AC378" s="22">
        <v>-0.103729</v>
      </c>
      <c r="AD378">
        <f t="shared" si="64"/>
        <v>18.5822</v>
      </c>
      <c r="AE378">
        <f t="shared" si="65"/>
        <v>-1.9139108534000002</v>
      </c>
      <c r="AF378" s="9"/>
      <c r="AG378" s="22">
        <v>1.75308</v>
      </c>
      <c r="AH378" s="22">
        <v>39.776600000000002</v>
      </c>
      <c r="AI378" s="22">
        <v>2.1157799999999998E-3</v>
      </c>
      <c r="AJ378" s="22">
        <v>368</v>
      </c>
      <c r="AK378" s="22">
        <v>1.7520100000000001</v>
      </c>
      <c r="AL378">
        <f t="shared" si="66"/>
        <v>-2.11578</v>
      </c>
      <c r="AM378">
        <f t="shared" si="67"/>
        <v>-3.7091316023999998</v>
      </c>
      <c r="AP378" s="9"/>
      <c r="AQ378" s="22">
        <v>-0.10299700000000001</v>
      </c>
      <c r="AR378" s="22">
        <v>44.610100000000003</v>
      </c>
      <c r="AS378" s="22">
        <v>-1.8575999999999999E-2</v>
      </c>
      <c r="AT378" s="22">
        <v>368</v>
      </c>
      <c r="AU378" s="22">
        <v>-0.103363</v>
      </c>
      <c r="AV378">
        <f t="shared" si="68"/>
        <v>18.576000000000001</v>
      </c>
      <c r="AW378">
        <f t="shared" si="69"/>
        <v>-1.9132722720000002</v>
      </c>
      <c r="AX378" s="9"/>
      <c r="AY378" s="22">
        <v>1.75308</v>
      </c>
      <c r="AZ378" s="22">
        <v>49.349699999999999</v>
      </c>
      <c r="BA378" s="22">
        <v>1.90704E-3</v>
      </c>
      <c r="BB378" s="22">
        <v>368</v>
      </c>
      <c r="BC378" s="22">
        <v>1.7523200000000001</v>
      </c>
      <c r="BD378">
        <f t="shared" si="70"/>
        <v>-1.9070400000000001</v>
      </c>
      <c r="BE378">
        <f t="shared" si="71"/>
        <v>-3.3431936832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1.7416440904424979</v>
      </c>
      <c r="C6">
        <f ca="1">INDEX(INDIRECT(A6&amp;"!B11"):INDIRECT(A6&amp;"!B21"),MATCH(E6,INDIRECT(A6&amp;"!D11"):INDIRECT(A6&amp;"!D21"),0))</f>
        <v>18.498361253834396</v>
      </c>
      <c r="D6">
        <f ca="1">INDEX(INDIRECT(A6&amp;"!C11"):INDIRECT(A6&amp;"!C21"),MATCH(E6,INDIRECT(A6&amp;"!D11"):INDIRECT(A6&amp;"!D21"),0))</f>
        <v>0.71040819253006915</v>
      </c>
      <c r="E6">
        <f t="shared" ref="E6" ca="1" si="6">MAX(INDIRECT(A6&amp; "!D11"),INDIRECT(A6 &amp; "!D13"),INDIRECT(A6 &amp; "!D15"),INDIRECT(A6 &amp; "!D17"),INDIRECT(A6 &amp; "!D19"),INDIRECT(A6 &amp; "!D21"))</f>
        <v>22.887619676000003</v>
      </c>
      <c r="G6">
        <f ca="1">INDEX(INDIRECT(A6&amp;"!A12"):INDIRECT(A6&amp;"!A22"),MATCH(J6,INDIRECT(A6&amp;"!D12"):INDIRECT(A6&amp;"!D22"),0))</f>
        <v>1.7384144382285587</v>
      </c>
      <c r="H6">
        <f ca="1">INDEX(INDIRECT(A6&amp;"!B12"):INDIRECT(A6&amp;"!B22"),MATCH(J6,INDIRECT(A6&amp;"!D12"):INDIRECT(A6&amp;"!D22"),0))</f>
        <v>18.442257724461985</v>
      </c>
      <c r="I6">
        <f ca="1">INDEX(INDIRECT(A6&amp;"!C12"):INDIRECT(A6&amp;"!C22"),MATCH(J6,INDIRECT(A6&amp;"!D12"):INDIRECT(A6&amp;"!D22"),0))</f>
        <v>0.71043714561015447</v>
      </c>
      <c r="J6">
        <f t="shared" ref="J6" ca="1" si="7">MAX(INDIRECT(A6&amp; "!D12"),INDIRECT(A6 &amp; "!D14"),INDIRECT(A6 &amp; "!D16"),INDIRECT(A6 &amp; "!D18"),INDIRECT(A6 &amp; "!D20"),,INDIRECT(A6 &amp; "!D22"))</f>
        <v>22.776818856000002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20230228T090000</vt:lpstr>
      <vt:lpstr>20230302T090000</vt:lpstr>
      <vt:lpstr>20230305T090000</vt:lpstr>
      <vt:lpstr>20230307T090000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2023-03-07T01:33:02Z</dcterms:modified>
</cp:coreProperties>
</file>