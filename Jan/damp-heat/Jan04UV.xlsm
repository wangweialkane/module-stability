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01T09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7" i="65" l="1"/>
  <c r="BD7" i="65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 s="1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 s="1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 s="1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 s="1"/>
  <c r="AD110" i="65"/>
  <c r="AE110" i="65"/>
  <c r="AD111" i="65"/>
  <c r="AE111" i="65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 s="1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AV7" i="65"/>
  <c r="AU7" i="65" s="1"/>
  <c r="AK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I6" i="65" s="1"/>
  <c r="A11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M3" i="65" l="1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G3" i="63"/>
  <c r="I3" i="63"/>
  <c r="I2" i="63"/>
  <c r="B3" i="63"/>
  <c r="C3" i="63"/>
  <c r="C2" i="63"/>
  <c r="L2" i="63"/>
  <c r="H3" i="63"/>
  <c r="H2" i="63"/>
  <c r="G2" i="63"/>
  <c r="L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<sst xmlns="http://schemas.openxmlformats.org/spreadsheetml/2006/main" count="832" uniqueCount="46">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</sst>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2" sqref="F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Z1" workbookViewId="0">
      <selection activeCell="AL8" sqref="AL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11501.428260869721</v>
      </c>
      <c r="H2" s="2"/>
      <c r="I2" s="6" t="s">
        <v>12</v>
      </c>
      <c r="J2" s="2"/>
      <c r="K2" s="7" t="s">
        <v>13</v>
      </c>
      <c r="L2" s="3">
        <f>L4*I6*L9/100*100</f>
        <v>1.3360522817199996</v>
      </c>
      <c r="M2" s="8" t="s">
        <v>14</v>
      </c>
      <c r="N2" s="9"/>
      <c r="O2" s="2">
        <f>ABS(S7-S6)/ABS(T7-T6)*1000</f>
        <v>1568.2096774194151</v>
      </c>
      <c r="P2" s="2"/>
      <c r="Q2" s="6" t="s">
        <v>15</v>
      </c>
      <c r="R2" s="2"/>
      <c r="S2" s="7" t="s">
        <v>13</v>
      </c>
      <c r="T2" s="3">
        <f>T4*Q6*T9/100*100</f>
        <v>25.378720234000003</v>
      </c>
      <c r="U2" s="8" t="s">
        <v>14</v>
      </c>
      <c r="X2" s="9"/>
      <c r="Y2" s="2">
        <f>ABS(AC7-AC6)/ABS(AD7-AD6)*1000</f>
        <v>3337.3695652174365</v>
      </c>
      <c r="Z2" s="2"/>
      <c r="AA2" s="6" t="s">
        <v>12</v>
      </c>
      <c r="AB2" s="2"/>
      <c r="AC2" s="7" t="s">
        <v>13</v>
      </c>
      <c r="AD2" s="3">
        <f>AD4*AA6*AD9/100*100</f>
        <v>25.38435754799999</v>
      </c>
      <c r="AE2" s="8" t="s">
        <v>14</v>
      </c>
      <c r="AF2" s="9"/>
      <c r="AG2" s="2">
        <f>ABS(AK7-AK6)/ABS(AL7-AL6)*1000</f>
        <v>1665.4590163934442</v>
      </c>
      <c r="AH2" s="2"/>
      <c r="AI2" s="6" t="s">
        <v>15</v>
      </c>
      <c r="AJ2" s="2"/>
      <c r="AK2" s="7" t="s">
        <v>13</v>
      </c>
      <c r="AL2" s="3">
        <f>AL4*AI6*AL9/100*100</f>
        <v>25.460125632000004</v>
      </c>
      <c r="AM2" s="8" t="s">
        <v>14</v>
      </c>
      <c r="AP2" s="9"/>
      <c r="AQ2" s="2">
        <f>ABS(AU7-AU6)/ABS(AV7-AV6)*1000</f>
        <v>1609.5580645161911</v>
      </c>
      <c r="AR2" s="2"/>
      <c r="AS2" s="6" t="s">
        <v>12</v>
      </c>
      <c r="AT2" s="2"/>
      <c r="AU2" s="7" t="s">
        <v>13</v>
      </c>
      <c r="AV2" s="3">
        <f>AV4*AS6*AV9/100*100</f>
        <v>25.434656774999997</v>
      </c>
      <c r="AW2" s="8" t="s">
        <v>14</v>
      </c>
      <c r="AX2" s="9"/>
      <c r="AY2" s="2">
        <f>ABS(BC7-BC6)/ABS(BD7-BD6)*1000</f>
        <v>1142.4195652174069</v>
      </c>
      <c r="AZ2" s="2"/>
      <c r="BA2" s="6" t="s">
        <v>15</v>
      </c>
      <c r="BB2" s="2"/>
      <c r="BC2" s="7" t="s">
        <v>13</v>
      </c>
      <c r="BD2" s="3">
        <f>BD4*BA6*BD9/100*100</f>
        <v>25.460094719999997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7.8887899999999997E-2</v>
      </c>
      <c r="J3" s="2"/>
      <c r="K3" s="10">
        <f>INDEX(L11:L1056,MATCH(I3,K11:K1056,0))</f>
        <v>-68.7714</v>
      </c>
      <c r="L3" s="31" t="s">
        <v>16</v>
      </c>
      <c r="M3" s="11">
        <f>M9</f>
        <v>1.3360522817199998</v>
      </c>
      <c r="N3" s="9"/>
      <c r="O3" s="2" t="s">
        <v>44</v>
      </c>
      <c r="P3" s="2"/>
      <c r="Q3" s="2">
        <f>INDEX(S11:S1056,MATCH(0,T11:T1056,-1))</f>
        <v>1.7468300000000001</v>
      </c>
      <c r="R3" s="2"/>
      <c r="S3" s="10">
        <f>INDEX(T11:T1056,MATCH(Q3,S11:S1056,0))</f>
        <v>3.3193999999999999</v>
      </c>
      <c r="T3" s="31" t="s">
        <v>16</v>
      </c>
      <c r="U3" s="11">
        <f>U9</f>
        <v>25.378720233999999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-5.0628699999999993</v>
      </c>
      <c r="AD3" s="31" t="s">
        <v>16</v>
      </c>
      <c r="AE3" s="11">
        <f>AE9</f>
        <v>25.384357547999993</v>
      </c>
      <c r="AF3" s="9"/>
      <c r="AG3" s="2" t="s">
        <v>44</v>
      </c>
      <c r="AH3" s="2"/>
      <c r="AI3" s="2">
        <f>INDEX(AK11:AK1056,MATCH(0,AL11:AL1056,-1))</f>
        <v>1.7520100000000001</v>
      </c>
      <c r="AJ3" s="2"/>
      <c r="AK3" s="10">
        <f>INDEX(AL11:AL1056,MATCH(AI3,AK11:AK1056,0))</f>
        <v>4.3521100000000006</v>
      </c>
      <c r="AL3" s="31" t="s">
        <v>16</v>
      </c>
      <c r="AM3" s="11">
        <f>AM9</f>
        <v>25.460125632</v>
      </c>
      <c r="AP3" s="9"/>
      <c r="AQ3" s="2" t="s">
        <v>44</v>
      </c>
      <c r="AR3" s="2"/>
      <c r="AS3" s="2">
        <f>INDEX(AU11:AU856,MATCH(0,AV11:AV856,1))</f>
        <v>1.7587299999999999</v>
      </c>
      <c r="AT3" s="2"/>
      <c r="AU3" s="10">
        <f>INDEX(AV11:AV1056,MATCH(AS3,AU11:AU1056,0))</f>
        <v>-2.8274499999999998</v>
      </c>
      <c r="AV3" s="31" t="s">
        <v>16</v>
      </c>
      <c r="AW3" s="11">
        <f>AW9</f>
        <v>25.434656774999997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5.0048799999999997E-3</v>
      </c>
      <c r="BD3" s="31" t="s">
        <v>16</v>
      </c>
      <c r="BE3" s="11">
        <f>BE9</f>
        <v>25.460094720000001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7.7057009424098086E-2</v>
      </c>
      <c r="H4" s="2"/>
      <c r="I4" s="2">
        <f>INDEX(K11:K1000,1+MATCH(0,L11:L856,1))</f>
        <v>7.2174100000000005E-2</v>
      </c>
      <c r="J4" s="2"/>
      <c r="K4" s="10">
        <f>INDEX(L11:L1056,MATCH(I4,K11:K1056,0))</f>
        <v>18.356299999999997</v>
      </c>
      <c r="L4" s="30">
        <f>M3/(I6*L9)</f>
        <v>1.0059702263858168</v>
      </c>
      <c r="M4" s="8" t="s">
        <v>17</v>
      </c>
      <c r="N4" s="9"/>
      <c r="O4" s="2">
        <f>ABS(Q3-Q4)/ABS(S3-S4)*1000</f>
        <v>1.3496947102457126</v>
      </c>
      <c r="P4" s="2"/>
      <c r="Q4" s="2">
        <f>INDEX(S11:S856,1+MATCH(0,T11:T856,-1))</f>
        <v>1.7526200000000001</v>
      </c>
      <c r="R4" s="2"/>
      <c r="S4" s="10">
        <f>INDEX(T11:T856,MATCH(Q4,S11:S856,0))</f>
        <v>-0.97045899999999996</v>
      </c>
      <c r="T4" s="30">
        <f>U3/(Q6*T9)</f>
        <v>0.8432684095673586</v>
      </c>
      <c r="U4" s="8" t="s">
        <v>17</v>
      </c>
      <c r="X4" s="9"/>
      <c r="Y4" s="2">
        <f>ABS(AA3-AA4)/ABS(AC3-AC4)*1000</f>
        <v>0.83379095998088104</v>
      </c>
      <c r="Z4" s="2"/>
      <c r="AA4" s="2">
        <f>INDEX(AC11:AC1000,1+MATCH(0,AD11:AD856,1))</f>
        <v>1.7480500000000001</v>
      </c>
      <c r="AB4" s="2"/>
      <c r="AC4" s="10">
        <f>INDEX(AD11:AD1056,MATCH(AA4,AC11:AC1056,0))</f>
        <v>1.89331</v>
      </c>
      <c r="AD4" s="30">
        <f>AE3/(AA6*AD9)</f>
        <v>0.84402328788614833</v>
      </c>
      <c r="AE4" s="8" t="s">
        <v>17</v>
      </c>
      <c r="AF4" s="9"/>
      <c r="AG4" s="2">
        <f>ABS(AI3-AI4)/ABS(AK3-AK4)*1000</f>
        <v>1.217392959617269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-0.165741</v>
      </c>
      <c r="AL4" s="30">
        <f>AM3/(AI6*AL9)</f>
        <v>0.84473127994714603</v>
      </c>
      <c r="AM4" s="8" t="s">
        <v>17</v>
      </c>
      <c r="AP4" s="9"/>
      <c r="AQ4" s="2">
        <f>ABS(AS3-AS4)/ABS(AU3-AU4)*1000</f>
        <v>1.0039225993928711</v>
      </c>
      <c r="AR4" s="2"/>
      <c r="AS4" s="2">
        <f>INDEX(AU11:AU1000,1+MATCH(0,AV11:AV856,1))</f>
        <v>1.7532300000000001</v>
      </c>
      <c r="AT4" s="2"/>
      <c r="AU4" s="10">
        <f>INDEX(AV11:AV1056,MATCH(AS4,AU11:AU1056,0))</f>
        <v>2.6510599999999998</v>
      </c>
      <c r="AV4" s="30">
        <f>AW3/(AS6*AV9)</f>
        <v>0.84436246884683774</v>
      </c>
      <c r="AW4" s="8" t="s">
        <v>17</v>
      </c>
      <c r="AX4" s="9"/>
      <c r="AY4" s="2">
        <f>ABS(BA3-BA4)/ABS(BC3-BC4)*1000</f>
        <v>1.0424264351645762</v>
      </c>
      <c r="AZ4" s="2"/>
      <c r="BA4" s="2">
        <f>INDEX(BC11:BC856,1+MATCH(0,BD11:BD856,-1))</f>
        <v>1.7681899999999999</v>
      </c>
      <c r="BB4" s="2"/>
      <c r="BC4" s="10">
        <f>INDEX(BD11:BD856,MATCH(BA4,BC11:BC856,0))</f>
        <v>-5.8563200000000002</v>
      </c>
      <c r="BD4" s="30">
        <f>BE3/(BA6*BD9)</f>
        <v>0.84325319926469255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18.356299999999997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15.841699999999999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15.780599999999998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15.6952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15.713499999999998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15.744000000000002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7.3588581582091583E-2</v>
      </c>
      <c r="J6" s="30"/>
      <c r="K6" s="13">
        <f>INDEX(K11:K1056,MATCH(L6,L11:L1056,0))</f>
        <v>1.7181399999999999E-3</v>
      </c>
      <c r="L6" s="10">
        <f>INDEX(L11:L1056,MATCH(0,K11:K1056,-1))</f>
        <v>18.048100000000002</v>
      </c>
      <c r="M6" s="8" t="s">
        <v>22</v>
      </c>
      <c r="N6" s="9"/>
      <c r="O6" s="2"/>
      <c r="P6" s="2"/>
      <c r="Q6" s="32">
        <f>(Q3-Q4)/(S3-S4)*(-S4)+Q4</f>
        <v>1.7513101766211898</v>
      </c>
      <c r="R6" s="32"/>
      <c r="S6" s="13">
        <f>INDEX(S11:S1056,MATCH(T6,T11:T1056,0))</f>
        <v>-4.46167E-3</v>
      </c>
      <c r="T6" s="10">
        <f>INDEX(T11:T1056,MATCH(0,S11:S1056,1))</f>
        <v>17.1875</v>
      </c>
      <c r="U6" s="8" t="s">
        <v>22</v>
      </c>
      <c r="X6" s="9"/>
      <c r="Y6" s="2"/>
      <c r="Z6" s="2"/>
      <c r="AA6" s="30">
        <f>(AA3-AA4)/(AC3-AC4)*(-AC4)+AA4</f>
        <v>1.7496286247624415</v>
      </c>
      <c r="AB6" s="30"/>
      <c r="AC6" s="13">
        <f>INDEX(AC11:AC1056,MATCH(AD6,AD11:AD1056,0))</f>
        <v>1.73676E-2</v>
      </c>
      <c r="AD6" s="10">
        <f>INDEX(AD11:AD1056,MATCH(0,AC11:AC1056,-1))</f>
        <v>17.1844</v>
      </c>
      <c r="AE6" s="8" t="s">
        <v>22</v>
      </c>
      <c r="AF6" s="9"/>
      <c r="AG6" s="2"/>
      <c r="AH6" s="2"/>
      <c r="AI6" s="32">
        <f>(AI3-AI4)/(AK3-AK4)*(-AK4)+AI4</f>
        <v>1.75730822807348</v>
      </c>
      <c r="AJ6" s="32"/>
      <c r="AK6" s="13">
        <f>INDEX(AK11:AK1056,MATCH(AL6,AL11:AL1056,0))</f>
        <v>-4.5288100000000003E-3</v>
      </c>
      <c r="AL6" s="10">
        <f>INDEX(AL11:AL1056,MATCH(0,AK11:AK1056,1))</f>
        <v>17.1539</v>
      </c>
      <c r="AM6" s="8" t="s">
        <v>22</v>
      </c>
      <c r="AP6" s="9"/>
      <c r="AQ6" s="2"/>
      <c r="AR6" s="2"/>
      <c r="AS6" s="30">
        <f>(AS3-AS4)/(AU3-AU4)*(-AU4)+AS4</f>
        <v>1.7558914590463466</v>
      </c>
      <c r="AT6" s="30"/>
      <c r="AU6" s="13">
        <f>INDEX(AU11:AU1056,MATCH(AV6,AV11:AV1056,0))</f>
        <v>7.14417E-3</v>
      </c>
      <c r="AV6" s="10">
        <f>INDEX(AV11:AV1056,MATCH(0,AU11:AU1056,-1))</f>
        <v>17.1509</v>
      </c>
      <c r="AW6" s="8" t="s">
        <v>22</v>
      </c>
      <c r="AX6" s="9"/>
      <c r="AY6" s="2"/>
      <c r="AZ6" s="2"/>
      <c r="BA6" s="32">
        <f>(BA3-BA4)/(BC3-BC4)*(-BC4)+BA4</f>
        <v>1.762085217219217</v>
      </c>
      <c r="BB6" s="32"/>
      <c r="BC6" s="13">
        <f>INDEX(BC11:BC1056,MATCH(BD6,BD11:BD1056,0))</f>
        <v>-4.6325699999999999E-3</v>
      </c>
      <c r="BD6" s="10">
        <f>INDEX(BD11:BD1056,MATCH(0,BC11:BC1056,1))</f>
        <v>17.1387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-0.10409499999999999</v>
      </c>
      <c r="L7" s="10">
        <f>INDEX(L11:L856,1+MATCH(0,K11:K856,-1))</f>
        <v>18.038900000000002</v>
      </c>
      <c r="M7" s="12">
        <f>INDEX(K11:K1056,MATCH(M9,M11:M1056,0))</f>
        <v>7.2174100000000005E-2</v>
      </c>
      <c r="N7" s="9"/>
      <c r="O7" s="2"/>
      <c r="P7" s="2"/>
      <c r="Q7" s="2"/>
      <c r="R7" s="2"/>
      <c r="S7" s="13">
        <f>INDEX(S11:S1056,MATCH(T7,T11:T1056,0))</f>
        <v>3.9978000000000002E-4</v>
      </c>
      <c r="T7" s="10">
        <f>INDEX(T11:T1056,1+MATCH(0,S11:S1056,1))</f>
        <v>17.1844</v>
      </c>
      <c r="U7" s="12">
        <f>INDEX(S11:S1056,MATCH(U9,U11:U1056,0))</f>
        <v>1.6003400000000001</v>
      </c>
      <c r="X7" s="9"/>
      <c r="Y7" s="2"/>
      <c r="Z7" s="2"/>
      <c r="AA7" s="2"/>
      <c r="AB7" s="2"/>
      <c r="AC7" s="13">
        <f>INDEX(AC11:AC856,MATCH(AD7,AD11:AD856,1))</f>
        <v>-1.3336199999999999E-2</v>
      </c>
      <c r="AD7" s="10">
        <f>INDEX(AD11:AD856,1+MATCH(0,AC11:AC856,-1))</f>
        <v>17.1936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5.6304900000000001E-3</v>
      </c>
      <c r="AL7" s="10">
        <f>INDEX(AL11:AL1056,2+MATCH(0,AK11:AK1056,1))</f>
        <v>17.1478</v>
      </c>
      <c r="AM7" s="12">
        <f>INDEX(AK11:AK1056,MATCH(AM9,AM11:AM1056,0))</f>
        <v>1.62079</v>
      </c>
      <c r="AP7" s="9"/>
      <c r="AQ7" s="2"/>
      <c r="AR7" s="2"/>
      <c r="AS7" s="2"/>
      <c r="AT7" s="2"/>
      <c r="AU7" s="13">
        <f>INDEX(AU11:AU856,MATCH(AV7,AV11:AV856,1))</f>
        <v>1.21338E-2</v>
      </c>
      <c r="AV7" s="10">
        <f>INDEX(AV11:AV856,1+MATCH(0,AU11:AU856,-1))</f>
        <v>17.1478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13">
        <f>INDEX(BC11:BC1056,MATCH(BD7,BD11:BD1056,0))</f>
        <v>5.8776899999999997E-3</v>
      </c>
      <c r="BD7" s="10">
        <f>INDEX(BD11:BD1056,2+MATCH(0,BC11:BC1056,1))</f>
        <v>17.1295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94.735541156523396</v>
      </c>
      <c r="J9" s="2"/>
      <c r="K9" s="2"/>
      <c r="L9" s="3">
        <f>(L6-L7)/(K6-K7)*(-K7)+L7</f>
        <v>18.047950615074839</v>
      </c>
      <c r="M9" s="16">
        <f>MAX(M11:M1056)</f>
        <v>1.3360522817199998</v>
      </c>
      <c r="N9" s="9"/>
      <c r="O9" s="2"/>
      <c r="P9" s="2"/>
      <c r="Q9" s="2"/>
      <c r="R9" s="2"/>
      <c r="S9" s="2"/>
      <c r="T9" s="3">
        <f>(T6-T7)/(S6-S7)*(-S7)+T7</f>
        <v>17.184654927645045</v>
      </c>
      <c r="U9" s="16">
        <f>MAX(U11:U1056)</f>
        <v>25.378720233999999</v>
      </c>
      <c r="X9" s="9"/>
      <c r="Y9" s="2"/>
      <c r="Z9" s="2"/>
      <c r="AA9" s="15">
        <f>(MAX(AD2,AL2)-MIN(AD2,AL2))/MAX(AD2,AL2)%</f>
        <v>0.29759509083012409</v>
      </c>
      <c r="AB9" s="2"/>
      <c r="AC9" s="2"/>
      <c r="AD9" s="3">
        <f>(AD6-AD7)/(AC6-AC7)*(-AC7)+AD7</f>
        <v>17.189603978660621</v>
      </c>
      <c r="AE9" s="16">
        <f>MAX(AE11:AE1056)</f>
        <v>25.384357547999993</v>
      </c>
      <c r="AF9" s="9"/>
      <c r="AG9" s="2"/>
      <c r="AH9" s="2"/>
      <c r="AI9" s="2"/>
      <c r="AJ9" s="2"/>
      <c r="AK9" s="2"/>
      <c r="AL9" s="3">
        <f>(AL6-AL7)/(AK6-AK7)*(-AK7)+AL7</f>
        <v>17.151180743653597</v>
      </c>
      <c r="AM9" s="16">
        <f>MAX(AM11:AM1056)</f>
        <v>25.460125632</v>
      </c>
      <c r="AP9" s="9"/>
      <c r="AQ9" s="2"/>
      <c r="AR9" s="2"/>
      <c r="AS9" s="15">
        <f>(MAX(AV2,BD2)-MIN(AV2,BD2))/MAX(AV2,BD2)%</f>
        <v>9.9913002208972868E-2</v>
      </c>
      <c r="AT9" s="2"/>
      <c r="AU9" s="2"/>
      <c r="AV9" s="3">
        <f>(AV6-AV7)/(AU6-AU7)*(-AU7)+AV7</f>
        <v>17.155338591037811</v>
      </c>
      <c r="AW9" s="16">
        <f>MAX(AW11:AW1056)</f>
        <v>25.434656774999997</v>
      </c>
      <c r="AX9" s="9"/>
      <c r="AY9" s="2"/>
      <c r="AZ9" s="2"/>
      <c r="BA9" s="2"/>
      <c r="BB9" s="2"/>
      <c r="BC9" s="2"/>
      <c r="BD9" s="3">
        <f>(BD6-BD7)/(BC6-BC7)*(-BC7)+BD7</f>
        <v>17.134644948650177</v>
      </c>
      <c r="BE9" s="16">
        <f>MAX(BE11:BE1056)</f>
        <v>25.460094720000001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7.3588581582091583E-2</v>
      </c>
      <c r="B11" s="19">
        <f>IFERROR(L9,0)</f>
        <v>18.047950615074839</v>
      </c>
      <c r="C11" s="20">
        <f>IFERROR(L4,0)</f>
        <v>1.0059702263858168</v>
      </c>
      <c r="D11" s="21">
        <f>IFERROR(L2,0)</f>
        <v>1.3360522817199996</v>
      </c>
      <c r="E11" s="21">
        <f>IFERROR(I9,0)</f>
        <v>94.735541156523396</v>
      </c>
      <c r="F11" s="9"/>
      <c r="G11" s="22">
        <v>1.7948900000000001</v>
      </c>
      <c r="H11" s="22">
        <v>27.621099999999998</v>
      </c>
      <c r="I11" s="22">
        <v>0.1</v>
      </c>
      <c r="J11" s="22">
        <v>1</v>
      </c>
      <c r="K11" s="22">
        <v>8.0047599999999997E-2</v>
      </c>
      <c r="L11">
        <f>-I11/$F$2*1000</f>
        <v>-100</v>
      </c>
      <c r="M11">
        <f>L11*G11</f>
        <v>-179.489</v>
      </c>
      <c r="N11" s="9"/>
      <c r="O11" s="22">
        <v>-9.49097E-2</v>
      </c>
      <c r="P11" s="22">
        <v>138.548</v>
      </c>
      <c r="Q11" s="22">
        <v>-1.72333E-2</v>
      </c>
      <c r="R11" s="22">
        <v>1</v>
      </c>
      <c r="S11" s="22">
        <v>-9.5611600000000005E-2</v>
      </c>
      <c r="T11">
        <f>-Q11/$F$2*1000</f>
        <v>17.2333</v>
      </c>
      <c r="U11">
        <f>T11*O11</f>
        <v>-1.6356073330100001</v>
      </c>
      <c r="V11" s="23"/>
      <c r="W11" s="24"/>
      <c r="X11" s="9"/>
      <c r="Y11" s="22">
        <v>1.7948900000000001</v>
      </c>
      <c r="Z11" s="22">
        <v>202.13399999999999</v>
      </c>
      <c r="AA11" s="22">
        <v>7.4920700000000007E-2</v>
      </c>
      <c r="AB11" s="22">
        <v>1</v>
      </c>
      <c r="AC11" s="22">
        <v>1.79382</v>
      </c>
      <c r="AD11">
        <f>-AA11/$F$2*1000</f>
        <v>-74.920700000000011</v>
      </c>
      <c r="AE11">
        <f>AD11*Y11</f>
        <v>-134.47441522300002</v>
      </c>
      <c r="AF11" s="9"/>
      <c r="AG11" s="22">
        <v>-9.49097E-2</v>
      </c>
      <c r="AH11" s="22">
        <v>334.46699999999998</v>
      </c>
      <c r="AI11" s="22">
        <v>-1.71936E-2</v>
      </c>
      <c r="AJ11" s="22">
        <v>1</v>
      </c>
      <c r="AK11" s="22">
        <v>-9.5550499999999997E-2</v>
      </c>
      <c r="AL11">
        <f>-AI11/$F$2*1000</f>
        <v>17.1936</v>
      </c>
      <c r="AM11">
        <f>AL11*AG11</f>
        <v>-1.63183941792</v>
      </c>
      <c r="AP11" s="9"/>
      <c r="AQ11" s="22">
        <v>1.7948900000000001</v>
      </c>
      <c r="AR11" s="22">
        <v>403.55700000000002</v>
      </c>
      <c r="AS11" s="22">
        <v>6.9213899999999995E-2</v>
      </c>
      <c r="AT11" s="22">
        <v>1</v>
      </c>
      <c r="AU11" s="22">
        <v>1.79474</v>
      </c>
      <c r="AV11">
        <f>-AS11/$F$2*1000</f>
        <v>-69.213899999999995</v>
      </c>
      <c r="AW11">
        <f>AV11*AQ11</f>
        <v>-124.231336971</v>
      </c>
      <c r="AX11" s="9"/>
      <c r="AY11" s="22">
        <v>-9.49097E-2</v>
      </c>
      <c r="AZ11" s="22">
        <v>464.39</v>
      </c>
      <c r="BA11" s="22">
        <v>-1.7178300000000001E-2</v>
      </c>
      <c r="BB11" s="22">
        <v>1</v>
      </c>
      <c r="BC11" s="22">
        <v>-9.5489500000000005E-2</v>
      </c>
      <c r="BD11">
        <f>-BA11/$F$2*1000</f>
        <v>17.1783</v>
      </c>
      <c r="BE11">
        <f>BD11*AY11</f>
        <v>-1.6303872995099999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1.7513101766211898</v>
      </c>
      <c r="B12" s="19">
        <f>IFERROR(T9,0)</f>
        <v>17.184654927645045</v>
      </c>
      <c r="C12" s="20">
        <f>IFERROR(T4,0)</f>
        <v>0.8432684095673586</v>
      </c>
      <c r="D12" s="21">
        <f>IFERROR(T2,0)</f>
        <v>25.378720234000003</v>
      </c>
      <c r="E12" s="21"/>
      <c r="F12" s="9"/>
      <c r="G12" s="22">
        <v>1.78986</v>
      </c>
      <c r="H12" s="22">
        <v>27.721800000000002</v>
      </c>
      <c r="I12" s="22">
        <v>0.1</v>
      </c>
      <c r="J12" s="22">
        <v>2</v>
      </c>
      <c r="K12" s="22">
        <v>7.9925499999999997E-2</v>
      </c>
      <c r="L12">
        <f t="shared" ref="L12:L75" si="0">-I12/$F$2*1000</f>
        <v>-100</v>
      </c>
      <c r="M12">
        <f t="shared" ref="M12:M75" si="1">L12*G12</f>
        <v>-178.98599999999999</v>
      </c>
      <c r="N12" s="9"/>
      <c r="O12" s="22">
        <v>-8.9874300000000004E-2</v>
      </c>
      <c r="P12" s="22">
        <v>138.649</v>
      </c>
      <c r="Q12" s="22">
        <v>-1.7227200000000002E-2</v>
      </c>
      <c r="R12" s="22">
        <v>2</v>
      </c>
      <c r="S12" s="22">
        <v>-9.0331999999999996E-2</v>
      </c>
      <c r="T12">
        <f t="shared" ref="T12:T75" si="2">-Q12/$F$2*1000</f>
        <v>17.2272</v>
      </c>
      <c r="U12">
        <f t="shared" ref="U12:U75" si="3">T12*O12</f>
        <v>-1.5482825409600001</v>
      </c>
      <c r="V12" s="23"/>
      <c r="W12" s="24"/>
      <c r="X12" s="9"/>
      <c r="Y12" s="22">
        <v>1.78986</v>
      </c>
      <c r="Z12" s="22">
        <v>202.23500000000001</v>
      </c>
      <c r="AA12" s="22">
        <v>6.6009499999999999E-2</v>
      </c>
      <c r="AB12" s="22">
        <v>2</v>
      </c>
      <c r="AC12" s="22">
        <v>1.78925</v>
      </c>
      <c r="AD12">
        <f t="shared" ref="AD12:AD75" si="4">-AA12/$F$2*1000</f>
        <v>-66.009500000000003</v>
      </c>
      <c r="AE12">
        <f t="shared" ref="AE12:AE75" si="5">AD12*Y12</f>
        <v>-118.14776367</v>
      </c>
      <c r="AF12" s="9"/>
      <c r="AG12" s="22">
        <v>-8.9874300000000004E-2</v>
      </c>
      <c r="AH12" s="22">
        <v>334.56799999999998</v>
      </c>
      <c r="AI12" s="22">
        <v>-1.71906E-2</v>
      </c>
      <c r="AJ12" s="22">
        <v>2</v>
      </c>
      <c r="AK12" s="22">
        <v>-9.0606699999999998E-2</v>
      </c>
      <c r="AL12">
        <f t="shared" ref="AL12:AL75" si="6">-AI12/$F$2*1000</f>
        <v>17.1906</v>
      </c>
      <c r="AM12">
        <f t="shared" ref="AM12:AM75" si="7">AL12*AG12</f>
        <v>-1.54499314158</v>
      </c>
      <c r="AP12" s="9"/>
      <c r="AQ12" s="22">
        <v>1.78986</v>
      </c>
      <c r="AR12" s="22">
        <v>403.65800000000002</v>
      </c>
      <c r="AS12" s="22">
        <v>5.8959999999999999E-2</v>
      </c>
      <c r="AT12" s="22">
        <v>2</v>
      </c>
      <c r="AU12" s="22">
        <v>1.78955</v>
      </c>
      <c r="AV12">
        <f t="shared" ref="AV12:AV75" si="8">-AS12/$F$2*1000</f>
        <v>-58.96</v>
      </c>
      <c r="AW12">
        <f t="shared" ref="AW12:AW75" si="9">AV12*AQ12</f>
        <v>-105.5301456</v>
      </c>
      <c r="AX12" s="9"/>
      <c r="AY12" s="22">
        <v>-8.9874300000000004E-2</v>
      </c>
      <c r="AZ12" s="22">
        <v>464.49099999999999</v>
      </c>
      <c r="BA12" s="22">
        <v>-1.7172199999999999E-2</v>
      </c>
      <c r="BB12" s="22">
        <v>2</v>
      </c>
      <c r="BC12" s="22">
        <v>-9.0393100000000004E-2</v>
      </c>
      <c r="BD12">
        <f t="shared" ref="BD12:BD75" si="10">-BA12/$F$2*1000</f>
        <v>17.1722</v>
      </c>
      <c r="BE12">
        <f t="shared" ref="BE12:BE75" si="11">BD12*AY12</f>
        <v>-1.5433394544600001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1.7496286247624415</v>
      </c>
      <c r="B13" s="19">
        <f>IFERROR(AD9,0)</f>
        <v>17.189603978660621</v>
      </c>
      <c r="C13" s="20">
        <f>IFERROR(AD4,0)</f>
        <v>0.84402328788614833</v>
      </c>
      <c r="D13" s="21">
        <f>IFERROR(AD2,0)</f>
        <v>25.38435754799999</v>
      </c>
      <c r="E13" s="21">
        <f>IFERROR(AA9,0)</f>
        <v>0.29759509083012409</v>
      </c>
      <c r="F13" s="9"/>
      <c r="G13" s="22">
        <v>1.7848200000000001</v>
      </c>
      <c r="H13" s="22">
        <v>27.822500000000002</v>
      </c>
      <c r="I13" s="22">
        <v>0.1</v>
      </c>
      <c r="J13" s="22">
        <v>3</v>
      </c>
      <c r="K13" s="22">
        <v>7.9803499999999999E-2</v>
      </c>
      <c r="L13">
        <f t="shared" si="0"/>
        <v>-100</v>
      </c>
      <c r="M13">
        <f t="shared" si="1"/>
        <v>-178.482</v>
      </c>
      <c r="N13" s="9"/>
      <c r="O13" s="22">
        <v>-8.4838899999999995E-2</v>
      </c>
      <c r="P13" s="22">
        <v>138.749</v>
      </c>
      <c r="Q13" s="22">
        <v>-1.7224099999999999E-2</v>
      </c>
      <c r="R13" s="22">
        <v>3</v>
      </c>
      <c r="S13" s="22">
        <v>-8.5479700000000006E-2</v>
      </c>
      <c r="T13">
        <f t="shared" si="2"/>
        <v>17.2241</v>
      </c>
      <c r="U13">
        <f t="shared" si="3"/>
        <v>-1.4612736974899998</v>
      </c>
      <c r="V13" s="23"/>
      <c r="W13" s="24"/>
      <c r="X13" s="9"/>
      <c r="Y13" s="22">
        <v>1.7848200000000001</v>
      </c>
      <c r="Z13" s="22">
        <v>202.33500000000001</v>
      </c>
      <c r="AA13" s="22">
        <v>5.7128900000000003E-2</v>
      </c>
      <c r="AB13" s="22">
        <v>3</v>
      </c>
      <c r="AC13" s="22">
        <v>1.7843599999999999</v>
      </c>
      <c r="AD13">
        <f t="shared" si="4"/>
        <v>-57.128900000000002</v>
      </c>
      <c r="AE13">
        <f t="shared" si="5"/>
        <v>-101.96480329800001</v>
      </c>
      <c r="AF13" s="9"/>
      <c r="AG13" s="22">
        <v>-8.4838899999999995E-2</v>
      </c>
      <c r="AH13" s="22">
        <v>334.66899999999998</v>
      </c>
      <c r="AI13" s="22">
        <v>-1.7187500000000001E-2</v>
      </c>
      <c r="AJ13" s="22">
        <v>3</v>
      </c>
      <c r="AK13" s="22">
        <v>-8.54187E-2</v>
      </c>
      <c r="AL13">
        <f t="shared" si="6"/>
        <v>17.1875</v>
      </c>
      <c r="AM13">
        <f t="shared" si="7"/>
        <v>-1.45816859375</v>
      </c>
      <c r="AP13" s="9"/>
      <c r="AQ13" s="22">
        <v>1.7848200000000001</v>
      </c>
      <c r="AR13" s="22">
        <v>403.75900000000001</v>
      </c>
      <c r="AS13" s="22">
        <v>4.8803699999999998E-2</v>
      </c>
      <c r="AT13" s="22">
        <v>3</v>
      </c>
      <c r="AU13" s="22">
        <v>1.7837499999999999</v>
      </c>
      <c r="AV13">
        <f t="shared" si="8"/>
        <v>-48.803699999999999</v>
      </c>
      <c r="AW13">
        <f t="shared" si="9"/>
        <v>-87.105819834000002</v>
      </c>
      <c r="AX13" s="9"/>
      <c r="AY13" s="22">
        <v>-8.4838899999999995E-2</v>
      </c>
      <c r="AZ13" s="22">
        <v>464.59199999999998</v>
      </c>
      <c r="BA13" s="22">
        <v>-1.7175300000000001E-2</v>
      </c>
      <c r="BB13" s="22">
        <v>3</v>
      </c>
      <c r="BC13" s="22">
        <v>-8.5327100000000003E-2</v>
      </c>
      <c r="BD13">
        <f t="shared" si="10"/>
        <v>17.1753</v>
      </c>
      <c r="BE13">
        <f t="shared" si="11"/>
        <v>-1.4571335591699999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1.75730822807348</v>
      </c>
      <c r="B14" s="19">
        <f>IFERROR(AL9,0)</f>
        <v>17.151180743653597</v>
      </c>
      <c r="C14" s="20">
        <f>IFERROR(AL4,0)</f>
        <v>0.84473127994714603</v>
      </c>
      <c r="D14" s="21">
        <f>IFERROR(AL2,0)</f>
        <v>25.460125632000004</v>
      </c>
      <c r="E14" s="21"/>
      <c r="F14" s="9"/>
      <c r="G14" s="22">
        <v>1.77979</v>
      </c>
      <c r="H14" s="22">
        <v>27.923200000000001</v>
      </c>
      <c r="I14" s="22">
        <v>0.1</v>
      </c>
      <c r="J14" s="22">
        <v>4</v>
      </c>
      <c r="K14" s="22">
        <v>7.9742400000000005E-2</v>
      </c>
      <c r="L14">
        <f t="shared" si="0"/>
        <v>-100</v>
      </c>
      <c r="M14">
        <f t="shared" si="1"/>
        <v>-177.97899999999998</v>
      </c>
      <c r="N14" s="9"/>
      <c r="O14" s="22">
        <v>-7.9803499999999999E-2</v>
      </c>
      <c r="P14" s="22">
        <v>138.85</v>
      </c>
      <c r="Q14" s="22">
        <v>-1.7218000000000001E-2</v>
      </c>
      <c r="R14" s="22">
        <v>4</v>
      </c>
      <c r="S14" s="22">
        <v>-8.0444299999999996E-2</v>
      </c>
      <c r="T14">
        <f t="shared" si="2"/>
        <v>17.218</v>
      </c>
      <c r="U14">
        <f t="shared" si="3"/>
        <v>-1.374056663</v>
      </c>
      <c r="V14" s="23"/>
      <c r="W14" s="24"/>
      <c r="X14" s="9"/>
      <c r="Y14" s="22">
        <v>1.77979</v>
      </c>
      <c r="Z14" s="22">
        <v>202.43600000000001</v>
      </c>
      <c r="AA14" s="22">
        <v>4.8104899999999999E-2</v>
      </c>
      <c r="AB14" s="22">
        <v>4</v>
      </c>
      <c r="AC14" s="22">
        <v>1.7791699999999999</v>
      </c>
      <c r="AD14">
        <f t="shared" si="4"/>
        <v>-48.104900000000001</v>
      </c>
      <c r="AE14">
        <f t="shared" si="5"/>
        <v>-85.616619971000006</v>
      </c>
      <c r="AF14" s="9"/>
      <c r="AG14" s="22">
        <v>-7.9803499999999999E-2</v>
      </c>
      <c r="AH14" s="22">
        <v>334.76900000000001</v>
      </c>
      <c r="AI14" s="22">
        <v>-1.7184399999999999E-2</v>
      </c>
      <c r="AJ14" s="22">
        <v>4</v>
      </c>
      <c r="AK14" s="22">
        <v>-8.0657999999999994E-2</v>
      </c>
      <c r="AL14">
        <f t="shared" si="6"/>
        <v>17.1844</v>
      </c>
      <c r="AM14">
        <f t="shared" si="7"/>
        <v>-1.3713752654</v>
      </c>
      <c r="AP14" s="9"/>
      <c r="AQ14" s="22">
        <v>1.77979</v>
      </c>
      <c r="AR14" s="22">
        <v>403.85899999999998</v>
      </c>
      <c r="AS14" s="22">
        <v>3.8616900000000003E-2</v>
      </c>
      <c r="AT14" s="22">
        <v>4</v>
      </c>
      <c r="AU14" s="22">
        <v>1.7791699999999999</v>
      </c>
      <c r="AV14">
        <f t="shared" si="8"/>
        <v>-38.616900000000001</v>
      </c>
      <c r="AW14">
        <f t="shared" si="9"/>
        <v>-68.729972450999995</v>
      </c>
      <c r="AX14" s="9"/>
      <c r="AY14" s="22">
        <v>-7.9803499999999999E-2</v>
      </c>
      <c r="AZ14" s="22">
        <v>464.69200000000001</v>
      </c>
      <c r="BA14" s="22">
        <v>-1.7169199999999999E-2</v>
      </c>
      <c r="BB14" s="22">
        <v>4</v>
      </c>
      <c r="BC14" s="22">
        <v>-8.0383300000000005E-2</v>
      </c>
      <c r="BD14">
        <f t="shared" si="10"/>
        <v>17.1692</v>
      </c>
      <c r="BE14">
        <f t="shared" si="11"/>
        <v>-1.3701622522000001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1.7558914590463466</v>
      </c>
      <c r="B15" s="19">
        <f>IFERROR(AV9,0)</f>
        <v>17.155338591037811</v>
      </c>
      <c r="C15" s="20">
        <f>IFERROR(AV4,0)</f>
        <v>0.84436246884683774</v>
      </c>
      <c r="D15" s="21">
        <f>IFERROR(AV2,0)</f>
        <v>25.434656774999997</v>
      </c>
      <c r="E15" s="21">
        <f>IFERROR(AS9,0)</f>
        <v>9.9913002208972868E-2</v>
      </c>
      <c r="F15" s="9"/>
      <c r="G15" s="22">
        <v>1.77475</v>
      </c>
      <c r="H15" s="22">
        <v>28.023900000000001</v>
      </c>
      <c r="I15" s="22">
        <v>9.5938099999999998E-2</v>
      </c>
      <c r="J15" s="22">
        <v>5</v>
      </c>
      <c r="K15" s="22">
        <v>7.9589800000000002E-2</v>
      </c>
      <c r="L15">
        <f t="shared" si="0"/>
        <v>-95.938099999999991</v>
      </c>
      <c r="M15">
        <f t="shared" si="1"/>
        <v>-170.26614297499998</v>
      </c>
      <c r="N15" s="9"/>
      <c r="O15" s="22">
        <v>-7.4768100000000004E-2</v>
      </c>
      <c r="P15" s="22">
        <v>138.95099999999999</v>
      </c>
      <c r="Q15" s="22">
        <v>-1.72211E-2</v>
      </c>
      <c r="R15" s="22">
        <v>5</v>
      </c>
      <c r="S15" s="22">
        <v>-7.5286900000000004E-2</v>
      </c>
      <c r="T15">
        <f t="shared" si="2"/>
        <v>17.2211</v>
      </c>
      <c r="U15">
        <f t="shared" si="3"/>
        <v>-1.28758892691</v>
      </c>
      <c r="V15" s="23"/>
      <c r="W15" s="24"/>
      <c r="X15" s="9"/>
      <c r="Y15" s="22">
        <v>1.77475</v>
      </c>
      <c r="Z15" s="22">
        <v>202.53700000000001</v>
      </c>
      <c r="AA15" s="22">
        <v>3.9437899999999998E-2</v>
      </c>
      <c r="AB15" s="22">
        <v>5</v>
      </c>
      <c r="AC15" s="22">
        <v>1.7736799999999999</v>
      </c>
      <c r="AD15">
        <f t="shared" si="4"/>
        <v>-39.437899999999999</v>
      </c>
      <c r="AE15">
        <f t="shared" si="5"/>
        <v>-69.992413025000005</v>
      </c>
      <c r="AF15" s="9"/>
      <c r="AG15" s="22">
        <v>-7.4768100000000004E-2</v>
      </c>
      <c r="AH15" s="22">
        <v>334.87</v>
      </c>
      <c r="AI15" s="22">
        <v>-1.7187500000000001E-2</v>
      </c>
      <c r="AJ15" s="22">
        <v>5</v>
      </c>
      <c r="AK15" s="22">
        <v>-7.5256299999999998E-2</v>
      </c>
      <c r="AL15">
        <f t="shared" si="6"/>
        <v>17.1875</v>
      </c>
      <c r="AM15">
        <f t="shared" si="7"/>
        <v>-1.2850767187500001</v>
      </c>
      <c r="AP15" s="9"/>
      <c r="AQ15" s="22">
        <v>1.77475</v>
      </c>
      <c r="AR15" s="22">
        <v>403.96</v>
      </c>
      <c r="AS15" s="22">
        <v>2.8793300000000001E-2</v>
      </c>
      <c r="AT15" s="22">
        <v>5</v>
      </c>
      <c r="AU15" s="22">
        <v>1.77399</v>
      </c>
      <c r="AV15">
        <f t="shared" si="8"/>
        <v>-28.793300000000002</v>
      </c>
      <c r="AW15">
        <f t="shared" si="9"/>
        <v>-51.100909175000005</v>
      </c>
      <c r="AX15" s="9"/>
      <c r="AY15" s="22">
        <v>-7.4768100000000004E-2</v>
      </c>
      <c r="AZ15" s="22">
        <v>464.79300000000001</v>
      </c>
      <c r="BA15" s="22">
        <v>-1.7169199999999999E-2</v>
      </c>
      <c r="BB15" s="22">
        <v>5</v>
      </c>
      <c r="BC15" s="22">
        <v>-7.5378399999999998E-2</v>
      </c>
      <c r="BD15">
        <f t="shared" si="10"/>
        <v>17.1692</v>
      </c>
      <c r="BE15">
        <f t="shared" si="11"/>
        <v>-1.2837084625200001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1.762085217219217</v>
      </c>
      <c r="B16" s="19">
        <f>IFERROR(BD9,0)</f>
        <v>17.134644948650177</v>
      </c>
      <c r="C16" s="20">
        <f>IFERROR(BD4,0)</f>
        <v>0.84325319926469255</v>
      </c>
      <c r="D16" s="21">
        <f>IFERROR(BD2,0)</f>
        <v>25.460094719999997</v>
      </c>
      <c r="E16" s="21"/>
      <c r="F16" s="9"/>
      <c r="G16" s="22">
        <v>1.7697099999999999</v>
      </c>
      <c r="H16" s="22">
        <v>28.124600000000001</v>
      </c>
      <c r="I16" s="22">
        <v>9.7271700000000003E-2</v>
      </c>
      <c r="J16" s="22">
        <v>6</v>
      </c>
      <c r="K16" s="22">
        <v>7.9467800000000005E-2</v>
      </c>
      <c r="L16">
        <f t="shared" si="0"/>
        <v>-97.271699999999996</v>
      </c>
      <c r="M16">
        <f t="shared" si="1"/>
        <v>-172.14270020699999</v>
      </c>
      <c r="N16" s="9"/>
      <c r="O16" s="22">
        <v>-6.9732699999999995E-2</v>
      </c>
      <c r="P16" s="22">
        <v>139.05199999999999</v>
      </c>
      <c r="Q16" s="22">
        <v>-1.7215000000000001E-2</v>
      </c>
      <c r="R16" s="22">
        <v>6</v>
      </c>
      <c r="S16" s="22">
        <v>-7.03125E-2</v>
      </c>
      <c r="T16">
        <f t="shared" si="2"/>
        <v>17.215</v>
      </c>
      <c r="U16">
        <f t="shared" si="3"/>
        <v>-1.2004484304999998</v>
      </c>
      <c r="V16" s="23"/>
      <c r="W16" s="24"/>
      <c r="X16" s="9"/>
      <c r="Y16" s="22">
        <v>1.7697099999999999</v>
      </c>
      <c r="Z16" s="22">
        <v>202.637</v>
      </c>
      <c r="AA16" s="22">
        <v>3.0706799999999999E-2</v>
      </c>
      <c r="AB16" s="22">
        <v>6</v>
      </c>
      <c r="AC16" s="22">
        <v>1.7687999999999999</v>
      </c>
      <c r="AD16">
        <f t="shared" si="4"/>
        <v>-30.706799999999998</v>
      </c>
      <c r="AE16">
        <f t="shared" si="5"/>
        <v>-54.34213102799999</v>
      </c>
      <c r="AF16" s="9"/>
      <c r="AG16" s="22">
        <v>-6.9732699999999995E-2</v>
      </c>
      <c r="AH16" s="22">
        <v>334.971</v>
      </c>
      <c r="AI16" s="22">
        <v>-1.7178300000000001E-2</v>
      </c>
      <c r="AJ16" s="22">
        <v>6</v>
      </c>
      <c r="AK16" s="22">
        <v>-7.0373500000000005E-2</v>
      </c>
      <c r="AL16">
        <f t="shared" si="6"/>
        <v>17.1783</v>
      </c>
      <c r="AM16">
        <f t="shared" si="7"/>
        <v>-1.1978892404099999</v>
      </c>
      <c r="AP16" s="9"/>
      <c r="AQ16" s="22">
        <v>1.7697099999999999</v>
      </c>
      <c r="AR16" s="22">
        <v>404.06099999999998</v>
      </c>
      <c r="AS16" s="22">
        <v>1.9101E-2</v>
      </c>
      <c r="AT16" s="22">
        <v>6</v>
      </c>
      <c r="AU16" s="22">
        <v>1.7690999999999999</v>
      </c>
      <c r="AV16">
        <f t="shared" si="8"/>
        <v>-19.100999999999999</v>
      </c>
      <c r="AW16">
        <f t="shared" si="9"/>
        <v>-33.803230709999994</v>
      </c>
      <c r="AX16" s="9"/>
      <c r="AY16" s="22">
        <v>-6.9732699999999995E-2</v>
      </c>
      <c r="AZ16" s="22">
        <v>464.89400000000001</v>
      </c>
      <c r="BA16" s="22">
        <v>-1.7163100000000001E-2</v>
      </c>
      <c r="BB16" s="22">
        <v>6</v>
      </c>
      <c r="BC16" s="22">
        <v>-7.01904E-2</v>
      </c>
      <c r="BD16">
        <f t="shared" si="10"/>
        <v>17.1631</v>
      </c>
      <c r="BE16">
        <f t="shared" si="11"/>
        <v>-1.1968293033699999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28.225300000000001</v>
      </c>
      <c r="I17" s="22">
        <v>9.4018599999999994E-2</v>
      </c>
      <c r="J17" s="22">
        <v>7</v>
      </c>
      <c r="K17" s="22">
        <v>7.9345700000000005E-2</v>
      </c>
      <c r="L17">
        <f t="shared" si="0"/>
        <v>-94.018599999999992</v>
      </c>
      <c r="M17">
        <f t="shared" si="1"/>
        <v>-165.91274304799998</v>
      </c>
      <c r="N17" s="9"/>
      <c r="O17" s="22">
        <v>-6.4697299999999999E-2</v>
      </c>
      <c r="P17" s="22">
        <v>139.15199999999999</v>
      </c>
      <c r="Q17" s="22">
        <v>-1.7211899999999999E-2</v>
      </c>
      <c r="R17" s="22">
        <v>7</v>
      </c>
      <c r="S17" s="22">
        <v>-6.4880400000000005E-2</v>
      </c>
      <c r="T17">
        <f t="shared" si="2"/>
        <v>17.2119</v>
      </c>
      <c r="U17">
        <f t="shared" si="3"/>
        <v>-1.11356345787</v>
      </c>
      <c r="V17" s="23"/>
      <c r="W17" s="24"/>
      <c r="X17" s="9"/>
      <c r="Y17" s="22">
        <v>1.76468</v>
      </c>
      <c r="Z17" s="22">
        <v>202.738</v>
      </c>
      <c r="AA17" s="22">
        <v>2.2009299999999999E-2</v>
      </c>
      <c r="AB17" s="22">
        <v>7</v>
      </c>
      <c r="AC17" s="22">
        <v>1.7639199999999999</v>
      </c>
      <c r="AD17">
        <f t="shared" si="4"/>
        <v>-22.0093</v>
      </c>
      <c r="AE17">
        <f t="shared" si="5"/>
        <v>-38.839371524000001</v>
      </c>
      <c r="AF17" s="9"/>
      <c r="AG17" s="22">
        <v>-6.4697299999999999E-2</v>
      </c>
      <c r="AH17" s="22">
        <v>335.07100000000003</v>
      </c>
      <c r="AI17" s="22">
        <v>-1.7172199999999999E-2</v>
      </c>
      <c r="AJ17" s="22">
        <v>7</v>
      </c>
      <c r="AK17" s="22">
        <v>-6.5307599999999993E-2</v>
      </c>
      <c r="AL17">
        <f t="shared" si="6"/>
        <v>17.1722</v>
      </c>
      <c r="AM17">
        <f t="shared" si="7"/>
        <v>-1.1109949750599999</v>
      </c>
      <c r="AP17" s="9"/>
      <c r="AQ17" s="22">
        <v>1.76468</v>
      </c>
      <c r="AR17" s="22">
        <v>404.16199999999998</v>
      </c>
      <c r="AS17" s="22">
        <v>1.04034E-2</v>
      </c>
      <c r="AT17" s="22">
        <v>7</v>
      </c>
      <c r="AU17" s="22">
        <v>1.7642199999999999</v>
      </c>
      <c r="AV17">
        <f t="shared" si="8"/>
        <v>-10.4034</v>
      </c>
      <c r="AW17">
        <f t="shared" si="9"/>
        <v>-18.358671911999998</v>
      </c>
      <c r="AX17" s="9"/>
      <c r="AY17" s="22">
        <v>-6.4697299999999999E-2</v>
      </c>
      <c r="AZ17" s="22">
        <v>464.995</v>
      </c>
      <c r="BA17" s="22">
        <v>-1.7163100000000001E-2</v>
      </c>
      <c r="BB17" s="22">
        <v>7</v>
      </c>
      <c r="BC17" s="22">
        <v>-6.5277100000000005E-2</v>
      </c>
      <c r="BD17">
        <f t="shared" si="10"/>
        <v>17.1631</v>
      </c>
      <c r="BE17">
        <f t="shared" si="11"/>
        <v>-1.1104062296299999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28.326000000000001</v>
      </c>
      <c r="I18" s="22">
        <v>9.2068499999999998E-2</v>
      </c>
      <c r="J18" s="22">
        <v>8</v>
      </c>
      <c r="K18" s="22">
        <v>7.9315200000000002E-2</v>
      </c>
      <c r="L18">
        <f t="shared" si="0"/>
        <v>-92.0685</v>
      </c>
      <c r="M18">
        <f t="shared" si="1"/>
        <v>-162.00741534000002</v>
      </c>
      <c r="N18" s="9"/>
      <c r="O18" s="22">
        <v>-5.9661899999999997E-2</v>
      </c>
      <c r="P18" s="22">
        <v>139.25299999999999</v>
      </c>
      <c r="Q18" s="22">
        <v>-1.7211899999999999E-2</v>
      </c>
      <c r="R18" s="22">
        <v>8</v>
      </c>
      <c r="S18" s="22">
        <v>-6.0058599999999997E-2</v>
      </c>
      <c r="T18">
        <f t="shared" si="2"/>
        <v>17.2119</v>
      </c>
      <c r="U18">
        <f t="shared" si="3"/>
        <v>-1.0268946566099999</v>
      </c>
      <c r="V18" s="23"/>
      <c r="W18" s="24"/>
      <c r="X18" s="9"/>
      <c r="Y18" s="22">
        <v>1.7596400000000001</v>
      </c>
      <c r="Z18" s="22">
        <v>202.839</v>
      </c>
      <c r="AA18" s="22">
        <v>1.34521E-2</v>
      </c>
      <c r="AB18" s="22">
        <v>8</v>
      </c>
      <c r="AC18" s="22">
        <v>1.7590300000000001</v>
      </c>
      <c r="AD18">
        <f t="shared" si="4"/>
        <v>-13.4521</v>
      </c>
      <c r="AE18">
        <f t="shared" si="5"/>
        <v>-23.670853244</v>
      </c>
      <c r="AF18" s="9"/>
      <c r="AG18" s="22">
        <v>-5.9661899999999997E-2</v>
      </c>
      <c r="AH18" s="22">
        <v>335.17200000000003</v>
      </c>
      <c r="AI18" s="22">
        <v>-1.7178300000000001E-2</v>
      </c>
      <c r="AJ18" s="22">
        <v>8</v>
      </c>
      <c r="AK18" s="22">
        <v>-6.0241700000000002E-2</v>
      </c>
      <c r="AL18">
        <f t="shared" si="6"/>
        <v>17.1783</v>
      </c>
      <c r="AM18">
        <f t="shared" si="7"/>
        <v>-1.0248900167699999</v>
      </c>
      <c r="AP18" s="9"/>
      <c r="AQ18" s="22">
        <v>1.7596400000000001</v>
      </c>
      <c r="AR18" s="22">
        <v>404.262</v>
      </c>
      <c r="AS18" s="22">
        <v>2.82745E-3</v>
      </c>
      <c r="AT18" s="22">
        <v>8</v>
      </c>
      <c r="AU18" s="22">
        <v>1.7587299999999999</v>
      </c>
      <c r="AV18">
        <f t="shared" si="8"/>
        <v>-2.8274499999999998</v>
      </c>
      <c r="AW18">
        <f t="shared" si="9"/>
        <v>-4.9752941179999999</v>
      </c>
      <c r="AX18" s="9"/>
      <c r="AY18" s="22">
        <v>-5.9661899999999997E-2</v>
      </c>
      <c r="AZ18" s="22">
        <v>465.09500000000003</v>
      </c>
      <c r="BA18" s="22">
        <v>-1.7156999999999999E-2</v>
      </c>
      <c r="BB18" s="22">
        <v>8</v>
      </c>
      <c r="BC18" s="22">
        <v>-6.0302700000000001E-2</v>
      </c>
      <c r="BD18">
        <f t="shared" si="10"/>
        <v>17.157</v>
      </c>
      <c r="BE18">
        <f t="shared" si="11"/>
        <v>-1.0236192182999999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28.4267</v>
      </c>
      <c r="I19" s="22">
        <v>8.6962899999999996E-2</v>
      </c>
      <c r="J19" s="22">
        <v>9</v>
      </c>
      <c r="K19" s="22">
        <v>7.9009999999999997E-2</v>
      </c>
      <c r="L19">
        <f t="shared" si="0"/>
        <v>-86.962899999999991</v>
      </c>
      <c r="M19">
        <f t="shared" si="1"/>
        <v>-152.58597396899998</v>
      </c>
      <c r="N19" s="9"/>
      <c r="O19" s="22">
        <v>-5.4626500000000001E-2</v>
      </c>
      <c r="P19" s="22">
        <v>139.35400000000001</v>
      </c>
      <c r="Q19" s="22">
        <v>-1.7208899999999999E-2</v>
      </c>
      <c r="R19" s="22">
        <v>9</v>
      </c>
      <c r="S19" s="22">
        <v>-5.5236800000000003E-2</v>
      </c>
      <c r="T19">
        <f t="shared" si="2"/>
        <v>17.2089</v>
      </c>
      <c r="U19">
        <f t="shared" si="3"/>
        <v>-0.94006197585000006</v>
      </c>
      <c r="V19" s="23"/>
      <c r="W19" s="24"/>
      <c r="X19" s="9"/>
      <c r="Y19" s="22">
        <v>1.75461</v>
      </c>
      <c r="Z19" s="22">
        <v>202.94</v>
      </c>
      <c r="AA19" s="22">
        <v>5.0628699999999997E-3</v>
      </c>
      <c r="AB19" s="22">
        <v>9</v>
      </c>
      <c r="AC19" s="22">
        <v>1.7538499999999999</v>
      </c>
      <c r="AD19">
        <f t="shared" si="4"/>
        <v>-5.0628699999999993</v>
      </c>
      <c r="AE19">
        <f t="shared" si="5"/>
        <v>-8.8833623306999989</v>
      </c>
      <c r="AF19" s="9"/>
      <c r="AG19" s="22">
        <v>-5.4626500000000001E-2</v>
      </c>
      <c r="AH19" s="22">
        <v>335.27300000000002</v>
      </c>
      <c r="AI19" s="22">
        <v>-1.7175300000000001E-2</v>
      </c>
      <c r="AJ19" s="22">
        <v>9</v>
      </c>
      <c r="AK19" s="22">
        <v>-5.50842E-2</v>
      </c>
      <c r="AL19">
        <f t="shared" si="6"/>
        <v>17.1753</v>
      </c>
      <c r="AM19">
        <f t="shared" si="7"/>
        <v>-0.93822652545000007</v>
      </c>
      <c r="AP19" s="9"/>
      <c r="AQ19" s="22">
        <v>1.75461</v>
      </c>
      <c r="AR19" s="22">
        <v>404.363</v>
      </c>
      <c r="AS19" s="22">
        <v>-2.6510599999999998E-3</v>
      </c>
      <c r="AT19" s="22">
        <v>9</v>
      </c>
      <c r="AU19" s="22">
        <v>1.7532300000000001</v>
      </c>
      <c r="AV19">
        <f t="shared" si="8"/>
        <v>2.6510599999999998</v>
      </c>
      <c r="AW19">
        <f t="shared" si="9"/>
        <v>4.6515763865999995</v>
      </c>
      <c r="AX19" s="9"/>
      <c r="AY19" s="22">
        <v>-5.4626500000000001E-2</v>
      </c>
      <c r="AZ19" s="22">
        <v>465.19600000000003</v>
      </c>
      <c r="BA19" s="22">
        <v>-1.71539E-2</v>
      </c>
      <c r="BB19" s="22">
        <v>9</v>
      </c>
      <c r="BC19" s="22">
        <v>-5.5175799999999997E-2</v>
      </c>
      <c r="BD19">
        <f t="shared" si="10"/>
        <v>17.1539</v>
      </c>
      <c r="BE19">
        <f t="shared" si="11"/>
        <v>-0.93705751835000006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28.5275</v>
      </c>
      <c r="I20" s="22">
        <v>9.9984699999999996E-2</v>
      </c>
      <c r="J20" s="22">
        <v>10</v>
      </c>
      <c r="K20" s="22">
        <v>7.9132099999999997E-2</v>
      </c>
      <c r="L20">
        <f t="shared" si="0"/>
        <v>-99.984699999999989</v>
      </c>
      <c r="M20">
        <f t="shared" si="1"/>
        <v>-174.93023157899998</v>
      </c>
      <c r="N20" s="9"/>
      <c r="O20" s="22">
        <v>-4.9591099999999999E-2</v>
      </c>
      <c r="P20" s="22">
        <v>139.45400000000001</v>
      </c>
      <c r="Q20" s="22">
        <v>-1.7208899999999999E-2</v>
      </c>
      <c r="R20" s="22">
        <v>10</v>
      </c>
      <c r="S20" s="22">
        <v>-5.0170899999999997E-2</v>
      </c>
      <c r="T20">
        <f t="shared" si="2"/>
        <v>17.2089</v>
      </c>
      <c r="U20">
        <f t="shared" si="3"/>
        <v>-0.85340828078999997</v>
      </c>
      <c r="V20" s="23"/>
      <c r="W20" s="24"/>
      <c r="X20" s="9"/>
      <c r="Y20" s="22">
        <v>1.7495700000000001</v>
      </c>
      <c r="Z20" s="22">
        <v>203.04</v>
      </c>
      <c r="AA20" s="22">
        <v>-1.89331E-3</v>
      </c>
      <c r="AB20" s="22">
        <v>10</v>
      </c>
      <c r="AC20" s="22">
        <v>1.7480500000000001</v>
      </c>
      <c r="AD20">
        <f t="shared" si="4"/>
        <v>1.89331</v>
      </c>
      <c r="AE20">
        <f t="shared" si="5"/>
        <v>3.3124783767000001</v>
      </c>
      <c r="AF20" s="9"/>
      <c r="AG20" s="22">
        <v>-4.9591099999999999E-2</v>
      </c>
      <c r="AH20" s="22">
        <v>335.37400000000002</v>
      </c>
      <c r="AI20" s="22">
        <v>-1.7175300000000001E-2</v>
      </c>
      <c r="AJ20" s="22">
        <v>10</v>
      </c>
      <c r="AK20" s="22">
        <v>-5.0170899999999997E-2</v>
      </c>
      <c r="AL20">
        <f t="shared" si="6"/>
        <v>17.1753</v>
      </c>
      <c r="AM20">
        <f t="shared" si="7"/>
        <v>-0.85174201982999997</v>
      </c>
      <c r="AP20" s="9"/>
      <c r="AQ20" s="22">
        <v>1.7495700000000001</v>
      </c>
      <c r="AR20" s="22">
        <v>404.464</v>
      </c>
      <c r="AS20" s="22">
        <v>-6.3049300000000003E-3</v>
      </c>
      <c r="AT20" s="22">
        <v>10</v>
      </c>
      <c r="AU20" s="22">
        <v>1.7486600000000001</v>
      </c>
      <c r="AV20">
        <f t="shared" si="8"/>
        <v>6.3049300000000006</v>
      </c>
      <c r="AW20">
        <f t="shared" si="9"/>
        <v>11.030916380100001</v>
      </c>
      <c r="AX20" s="9"/>
      <c r="AY20" s="22">
        <v>-4.9591099999999999E-2</v>
      </c>
      <c r="AZ20" s="22">
        <v>465.29700000000003</v>
      </c>
      <c r="BA20" s="22">
        <v>-1.7156999999999999E-2</v>
      </c>
      <c r="BB20" s="22">
        <v>10</v>
      </c>
      <c r="BC20" s="22">
        <v>-5.0170899999999997E-2</v>
      </c>
      <c r="BD20">
        <f t="shared" si="10"/>
        <v>17.157</v>
      </c>
      <c r="BE20">
        <f t="shared" si="11"/>
        <v>-0.85083450269999994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28.6282</v>
      </c>
      <c r="I21" s="22">
        <v>8.6734000000000006E-2</v>
      </c>
      <c r="J21" s="22">
        <v>11</v>
      </c>
      <c r="K21" s="22">
        <v>7.8979499999999994E-2</v>
      </c>
      <c r="L21">
        <f t="shared" si="0"/>
        <v>-86.734000000000009</v>
      </c>
      <c r="M21">
        <f t="shared" si="1"/>
        <v>-151.31093236000001</v>
      </c>
      <c r="N21" s="9"/>
      <c r="O21" s="22">
        <v>-4.4555699999999997E-2</v>
      </c>
      <c r="P21" s="22">
        <v>139.55500000000001</v>
      </c>
      <c r="Q21" s="22">
        <v>-1.7208899999999999E-2</v>
      </c>
      <c r="R21" s="22">
        <v>11</v>
      </c>
      <c r="S21" s="22">
        <v>-4.5080599999999998E-2</v>
      </c>
      <c r="T21">
        <f t="shared" si="2"/>
        <v>17.2089</v>
      </c>
      <c r="U21">
        <f t="shared" si="3"/>
        <v>-0.76675458572999988</v>
      </c>
      <c r="V21" s="23"/>
      <c r="W21" s="24"/>
      <c r="X21" s="9"/>
      <c r="Y21" s="22">
        <v>1.74454</v>
      </c>
      <c r="Z21" s="22">
        <v>203.14099999999999</v>
      </c>
      <c r="AA21" s="22">
        <v>-6.0394300000000001E-3</v>
      </c>
      <c r="AB21" s="22">
        <v>11</v>
      </c>
      <c r="AC21" s="22">
        <v>1.74377</v>
      </c>
      <c r="AD21">
        <f t="shared" si="4"/>
        <v>6.0394300000000003</v>
      </c>
      <c r="AE21">
        <f t="shared" si="5"/>
        <v>10.5360272122</v>
      </c>
      <c r="AF21" s="9"/>
      <c r="AG21" s="22">
        <v>-4.4555699999999997E-2</v>
      </c>
      <c r="AH21" s="22">
        <v>335.47399999999999</v>
      </c>
      <c r="AI21" s="22">
        <v>-1.7169199999999999E-2</v>
      </c>
      <c r="AJ21" s="22">
        <v>11</v>
      </c>
      <c r="AK21" s="22">
        <v>-4.49646E-2</v>
      </c>
      <c r="AL21">
        <f t="shared" si="6"/>
        <v>17.1692</v>
      </c>
      <c r="AM21">
        <f t="shared" si="7"/>
        <v>-0.7649857244399999</v>
      </c>
      <c r="AP21" s="9"/>
      <c r="AQ21" s="22">
        <v>1.74454</v>
      </c>
      <c r="AR21" s="22">
        <v>404.56400000000002</v>
      </c>
      <c r="AS21" s="22">
        <v>-8.4472699999999998E-3</v>
      </c>
      <c r="AT21" s="22">
        <v>11</v>
      </c>
      <c r="AU21" s="22">
        <v>1.7434700000000001</v>
      </c>
      <c r="AV21">
        <f t="shared" si="8"/>
        <v>8.4472699999999996</v>
      </c>
      <c r="AW21">
        <f t="shared" si="9"/>
        <v>14.736600405799999</v>
      </c>
      <c r="AX21" s="9"/>
      <c r="AY21" s="22">
        <v>-4.4555699999999997E-2</v>
      </c>
      <c r="AZ21" s="22">
        <v>465.39699999999999</v>
      </c>
      <c r="BA21" s="22">
        <v>-1.7156999999999999E-2</v>
      </c>
      <c r="BB21" s="22">
        <v>11</v>
      </c>
      <c r="BC21" s="22">
        <v>-4.4985999999999998E-2</v>
      </c>
      <c r="BD21">
        <f t="shared" si="10"/>
        <v>17.157</v>
      </c>
      <c r="BE21">
        <f t="shared" si="11"/>
        <v>-0.76444214489999995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28.728899999999999</v>
      </c>
      <c r="I22" s="22">
        <v>4.9627699999999997E-2</v>
      </c>
      <c r="J22" s="22">
        <v>12</v>
      </c>
      <c r="K22" s="22">
        <v>7.8552200000000003E-2</v>
      </c>
      <c r="L22">
        <f t="shared" si="0"/>
        <v>-49.627699999999997</v>
      </c>
      <c r="M22">
        <f t="shared" si="1"/>
        <v>-86.32738415</v>
      </c>
      <c r="N22" s="9"/>
      <c r="O22" s="22">
        <v>-3.9520300000000001E-2</v>
      </c>
      <c r="P22" s="22">
        <v>139.65600000000001</v>
      </c>
      <c r="Q22" s="22">
        <v>-1.7202800000000001E-2</v>
      </c>
      <c r="R22" s="22">
        <v>12</v>
      </c>
      <c r="S22" s="22">
        <v>-3.9974999999999997E-2</v>
      </c>
      <c r="T22">
        <f t="shared" si="2"/>
        <v>17.2028</v>
      </c>
      <c r="U22">
        <f t="shared" si="3"/>
        <v>-0.67985981683999996</v>
      </c>
      <c r="V22" s="23"/>
      <c r="W22" s="24"/>
      <c r="X22" s="9"/>
      <c r="Y22" s="22">
        <v>1.7395</v>
      </c>
      <c r="Z22" s="22">
        <v>203.24199999999999</v>
      </c>
      <c r="AA22" s="22">
        <v>-8.3038299999999999E-3</v>
      </c>
      <c r="AB22" s="22">
        <v>12</v>
      </c>
      <c r="AC22" s="22">
        <v>1.73889</v>
      </c>
      <c r="AD22">
        <f t="shared" si="4"/>
        <v>8.3038299999999996</v>
      </c>
      <c r="AE22">
        <f t="shared" si="5"/>
        <v>14.444512285</v>
      </c>
      <c r="AF22" s="9"/>
      <c r="AG22" s="22">
        <v>-3.9520300000000001E-2</v>
      </c>
      <c r="AH22" s="22">
        <v>335.57499999999999</v>
      </c>
      <c r="AI22" s="22">
        <v>-1.7169199999999999E-2</v>
      </c>
      <c r="AJ22" s="22">
        <v>12</v>
      </c>
      <c r="AK22" s="22">
        <v>-3.9898700000000002E-2</v>
      </c>
      <c r="AL22">
        <f t="shared" si="6"/>
        <v>17.1692</v>
      </c>
      <c r="AM22">
        <f t="shared" si="7"/>
        <v>-0.67853193476000007</v>
      </c>
      <c r="AP22" s="9"/>
      <c r="AQ22" s="22">
        <v>1.7395</v>
      </c>
      <c r="AR22" s="22">
        <v>404.66500000000002</v>
      </c>
      <c r="AS22" s="22">
        <v>-9.8358200000000003E-3</v>
      </c>
      <c r="AT22" s="22">
        <v>12</v>
      </c>
      <c r="AU22" s="22">
        <v>1.7385900000000001</v>
      </c>
      <c r="AV22">
        <f t="shared" si="8"/>
        <v>9.83582</v>
      </c>
      <c r="AW22">
        <f t="shared" si="9"/>
        <v>17.109408890000001</v>
      </c>
      <c r="AX22" s="9"/>
      <c r="AY22" s="22">
        <v>-3.9520300000000001E-2</v>
      </c>
      <c r="AZ22" s="22">
        <v>465.49799999999999</v>
      </c>
      <c r="BA22" s="22">
        <v>-1.71539E-2</v>
      </c>
      <c r="BB22" s="22">
        <v>12</v>
      </c>
      <c r="BC22" s="22">
        <v>-3.9913900000000002E-2</v>
      </c>
      <c r="BD22">
        <f t="shared" si="10"/>
        <v>17.1539</v>
      </c>
      <c r="BE22">
        <f t="shared" si="11"/>
        <v>-0.67792727416999998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28.829599999999999</v>
      </c>
      <c r="I23" s="22">
        <v>4.9743700000000002E-2</v>
      </c>
      <c r="J23" s="22">
        <v>13</v>
      </c>
      <c r="K23" s="22">
        <v>7.8491199999999997E-2</v>
      </c>
      <c r="L23">
        <f t="shared" si="0"/>
        <v>-49.743700000000004</v>
      </c>
      <c r="M23">
        <f t="shared" si="1"/>
        <v>-86.278955339000007</v>
      </c>
      <c r="N23" s="9"/>
      <c r="O23" s="22">
        <v>-3.4484899999999999E-2</v>
      </c>
      <c r="P23" s="22">
        <v>139.756</v>
      </c>
      <c r="Q23" s="22">
        <v>-1.7202800000000001E-2</v>
      </c>
      <c r="R23" s="22">
        <v>13</v>
      </c>
      <c r="S23" s="22">
        <v>-3.4811399999999999E-2</v>
      </c>
      <c r="T23">
        <f t="shared" si="2"/>
        <v>17.2028</v>
      </c>
      <c r="U23">
        <f t="shared" si="3"/>
        <v>-0.59323683772000002</v>
      </c>
      <c r="V23" s="23"/>
      <c r="W23" s="24"/>
      <c r="X23" s="9"/>
      <c r="Y23" s="22">
        <v>1.73447</v>
      </c>
      <c r="Z23" s="22">
        <v>203.34200000000001</v>
      </c>
      <c r="AA23" s="22">
        <v>-9.7167999999999994E-3</v>
      </c>
      <c r="AB23" s="22">
        <v>13</v>
      </c>
      <c r="AC23" s="22">
        <v>1.7337</v>
      </c>
      <c r="AD23">
        <f t="shared" si="4"/>
        <v>9.7167999999999992</v>
      </c>
      <c r="AE23">
        <f t="shared" si="5"/>
        <v>16.853498095999999</v>
      </c>
      <c r="AF23" s="9"/>
      <c r="AG23" s="22">
        <v>-3.4484899999999999E-2</v>
      </c>
      <c r="AH23" s="22">
        <v>335.67599999999999</v>
      </c>
      <c r="AI23" s="22">
        <v>-1.71661E-2</v>
      </c>
      <c r="AJ23" s="22">
        <v>13</v>
      </c>
      <c r="AK23" s="22">
        <v>-3.4896900000000002E-2</v>
      </c>
      <c r="AL23">
        <f t="shared" si="6"/>
        <v>17.1661</v>
      </c>
      <c r="AM23">
        <f t="shared" si="7"/>
        <v>-0.59197124188999994</v>
      </c>
      <c r="AP23" s="9"/>
      <c r="AQ23" s="22">
        <v>1.73447</v>
      </c>
      <c r="AR23" s="22">
        <v>404.76600000000002</v>
      </c>
      <c r="AS23" s="22">
        <v>-1.07971E-2</v>
      </c>
      <c r="AT23" s="22">
        <v>13</v>
      </c>
      <c r="AU23" s="22">
        <v>1.7337</v>
      </c>
      <c r="AV23">
        <f t="shared" si="8"/>
        <v>10.7971</v>
      </c>
      <c r="AW23">
        <f t="shared" si="9"/>
        <v>18.727246037</v>
      </c>
      <c r="AX23" s="9"/>
      <c r="AY23" s="22">
        <v>-3.4484899999999999E-2</v>
      </c>
      <c r="AZ23" s="22">
        <v>465.59899999999999</v>
      </c>
      <c r="BA23" s="22">
        <v>-1.71539E-2</v>
      </c>
      <c r="BB23" s="22">
        <v>13</v>
      </c>
      <c r="BC23" s="22">
        <v>-3.4811399999999999E-2</v>
      </c>
      <c r="BD23">
        <f t="shared" si="10"/>
        <v>17.1539</v>
      </c>
      <c r="BE23">
        <f t="shared" si="11"/>
        <v>-0.59155052611000003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28.930299999999999</v>
      </c>
      <c r="I24" s="22">
        <v>4.9713100000000003E-2</v>
      </c>
      <c r="J24" s="22">
        <v>14</v>
      </c>
      <c r="K24" s="22">
        <v>7.8430200000000005E-2</v>
      </c>
      <c r="L24">
        <f t="shared" si="0"/>
        <v>-49.713100000000004</v>
      </c>
      <c r="M24">
        <f t="shared" si="1"/>
        <v>-85.975326533000015</v>
      </c>
      <c r="N24" s="9"/>
      <c r="O24" s="22">
        <v>-2.94495E-2</v>
      </c>
      <c r="P24" s="22">
        <v>139.857</v>
      </c>
      <c r="Q24" s="22">
        <v>-1.7196699999999999E-2</v>
      </c>
      <c r="R24" s="22">
        <v>14</v>
      </c>
      <c r="S24" s="22">
        <v>-2.97089E-2</v>
      </c>
      <c r="T24">
        <f t="shared" si="2"/>
        <v>17.1967</v>
      </c>
      <c r="U24">
        <f t="shared" si="3"/>
        <v>-0.50643421664999999</v>
      </c>
      <c r="V24" s="23"/>
      <c r="W24" s="24"/>
      <c r="X24" s="9"/>
      <c r="Y24" s="22">
        <v>1.72943</v>
      </c>
      <c r="Z24" s="22">
        <v>203.44300000000001</v>
      </c>
      <c r="AA24" s="22">
        <v>-1.0809300000000001E-2</v>
      </c>
      <c r="AB24" s="22">
        <v>14</v>
      </c>
      <c r="AC24" s="22">
        <v>1.72882</v>
      </c>
      <c r="AD24">
        <f t="shared" si="4"/>
        <v>10.8093</v>
      </c>
      <c r="AE24">
        <f t="shared" si="5"/>
        <v>18.693927699</v>
      </c>
      <c r="AF24" s="9"/>
      <c r="AG24" s="22">
        <v>-2.94495E-2</v>
      </c>
      <c r="AH24" s="22">
        <v>335.77600000000001</v>
      </c>
      <c r="AI24" s="22">
        <v>-1.7169199999999999E-2</v>
      </c>
      <c r="AJ24" s="22">
        <v>14</v>
      </c>
      <c r="AK24" s="22">
        <v>-2.9754599999999999E-2</v>
      </c>
      <c r="AL24">
        <f t="shared" si="6"/>
        <v>17.1692</v>
      </c>
      <c r="AM24">
        <f t="shared" si="7"/>
        <v>-0.50562435539999995</v>
      </c>
      <c r="AP24" s="9"/>
      <c r="AQ24" s="22">
        <v>1.72943</v>
      </c>
      <c r="AR24" s="22">
        <v>404.86700000000002</v>
      </c>
      <c r="AS24" s="22">
        <v>-1.15662E-2</v>
      </c>
      <c r="AT24" s="22">
        <v>14</v>
      </c>
      <c r="AU24" s="22">
        <v>1.72882</v>
      </c>
      <c r="AV24">
        <f t="shared" si="8"/>
        <v>11.5662</v>
      </c>
      <c r="AW24">
        <f t="shared" si="9"/>
        <v>20.002933265999999</v>
      </c>
      <c r="AX24" s="9"/>
      <c r="AY24" s="22">
        <v>-2.94495E-2</v>
      </c>
      <c r="AZ24" s="22">
        <v>465.7</v>
      </c>
      <c r="BA24" s="22">
        <v>-1.7144800000000002E-2</v>
      </c>
      <c r="BB24" s="22">
        <v>14</v>
      </c>
      <c r="BC24" s="22">
        <v>-2.9879800000000001E-2</v>
      </c>
      <c r="BD24">
        <f t="shared" si="10"/>
        <v>17.1448</v>
      </c>
      <c r="BE24">
        <f t="shared" si="11"/>
        <v>-0.50490578760000004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29.030999999999999</v>
      </c>
      <c r="I25" s="22">
        <v>4.96826E-2</v>
      </c>
      <c r="J25" s="22">
        <v>15</v>
      </c>
      <c r="K25" s="22">
        <v>7.8338599999999994E-2</v>
      </c>
      <c r="L25">
        <f t="shared" si="0"/>
        <v>-49.682600000000001</v>
      </c>
      <c r="M25">
        <f t="shared" si="1"/>
        <v>-85.672675439999992</v>
      </c>
      <c r="N25" s="9"/>
      <c r="O25" s="22">
        <v>-2.4414100000000001E-2</v>
      </c>
      <c r="P25" s="22">
        <v>139.958</v>
      </c>
      <c r="Q25" s="22">
        <v>-1.7199699999999998E-2</v>
      </c>
      <c r="R25" s="22">
        <v>15</v>
      </c>
      <c r="S25" s="22">
        <v>-2.4783300000000001E-2</v>
      </c>
      <c r="T25">
        <f t="shared" si="2"/>
        <v>17.1997</v>
      </c>
      <c r="U25">
        <f t="shared" si="3"/>
        <v>-0.41991519577000003</v>
      </c>
      <c r="V25" s="23"/>
      <c r="W25" s="24"/>
      <c r="X25" s="9"/>
      <c r="Y25" s="22">
        <v>1.7243999999999999</v>
      </c>
      <c r="Z25" s="22">
        <v>203.54400000000001</v>
      </c>
      <c r="AA25" s="22">
        <v>-1.12671E-2</v>
      </c>
      <c r="AB25" s="22">
        <v>15</v>
      </c>
      <c r="AC25" s="22">
        <v>1.72333</v>
      </c>
      <c r="AD25">
        <f t="shared" si="4"/>
        <v>11.267100000000001</v>
      </c>
      <c r="AE25">
        <f t="shared" si="5"/>
        <v>19.428987240000001</v>
      </c>
      <c r="AF25" s="9"/>
      <c r="AG25" s="22">
        <v>-2.4414100000000001E-2</v>
      </c>
      <c r="AH25" s="22">
        <v>335.87700000000001</v>
      </c>
      <c r="AI25" s="22">
        <v>-1.71661E-2</v>
      </c>
      <c r="AJ25" s="22">
        <v>15</v>
      </c>
      <c r="AK25" s="22">
        <v>-2.47742E-2</v>
      </c>
      <c r="AL25">
        <f t="shared" si="6"/>
        <v>17.1661</v>
      </c>
      <c r="AM25">
        <f t="shared" si="7"/>
        <v>-0.41909488201</v>
      </c>
      <c r="AP25" s="9"/>
      <c r="AQ25" s="22">
        <v>1.7243999999999999</v>
      </c>
      <c r="AR25" s="22">
        <v>404.96699999999998</v>
      </c>
      <c r="AS25" s="22">
        <v>-1.21613E-2</v>
      </c>
      <c r="AT25" s="22">
        <v>15</v>
      </c>
      <c r="AU25" s="22">
        <v>1.72333</v>
      </c>
      <c r="AV25">
        <f t="shared" si="8"/>
        <v>12.161300000000001</v>
      </c>
      <c r="AW25">
        <f t="shared" si="9"/>
        <v>20.97094572</v>
      </c>
      <c r="AX25" s="9"/>
      <c r="AY25" s="22">
        <v>-2.4414100000000001E-2</v>
      </c>
      <c r="AZ25" s="22">
        <v>465.8</v>
      </c>
      <c r="BA25" s="22">
        <v>-1.7144800000000002E-2</v>
      </c>
      <c r="BB25" s="22">
        <v>15</v>
      </c>
      <c r="BC25" s="22">
        <v>-2.4941999999999999E-2</v>
      </c>
      <c r="BD25">
        <f t="shared" si="10"/>
        <v>17.1448</v>
      </c>
      <c r="BE25">
        <f t="shared" si="11"/>
        <v>-0.41857486168000002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29.131699999999999</v>
      </c>
      <c r="I26" s="22">
        <v>4.9850499999999999E-2</v>
      </c>
      <c r="J26" s="22">
        <v>16</v>
      </c>
      <c r="K26" s="22">
        <v>7.8369099999999997E-2</v>
      </c>
      <c r="L26">
        <f t="shared" si="0"/>
        <v>-49.850499999999997</v>
      </c>
      <c r="M26">
        <f t="shared" si="1"/>
        <v>-85.710955679999998</v>
      </c>
      <c r="N26" s="9"/>
      <c r="O26" s="22">
        <v>-1.9378699999999999E-2</v>
      </c>
      <c r="P26" s="22">
        <v>140.059</v>
      </c>
      <c r="Q26" s="22">
        <v>-1.7196699999999999E-2</v>
      </c>
      <c r="R26" s="22">
        <v>16</v>
      </c>
      <c r="S26" s="22">
        <v>-1.97144E-2</v>
      </c>
      <c r="T26">
        <f t="shared" si="2"/>
        <v>17.1967</v>
      </c>
      <c r="U26">
        <f t="shared" si="3"/>
        <v>-0.33324969028999996</v>
      </c>
      <c r="V26" s="23"/>
      <c r="W26" s="24"/>
      <c r="X26" s="9"/>
      <c r="Y26" s="22">
        <v>1.71936</v>
      </c>
      <c r="Z26" s="22">
        <v>203.64500000000001</v>
      </c>
      <c r="AA26" s="22">
        <v>-1.19049E-2</v>
      </c>
      <c r="AB26" s="22">
        <v>16</v>
      </c>
      <c r="AC26" s="22">
        <v>1.71844</v>
      </c>
      <c r="AD26">
        <f t="shared" si="4"/>
        <v>11.9049</v>
      </c>
      <c r="AE26">
        <f t="shared" si="5"/>
        <v>20.468808864</v>
      </c>
      <c r="AF26" s="9"/>
      <c r="AG26" s="22">
        <v>-1.9378699999999999E-2</v>
      </c>
      <c r="AH26" s="22">
        <v>335.97800000000001</v>
      </c>
      <c r="AI26" s="22">
        <v>-1.7163100000000001E-2</v>
      </c>
      <c r="AJ26" s="22">
        <v>16</v>
      </c>
      <c r="AK26" s="22">
        <v>-1.9732699999999999E-2</v>
      </c>
      <c r="AL26">
        <f t="shared" si="6"/>
        <v>17.1631</v>
      </c>
      <c r="AM26">
        <f t="shared" si="7"/>
        <v>-0.33259856596999998</v>
      </c>
      <c r="AP26" s="9"/>
      <c r="AQ26" s="22">
        <v>1.71936</v>
      </c>
      <c r="AR26" s="22">
        <v>405.06799999999998</v>
      </c>
      <c r="AS26" s="22">
        <v>-1.2637300000000001E-2</v>
      </c>
      <c r="AT26" s="22">
        <v>16</v>
      </c>
      <c r="AU26" s="22">
        <v>1.71844</v>
      </c>
      <c r="AV26">
        <f t="shared" si="8"/>
        <v>12.6373</v>
      </c>
      <c r="AW26">
        <f t="shared" si="9"/>
        <v>21.728068128</v>
      </c>
      <c r="AX26" s="9"/>
      <c r="AY26" s="22">
        <v>-1.9378699999999999E-2</v>
      </c>
      <c r="AZ26" s="22">
        <v>465.90100000000001</v>
      </c>
      <c r="BA26" s="22">
        <v>-1.7144800000000002E-2</v>
      </c>
      <c r="BB26" s="22">
        <v>16</v>
      </c>
      <c r="BC26" s="22">
        <v>-1.9708300000000002E-2</v>
      </c>
      <c r="BD26">
        <f t="shared" si="10"/>
        <v>17.1448</v>
      </c>
      <c r="BE26">
        <f t="shared" si="11"/>
        <v>-0.33224393576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29.232399999999998</v>
      </c>
      <c r="I27" s="22">
        <v>4.9893199999999999E-2</v>
      </c>
      <c r="J27" s="22">
        <v>17</v>
      </c>
      <c r="K27" s="22">
        <v>7.8277600000000003E-2</v>
      </c>
      <c r="L27">
        <f t="shared" si="0"/>
        <v>-49.8932</v>
      </c>
      <c r="M27">
        <f t="shared" si="1"/>
        <v>-85.53291062400001</v>
      </c>
      <c r="N27" s="9"/>
      <c r="O27" s="22">
        <v>-1.43433E-2</v>
      </c>
      <c r="P27" s="22">
        <v>140.15899999999999</v>
      </c>
      <c r="Q27" s="22">
        <v>-1.7196699999999999E-2</v>
      </c>
      <c r="R27" s="22">
        <v>17</v>
      </c>
      <c r="S27" s="22">
        <v>-1.4523299999999999E-2</v>
      </c>
      <c r="T27">
        <f t="shared" si="2"/>
        <v>17.1967</v>
      </c>
      <c r="U27">
        <f t="shared" si="3"/>
        <v>-0.24665742710999999</v>
      </c>
      <c r="X27" s="9"/>
      <c r="Y27" s="22">
        <v>1.7143200000000001</v>
      </c>
      <c r="Z27" s="22">
        <v>203.745</v>
      </c>
      <c r="AA27" s="22">
        <v>-1.24146E-2</v>
      </c>
      <c r="AB27" s="22">
        <v>17</v>
      </c>
      <c r="AC27" s="22">
        <v>1.71356</v>
      </c>
      <c r="AD27">
        <f t="shared" si="4"/>
        <v>12.4146</v>
      </c>
      <c r="AE27">
        <f t="shared" si="5"/>
        <v>21.282597072000002</v>
      </c>
      <c r="AF27" s="9"/>
      <c r="AG27" s="22">
        <v>-1.43433E-2</v>
      </c>
      <c r="AH27" s="22">
        <v>336.07900000000001</v>
      </c>
      <c r="AI27" s="22">
        <v>-1.7160000000000002E-2</v>
      </c>
      <c r="AJ27" s="22">
        <v>17</v>
      </c>
      <c r="AK27" s="22">
        <v>-1.46515E-2</v>
      </c>
      <c r="AL27">
        <f t="shared" si="6"/>
        <v>17.16</v>
      </c>
      <c r="AM27">
        <f t="shared" si="7"/>
        <v>-0.246131028</v>
      </c>
      <c r="AP27" s="9"/>
      <c r="AQ27" s="22">
        <v>1.7143200000000001</v>
      </c>
      <c r="AR27" s="22">
        <v>405.16899999999998</v>
      </c>
      <c r="AS27" s="22">
        <v>-1.30402E-2</v>
      </c>
      <c r="AT27" s="22">
        <v>17</v>
      </c>
      <c r="AU27" s="22">
        <v>1.71356</v>
      </c>
      <c r="AV27">
        <f t="shared" si="8"/>
        <v>13.0402</v>
      </c>
      <c r="AW27">
        <f t="shared" si="9"/>
        <v>22.355075664000001</v>
      </c>
      <c r="AX27" s="9"/>
      <c r="AY27" s="22">
        <v>-1.43433E-2</v>
      </c>
      <c r="AZ27" s="22">
        <v>466.00200000000001</v>
      </c>
      <c r="BA27" s="22">
        <v>-1.7141699999999999E-2</v>
      </c>
      <c r="BB27" s="22">
        <v>17</v>
      </c>
      <c r="BC27" s="22">
        <v>-1.47919E-2</v>
      </c>
      <c r="BD27">
        <f t="shared" si="10"/>
        <v>17.1417</v>
      </c>
      <c r="BE27">
        <f t="shared" si="11"/>
        <v>-0.24586854560999999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29.333100000000002</v>
      </c>
      <c r="I28" s="22">
        <v>6.1569199999999998E-2</v>
      </c>
      <c r="J28" s="22">
        <v>18</v>
      </c>
      <c r="K28" s="22">
        <v>7.8308100000000005E-2</v>
      </c>
      <c r="L28">
        <f t="shared" si="0"/>
        <v>-61.569199999999995</v>
      </c>
      <c r="M28">
        <f t="shared" si="1"/>
        <v>-105.239617868</v>
      </c>
      <c r="N28" s="9"/>
      <c r="O28" s="22">
        <v>-9.3078599999999994E-3</v>
      </c>
      <c r="P28" s="22">
        <v>140.26</v>
      </c>
      <c r="Q28" s="22">
        <v>-1.71906E-2</v>
      </c>
      <c r="R28" s="22">
        <v>18</v>
      </c>
      <c r="S28" s="22">
        <v>-9.6404999999999998E-3</v>
      </c>
      <c r="T28">
        <f t="shared" si="2"/>
        <v>17.1906</v>
      </c>
      <c r="U28">
        <f t="shared" si="3"/>
        <v>-0.16000769811599999</v>
      </c>
      <c r="X28" s="9"/>
      <c r="Y28" s="22">
        <v>1.70929</v>
      </c>
      <c r="Z28" s="22">
        <v>203.846</v>
      </c>
      <c r="AA28" s="22">
        <v>-1.28326E-2</v>
      </c>
      <c r="AB28" s="22">
        <v>18</v>
      </c>
      <c r="AC28" s="22">
        <v>1.7083699999999999</v>
      </c>
      <c r="AD28">
        <f t="shared" si="4"/>
        <v>12.832599999999999</v>
      </c>
      <c r="AE28">
        <f t="shared" si="5"/>
        <v>21.934634853999999</v>
      </c>
      <c r="AF28" s="9"/>
      <c r="AG28" s="22">
        <v>-9.3078599999999994E-3</v>
      </c>
      <c r="AH28" s="22">
        <v>336.17899999999997</v>
      </c>
      <c r="AI28" s="22">
        <v>-1.7156999999999999E-2</v>
      </c>
      <c r="AJ28" s="22">
        <v>18</v>
      </c>
      <c r="AK28" s="22">
        <v>-9.5977800000000002E-3</v>
      </c>
      <c r="AL28">
        <f t="shared" si="6"/>
        <v>17.157</v>
      </c>
      <c r="AM28">
        <f t="shared" si="7"/>
        <v>-0.15969495402</v>
      </c>
      <c r="AP28" s="9"/>
      <c r="AQ28" s="22">
        <v>1.70929</v>
      </c>
      <c r="AR28" s="22">
        <v>405.26900000000001</v>
      </c>
      <c r="AS28" s="22">
        <v>-1.33636E-2</v>
      </c>
      <c r="AT28" s="22">
        <v>18</v>
      </c>
      <c r="AU28" s="22">
        <v>1.70807</v>
      </c>
      <c r="AV28">
        <f t="shared" si="8"/>
        <v>13.3636</v>
      </c>
      <c r="AW28">
        <f t="shared" si="9"/>
        <v>22.842267843999998</v>
      </c>
      <c r="AX28" s="9"/>
      <c r="AY28" s="22">
        <v>-9.3078599999999994E-3</v>
      </c>
      <c r="AZ28" s="22">
        <v>466.10199999999998</v>
      </c>
      <c r="BA28" s="22">
        <v>-1.7141699999999999E-2</v>
      </c>
      <c r="BB28" s="22">
        <v>18</v>
      </c>
      <c r="BC28" s="22">
        <v>-9.5519999999999997E-3</v>
      </c>
      <c r="BD28">
        <f t="shared" si="10"/>
        <v>17.1417</v>
      </c>
      <c r="BE28">
        <f t="shared" si="11"/>
        <v>-0.15955254376199998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29.433800000000002</v>
      </c>
      <c r="I29" s="22">
        <v>4.98474E-2</v>
      </c>
      <c r="J29" s="22">
        <v>19</v>
      </c>
      <c r="K29" s="22">
        <v>7.8216599999999997E-2</v>
      </c>
      <c r="L29">
        <f t="shared" si="0"/>
        <v>-49.8474</v>
      </c>
      <c r="M29">
        <f t="shared" si="1"/>
        <v>-84.952431450000006</v>
      </c>
      <c r="N29" s="9"/>
      <c r="O29" s="22">
        <v>-4.2724599999999996E-3</v>
      </c>
      <c r="P29" s="22">
        <v>140.36099999999999</v>
      </c>
      <c r="Q29" s="22">
        <v>-1.7187500000000001E-2</v>
      </c>
      <c r="R29" s="22">
        <v>19</v>
      </c>
      <c r="S29" s="22">
        <v>-4.46167E-3</v>
      </c>
      <c r="T29">
        <f t="shared" si="2"/>
        <v>17.1875</v>
      </c>
      <c r="U29">
        <f t="shared" si="3"/>
        <v>-7.3432906249999999E-2</v>
      </c>
      <c r="X29" s="9"/>
      <c r="Y29" s="22">
        <v>1.70425</v>
      </c>
      <c r="Z29" s="22">
        <v>203.947</v>
      </c>
      <c r="AA29" s="22">
        <v>-1.3205E-2</v>
      </c>
      <c r="AB29" s="22">
        <v>19</v>
      </c>
      <c r="AC29" s="22">
        <v>1.70319</v>
      </c>
      <c r="AD29">
        <f t="shared" si="4"/>
        <v>13.205</v>
      </c>
      <c r="AE29">
        <f t="shared" si="5"/>
        <v>22.50462125</v>
      </c>
      <c r="AF29" s="9"/>
      <c r="AG29" s="22">
        <v>-4.2724599999999996E-3</v>
      </c>
      <c r="AH29" s="22">
        <v>336.28</v>
      </c>
      <c r="AI29" s="22">
        <v>-1.71539E-2</v>
      </c>
      <c r="AJ29" s="22">
        <v>19</v>
      </c>
      <c r="AK29" s="22">
        <v>-4.5288100000000003E-3</v>
      </c>
      <c r="AL29">
        <f t="shared" si="6"/>
        <v>17.1539</v>
      </c>
      <c r="AM29">
        <f t="shared" si="7"/>
        <v>-7.3289351593999991E-2</v>
      </c>
      <c r="AP29" s="9"/>
      <c r="AQ29" s="22">
        <v>1.70425</v>
      </c>
      <c r="AR29" s="22">
        <v>405.37</v>
      </c>
      <c r="AS29" s="22">
        <v>-1.36536E-2</v>
      </c>
      <c r="AT29" s="22">
        <v>19</v>
      </c>
      <c r="AU29" s="22">
        <v>1.7034899999999999</v>
      </c>
      <c r="AV29">
        <f t="shared" si="8"/>
        <v>13.653600000000001</v>
      </c>
      <c r="AW29">
        <f t="shared" si="9"/>
        <v>23.269147800000002</v>
      </c>
      <c r="AX29" s="9"/>
      <c r="AY29" s="22">
        <v>-4.2724599999999996E-3</v>
      </c>
      <c r="AZ29" s="22">
        <v>466.20299999999997</v>
      </c>
      <c r="BA29" s="22">
        <v>-1.71387E-2</v>
      </c>
      <c r="BB29" s="22">
        <v>19</v>
      </c>
      <c r="BC29" s="22">
        <v>-4.6325699999999999E-3</v>
      </c>
      <c r="BD29">
        <f t="shared" si="10"/>
        <v>17.1387</v>
      </c>
      <c r="BE29">
        <f t="shared" si="11"/>
        <v>-7.322441020199999E-2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29.534500000000001</v>
      </c>
      <c r="I30" s="22">
        <v>4.9911499999999998E-2</v>
      </c>
      <c r="J30" s="22">
        <v>20</v>
      </c>
      <c r="K30" s="22">
        <v>7.82471E-2</v>
      </c>
      <c r="L30">
        <f t="shared" si="0"/>
        <v>-49.911499999999997</v>
      </c>
      <c r="M30">
        <f t="shared" si="1"/>
        <v>-84.810619029999998</v>
      </c>
      <c r="N30" s="9"/>
      <c r="O30" s="22">
        <v>7.6293900000000002E-4</v>
      </c>
      <c r="P30" s="22">
        <v>140.46100000000001</v>
      </c>
      <c r="Q30" s="22">
        <v>-1.7184399999999999E-2</v>
      </c>
      <c r="R30" s="22">
        <v>20</v>
      </c>
      <c r="S30" s="22">
        <v>3.9978000000000002E-4</v>
      </c>
      <c r="T30">
        <f t="shared" si="2"/>
        <v>17.1844</v>
      </c>
      <c r="U30">
        <f t="shared" si="3"/>
        <v>1.3110648951600001E-2</v>
      </c>
      <c r="X30" s="9"/>
      <c r="Y30" s="22">
        <v>1.69922</v>
      </c>
      <c r="Z30" s="22">
        <v>204.047</v>
      </c>
      <c r="AA30" s="22">
        <v>-1.35376E-2</v>
      </c>
      <c r="AB30" s="22">
        <v>20</v>
      </c>
      <c r="AC30" s="22">
        <v>1.69861</v>
      </c>
      <c r="AD30">
        <f t="shared" si="4"/>
        <v>13.537600000000001</v>
      </c>
      <c r="AE30">
        <f t="shared" si="5"/>
        <v>23.003360672000003</v>
      </c>
      <c r="AF30" s="9"/>
      <c r="AG30" s="22">
        <v>7.6293900000000002E-4</v>
      </c>
      <c r="AH30" s="22">
        <v>336.38099999999997</v>
      </c>
      <c r="AI30" s="22">
        <v>-1.71539E-2</v>
      </c>
      <c r="AJ30" s="22">
        <v>20</v>
      </c>
      <c r="AK30" s="22">
        <v>5.7373000000000005E-4</v>
      </c>
      <c r="AL30">
        <f t="shared" si="6"/>
        <v>17.1539</v>
      </c>
      <c r="AM30">
        <f t="shared" si="7"/>
        <v>1.30873793121E-2</v>
      </c>
      <c r="AP30" s="9"/>
      <c r="AQ30" s="22">
        <v>1.69922</v>
      </c>
      <c r="AR30" s="22">
        <v>405.471</v>
      </c>
      <c r="AS30" s="22">
        <v>-1.3909899999999999E-2</v>
      </c>
      <c r="AT30" s="22">
        <v>20</v>
      </c>
      <c r="AU30" s="22">
        <v>1.6982999999999999</v>
      </c>
      <c r="AV30">
        <f t="shared" si="8"/>
        <v>13.909899999999999</v>
      </c>
      <c r="AW30">
        <f t="shared" si="9"/>
        <v>23.635980277999998</v>
      </c>
      <c r="AX30" s="9"/>
      <c r="AY30" s="22">
        <v>7.6293900000000002E-4</v>
      </c>
      <c r="AZ30" s="22">
        <v>466.30399999999997</v>
      </c>
      <c r="BA30" s="22">
        <v>-1.71387E-2</v>
      </c>
      <c r="BB30" s="22">
        <v>20</v>
      </c>
      <c r="BC30" s="22">
        <v>5.5847199999999996E-4</v>
      </c>
      <c r="BD30">
        <f t="shared" si="10"/>
        <v>17.1387</v>
      </c>
      <c r="BE30">
        <f t="shared" si="11"/>
        <v>1.3075782639300001E-2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29.635200000000001</v>
      </c>
      <c r="I31" s="22">
        <v>4.9932900000000002E-2</v>
      </c>
      <c r="J31" s="22">
        <v>21</v>
      </c>
      <c r="K31" s="22">
        <v>7.82471E-2</v>
      </c>
      <c r="L31">
        <f t="shared" si="0"/>
        <v>-49.932900000000004</v>
      </c>
      <c r="M31">
        <f t="shared" si="1"/>
        <v>-84.595320522000009</v>
      </c>
      <c r="N31" s="9"/>
      <c r="O31" s="22">
        <v>5.7983399999999999E-3</v>
      </c>
      <c r="P31" s="22">
        <v>140.56200000000001</v>
      </c>
      <c r="Q31" s="22">
        <v>-1.7181399999999999E-2</v>
      </c>
      <c r="R31" s="22">
        <v>21</v>
      </c>
      <c r="S31" s="22">
        <v>5.4138199999999997E-3</v>
      </c>
      <c r="T31">
        <f t="shared" si="2"/>
        <v>17.1814</v>
      </c>
      <c r="U31">
        <f t="shared" si="3"/>
        <v>9.9623598876000002E-2</v>
      </c>
      <c r="X31" s="9"/>
      <c r="Y31" s="22">
        <v>1.69418</v>
      </c>
      <c r="Z31" s="22">
        <v>204.148</v>
      </c>
      <c r="AA31" s="22">
        <v>-1.38123E-2</v>
      </c>
      <c r="AB31" s="22">
        <v>21</v>
      </c>
      <c r="AC31" s="22">
        <v>1.6928099999999999</v>
      </c>
      <c r="AD31">
        <f t="shared" si="4"/>
        <v>13.8123</v>
      </c>
      <c r="AE31">
        <f t="shared" si="5"/>
        <v>23.400522414000001</v>
      </c>
      <c r="AF31" s="9"/>
      <c r="AG31" s="22">
        <v>5.7983399999999999E-3</v>
      </c>
      <c r="AH31" s="22">
        <v>336.48099999999999</v>
      </c>
      <c r="AI31" s="22">
        <v>-1.7147800000000001E-2</v>
      </c>
      <c r="AJ31" s="22">
        <v>21</v>
      </c>
      <c r="AK31" s="22">
        <v>5.6304900000000001E-3</v>
      </c>
      <c r="AL31">
        <f t="shared" si="6"/>
        <v>17.1478</v>
      </c>
      <c r="AM31">
        <f t="shared" si="7"/>
        <v>9.9428774651999993E-2</v>
      </c>
      <c r="AP31" s="9"/>
      <c r="AQ31" s="22">
        <v>1.69418</v>
      </c>
      <c r="AR31" s="22">
        <v>405.57100000000003</v>
      </c>
      <c r="AS31" s="22">
        <v>-1.4129600000000001E-2</v>
      </c>
      <c r="AT31" s="22">
        <v>21</v>
      </c>
      <c r="AU31" s="22">
        <v>1.6934199999999999</v>
      </c>
      <c r="AV31">
        <f t="shared" si="8"/>
        <v>14.129600000000002</v>
      </c>
      <c r="AW31">
        <f t="shared" si="9"/>
        <v>23.938085728000004</v>
      </c>
      <c r="AX31" s="9"/>
      <c r="AY31" s="22">
        <v>5.7983399999999999E-3</v>
      </c>
      <c r="AZ31" s="22">
        <v>466.404</v>
      </c>
      <c r="BA31" s="22">
        <v>-1.7129499999999999E-2</v>
      </c>
      <c r="BB31" s="22">
        <v>21</v>
      </c>
      <c r="BC31" s="22">
        <v>5.8776899999999997E-3</v>
      </c>
      <c r="BD31">
        <f t="shared" si="10"/>
        <v>17.1295</v>
      </c>
      <c r="BE31">
        <f t="shared" si="11"/>
        <v>9.9322665029999993E-2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29.735900000000001</v>
      </c>
      <c r="I32" s="22">
        <v>4.9932900000000002E-2</v>
      </c>
      <c r="J32" s="22">
        <v>22</v>
      </c>
      <c r="K32" s="22">
        <v>7.8186000000000005E-2</v>
      </c>
      <c r="L32">
        <f t="shared" si="0"/>
        <v>-49.932900000000004</v>
      </c>
      <c r="M32">
        <f t="shared" si="1"/>
        <v>-84.344158035000007</v>
      </c>
      <c r="N32" s="9"/>
      <c r="O32" s="22">
        <v>1.08337E-2</v>
      </c>
      <c r="P32" s="22">
        <v>140.66300000000001</v>
      </c>
      <c r="Q32" s="22">
        <v>-1.7187500000000001E-2</v>
      </c>
      <c r="R32" s="22">
        <v>22</v>
      </c>
      <c r="S32" s="22">
        <v>1.0726899999999999E-2</v>
      </c>
      <c r="T32">
        <f t="shared" si="2"/>
        <v>17.1875</v>
      </c>
      <c r="U32">
        <f t="shared" si="3"/>
        <v>0.18620421875000001</v>
      </c>
      <c r="X32" s="9"/>
      <c r="Y32" s="22">
        <v>1.6891499999999999</v>
      </c>
      <c r="Z32" s="22">
        <v>204.249</v>
      </c>
      <c r="AA32" s="22">
        <v>-1.4041100000000001E-2</v>
      </c>
      <c r="AB32" s="22">
        <v>22</v>
      </c>
      <c r="AC32" s="22">
        <v>1.6879299999999999</v>
      </c>
      <c r="AD32">
        <f t="shared" si="4"/>
        <v>14.0411</v>
      </c>
      <c r="AE32">
        <f t="shared" si="5"/>
        <v>23.717524064999999</v>
      </c>
      <c r="AF32" s="9"/>
      <c r="AG32" s="22">
        <v>1.08337E-2</v>
      </c>
      <c r="AH32" s="22">
        <v>336.58199999999999</v>
      </c>
      <c r="AI32" s="22">
        <v>-1.7147800000000001E-2</v>
      </c>
      <c r="AJ32" s="22">
        <v>22</v>
      </c>
      <c r="AK32" s="22">
        <v>1.05713E-2</v>
      </c>
      <c r="AL32">
        <f t="shared" si="6"/>
        <v>17.1478</v>
      </c>
      <c r="AM32">
        <f t="shared" si="7"/>
        <v>0.18577412086</v>
      </c>
      <c r="AP32" s="9"/>
      <c r="AQ32" s="22">
        <v>1.6891499999999999</v>
      </c>
      <c r="AR32" s="22">
        <v>405.67200000000003</v>
      </c>
      <c r="AS32" s="22">
        <v>-1.4331099999999999E-2</v>
      </c>
      <c r="AT32" s="22">
        <v>22</v>
      </c>
      <c r="AU32" s="22">
        <v>1.6882299999999999</v>
      </c>
      <c r="AV32">
        <f t="shared" si="8"/>
        <v>14.331099999999999</v>
      </c>
      <c r="AW32">
        <f t="shared" si="9"/>
        <v>24.207377564999998</v>
      </c>
      <c r="AX32" s="9"/>
      <c r="AY32" s="22">
        <v>1.08337E-2</v>
      </c>
      <c r="AZ32" s="22">
        <v>466.505</v>
      </c>
      <c r="BA32" s="22">
        <v>-1.7126499999999999E-2</v>
      </c>
      <c r="BB32" s="22">
        <v>22</v>
      </c>
      <c r="BC32" s="22">
        <v>1.0611000000000001E-2</v>
      </c>
      <c r="BD32">
        <f t="shared" si="10"/>
        <v>17.1265</v>
      </c>
      <c r="BE32">
        <f t="shared" si="11"/>
        <v>0.18554336304999999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29.8367</v>
      </c>
      <c r="I33" s="22">
        <v>4.9896200000000002E-2</v>
      </c>
      <c r="J33" s="22">
        <v>23</v>
      </c>
      <c r="K33" s="22">
        <v>7.82471E-2</v>
      </c>
      <c r="L33">
        <f t="shared" si="0"/>
        <v>-49.8962</v>
      </c>
      <c r="M33">
        <f t="shared" si="1"/>
        <v>-84.030689382000006</v>
      </c>
      <c r="N33" s="9"/>
      <c r="O33" s="22">
        <v>1.5869100000000001E-2</v>
      </c>
      <c r="P33" s="22">
        <v>140.76400000000001</v>
      </c>
      <c r="Q33" s="22">
        <v>-1.7181399999999999E-2</v>
      </c>
      <c r="R33" s="22">
        <v>23</v>
      </c>
      <c r="S33" s="22">
        <v>1.57623E-2</v>
      </c>
      <c r="T33">
        <f t="shared" si="2"/>
        <v>17.1814</v>
      </c>
      <c r="U33">
        <f t="shared" si="3"/>
        <v>0.27265335474000002</v>
      </c>
      <c r="X33" s="9"/>
      <c r="Y33" s="22">
        <v>1.68411</v>
      </c>
      <c r="Z33" s="22">
        <v>204.35</v>
      </c>
      <c r="AA33" s="22">
        <v>-1.42548E-2</v>
      </c>
      <c r="AB33" s="22">
        <v>23</v>
      </c>
      <c r="AC33" s="22">
        <v>1.6833499999999999</v>
      </c>
      <c r="AD33">
        <f t="shared" si="4"/>
        <v>14.254799999999999</v>
      </c>
      <c r="AE33">
        <f t="shared" si="5"/>
        <v>24.006651227999999</v>
      </c>
      <c r="AF33" s="9"/>
      <c r="AG33" s="22">
        <v>1.5869100000000001E-2</v>
      </c>
      <c r="AH33" s="22">
        <v>336.68299999999999</v>
      </c>
      <c r="AI33" s="22">
        <v>-1.7144800000000002E-2</v>
      </c>
      <c r="AJ33" s="22">
        <v>23</v>
      </c>
      <c r="AK33" s="22">
        <v>1.5594500000000001E-2</v>
      </c>
      <c r="AL33">
        <f t="shared" si="6"/>
        <v>17.1448</v>
      </c>
      <c r="AM33">
        <f t="shared" si="7"/>
        <v>0.27207254568</v>
      </c>
      <c r="AP33" s="9"/>
      <c r="AQ33" s="22">
        <v>1.68411</v>
      </c>
      <c r="AR33" s="22">
        <v>405.77300000000002</v>
      </c>
      <c r="AS33" s="22">
        <v>-1.4501999999999999E-2</v>
      </c>
      <c r="AT33" s="22">
        <v>23</v>
      </c>
      <c r="AU33" s="22">
        <v>1.6833499999999999</v>
      </c>
      <c r="AV33">
        <f t="shared" si="8"/>
        <v>14.501999999999999</v>
      </c>
      <c r="AW33">
        <f t="shared" si="9"/>
        <v>24.42296322</v>
      </c>
      <c r="AX33" s="9"/>
      <c r="AY33" s="22">
        <v>1.5869100000000001E-2</v>
      </c>
      <c r="AZ33" s="22">
        <v>466.60599999999999</v>
      </c>
      <c r="BA33" s="22">
        <v>-1.71234E-2</v>
      </c>
      <c r="BB33" s="22">
        <v>23</v>
      </c>
      <c r="BC33" s="22">
        <v>1.56525E-2</v>
      </c>
      <c r="BD33">
        <f t="shared" si="10"/>
        <v>17.1234</v>
      </c>
      <c r="BE33">
        <f t="shared" si="11"/>
        <v>0.27173294694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29.9374</v>
      </c>
      <c r="I34" s="22">
        <v>4.9945099999999999E-2</v>
      </c>
      <c r="J34" s="22">
        <v>24</v>
      </c>
      <c r="K34" s="22">
        <v>7.82471E-2</v>
      </c>
      <c r="L34">
        <f t="shared" si="0"/>
        <v>-49.945099999999996</v>
      </c>
      <c r="M34">
        <f t="shared" si="1"/>
        <v>-83.861818507999985</v>
      </c>
      <c r="N34" s="9"/>
      <c r="O34" s="22">
        <v>2.0904499999999999E-2</v>
      </c>
      <c r="P34" s="22">
        <v>140.864</v>
      </c>
      <c r="Q34" s="22">
        <v>-1.7175300000000001E-2</v>
      </c>
      <c r="R34" s="22">
        <v>24</v>
      </c>
      <c r="S34" s="22">
        <v>2.07367E-2</v>
      </c>
      <c r="T34">
        <f t="shared" si="2"/>
        <v>17.1753</v>
      </c>
      <c r="U34">
        <f t="shared" si="3"/>
        <v>0.35904105884999998</v>
      </c>
      <c r="X34" s="9"/>
      <c r="Y34" s="22">
        <v>1.6790799999999999</v>
      </c>
      <c r="Z34" s="22">
        <v>204.45</v>
      </c>
      <c r="AA34" s="22">
        <v>-1.44257E-2</v>
      </c>
      <c r="AB34" s="22">
        <v>24</v>
      </c>
      <c r="AC34" s="22">
        <v>1.6778599999999999</v>
      </c>
      <c r="AD34">
        <f t="shared" si="4"/>
        <v>14.425699999999999</v>
      </c>
      <c r="AE34">
        <f t="shared" si="5"/>
        <v>24.221904355999996</v>
      </c>
      <c r="AF34" s="9"/>
      <c r="AG34" s="22">
        <v>2.0904499999999999E-2</v>
      </c>
      <c r="AH34" s="22">
        <v>336.78399999999999</v>
      </c>
      <c r="AI34" s="22">
        <v>-1.7141699999999999E-2</v>
      </c>
      <c r="AJ34" s="22">
        <v>24</v>
      </c>
      <c r="AK34" s="22">
        <v>2.0727499999999999E-2</v>
      </c>
      <c r="AL34">
        <f t="shared" si="6"/>
        <v>17.1417</v>
      </c>
      <c r="AM34">
        <f t="shared" si="7"/>
        <v>0.35833866765</v>
      </c>
      <c r="AP34" s="9"/>
      <c r="AQ34" s="22">
        <v>1.6790799999999999</v>
      </c>
      <c r="AR34" s="22">
        <v>405.87400000000002</v>
      </c>
      <c r="AS34" s="22">
        <v>-1.46576E-2</v>
      </c>
      <c r="AT34" s="22">
        <v>24</v>
      </c>
      <c r="AU34" s="22">
        <v>1.6775500000000001</v>
      </c>
      <c r="AV34">
        <f t="shared" si="8"/>
        <v>14.6576</v>
      </c>
      <c r="AW34">
        <f t="shared" si="9"/>
        <v>24.611283008000001</v>
      </c>
      <c r="AX34" s="9"/>
      <c r="AY34" s="22">
        <v>2.0904499999999999E-2</v>
      </c>
      <c r="AZ34" s="22">
        <v>466.70699999999999</v>
      </c>
      <c r="BA34" s="22">
        <v>-1.7126499999999999E-2</v>
      </c>
      <c r="BB34" s="22">
        <v>24</v>
      </c>
      <c r="BC34" s="22">
        <v>2.07794E-2</v>
      </c>
      <c r="BD34">
        <f t="shared" si="10"/>
        <v>17.1265</v>
      </c>
      <c r="BE34">
        <f t="shared" si="11"/>
        <v>0.35802091925000001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30.0381</v>
      </c>
      <c r="I35" s="22">
        <v>4.9929800000000003E-2</v>
      </c>
      <c r="J35" s="22">
        <v>25</v>
      </c>
      <c r="K35" s="22">
        <v>7.8216599999999997E-2</v>
      </c>
      <c r="L35">
        <f t="shared" si="0"/>
        <v>-49.9298</v>
      </c>
      <c r="M35">
        <f t="shared" si="1"/>
        <v>-83.584482391999998</v>
      </c>
      <c r="N35" s="9"/>
      <c r="O35" s="22">
        <v>2.5939899999999998E-2</v>
      </c>
      <c r="P35" s="22">
        <v>140.965</v>
      </c>
      <c r="Q35" s="22">
        <v>-1.7169199999999999E-2</v>
      </c>
      <c r="R35" s="22">
        <v>25</v>
      </c>
      <c r="S35" s="22">
        <v>2.56592E-2</v>
      </c>
      <c r="T35">
        <f t="shared" si="2"/>
        <v>17.1692</v>
      </c>
      <c r="U35">
        <f t="shared" si="3"/>
        <v>0.44536733107999998</v>
      </c>
      <c r="X35" s="9"/>
      <c r="Y35" s="22">
        <v>1.67404</v>
      </c>
      <c r="Z35" s="22">
        <v>204.55099999999999</v>
      </c>
      <c r="AA35" s="22">
        <v>-1.46088E-2</v>
      </c>
      <c r="AB35" s="22">
        <v>25</v>
      </c>
      <c r="AC35" s="22">
        <v>1.6732800000000001</v>
      </c>
      <c r="AD35">
        <f t="shared" si="4"/>
        <v>14.6088</v>
      </c>
      <c r="AE35">
        <f t="shared" si="5"/>
        <v>24.455715552000001</v>
      </c>
      <c r="AF35" s="9"/>
      <c r="AG35" s="22">
        <v>2.5939899999999998E-2</v>
      </c>
      <c r="AH35" s="22">
        <v>336.88400000000001</v>
      </c>
      <c r="AI35" s="22">
        <v>-1.7141699999999999E-2</v>
      </c>
      <c r="AJ35" s="22">
        <v>25</v>
      </c>
      <c r="AK35" s="22">
        <v>2.5735500000000001E-2</v>
      </c>
      <c r="AL35">
        <f t="shared" si="6"/>
        <v>17.1417</v>
      </c>
      <c r="AM35">
        <f t="shared" si="7"/>
        <v>0.44465398382999999</v>
      </c>
      <c r="AP35" s="9"/>
      <c r="AQ35" s="22">
        <v>1.67404</v>
      </c>
      <c r="AR35" s="22">
        <v>405.97399999999999</v>
      </c>
      <c r="AS35" s="22">
        <v>-1.48132E-2</v>
      </c>
      <c r="AT35" s="22">
        <v>25</v>
      </c>
      <c r="AU35" s="22">
        <v>1.6726700000000001</v>
      </c>
      <c r="AV35">
        <f t="shared" si="8"/>
        <v>14.8132</v>
      </c>
      <c r="AW35">
        <f t="shared" si="9"/>
        <v>24.797889328</v>
      </c>
      <c r="AX35" s="9"/>
      <c r="AY35" s="22">
        <v>2.5939899999999998E-2</v>
      </c>
      <c r="AZ35" s="22">
        <v>466.80700000000002</v>
      </c>
      <c r="BA35" s="22">
        <v>-1.7117299999999998E-2</v>
      </c>
      <c r="BB35" s="22">
        <v>25</v>
      </c>
      <c r="BC35" s="22">
        <v>2.5729399999999999E-2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30.1388</v>
      </c>
      <c r="I36" s="22">
        <v>4.9877900000000003E-2</v>
      </c>
      <c r="J36" s="22">
        <v>26</v>
      </c>
      <c r="K36" s="22">
        <v>7.8186000000000005E-2</v>
      </c>
      <c r="L36">
        <f t="shared" si="0"/>
        <v>-49.877900000000004</v>
      </c>
      <c r="M36">
        <f t="shared" si="1"/>
        <v>-83.246713879000012</v>
      </c>
      <c r="N36" s="9"/>
      <c r="O36" s="22">
        <v>3.0975300000000001E-2</v>
      </c>
      <c r="P36" s="22">
        <v>141.066</v>
      </c>
      <c r="Q36" s="22">
        <v>-1.7169199999999999E-2</v>
      </c>
      <c r="R36" s="22">
        <v>26</v>
      </c>
      <c r="S36" s="22">
        <v>3.0688500000000001E-2</v>
      </c>
      <c r="T36">
        <f t="shared" si="2"/>
        <v>17.1692</v>
      </c>
      <c r="U36">
        <f t="shared" si="3"/>
        <v>0.53182112075999999</v>
      </c>
      <c r="X36" s="9"/>
      <c r="Y36" s="22">
        <v>1.6690100000000001</v>
      </c>
      <c r="Z36" s="22">
        <v>204.65199999999999</v>
      </c>
      <c r="AA36" s="22">
        <v>-1.47583E-2</v>
      </c>
      <c r="AB36" s="22">
        <v>26</v>
      </c>
      <c r="AC36" s="22">
        <v>1.6680900000000001</v>
      </c>
      <c r="AD36">
        <f t="shared" si="4"/>
        <v>14.7583</v>
      </c>
      <c r="AE36">
        <f t="shared" si="5"/>
        <v>24.631750283000002</v>
      </c>
      <c r="AF36" s="9"/>
      <c r="AG36" s="22">
        <v>3.0975300000000001E-2</v>
      </c>
      <c r="AH36" s="22">
        <v>336.98500000000001</v>
      </c>
      <c r="AI36" s="22">
        <v>-1.71387E-2</v>
      </c>
      <c r="AJ36" s="22">
        <v>26</v>
      </c>
      <c r="AK36" s="22">
        <v>3.0767800000000001E-2</v>
      </c>
      <c r="AL36">
        <f t="shared" si="6"/>
        <v>17.1387</v>
      </c>
      <c r="AM36">
        <f t="shared" si="7"/>
        <v>0.53087637410999999</v>
      </c>
      <c r="AP36" s="9"/>
      <c r="AQ36" s="22">
        <v>1.6690100000000001</v>
      </c>
      <c r="AR36" s="22">
        <v>406.07499999999999</v>
      </c>
      <c r="AS36" s="22">
        <v>-1.4932300000000001E-2</v>
      </c>
      <c r="AT36" s="22">
        <v>26</v>
      </c>
      <c r="AU36" s="22">
        <v>1.6680900000000001</v>
      </c>
      <c r="AV36">
        <f t="shared" si="8"/>
        <v>14.932300000000001</v>
      </c>
      <c r="AW36">
        <f t="shared" si="9"/>
        <v>24.922158023000005</v>
      </c>
      <c r="AX36" s="9"/>
      <c r="AY36" s="22">
        <v>3.0975300000000001E-2</v>
      </c>
      <c r="AZ36" s="22">
        <v>466.90800000000002</v>
      </c>
      <c r="BA36" s="22">
        <v>-1.7117299999999998E-2</v>
      </c>
      <c r="BB36" s="22">
        <v>26</v>
      </c>
      <c r="BC36" s="22">
        <v>3.0764799999999998E-2</v>
      </c>
      <c r="BD36">
        <f t="shared" si="10"/>
        <v>17.1173</v>
      </c>
      <c r="BE36">
        <f t="shared" si="11"/>
        <v>0.53021350269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30.2395</v>
      </c>
      <c r="I37" s="22">
        <v>4.9877900000000003E-2</v>
      </c>
      <c r="J37" s="22">
        <v>27</v>
      </c>
      <c r="K37" s="22">
        <v>7.8186000000000005E-2</v>
      </c>
      <c r="L37">
        <f t="shared" si="0"/>
        <v>-49.877900000000004</v>
      </c>
      <c r="M37">
        <f t="shared" si="1"/>
        <v>-82.995329263000002</v>
      </c>
      <c r="N37" s="9"/>
      <c r="O37" s="22">
        <v>3.60107E-2</v>
      </c>
      <c r="P37" s="22">
        <v>141.166</v>
      </c>
      <c r="Q37" s="22">
        <v>-1.7172199999999999E-2</v>
      </c>
      <c r="R37" s="22">
        <v>27</v>
      </c>
      <c r="S37" s="22">
        <v>3.5855100000000001E-2</v>
      </c>
      <c r="T37">
        <f t="shared" si="2"/>
        <v>17.1722</v>
      </c>
      <c r="U37">
        <f t="shared" si="3"/>
        <v>0.61838294254000004</v>
      </c>
      <c r="X37" s="9"/>
      <c r="Y37" s="22">
        <v>1.6639699999999999</v>
      </c>
      <c r="Z37" s="22">
        <v>204.75200000000001</v>
      </c>
      <c r="AA37" s="22">
        <v>-1.48956E-2</v>
      </c>
      <c r="AB37" s="22">
        <v>27</v>
      </c>
      <c r="AC37" s="22">
        <v>1.6632100000000001</v>
      </c>
      <c r="AD37">
        <f t="shared" si="4"/>
        <v>14.8956</v>
      </c>
      <c r="AE37">
        <f t="shared" si="5"/>
        <v>24.785831532</v>
      </c>
      <c r="AF37" s="9"/>
      <c r="AG37" s="22">
        <v>3.60107E-2</v>
      </c>
      <c r="AH37" s="22">
        <v>337.08600000000001</v>
      </c>
      <c r="AI37" s="22">
        <v>-1.7132600000000001E-2</v>
      </c>
      <c r="AJ37" s="22">
        <v>27</v>
      </c>
      <c r="AK37" s="22">
        <v>3.5784900000000001E-2</v>
      </c>
      <c r="AL37">
        <f t="shared" si="6"/>
        <v>17.1326</v>
      </c>
      <c r="AM37">
        <f t="shared" si="7"/>
        <v>0.61695691882000003</v>
      </c>
      <c r="AP37" s="9"/>
      <c r="AQ37" s="22">
        <v>1.6639699999999999</v>
      </c>
      <c r="AR37" s="22">
        <v>406.17599999999999</v>
      </c>
      <c r="AS37" s="22">
        <v>-1.5048199999999999E-2</v>
      </c>
      <c r="AT37" s="22">
        <v>27</v>
      </c>
      <c r="AU37" s="22">
        <v>1.6629</v>
      </c>
      <c r="AV37">
        <f t="shared" si="8"/>
        <v>15.0482</v>
      </c>
      <c r="AW37">
        <f t="shared" si="9"/>
        <v>25.039753353999998</v>
      </c>
      <c r="AX37" s="9"/>
      <c r="AY37" s="22">
        <v>3.60107E-2</v>
      </c>
      <c r="AZ37" s="22">
        <v>467.00900000000001</v>
      </c>
      <c r="BA37" s="22">
        <v>-1.7117299999999998E-2</v>
      </c>
      <c r="BB37" s="22">
        <v>27</v>
      </c>
      <c r="BC37" s="22">
        <v>3.5955800000000003E-2</v>
      </c>
      <c r="BD37">
        <f t="shared" si="10"/>
        <v>17.1173</v>
      </c>
      <c r="BE37">
        <f t="shared" si="11"/>
        <v>0.61640595510999996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30.340199999999999</v>
      </c>
      <c r="I38" s="22">
        <v>4.9868799999999998E-2</v>
      </c>
      <c r="J38" s="22">
        <v>28</v>
      </c>
      <c r="K38" s="22">
        <v>7.8216599999999997E-2</v>
      </c>
      <c r="L38">
        <f t="shared" si="0"/>
        <v>-49.8688</v>
      </c>
      <c r="M38">
        <f t="shared" si="1"/>
        <v>-82.72934707200001</v>
      </c>
      <c r="N38" s="9"/>
      <c r="O38" s="22">
        <v>4.1046100000000002E-2</v>
      </c>
      <c r="P38" s="22">
        <v>141.267</v>
      </c>
      <c r="Q38" s="22">
        <v>-1.7175300000000001E-2</v>
      </c>
      <c r="R38" s="22">
        <v>28</v>
      </c>
      <c r="S38" s="22">
        <v>4.0890500000000003E-2</v>
      </c>
      <c r="T38">
        <f t="shared" si="2"/>
        <v>17.1753</v>
      </c>
      <c r="U38">
        <f t="shared" si="3"/>
        <v>0.70497908133000009</v>
      </c>
      <c r="X38" s="9"/>
      <c r="Y38" s="22">
        <v>1.6589400000000001</v>
      </c>
      <c r="Z38" s="22">
        <v>204.85300000000001</v>
      </c>
      <c r="AA38" s="22">
        <v>-1.50238E-2</v>
      </c>
      <c r="AB38" s="22">
        <v>28</v>
      </c>
      <c r="AC38" s="22">
        <v>1.6583300000000001</v>
      </c>
      <c r="AD38">
        <f t="shared" si="4"/>
        <v>15.0238</v>
      </c>
      <c r="AE38">
        <f t="shared" si="5"/>
        <v>24.923582772</v>
      </c>
      <c r="AF38" s="9"/>
      <c r="AG38" s="22">
        <v>4.1046100000000002E-2</v>
      </c>
      <c r="AH38" s="22">
        <v>337.18599999999998</v>
      </c>
      <c r="AI38" s="22">
        <v>-1.7132600000000001E-2</v>
      </c>
      <c r="AJ38" s="22">
        <v>28</v>
      </c>
      <c r="AK38" s="22">
        <v>4.0878299999999999E-2</v>
      </c>
      <c r="AL38">
        <f t="shared" si="6"/>
        <v>17.1326</v>
      </c>
      <c r="AM38">
        <f t="shared" si="7"/>
        <v>0.70322641285999998</v>
      </c>
      <c r="AP38" s="9"/>
      <c r="AQ38" s="22">
        <v>1.6589400000000001</v>
      </c>
      <c r="AR38" s="22">
        <v>406.27600000000001</v>
      </c>
      <c r="AS38" s="22">
        <v>-1.5152000000000001E-2</v>
      </c>
      <c r="AT38" s="22">
        <v>28</v>
      </c>
      <c r="AU38" s="22">
        <v>1.65802</v>
      </c>
      <c r="AV38">
        <f t="shared" si="8"/>
        <v>15.152000000000001</v>
      </c>
      <c r="AW38">
        <f t="shared" si="9"/>
        <v>25.136258880000003</v>
      </c>
      <c r="AX38" s="9"/>
      <c r="AY38" s="22">
        <v>4.1046100000000002E-2</v>
      </c>
      <c r="AZ38" s="22">
        <v>467.10899999999998</v>
      </c>
      <c r="BA38" s="22">
        <v>-1.71112E-2</v>
      </c>
      <c r="BB38" s="22">
        <v>28</v>
      </c>
      <c r="BC38" s="22">
        <v>4.0817300000000001E-2</v>
      </c>
      <c r="BD38">
        <f t="shared" si="10"/>
        <v>17.1112</v>
      </c>
      <c r="BE38">
        <f t="shared" si="11"/>
        <v>0.70234802632000004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30.440899999999999</v>
      </c>
      <c r="I39" s="22">
        <v>4.9771099999999999E-2</v>
      </c>
      <c r="J39" s="22">
        <v>29</v>
      </c>
      <c r="K39" s="22">
        <v>7.82471E-2</v>
      </c>
      <c r="L39">
        <f t="shared" si="0"/>
        <v>-49.771099999999997</v>
      </c>
      <c r="M39">
        <f t="shared" si="1"/>
        <v>-82.316422289999991</v>
      </c>
      <c r="N39" s="9"/>
      <c r="O39" s="22">
        <v>4.6081499999999997E-2</v>
      </c>
      <c r="P39" s="22">
        <v>141.36799999999999</v>
      </c>
      <c r="Q39" s="22">
        <v>-1.71661E-2</v>
      </c>
      <c r="R39" s="22">
        <v>29</v>
      </c>
      <c r="S39" s="22">
        <v>4.5724500000000001E-2</v>
      </c>
      <c r="T39">
        <f t="shared" si="2"/>
        <v>17.1661</v>
      </c>
      <c r="U39">
        <f t="shared" si="3"/>
        <v>0.79103963714999992</v>
      </c>
      <c r="X39" s="9"/>
      <c r="Y39" s="22">
        <v>1.6538999999999999</v>
      </c>
      <c r="Z39" s="22">
        <v>204.95400000000001</v>
      </c>
      <c r="AA39" s="22">
        <v>-1.51428E-2</v>
      </c>
      <c r="AB39" s="22">
        <v>29</v>
      </c>
      <c r="AC39" s="22">
        <v>1.65283</v>
      </c>
      <c r="AD39">
        <f t="shared" si="4"/>
        <v>15.142799999999999</v>
      </c>
      <c r="AE39">
        <f t="shared" si="5"/>
        <v>25.044676919999997</v>
      </c>
      <c r="AF39" s="9"/>
      <c r="AG39" s="22">
        <v>4.6081499999999997E-2</v>
      </c>
      <c r="AH39" s="22">
        <v>337.28699999999998</v>
      </c>
      <c r="AI39" s="22">
        <v>-1.7126499999999999E-2</v>
      </c>
      <c r="AJ39" s="22">
        <v>29</v>
      </c>
      <c r="AK39" s="22">
        <v>4.5889300000000001E-2</v>
      </c>
      <c r="AL39">
        <f t="shared" si="6"/>
        <v>17.1265</v>
      </c>
      <c r="AM39">
        <f t="shared" si="7"/>
        <v>0.78921480974999991</v>
      </c>
      <c r="AP39" s="9"/>
      <c r="AQ39" s="22">
        <v>1.6538999999999999</v>
      </c>
      <c r="AR39" s="22">
        <v>406.37700000000001</v>
      </c>
      <c r="AS39" s="22">
        <v>-1.5252699999999999E-2</v>
      </c>
      <c r="AT39" s="22">
        <v>29</v>
      </c>
      <c r="AU39" s="22">
        <v>1.6531400000000001</v>
      </c>
      <c r="AV39">
        <f t="shared" si="8"/>
        <v>15.252699999999999</v>
      </c>
      <c r="AW39">
        <f t="shared" si="9"/>
        <v>25.226440529999998</v>
      </c>
      <c r="AX39" s="9"/>
      <c r="AY39" s="22">
        <v>4.6081499999999997E-2</v>
      </c>
      <c r="AZ39" s="22">
        <v>467.21</v>
      </c>
      <c r="BA39" s="22">
        <v>-1.7114299999999999E-2</v>
      </c>
      <c r="BB39" s="22">
        <v>29</v>
      </c>
      <c r="BC39" s="22">
        <v>4.5901499999999998E-2</v>
      </c>
      <c r="BD39">
        <f t="shared" si="10"/>
        <v>17.1143</v>
      </c>
      <c r="BE39">
        <f t="shared" si="11"/>
        <v>0.78865261544999998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30.541599999999999</v>
      </c>
      <c r="I40" s="22">
        <v>4.9902299999999997E-2</v>
      </c>
      <c r="J40" s="22">
        <v>30</v>
      </c>
      <c r="K40" s="22">
        <v>7.8216599999999997E-2</v>
      </c>
      <c r="L40">
        <f t="shared" si="0"/>
        <v>-49.902299999999997</v>
      </c>
      <c r="M40">
        <f t="shared" si="1"/>
        <v>-82.281906377999988</v>
      </c>
      <c r="N40" s="9"/>
      <c r="O40" s="22">
        <v>5.11169E-2</v>
      </c>
      <c r="P40" s="22">
        <v>141.46799999999999</v>
      </c>
      <c r="Q40" s="22">
        <v>-1.7169199999999999E-2</v>
      </c>
      <c r="R40" s="22">
        <v>30</v>
      </c>
      <c r="S40" s="22">
        <v>5.09644E-2</v>
      </c>
      <c r="T40">
        <f t="shared" si="2"/>
        <v>17.1692</v>
      </c>
      <c r="U40">
        <f t="shared" si="3"/>
        <v>0.87763627948</v>
      </c>
      <c r="X40" s="9"/>
      <c r="Y40" s="22">
        <v>1.64886</v>
      </c>
      <c r="Z40" s="22">
        <v>205.054</v>
      </c>
      <c r="AA40" s="22">
        <v>-1.52344E-2</v>
      </c>
      <c r="AB40" s="22">
        <v>30</v>
      </c>
      <c r="AC40" s="22">
        <v>1.64825</v>
      </c>
      <c r="AD40">
        <f t="shared" si="4"/>
        <v>15.234400000000001</v>
      </c>
      <c r="AE40">
        <f t="shared" si="5"/>
        <v>25.119392784000002</v>
      </c>
      <c r="AF40" s="9"/>
      <c r="AG40" s="22">
        <v>5.11169E-2</v>
      </c>
      <c r="AH40" s="22">
        <v>337.38799999999998</v>
      </c>
      <c r="AI40" s="22">
        <v>-1.7132600000000001E-2</v>
      </c>
      <c r="AJ40" s="22">
        <v>30</v>
      </c>
      <c r="AK40" s="22">
        <v>5.0891100000000002E-2</v>
      </c>
      <c r="AL40">
        <f t="shared" si="6"/>
        <v>17.1326</v>
      </c>
      <c r="AM40">
        <f t="shared" si="7"/>
        <v>0.87576540093999999</v>
      </c>
      <c r="AP40" s="9"/>
      <c r="AQ40" s="22">
        <v>1.64886</v>
      </c>
      <c r="AR40" s="22">
        <v>406.47800000000001</v>
      </c>
      <c r="AS40" s="22">
        <v>-1.5347299999999999E-2</v>
      </c>
      <c r="AT40" s="22">
        <v>30</v>
      </c>
      <c r="AU40" s="22">
        <v>1.64764</v>
      </c>
      <c r="AV40">
        <f t="shared" si="8"/>
        <v>15.347299999999999</v>
      </c>
      <c r="AW40">
        <f t="shared" si="9"/>
        <v>25.305549077999999</v>
      </c>
      <c r="AX40" s="9"/>
      <c r="AY40" s="22">
        <v>5.11169E-2</v>
      </c>
      <c r="AZ40" s="22">
        <v>467.31099999999998</v>
      </c>
      <c r="BA40" s="22">
        <v>-1.71112E-2</v>
      </c>
      <c r="BB40" s="22">
        <v>30</v>
      </c>
      <c r="BC40" s="22">
        <v>5.0790399999999999E-2</v>
      </c>
      <c r="BD40">
        <f t="shared" si="10"/>
        <v>17.1112</v>
      </c>
      <c r="BE40">
        <f t="shared" si="11"/>
        <v>0.87467149927999999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30.642299999999999</v>
      </c>
      <c r="I41" s="22">
        <v>4.9917599999999999E-2</v>
      </c>
      <c r="J41" s="22">
        <v>31</v>
      </c>
      <c r="K41" s="22">
        <v>7.82471E-2</v>
      </c>
      <c r="L41">
        <f t="shared" si="0"/>
        <v>-49.9176</v>
      </c>
      <c r="M41">
        <f t="shared" si="1"/>
        <v>-82.056048407999995</v>
      </c>
      <c r="N41" s="9"/>
      <c r="O41" s="22">
        <v>5.6152300000000002E-2</v>
      </c>
      <c r="P41" s="22">
        <v>141.56899999999999</v>
      </c>
      <c r="Q41" s="22">
        <v>-1.7169199999999999E-2</v>
      </c>
      <c r="R41" s="22">
        <v>31</v>
      </c>
      <c r="S41" s="22">
        <v>5.5542000000000001E-2</v>
      </c>
      <c r="T41">
        <f t="shared" si="2"/>
        <v>17.1692</v>
      </c>
      <c r="U41">
        <f t="shared" si="3"/>
        <v>0.96409006916000006</v>
      </c>
      <c r="X41" s="9"/>
      <c r="Y41" s="22">
        <v>1.6438299999999999</v>
      </c>
      <c r="Z41" s="22">
        <v>205.155</v>
      </c>
      <c r="AA41" s="22">
        <v>-1.53381E-2</v>
      </c>
      <c r="AB41" s="22">
        <v>31</v>
      </c>
      <c r="AC41" s="22">
        <v>1.64307</v>
      </c>
      <c r="AD41">
        <f t="shared" si="4"/>
        <v>15.338100000000001</v>
      </c>
      <c r="AE41">
        <f t="shared" si="5"/>
        <v>25.213228922999999</v>
      </c>
      <c r="AF41" s="9"/>
      <c r="AG41" s="22">
        <v>5.6152300000000002E-2</v>
      </c>
      <c r="AH41" s="22">
        <v>337.488</v>
      </c>
      <c r="AI41" s="22">
        <v>-1.7129499999999999E-2</v>
      </c>
      <c r="AJ41" s="22">
        <v>31</v>
      </c>
      <c r="AK41" s="22">
        <v>5.5481000000000003E-2</v>
      </c>
      <c r="AL41">
        <f t="shared" si="6"/>
        <v>17.1295</v>
      </c>
      <c r="AM41">
        <f t="shared" si="7"/>
        <v>0.96186082285000007</v>
      </c>
      <c r="AP41" s="9"/>
      <c r="AQ41" s="22">
        <v>1.6438299999999999</v>
      </c>
      <c r="AR41" s="22">
        <v>406.57900000000001</v>
      </c>
      <c r="AS41" s="22">
        <v>-1.54114E-2</v>
      </c>
      <c r="AT41" s="22">
        <v>31</v>
      </c>
      <c r="AU41" s="22">
        <v>1.64215</v>
      </c>
      <c r="AV41">
        <f t="shared" si="8"/>
        <v>15.4114</v>
      </c>
      <c r="AW41">
        <f t="shared" si="9"/>
        <v>25.333721661999999</v>
      </c>
      <c r="AX41" s="9"/>
      <c r="AY41" s="22">
        <v>5.6152300000000002E-2</v>
      </c>
      <c r="AZ41" s="22">
        <v>467.41199999999998</v>
      </c>
      <c r="BA41" s="22">
        <v>-1.71112E-2</v>
      </c>
      <c r="BB41" s="22">
        <v>31</v>
      </c>
      <c r="BC41" s="22">
        <v>5.5481000000000003E-2</v>
      </c>
      <c r="BD41">
        <f t="shared" si="10"/>
        <v>17.1112</v>
      </c>
      <c r="BE41">
        <f t="shared" si="11"/>
        <v>0.96083323576000002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30.742999999999999</v>
      </c>
      <c r="I42" s="22">
        <v>4.9951200000000001E-2</v>
      </c>
      <c r="J42" s="22">
        <v>32</v>
      </c>
      <c r="K42" s="22">
        <v>7.8155500000000003E-2</v>
      </c>
      <c r="L42">
        <f t="shared" si="0"/>
        <v>-49.9512</v>
      </c>
      <c r="M42">
        <f t="shared" si="1"/>
        <v>-81.859527048000004</v>
      </c>
      <c r="N42" s="9"/>
      <c r="O42" s="22">
        <v>6.1187699999999998E-2</v>
      </c>
      <c r="P42" s="22">
        <v>141.66999999999999</v>
      </c>
      <c r="Q42" s="22">
        <v>-1.71661E-2</v>
      </c>
      <c r="R42" s="22">
        <v>32</v>
      </c>
      <c r="S42" s="22">
        <v>6.0577400000000003E-2</v>
      </c>
      <c r="T42">
        <f t="shared" si="2"/>
        <v>17.1661</v>
      </c>
      <c r="U42">
        <f t="shared" si="3"/>
        <v>1.05035417697</v>
      </c>
      <c r="X42" s="9"/>
      <c r="Y42" s="22">
        <v>1.63879</v>
      </c>
      <c r="Z42" s="22">
        <v>205.256</v>
      </c>
      <c r="AA42" s="22">
        <v>-1.54053E-2</v>
      </c>
      <c r="AB42" s="22">
        <v>32</v>
      </c>
      <c r="AC42" s="22">
        <v>1.63818</v>
      </c>
      <c r="AD42">
        <f t="shared" si="4"/>
        <v>15.4053</v>
      </c>
      <c r="AE42">
        <f t="shared" si="5"/>
        <v>25.246051587</v>
      </c>
      <c r="AF42" s="9"/>
      <c r="AG42" s="22">
        <v>6.1187699999999998E-2</v>
      </c>
      <c r="AH42" s="22">
        <v>337.589</v>
      </c>
      <c r="AI42" s="22">
        <v>-1.7126499999999999E-2</v>
      </c>
      <c r="AJ42" s="22">
        <v>32</v>
      </c>
      <c r="AK42" s="22">
        <v>6.0607899999999999E-2</v>
      </c>
      <c r="AL42">
        <f t="shared" si="6"/>
        <v>17.1265</v>
      </c>
      <c r="AM42">
        <f t="shared" si="7"/>
        <v>1.0479311440499999</v>
      </c>
      <c r="AP42" s="9"/>
      <c r="AQ42" s="22">
        <v>1.63879</v>
      </c>
      <c r="AR42" s="22">
        <v>406.67899999999997</v>
      </c>
      <c r="AS42" s="22">
        <v>-1.5484599999999999E-2</v>
      </c>
      <c r="AT42" s="22">
        <v>32</v>
      </c>
      <c r="AU42" s="22">
        <v>1.63788</v>
      </c>
      <c r="AV42">
        <f t="shared" si="8"/>
        <v>15.484599999999999</v>
      </c>
      <c r="AW42">
        <f t="shared" si="9"/>
        <v>25.376007633999997</v>
      </c>
      <c r="AX42" s="9"/>
      <c r="AY42" s="22">
        <v>6.1187699999999998E-2</v>
      </c>
      <c r="AZ42" s="22">
        <v>467.512</v>
      </c>
      <c r="BA42" s="22">
        <v>-1.7105100000000002E-2</v>
      </c>
      <c r="BB42" s="22">
        <v>32</v>
      </c>
      <c r="BC42" s="22">
        <v>6.0516399999999998E-2</v>
      </c>
      <c r="BD42">
        <f t="shared" si="10"/>
        <v>17.1051</v>
      </c>
      <c r="BE42">
        <f t="shared" si="11"/>
        <v>1.04662172727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30.843699999999998</v>
      </c>
      <c r="I43" s="22">
        <v>4.9978599999999998E-2</v>
      </c>
      <c r="J43" s="22">
        <v>33</v>
      </c>
      <c r="K43" s="22">
        <v>7.8155500000000003E-2</v>
      </c>
      <c r="L43">
        <f t="shared" si="0"/>
        <v>-49.9786</v>
      </c>
      <c r="M43">
        <f t="shared" si="1"/>
        <v>-81.653037535999999</v>
      </c>
      <c r="N43" s="9"/>
      <c r="O43" s="22">
        <v>6.6223099999999993E-2</v>
      </c>
      <c r="P43" s="22">
        <v>141.77099999999999</v>
      </c>
      <c r="Q43" s="22">
        <v>-1.71509E-2</v>
      </c>
      <c r="R43" s="22">
        <v>33</v>
      </c>
      <c r="S43" s="22">
        <v>6.5582299999999996E-2</v>
      </c>
      <c r="T43">
        <f t="shared" si="2"/>
        <v>17.1509</v>
      </c>
      <c r="U43">
        <f t="shared" si="3"/>
        <v>1.1357857657899999</v>
      </c>
      <c r="X43" s="9"/>
      <c r="Y43" s="22">
        <v>1.6337600000000001</v>
      </c>
      <c r="Z43" s="22">
        <v>205.357</v>
      </c>
      <c r="AA43" s="22">
        <v>-1.54907E-2</v>
      </c>
      <c r="AB43" s="22">
        <v>33</v>
      </c>
      <c r="AC43" s="22">
        <v>1.633</v>
      </c>
      <c r="AD43">
        <f t="shared" si="4"/>
        <v>15.4907</v>
      </c>
      <c r="AE43">
        <f t="shared" si="5"/>
        <v>25.308086032000002</v>
      </c>
      <c r="AF43" s="9"/>
      <c r="AG43" s="22">
        <v>6.6223099999999993E-2</v>
      </c>
      <c r="AH43" s="22">
        <v>337.69</v>
      </c>
      <c r="AI43" s="22">
        <v>-1.7114299999999999E-2</v>
      </c>
      <c r="AJ43" s="22">
        <v>33</v>
      </c>
      <c r="AK43" s="22">
        <v>6.5551799999999993E-2</v>
      </c>
      <c r="AL43">
        <f t="shared" si="6"/>
        <v>17.1143</v>
      </c>
      <c r="AM43">
        <f t="shared" si="7"/>
        <v>1.1333620003299998</v>
      </c>
      <c r="AP43" s="9"/>
      <c r="AQ43" s="22">
        <v>1.6337600000000001</v>
      </c>
      <c r="AR43" s="22">
        <v>406.78</v>
      </c>
      <c r="AS43" s="22">
        <v>-1.5545700000000001E-2</v>
      </c>
      <c r="AT43" s="22">
        <v>33</v>
      </c>
      <c r="AU43" s="22">
        <v>1.6333</v>
      </c>
      <c r="AV43">
        <f t="shared" si="8"/>
        <v>15.5457</v>
      </c>
      <c r="AW43">
        <f t="shared" si="9"/>
        <v>25.397942832000002</v>
      </c>
      <c r="AX43" s="9"/>
      <c r="AY43" s="22">
        <v>6.6223099999999993E-2</v>
      </c>
      <c r="AZ43" s="22">
        <v>467.613</v>
      </c>
      <c r="BA43" s="22">
        <v>-1.71112E-2</v>
      </c>
      <c r="BB43" s="22">
        <v>33</v>
      </c>
      <c r="BC43" s="22">
        <v>6.5643300000000002E-2</v>
      </c>
      <c r="BD43">
        <f t="shared" si="10"/>
        <v>17.1112</v>
      </c>
      <c r="BE43">
        <f t="shared" si="11"/>
        <v>1.1331567087199999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30.944400000000002</v>
      </c>
      <c r="I44" s="22">
        <v>5.0003100000000002E-2</v>
      </c>
      <c r="J44" s="22">
        <v>34</v>
      </c>
      <c r="K44" s="22">
        <v>7.8216599999999997E-2</v>
      </c>
      <c r="L44">
        <f t="shared" si="0"/>
        <v>-50.003100000000003</v>
      </c>
      <c r="M44">
        <f t="shared" si="1"/>
        <v>-81.441049032000009</v>
      </c>
      <c r="N44" s="9"/>
      <c r="O44" s="22">
        <v>7.1258500000000002E-2</v>
      </c>
      <c r="P44" s="22">
        <v>141.87100000000001</v>
      </c>
      <c r="Q44" s="22">
        <v>-1.71539E-2</v>
      </c>
      <c r="R44" s="22">
        <v>34</v>
      </c>
      <c r="S44" s="22">
        <v>7.0648199999999994E-2</v>
      </c>
      <c r="T44">
        <f t="shared" si="2"/>
        <v>17.1539</v>
      </c>
      <c r="U44">
        <f t="shared" si="3"/>
        <v>1.2223611831500001</v>
      </c>
      <c r="X44" s="9"/>
      <c r="Y44" s="22">
        <v>1.6287199999999999</v>
      </c>
      <c r="Z44" s="22">
        <v>205.45699999999999</v>
      </c>
      <c r="AA44" s="22">
        <v>-1.55487E-2</v>
      </c>
      <c r="AB44" s="22">
        <v>34</v>
      </c>
      <c r="AC44" s="22">
        <v>1.62781</v>
      </c>
      <c r="AD44">
        <f t="shared" si="4"/>
        <v>15.5487</v>
      </c>
      <c r="AE44">
        <f t="shared" si="5"/>
        <v>25.324478664000001</v>
      </c>
      <c r="AF44" s="9"/>
      <c r="AG44" s="22">
        <v>7.1258500000000002E-2</v>
      </c>
      <c r="AH44" s="22">
        <v>337.791</v>
      </c>
      <c r="AI44" s="22">
        <v>-1.7120400000000001E-2</v>
      </c>
      <c r="AJ44" s="22">
        <v>34</v>
      </c>
      <c r="AK44" s="22">
        <v>7.0556599999999997E-2</v>
      </c>
      <c r="AL44">
        <f t="shared" si="6"/>
        <v>17.1204</v>
      </c>
      <c r="AM44">
        <f t="shared" si="7"/>
        <v>1.2199740234000001</v>
      </c>
      <c r="AP44" s="9"/>
      <c r="AQ44" s="22">
        <v>1.6287199999999999</v>
      </c>
      <c r="AR44" s="22">
        <v>406.88099999999997</v>
      </c>
      <c r="AS44" s="22">
        <v>-1.5606699999999999E-2</v>
      </c>
      <c r="AT44" s="22">
        <v>34</v>
      </c>
      <c r="AU44" s="22">
        <v>1.62781</v>
      </c>
      <c r="AV44">
        <f t="shared" si="8"/>
        <v>15.6067</v>
      </c>
      <c r="AW44">
        <f t="shared" si="9"/>
        <v>25.418944423999999</v>
      </c>
      <c r="AX44" s="9"/>
      <c r="AY44" s="22">
        <v>7.1258500000000002E-2</v>
      </c>
      <c r="AZ44" s="22">
        <v>467.714</v>
      </c>
      <c r="BA44" s="22">
        <v>-1.71082E-2</v>
      </c>
      <c r="BB44" s="22">
        <v>34</v>
      </c>
      <c r="BC44" s="22">
        <v>7.0495600000000005E-2</v>
      </c>
      <c r="BD44">
        <f t="shared" si="10"/>
        <v>17.1082</v>
      </c>
      <c r="BE44">
        <f t="shared" si="11"/>
        <v>1.2191046697000001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31.045200000000001</v>
      </c>
      <c r="I45" s="22">
        <v>5.0030499999999999E-2</v>
      </c>
      <c r="J45" s="22">
        <v>35</v>
      </c>
      <c r="K45" s="22">
        <v>7.82471E-2</v>
      </c>
      <c r="L45">
        <f t="shared" si="0"/>
        <v>-50.030499999999996</v>
      </c>
      <c r="M45">
        <f t="shared" si="1"/>
        <v>-81.234022545000002</v>
      </c>
      <c r="N45" s="9"/>
      <c r="O45" s="22">
        <v>7.6293899999999998E-2</v>
      </c>
      <c r="P45" s="22">
        <v>141.97200000000001</v>
      </c>
      <c r="Q45" s="22">
        <v>-1.71509E-2</v>
      </c>
      <c r="R45" s="22">
        <v>35</v>
      </c>
      <c r="S45" s="22">
        <v>7.5897199999999998E-2</v>
      </c>
      <c r="T45">
        <f t="shared" si="2"/>
        <v>17.1509</v>
      </c>
      <c r="U45">
        <f t="shared" si="3"/>
        <v>1.30850904951</v>
      </c>
      <c r="X45" s="9"/>
      <c r="Y45" s="22">
        <v>1.6236900000000001</v>
      </c>
      <c r="Z45" s="22">
        <v>205.55799999999999</v>
      </c>
      <c r="AA45" s="22">
        <v>-1.56189E-2</v>
      </c>
      <c r="AB45" s="22">
        <v>35</v>
      </c>
      <c r="AC45" s="22">
        <v>1.62262</v>
      </c>
      <c r="AD45">
        <f t="shared" si="4"/>
        <v>15.6189</v>
      </c>
      <c r="AE45">
        <f t="shared" si="5"/>
        <v>25.360251741000003</v>
      </c>
      <c r="AF45" s="9"/>
      <c r="AG45" s="22">
        <v>7.6293899999999998E-2</v>
      </c>
      <c r="AH45" s="22">
        <v>337.89100000000002</v>
      </c>
      <c r="AI45" s="22">
        <v>-1.71112E-2</v>
      </c>
      <c r="AJ45" s="22">
        <v>35</v>
      </c>
      <c r="AK45" s="22">
        <v>7.5653100000000001E-2</v>
      </c>
      <c r="AL45">
        <f t="shared" si="6"/>
        <v>17.1112</v>
      </c>
      <c r="AM45">
        <f t="shared" si="7"/>
        <v>1.3054801816799999</v>
      </c>
      <c r="AP45" s="9"/>
      <c r="AQ45" s="22">
        <v>1.6236900000000001</v>
      </c>
      <c r="AR45" s="22">
        <v>406.98099999999999</v>
      </c>
      <c r="AS45" s="22">
        <v>-1.5661600000000001E-2</v>
      </c>
      <c r="AT45" s="22">
        <v>35</v>
      </c>
      <c r="AU45" s="22">
        <v>1.62262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467.81400000000002</v>
      </c>
      <c r="BA45" s="22">
        <v>-1.7102099999999999E-2</v>
      </c>
      <c r="BB45" s="22">
        <v>35</v>
      </c>
      <c r="BC45" s="22">
        <v>7.5531000000000001E-2</v>
      </c>
      <c r="BD45">
        <f t="shared" si="10"/>
        <v>17.1021</v>
      </c>
      <c r="BE45">
        <f t="shared" si="11"/>
        <v>1.3047859071899999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31.145900000000001</v>
      </c>
      <c r="I46" s="22">
        <v>4.9960299999999999E-2</v>
      </c>
      <c r="J46" s="22">
        <v>36</v>
      </c>
      <c r="K46" s="22">
        <v>7.8277600000000003E-2</v>
      </c>
      <c r="L46">
        <f t="shared" si="0"/>
        <v>-49.960299999999997</v>
      </c>
      <c r="M46">
        <f t="shared" si="1"/>
        <v>-80.868239594999991</v>
      </c>
      <c r="N46" s="9"/>
      <c r="O46" s="22">
        <v>8.1329299999999993E-2</v>
      </c>
      <c r="P46" s="22">
        <v>142.07300000000001</v>
      </c>
      <c r="Q46" s="22">
        <v>-1.7147800000000001E-2</v>
      </c>
      <c r="R46" s="22">
        <v>36</v>
      </c>
      <c r="S46" s="22">
        <v>8.0810499999999993E-2</v>
      </c>
      <c r="T46">
        <f t="shared" si="2"/>
        <v>17.1478</v>
      </c>
      <c r="U46">
        <f t="shared" si="3"/>
        <v>1.3946185705399998</v>
      </c>
      <c r="X46" s="9"/>
      <c r="Y46" s="22">
        <v>1.6186499999999999</v>
      </c>
      <c r="Z46" s="22">
        <v>205.65899999999999</v>
      </c>
      <c r="AA46" s="22">
        <v>-1.56799E-2</v>
      </c>
      <c r="AB46" s="22">
        <v>36</v>
      </c>
      <c r="AC46" s="22">
        <v>1.61713</v>
      </c>
      <c r="AD46">
        <f t="shared" si="4"/>
        <v>15.6799</v>
      </c>
      <c r="AE46">
        <f t="shared" si="5"/>
        <v>25.380270135</v>
      </c>
      <c r="AF46" s="9"/>
      <c r="AG46" s="22">
        <v>8.1329299999999993E-2</v>
      </c>
      <c r="AH46" s="22">
        <v>337.99200000000002</v>
      </c>
      <c r="AI46" s="22">
        <v>-1.7114299999999999E-2</v>
      </c>
      <c r="AJ46" s="22">
        <v>36</v>
      </c>
      <c r="AK46" s="22">
        <v>8.0657999999999994E-2</v>
      </c>
      <c r="AL46">
        <f t="shared" si="6"/>
        <v>17.1143</v>
      </c>
      <c r="AM46">
        <f t="shared" si="7"/>
        <v>1.3918940389899999</v>
      </c>
      <c r="AP46" s="9"/>
      <c r="AQ46" s="22">
        <v>1.6186499999999999</v>
      </c>
      <c r="AR46" s="22">
        <v>407.08199999999999</v>
      </c>
      <c r="AS46" s="22">
        <v>-1.5713499999999998E-2</v>
      </c>
      <c r="AT46" s="22">
        <v>36</v>
      </c>
      <c r="AU46" s="22">
        <v>1.6180399999999999</v>
      </c>
      <c r="AV46">
        <f t="shared" si="8"/>
        <v>15.713499999999998</v>
      </c>
      <c r="AW46">
        <f t="shared" si="9"/>
        <v>25.434656774999997</v>
      </c>
      <c r="AX46" s="9"/>
      <c r="AY46" s="22">
        <v>8.1329299999999993E-2</v>
      </c>
      <c r="AZ46" s="22">
        <v>467.91500000000002</v>
      </c>
      <c r="BA46" s="22">
        <v>-1.7099E-2</v>
      </c>
      <c r="BB46" s="22">
        <v>36</v>
      </c>
      <c r="BC46" s="22">
        <v>8.0657999999999994E-2</v>
      </c>
      <c r="BD46">
        <f t="shared" si="10"/>
        <v>17.099</v>
      </c>
      <c r="BE46">
        <f t="shared" si="11"/>
        <v>1.3906497006999998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31.246600000000001</v>
      </c>
      <c r="I47" s="22">
        <v>5.0006099999999998E-2</v>
      </c>
      <c r="J47" s="22">
        <v>37</v>
      </c>
      <c r="K47" s="22">
        <v>7.8277600000000003E-2</v>
      </c>
      <c r="L47">
        <f t="shared" si="0"/>
        <v>-50.006099999999996</v>
      </c>
      <c r="M47">
        <f t="shared" si="1"/>
        <v>-80.690843082000001</v>
      </c>
      <c r="N47" s="9"/>
      <c r="O47" s="22">
        <v>8.6364700000000003E-2</v>
      </c>
      <c r="P47" s="22">
        <v>142.173</v>
      </c>
      <c r="Q47" s="22">
        <v>-1.7144800000000002E-2</v>
      </c>
      <c r="R47" s="22">
        <v>37</v>
      </c>
      <c r="S47" s="22">
        <v>8.5693400000000003E-2</v>
      </c>
      <c r="T47">
        <f t="shared" si="2"/>
        <v>17.1448</v>
      </c>
      <c r="U47">
        <f t="shared" si="3"/>
        <v>1.48070550856</v>
      </c>
      <c r="X47" s="9"/>
      <c r="Y47" s="22">
        <v>1.6136200000000001</v>
      </c>
      <c r="Z47" s="22">
        <v>205.75899999999999</v>
      </c>
      <c r="AA47" s="22">
        <v>-1.5728800000000001E-2</v>
      </c>
      <c r="AB47" s="22">
        <v>37</v>
      </c>
      <c r="AC47" s="22">
        <v>1.6128499999999999</v>
      </c>
      <c r="AD47">
        <f t="shared" si="4"/>
        <v>15.728800000000001</v>
      </c>
      <c r="AE47">
        <f t="shared" si="5"/>
        <v>25.380306256000004</v>
      </c>
      <c r="AF47" s="9"/>
      <c r="AG47" s="22">
        <v>8.6364700000000003E-2</v>
      </c>
      <c r="AH47" s="22">
        <v>338.09300000000002</v>
      </c>
      <c r="AI47" s="22">
        <v>-1.7114299999999999E-2</v>
      </c>
      <c r="AJ47" s="22">
        <v>37</v>
      </c>
      <c r="AK47" s="22">
        <v>8.5845900000000003E-2</v>
      </c>
      <c r="AL47">
        <f t="shared" si="6"/>
        <v>17.1143</v>
      </c>
      <c r="AM47">
        <f t="shared" si="7"/>
        <v>1.47807138521</v>
      </c>
      <c r="AP47" s="9"/>
      <c r="AQ47" s="22">
        <v>1.6136200000000001</v>
      </c>
      <c r="AR47" s="22">
        <v>407.18299999999999</v>
      </c>
      <c r="AS47" s="22">
        <v>-1.5744000000000001E-2</v>
      </c>
      <c r="AT47" s="22">
        <v>37</v>
      </c>
      <c r="AU47" s="22">
        <v>1.6134599999999999</v>
      </c>
      <c r="AV47">
        <f t="shared" si="8"/>
        <v>15.744000000000002</v>
      </c>
      <c r="AW47">
        <f t="shared" si="9"/>
        <v>25.404833280000002</v>
      </c>
      <c r="AX47" s="9"/>
      <c r="AY47" s="22">
        <v>8.6364700000000003E-2</v>
      </c>
      <c r="AZ47" s="22">
        <v>468.01600000000002</v>
      </c>
      <c r="BA47" s="22">
        <v>-1.7095900000000001E-2</v>
      </c>
      <c r="BB47" s="22">
        <v>37</v>
      </c>
      <c r="BC47" s="22">
        <v>8.5632299999999995E-2</v>
      </c>
      <c r="BD47">
        <f t="shared" si="10"/>
        <v>17.0959</v>
      </c>
      <c r="BE47">
        <f t="shared" si="11"/>
        <v>1.4764822747300002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31.347300000000001</v>
      </c>
      <c r="I48" s="22">
        <v>4.9954199999999997E-2</v>
      </c>
      <c r="J48" s="22">
        <v>38</v>
      </c>
      <c r="K48" s="22">
        <v>7.8308100000000005E-2</v>
      </c>
      <c r="L48">
        <f t="shared" si="0"/>
        <v>-49.9542</v>
      </c>
      <c r="M48">
        <f t="shared" si="1"/>
        <v>-80.355327035999991</v>
      </c>
      <c r="N48" s="9"/>
      <c r="O48" s="22">
        <v>9.1400099999999998E-2</v>
      </c>
      <c r="P48" s="22">
        <v>142.274</v>
      </c>
      <c r="Q48" s="22">
        <v>-1.7147800000000001E-2</v>
      </c>
      <c r="R48" s="22">
        <v>38</v>
      </c>
      <c r="S48" s="22">
        <v>9.0881299999999998E-2</v>
      </c>
      <c r="T48">
        <f t="shared" si="2"/>
        <v>17.1478</v>
      </c>
      <c r="U48">
        <f t="shared" si="3"/>
        <v>1.5673106347799999</v>
      </c>
      <c r="X48" s="9"/>
      <c r="Y48" s="22">
        <v>1.6085799999999999</v>
      </c>
      <c r="Z48" s="22">
        <v>205.86</v>
      </c>
      <c r="AA48" s="22">
        <v>-1.5780599999999999E-2</v>
      </c>
      <c r="AB48" s="22">
        <v>38</v>
      </c>
      <c r="AC48" s="22">
        <v>1.6076699999999999</v>
      </c>
      <c r="AD48">
        <f t="shared" si="4"/>
        <v>15.780599999999998</v>
      </c>
      <c r="AE48">
        <f t="shared" si="5"/>
        <v>25.384357547999993</v>
      </c>
      <c r="AF48" s="9"/>
      <c r="AG48" s="22">
        <v>9.1400099999999998E-2</v>
      </c>
      <c r="AH48" s="22">
        <v>338.19299999999998</v>
      </c>
      <c r="AI48" s="22">
        <v>-1.71112E-2</v>
      </c>
      <c r="AJ48" s="22">
        <v>38</v>
      </c>
      <c r="AK48" s="22">
        <v>9.0728799999999998E-2</v>
      </c>
      <c r="AL48">
        <f t="shared" si="6"/>
        <v>17.1112</v>
      </c>
      <c r="AM48">
        <f t="shared" si="7"/>
        <v>1.56396539112</v>
      </c>
      <c r="AP48" s="9"/>
      <c r="AQ48" s="22">
        <v>1.6085799999999999</v>
      </c>
      <c r="AR48" s="22">
        <v>407.28399999999999</v>
      </c>
      <c r="AS48" s="22">
        <v>-1.5792799999999999E-2</v>
      </c>
      <c r="AT48" s="22">
        <v>38</v>
      </c>
      <c r="AU48" s="22">
        <v>1.6073599999999999</v>
      </c>
      <c r="AV48">
        <f t="shared" si="8"/>
        <v>15.7928</v>
      </c>
      <c r="AW48">
        <f t="shared" si="9"/>
        <v>25.403982223999996</v>
      </c>
      <c r="AX48" s="9"/>
      <c r="AY48" s="22">
        <v>9.1400099999999998E-2</v>
      </c>
      <c r="AZ48" s="22">
        <v>468.11599999999999</v>
      </c>
      <c r="BA48" s="22">
        <v>-1.7092900000000001E-2</v>
      </c>
      <c r="BB48" s="22">
        <v>38</v>
      </c>
      <c r="BC48" s="22">
        <v>9.0820300000000007E-2</v>
      </c>
      <c r="BD48">
        <f t="shared" si="10"/>
        <v>17.0929</v>
      </c>
      <c r="BE48">
        <f t="shared" si="11"/>
        <v>1.5622927692899999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31.448</v>
      </c>
      <c r="I49" s="22">
        <v>5.0015299999999999E-2</v>
      </c>
      <c r="J49" s="22">
        <v>39</v>
      </c>
      <c r="K49" s="22">
        <v>7.8338599999999994E-2</v>
      </c>
      <c r="L49">
        <f t="shared" si="0"/>
        <v>-50.015299999999996</v>
      </c>
      <c r="M49">
        <f t="shared" si="1"/>
        <v>-80.202034314999992</v>
      </c>
      <c r="N49" s="9"/>
      <c r="O49" s="22">
        <v>9.6435499999999993E-2</v>
      </c>
      <c r="P49" s="22">
        <v>142.375</v>
      </c>
      <c r="Q49" s="22">
        <v>-1.7141699999999999E-2</v>
      </c>
      <c r="R49" s="22">
        <v>39</v>
      </c>
      <c r="S49" s="22">
        <v>9.5703099999999999E-2</v>
      </c>
      <c r="T49">
        <f t="shared" si="2"/>
        <v>17.1417</v>
      </c>
      <c r="U49">
        <f t="shared" si="3"/>
        <v>1.65306841035</v>
      </c>
      <c r="X49" s="9"/>
      <c r="Y49" s="22">
        <v>1.60355</v>
      </c>
      <c r="Z49" s="22">
        <v>205.96100000000001</v>
      </c>
      <c r="AA49" s="22">
        <v>-1.58295E-2</v>
      </c>
      <c r="AB49" s="22">
        <v>39</v>
      </c>
      <c r="AC49" s="22">
        <v>1.6027800000000001</v>
      </c>
      <c r="AD49">
        <f t="shared" si="4"/>
        <v>15.829499999999999</v>
      </c>
      <c r="AE49">
        <f t="shared" si="5"/>
        <v>25.383394724999999</v>
      </c>
      <c r="AF49" s="9"/>
      <c r="AG49" s="22">
        <v>9.6435499999999993E-2</v>
      </c>
      <c r="AH49" s="22">
        <v>338.29399999999998</v>
      </c>
      <c r="AI49" s="22">
        <v>-1.71082E-2</v>
      </c>
      <c r="AJ49" s="22">
        <v>39</v>
      </c>
      <c r="AK49" s="22">
        <v>9.5825199999999999E-2</v>
      </c>
      <c r="AL49">
        <f t="shared" si="6"/>
        <v>17.1082</v>
      </c>
      <c r="AM49">
        <f t="shared" si="7"/>
        <v>1.6498378211</v>
      </c>
      <c r="AP49" s="9"/>
      <c r="AQ49" s="22">
        <v>1.60355</v>
      </c>
      <c r="AR49" s="22">
        <v>407.38400000000001</v>
      </c>
      <c r="AS49" s="22">
        <v>-1.5835599999999998E-2</v>
      </c>
      <c r="AT49" s="22">
        <v>39</v>
      </c>
      <c r="AU49" s="22">
        <v>1.6027800000000001</v>
      </c>
      <c r="AV49">
        <f t="shared" si="8"/>
        <v>15.835599999999998</v>
      </c>
      <c r="AW49">
        <f t="shared" si="9"/>
        <v>25.393176379999996</v>
      </c>
      <c r="AX49" s="9"/>
      <c r="AY49" s="22">
        <v>9.6435499999999993E-2</v>
      </c>
      <c r="AZ49" s="22">
        <v>468.21699999999998</v>
      </c>
      <c r="BA49" s="22">
        <v>-1.7089799999999999E-2</v>
      </c>
      <c r="BB49" s="22">
        <v>39</v>
      </c>
      <c r="BC49" s="22">
        <v>9.5764199999999994E-2</v>
      </c>
      <c r="BD49">
        <f t="shared" si="10"/>
        <v>17.0898</v>
      </c>
      <c r="BE49">
        <f t="shared" si="11"/>
        <v>1.6480634078999998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31.5487</v>
      </c>
      <c r="I50" s="22">
        <v>4.9990800000000002E-2</v>
      </c>
      <c r="J50" s="22">
        <v>40</v>
      </c>
      <c r="K50" s="22">
        <v>7.8369099999999997E-2</v>
      </c>
      <c r="L50">
        <f t="shared" si="0"/>
        <v>-49.9908</v>
      </c>
      <c r="M50">
        <f t="shared" si="1"/>
        <v>-79.910793708</v>
      </c>
      <c r="N50" s="9"/>
      <c r="O50" s="22">
        <v>0.10147100000000001</v>
      </c>
      <c r="P50" s="22">
        <v>142.476</v>
      </c>
      <c r="Q50" s="22">
        <v>-1.7135600000000001E-2</v>
      </c>
      <c r="R50" s="22">
        <v>40</v>
      </c>
      <c r="S50" s="22">
        <v>0.10089099999999999</v>
      </c>
      <c r="T50">
        <f t="shared" si="2"/>
        <v>17.1356</v>
      </c>
      <c r="U50">
        <f t="shared" si="3"/>
        <v>1.7387664676000001</v>
      </c>
      <c r="X50" s="9"/>
      <c r="Y50" s="22">
        <v>1.5985100000000001</v>
      </c>
      <c r="Z50" s="22">
        <v>206.06200000000001</v>
      </c>
      <c r="AA50" s="22">
        <v>-1.5862999999999999E-2</v>
      </c>
      <c r="AB50" s="22">
        <v>40</v>
      </c>
      <c r="AC50" s="22">
        <v>1.5972900000000001</v>
      </c>
      <c r="AD50">
        <f t="shared" si="4"/>
        <v>15.862999999999998</v>
      </c>
      <c r="AE50">
        <f t="shared" si="5"/>
        <v>25.357164129999997</v>
      </c>
      <c r="AF50" s="9"/>
      <c r="AG50" s="22">
        <v>0.10147100000000001</v>
      </c>
      <c r="AH50" s="22">
        <v>338.39499999999998</v>
      </c>
      <c r="AI50" s="22">
        <v>-1.7105100000000002E-2</v>
      </c>
      <c r="AJ50" s="22">
        <v>40</v>
      </c>
      <c r="AK50" s="22">
        <v>0.100769</v>
      </c>
      <c r="AL50">
        <f t="shared" si="6"/>
        <v>17.1051</v>
      </c>
      <c r="AM50">
        <f t="shared" si="7"/>
        <v>1.7356716021</v>
      </c>
      <c r="AP50" s="9"/>
      <c r="AQ50" s="22">
        <v>1.5985100000000001</v>
      </c>
      <c r="AR50" s="22">
        <v>407.48500000000001</v>
      </c>
      <c r="AS50" s="22">
        <v>-1.5866100000000001E-2</v>
      </c>
      <c r="AT50" s="22">
        <v>40</v>
      </c>
      <c r="AU50" s="22">
        <v>1.5979000000000001</v>
      </c>
      <c r="AV50">
        <f t="shared" si="8"/>
        <v>15.866100000000001</v>
      </c>
      <c r="AW50">
        <f t="shared" si="9"/>
        <v>25.362119511000003</v>
      </c>
      <c r="AX50" s="9"/>
      <c r="AY50" s="22">
        <v>0.10147100000000001</v>
      </c>
      <c r="AZ50" s="22">
        <v>468.31799999999998</v>
      </c>
      <c r="BA50" s="22">
        <v>-1.7086799999999999E-2</v>
      </c>
      <c r="BB50" s="22">
        <v>40</v>
      </c>
      <c r="BC50" s="22">
        <v>0.10086100000000001</v>
      </c>
      <c r="BD50">
        <f t="shared" si="10"/>
        <v>17.0868</v>
      </c>
      <c r="BE50">
        <f t="shared" si="11"/>
        <v>1.7338146828000001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31.6494</v>
      </c>
      <c r="I51" s="22">
        <v>4.9963399999999998E-2</v>
      </c>
      <c r="J51" s="22">
        <v>41</v>
      </c>
      <c r="K51" s="22">
        <v>7.8308100000000005E-2</v>
      </c>
      <c r="L51">
        <f t="shared" si="0"/>
        <v>-49.9634</v>
      </c>
      <c r="M51">
        <f t="shared" si="1"/>
        <v>-79.615678631999998</v>
      </c>
      <c r="N51" s="9"/>
      <c r="O51" s="22">
        <v>0.106506</v>
      </c>
      <c r="P51" s="22">
        <v>142.57599999999999</v>
      </c>
      <c r="Q51" s="22">
        <v>-1.7135600000000001E-2</v>
      </c>
      <c r="R51" s="22">
        <v>41</v>
      </c>
      <c r="S51" s="22">
        <v>0.105865</v>
      </c>
      <c r="T51">
        <f t="shared" si="2"/>
        <v>17.1356</v>
      </c>
      <c r="U51">
        <f t="shared" si="3"/>
        <v>1.8250442136</v>
      </c>
      <c r="X51" s="9"/>
      <c r="Y51" s="22">
        <v>1.59348</v>
      </c>
      <c r="Z51" s="22">
        <v>206.16200000000001</v>
      </c>
      <c r="AA51" s="22">
        <v>-1.5890499999999998E-2</v>
      </c>
      <c r="AB51" s="22">
        <v>41</v>
      </c>
      <c r="AC51" s="22">
        <v>1.5927100000000001</v>
      </c>
      <c r="AD51">
        <f t="shared" si="4"/>
        <v>15.890499999999998</v>
      </c>
      <c r="AE51">
        <f t="shared" si="5"/>
        <v>25.321193939999997</v>
      </c>
      <c r="AF51" s="9"/>
      <c r="AG51" s="22">
        <v>0.106506</v>
      </c>
      <c r="AH51" s="22">
        <v>338.49599999999998</v>
      </c>
      <c r="AI51" s="22">
        <v>-1.71082E-2</v>
      </c>
      <c r="AJ51" s="22">
        <v>41</v>
      </c>
      <c r="AK51" s="22">
        <v>0.10562100000000001</v>
      </c>
      <c r="AL51">
        <f t="shared" si="6"/>
        <v>17.1082</v>
      </c>
      <c r="AM51">
        <f t="shared" si="7"/>
        <v>1.8221259492000002</v>
      </c>
      <c r="AP51" s="9"/>
      <c r="AQ51" s="22">
        <v>1.59348</v>
      </c>
      <c r="AR51" s="22">
        <v>407.58600000000001</v>
      </c>
      <c r="AS51" s="22">
        <v>-1.5902699999999999E-2</v>
      </c>
      <c r="AT51" s="22">
        <v>41</v>
      </c>
      <c r="AU51" s="22">
        <v>1.5924100000000001</v>
      </c>
      <c r="AV51">
        <f t="shared" si="8"/>
        <v>15.902699999999999</v>
      </c>
      <c r="AW51">
        <f t="shared" si="9"/>
        <v>25.340634395999999</v>
      </c>
      <c r="AX51" s="9"/>
      <c r="AY51" s="22">
        <v>0.106506</v>
      </c>
      <c r="AZ51" s="22">
        <v>468.41899999999998</v>
      </c>
      <c r="BA51" s="22">
        <v>-1.70837E-2</v>
      </c>
      <c r="BB51" s="22">
        <v>41</v>
      </c>
      <c r="BC51" s="22">
        <v>0.10592699999999999</v>
      </c>
      <c r="BD51">
        <f t="shared" si="10"/>
        <v>17.0837</v>
      </c>
      <c r="BE51">
        <f t="shared" si="11"/>
        <v>1.8195165522000001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31.7501</v>
      </c>
      <c r="I52" s="22">
        <v>4.9996899999999997E-2</v>
      </c>
      <c r="J52" s="22">
        <v>42</v>
      </c>
      <c r="K52" s="22">
        <v>7.8399700000000003E-2</v>
      </c>
      <c r="L52">
        <f t="shared" si="0"/>
        <v>-49.996899999999997</v>
      </c>
      <c r="M52">
        <f t="shared" si="1"/>
        <v>-79.417075835999995</v>
      </c>
      <c r="N52" s="9"/>
      <c r="O52" s="22">
        <v>0.111542</v>
      </c>
      <c r="P52" s="22">
        <v>142.67699999999999</v>
      </c>
      <c r="Q52" s="22">
        <v>-1.71387E-2</v>
      </c>
      <c r="R52" s="22">
        <v>42</v>
      </c>
      <c r="S52" s="22">
        <v>0.110748</v>
      </c>
      <c r="T52">
        <f t="shared" si="2"/>
        <v>17.1387</v>
      </c>
      <c r="U52">
        <f t="shared" si="3"/>
        <v>1.9116848754</v>
      </c>
      <c r="X52" s="9"/>
      <c r="Y52" s="22">
        <v>1.5884400000000001</v>
      </c>
      <c r="Z52" s="22">
        <v>206.26300000000001</v>
      </c>
      <c r="AA52" s="22">
        <v>-1.59241E-2</v>
      </c>
      <c r="AB52" s="22">
        <v>42</v>
      </c>
      <c r="AC52" s="22">
        <v>1.58691</v>
      </c>
      <c r="AD52">
        <f t="shared" si="4"/>
        <v>15.924099999999999</v>
      </c>
      <c r="AE52">
        <f t="shared" si="5"/>
        <v>25.294477403999998</v>
      </c>
      <c r="AF52" s="9"/>
      <c r="AG52" s="22">
        <v>0.111542</v>
      </c>
      <c r="AH52" s="22">
        <v>338.596</v>
      </c>
      <c r="AI52" s="22">
        <v>-1.7105100000000002E-2</v>
      </c>
      <c r="AJ52" s="22">
        <v>42</v>
      </c>
      <c r="AK52" s="22">
        <v>0.110901</v>
      </c>
      <c r="AL52">
        <f t="shared" si="6"/>
        <v>17.1051</v>
      </c>
      <c r="AM52">
        <f t="shared" si="7"/>
        <v>1.9079370642</v>
      </c>
      <c r="AP52" s="9"/>
      <c r="AQ52" s="22">
        <v>1.5884400000000001</v>
      </c>
      <c r="AR52" s="22">
        <v>407.68599999999998</v>
      </c>
      <c r="AS52" s="22">
        <v>-1.59241E-2</v>
      </c>
      <c r="AT52" s="22">
        <v>42</v>
      </c>
      <c r="AU52" s="22">
        <v>1.5884400000000001</v>
      </c>
      <c r="AV52">
        <f t="shared" si="8"/>
        <v>15.924099999999999</v>
      </c>
      <c r="AW52">
        <f t="shared" si="9"/>
        <v>25.294477403999998</v>
      </c>
      <c r="AX52" s="9"/>
      <c r="AY52" s="22">
        <v>0.111542</v>
      </c>
      <c r="AZ52" s="22">
        <v>468.51900000000001</v>
      </c>
      <c r="BA52" s="22">
        <v>-1.70837E-2</v>
      </c>
      <c r="BB52" s="22">
        <v>42</v>
      </c>
      <c r="BC52" s="22">
        <v>0.11087</v>
      </c>
      <c r="BD52">
        <f t="shared" si="10"/>
        <v>17.0837</v>
      </c>
      <c r="BE52">
        <f t="shared" si="11"/>
        <v>1.9055500654000002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31.8508</v>
      </c>
      <c r="I53" s="22">
        <v>5.0054899999999999E-2</v>
      </c>
      <c r="J53" s="22">
        <v>43</v>
      </c>
      <c r="K53" s="22">
        <v>7.8369099999999997E-2</v>
      </c>
      <c r="L53">
        <f t="shared" si="0"/>
        <v>-50.054899999999996</v>
      </c>
      <c r="M53">
        <f t="shared" si="1"/>
        <v>-79.256928659999986</v>
      </c>
      <c r="N53" s="9"/>
      <c r="O53" s="22">
        <v>0.116577</v>
      </c>
      <c r="P53" s="22">
        <v>142.77799999999999</v>
      </c>
      <c r="Q53" s="22">
        <v>-1.7129499999999999E-2</v>
      </c>
      <c r="R53" s="22">
        <v>43</v>
      </c>
      <c r="S53" s="22">
        <v>0.115906</v>
      </c>
      <c r="T53">
        <f t="shared" si="2"/>
        <v>17.1295</v>
      </c>
      <c r="U53">
        <f t="shared" si="3"/>
        <v>1.9969057215000001</v>
      </c>
      <c r="X53" s="9"/>
      <c r="Y53" s="22">
        <v>1.5833999999999999</v>
      </c>
      <c r="Z53" s="22">
        <v>206.364</v>
      </c>
      <c r="AA53" s="22">
        <v>-1.5957599999999999E-2</v>
      </c>
      <c r="AB53" s="22">
        <v>43</v>
      </c>
      <c r="AC53" s="22">
        <v>1.58203</v>
      </c>
      <c r="AD53">
        <f t="shared" si="4"/>
        <v>15.957599999999999</v>
      </c>
      <c r="AE53">
        <f t="shared" si="5"/>
        <v>25.267263839999998</v>
      </c>
      <c r="AF53" s="9"/>
      <c r="AG53" s="22">
        <v>0.116577</v>
      </c>
      <c r="AH53" s="22">
        <v>338.697</v>
      </c>
      <c r="AI53" s="22">
        <v>-1.7095900000000001E-2</v>
      </c>
      <c r="AJ53" s="22">
        <v>43</v>
      </c>
      <c r="AK53" s="22">
        <v>0.115906</v>
      </c>
      <c r="AL53">
        <f t="shared" si="6"/>
        <v>17.0959</v>
      </c>
      <c r="AM53">
        <f t="shared" si="7"/>
        <v>1.9929887343000001</v>
      </c>
      <c r="AP53" s="9"/>
      <c r="AQ53" s="22">
        <v>1.5833999999999999</v>
      </c>
      <c r="AR53" s="22">
        <v>407.78699999999998</v>
      </c>
      <c r="AS53" s="22">
        <v>-1.59515E-2</v>
      </c>
      <c r="AT53" s="22">
        <v>43</v>
      </c>
      <c r="AU53" s="22">
        <v>1.5829500000000001</v>
      </c>
      <c r="AV53">
        <f t="shared" si="8"/>
        <v>15.951500000000001</v>
      </c>
      <c r="AW53">
        <f t="shared" si="9"/>
        <v>25.257605099999999</v>
      </c>
      <c r="AX53" s="9"/>
      <c r="AY53" s="22">
        <v>0.116577</v>
      </c>
      <c r="AZ53" s="22">
        <v>468.62</v>
      </c>
      <c r="BA53" s="22">
        <v>-1.70837E-2</v>
      </c>
      <c r="BB53" s="22">
        <v>43</v>
      </c>
      <c r="BC53" s="22">
        <v>0.115906</v>
      </c>
      <c r="BD53">
        <f t="shared" si="10"/>
        <v>17.0837</v>
      </c>
      <c r="BE53">
        <f t="shared" si="11"/>
        <v>1.9915664949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31.951499999999999</v>
      </c>
      <c r="I54" s="22">
        <v>4.9938999999999997E-2</v>
      </c>
      <c r="J54" s="22">
        <v>44</v>
      </c>
      <c r="K54" s="22">
        <v>7.8399700000000003E-2</v>
      </c>
      <c r="L54">
        <f t="shared" si="0"/>
        <v>-49.939</v>
      </c>
      <c r="M54">
        <f t="shared" si="1"/>
        <v>-78.822219430000004</v>
      </c>
      <c r="N54" s="9"/>
      <c r="O54" s="22">
        <v>0.121613</v>
      </c>
      <c r="P54" s="22">
        <v>142.87799999999999</v>
      </c>
      <c r="Q54" s="22">
        <v>-1.7129499999999999E-2</v>
      </c>
      <c r="R54" s="22">
        <v>44</v>
      </c>
      <c r="S54" s="22">
        <v>0.121063</v>
      </c>
      <c r="T54">
        <f t="shared" si="2"/>
        <v>17.1295</v>
      </c>
      <c r="U54">
        <f t="shared" si="3"/>
        <v>2.0831698835000001</v>
      </c>
      <c r="X54" s="9"/>
      <c r="Y54" s="22">
        <v>1.5783700000000001</v>
      </c>
      <c r="Z54" s="22">
        <v>206.464</v>
      </c>
      <c r="AA54" s="22">
        <v>-1.5988200000000001E-2</v>
      </c>
      <c r="AB54" s="22">
        <v>44</v>
      </c>
      <c r="AC54" s="22">
        <v>1.5771500000000001</v>
      </c>
      <c r="AD54">
        <f t="shared" si="4"/>
        <v>15.988200000000001</v>
      </c>
      <c r="AE54">
        <f t="shared" si="5"/>
        <v>25.235295234000002</v>
      </c>
      <c r="AF54" s="9"/>
      <c r="AG54" s="22">
        <v>0.121613</v>
      </c>
      <c r="AH54" s="22">
        <v>338.798</v>
      </c>
      <c r="AI54" s="22">
        <v>-1.7092900000000001E-2</v>
      </c>
      <c r="AJ54" s="22">
        <v>44</v>
      </c>
      <c r="AK54" s="22">
        <v>0.121002</v>
      </c>
      <c r="AL54">
        <f t="shared" si="6"/>
        <v>17.0929</v>
      </c>
      <c r="AM54">
        <f t="shared" si="7"/>
        <v>2.0787188476999998</v>
      </c>
      <c r="AP54" s="9"/>
      <c r="AQ54" s="22">
        <v>1.5783700000000001</v>
      </c>
      <c r="AR54" s="22">
        <v>407.88799999999998</v>
      </c>
      <c r="AS54" s="22">
        <v>-1.5972900000000002E-2</v>
      </c>
      <c r="AT54" s="22">
        <v>44</v>
      </c>
      <c r="AU54" s="22">
        <v>1.57745</v>
      </c>
      <c r="AV54">
        <f t="shared" si="8"/>
        <v>15.972900000000001</v>
      </c>
      <c r="AW54">
        <f t="shared" si="9"/>
        <v>25.211146173000003</v>
      </c>
      <c r="AX54" s="9"/>
      <c r="AY54" s="22">
        <v>0.121613</v>
      </c>
      <c r="AZ54" s="22">
        <v>468.721</v>
      </c>
      <c r="BA54" s="22">
        <v>-1.7080700000000001E-2</v>
      </c>
      <c r="BB54" s="22">
        <v>44</v>
      </c>
      <c r="BC54" s="22">
        <v>0.120911</v>
      </c>
      <c r="BD54">
        <f t="shared" si="10"/>
        <v>17.0807</v>
      </c>
      <c r="BE54">
        <f t="shared" si="11"/>
        <v>2.0772351691000002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32.052199999999999</v>
      </c>
      <c r="I55" s="22">
        <v>4.99268E-2</v>
      </c>
      <c r="J55" s="22">
        <v>45</v>
      </c>
      <c r="K55" s="22">
        <v>7.8460699999999994E-2</v>
      </c>
      <c r="L55">
        <f t="shared" si="0"/>
        <v>-49.9268</v>
      </c>
      <c r="M55">
        <f t="shared" si="1"/>
        <v>-78.551332243999994</v>
      </c>
      <c r="N55" s="9"/>
      <c r="O55" s="22">
        <v>0.12664800000000001</v>
      </c>
      <c r="P55" s="22">
        <v>142.97900000000001</v>
      </c>
      <c r="Q55" s="22">
        <v>-1.7126499999999999E-2</v>
      </c>
      <c r="R55" s="22">
        <v>45</v>
      </c>
      <c r="S55" s="22">
        <v>0.125885</v>
      </c>
      <c r="T55">
        <f t="shared" si="2"/>
        <v>17.1265</v>
      </c>
      <c r="U55">
        <f t="shared" si="3"/>
        <v>2.1690369720000002</v>
      </c>
      <c r="X55" s="9"/>
      <c r="Y55" s="22">
        <v>1.5733299999999999</v>
      </c>
      <c r="Z55" s="22">
        <v>206.565</v>
      </c>
      <c r="AA55" s="22">
        <v>-1.6012599999999998E-2</v>
      </c>
      <c r="AB55" s="22">
        <v>45</v>
      </c>
      <c r="AC55" s="22">
        <v>1.57257</v>
      </c>
      <c r="AD55">
        <f t="shared" si="4"/>
        <v>16.012599999999999</v>
      </c>
      <c r="AE55">
        <f t="shared" si="5"/>
        <v>25.193103957999998</v>
      </c>
      <c r="AF55" s="9"/>
      <c r="AG55" s="22">
        <v>0.12664800000000001</v>
      </c>
      <c r="AH55" s="22">
        <v>338.89800000000002</v>
      </c>
      <c r="AI55" s="22">
        <v>-1.7095900000000001E-2</v>
      </c>
      <c r="AJ55" s="22">
        <v>45</v>
      </c>
      <c r="AK55" s="22">
        <v>0.12606800000000001</v>
      </c>
      <c r="AL55">
        <f t="shared" si="6"/>
        <v>17.0959</v>
      </c>
      <c r="AM55">
        <f t="shared" si="7"/>
        <v>2.1651615432000004</v>
      </c>
      <c r="AP55" s="9"/>
      <c r="AQ55" s="22">
        <v>1.5733299999999999</v>
      </c>
      <c r="AR55" s="22">
        <v>407.988</v>
      </c>
      <c r="AS55" s="22">
        <v>-1.60065E-2</v>
      </c>
      <c r="AT55" s="22">
        <v>45</v>
      </c>
      <c r="AU55" s="22">
        <v>1.57257</v>
      </c>
      <c r="AV55">
        <f t="shared" si="8"/>
        <v>16.006499999999999</v>
      </c>
      <c r="AW55">
        <f t="shared" si="9"/>
        <v>25.183506644999998</v>
      </c>
      <c r="AX55" s="9"/>
      <c r="AY55" s="22">
        <v>0.12664800000000001</v>
      </c>
      <c r="AZ55" s="22">
        <v>468.82100000000003</v>
      </c>
      <c r="BA55" s="22">
        <v>-1.7074599999999999E-2</v>
      </c>
      <c r="BB55" s="22">
        <v>45</v>
      </c>
      <c r="BC55" s="22">
        <v>0.12597700000000001</v>
      </c>
      <c r="BD55">
        <f t="shared" si="10"/>
        <v>17.0746</v>
      </c>
      <c r="BE55">
        <f t="shared" si="11"/>
        <v>2.1624639408000004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32.152900000000002</v>
      </c>
      <c r="I56" s="22">
        <v>4.9908399999999999E-2</v>
      </c>
      <c r="J56" s="22">
        <v>46</v>
      </c>
      <c r="K56" s="22">
        <v>7.8430200000000005E-2</v>
      </c>
      <c r="L56">
        <f t="shared" si="0"/>
        <v>-49.9084</v>
      </c>
      <c r="M56">
        <f t="shared" si="1"/>
        <v>-78.271343720000004</v>
      </c>
      <c r="N56" s="9"/>
      <c r="O56" s="22">
        <v>0.13168299999999999</v>
      </c>
      <c r="P56" s="22">
        <v>143.08000000000001</v>
      </c>
      <c r="Q56" s="22">
        <v>-1.7120400000000001E-2</v>
      </c>
      <c r="R56" s="22">
        <v>46</v>
      </c>
      <c r="S56" s="22">
        <v>0.131104</v>
      </c>
      <c r="T56">
        <f t="shared" si="2"/>
        <v>17.1204</v>
      </c>
      <c r="U56">
        <f t="shared" si="3"/>
        <v>2.2544656331999997</v>
      </c>
      <c r="X56" s="9"/>
      <c r="Y56" s="22">
        <v>1.5683</v>
      </c>
      <c r="Z56" s="22">
        <v>206.666</v>
      </c>
      <c r="AA56" s="22">
        <v>-1.6036999999999999E-2</v>
      </c>
      <c r="AB56" s="22">
        <v>46</v>
      </c>
      <c r="AC56" s="22">
        <v>1.56769</v>
      </c>
      <c r="AD56">
        <f t="shared" si="4"/>
        <v>16.036999999999999</v>
      </c>
      <c r="AE56">
        <f t="shared" si="5"/>
        <v>25.150827099999997</v>
      </c>
      <c r="AF56" s="9"/>
      <c r="AG56" s="22">
        <v>0.13168299999999999</v>
      </c>
      <c r="AH56" s="22">
        <v>338.99900000000002</v>
      </c>
      <c r="AI56" s="22">
        <v>-1.7086799999999999E-2</v>
      </c>
      <c r="AJ56" s="22">
        <v>46</v>
      </c>
      <c r="AK56" s="22">
        <v>0.131073</v>
      </c>
      <c r="AL56">
        <f t="shared" si="6"/>
        <v>17.0868</v>
      </c>
      <c r="AM56">
        <f t="shared" si="7"/>
        <v>2.2500410843999998</v>
      </c>
      <c r="AP56" s="9"/>
      <c r="AQ56" s="22">
        <v>1.5683</v>
      </c>
      <c r="AR56" s="22">
        <v>408.089</v>
      </c>
      <c r="AS56" s="22">
        <v>-1.6024799999999999E-2</v>
      </c>
      <c r="AT56" s="22">
        <v>46</v>
      </c>
      <c r="AU56" s="22">
        <v>1.56769</v>
      </c>
      <c r="AV56">
        <f t="shared" si="8"/>
        <v>16.024799999999999</v>
      </c>
      <c r="AW56">
        <f t="shared" si="9"/>
        <v>25.131693840000001</v>
      </c>
      <c r="AX56" s="9"/>
      <c r="AY56" s="22">
        <v>0.13168299999999999</v>
      </c>
      <c r="AZ56" s="22">
        <v>468.92200000000003</v>
      </c>
      <c r="BA56" s="22">
        <v>-1.7080700000000001E-2</v>
      </c>
      <c r="BB56" s="22">
        <v>46</v>
      </c>
      <c r="BC56" s="22">
        <v>0.131104</v>
      </c>
      <c r="BD56">
        <f t="shared" si="10"/>
        <v>17.0807</v>
      </c>
      <c r="BE56">
        <f t="shared" si="11"/>
        <v>2.2492378181000001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32.253599999999999</v>
      </c>
      <c r="I57" s="22">
        <v>4.9902299999999997E-2</v>
      </c>
      <c r="J57" s="22">
        <v>47</v>
      </c>
      <c r="K57" s="22">
        <v>7.8460699999999994E-2</v>
      </c>
      <c r="L57">
        <f t="shared" si="0"/>
        <v>-49.902299999999997</v>
      </c>
      <c r="M57">
        <f t="shared" si="1"/>
        <v>-78.010269498</v>
      </c>
      <c r="N57" s="9"/>
      <c r="O57" s="22">
        <v>0.13671900000000001</v>
      </c>
      <c r="P57" s="22">
        <v>143.18100000000001</v>
      </c>
      <c r="Q57" s="22">
        <v>-1.7117299999999998E-2</v>
      </c>
      <c r="R57" s="22">
        <v>47</v>
      </c>
      <c r="S57" s="22">
        <v>0.13613900000000001</v>
      </c>
      <c r="T57">
        <f t="shared" si="2"/>
        <v>17.1173</v>
      </c>
      <c r="U57">
        <f t="shared" si="3"/>
        <v>2.3402601387000002</v>
      </c>
      <c r="X57" s="9"/>
      <c r="Y57" s="22">
        <v>1.5632600000000001</v>
      </c>
      <c r="Z57" s="22">
        <v>206.767</v>
      </c>
      <c r="AA57" s="22">
        <v>-1.6058300000000001E-2</v>
      </c>
      <c r="AB57" s="22">
        <v>47</v>
      </c>
      <c r="AC57" s="22">
        <v>1.56219</v>
      </c>
      <c r="AD57">
        <f t="shared" si="4"/>
        <v>16.058300000000003</v>
      </c>
      <c r="AE57">
        <f t="shared" si="5"/>
        <v>25.103298058000007</v>
      </c>
      <c r="AF57" s="9"/>
      <c r="AG57" s="22">
        <v>0.13671900000000001</v>
      </c>
      <c r="AH57" s="22">
        <v>339.1</v>
      </c>
      <c r="AI57" s="22">
        <v>-1.7089799999999999E-2</v>
      </c>
      <c r="AJ57" s="22">
        <v>47</v>
      </c>
      <c r="AK57" s="22">
        <v>0.13595599999999999</v>
      </c>
      <c r="AL57">
        <f t="shared" si="6"/>
        <v>17.0898</v>
      </c>
      <c r="AM57">
        <f t="shared" si="7"/>
        <v>2.3365003662000001</v>
      </c>
      <c r="AP57" s="9"/>
      <c r="AQ57" s="22">
        <v>1.5632600000000001</v>
      </c>
      <c r="AR57" s="22">
        <v>408.19</v>
      </c>
      <c r="AS57" s="22">
        <v>-1.6052199999999999E-2</v>
      </c>
      <c r="AT57" s="22">
        <v>47</v>
      </c>
      <c r="AU57" s="22">
        <v>1.5625</v>
      </c>
      <c r="AV57">
        <f t="shared" si="8"/>
        <v>16.052199999999999</v>
      </c>
      <c r="AW57">
        <f t="shared" si="9"/>
        <v>25.093762172000002</v>
      </c>
      <c r="AX57" s="9"/>
      <c r="AY57" s="22">
        <v>0.13671900000000001</v>
      </c>
      <c r="AZ57" s="22">
        <v>469.02300000000002</v>
      </c>
      <c r="BA57" s="22">
        <v>-1.70715E-2</v>
      </c>
      <c r="BB57" s="22">
        <v>47</v>
      </c>
      <c r="BC57" s="22">
        <v>0.135986</v>
      </c>
      <c r="BD57">
        <f t="shared" si="10"/>
        <v>17.0715</v>
      </c>
      <c r="BE57">
        <f t="shared" si="11"/>
        <v>2.3339984085000003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32.354399999999998</v>
      </c>
      <c r="I58" s="22">
        <v>4.9902299999999997E-2</v>
      </c>
      <c r="J58" s="22">
        <v>48</v>
      </c>
      <c r="K58" s="22">
        <v>7.8460699999999994E-2</v>
      </c>
      <c r="L58">
        <f t="shared" si="0"/>
        <v>-49.902299999999997</v>
      </c>
      <c r="M58">
        <f t="shared" si="1"/>
        <v>-77.759260928999993</v>
      </c>
      <c r="N58" s="9"/>
      <c r="O58" s="22">
        <v>0.14175399999999999</v>
      </c>
      <c r="P58" s="22">
        <v>143.28100000000001</v>
      </c>
      <c r="Q58" s="22">
        <v>-1.7114299999999999E-2</v>
      </c>
      <c r="R58" s="22">
        <v>48</v>
      </c>
      <c r="S58" s="22">
        <v>0.14111299999999999</v>
      </c>
      <c r="T58">
        <f t="shared" si="2"/>
        <v>17.1143</v>
      </c>
      <c r="U58">
        <f t="shared" si="3"/>
        <v>2.4260204821999998</v>
      </c>
      <c r="X58" s="9"/>
      <c r="Y58" s="22">
        <v>1.55823</v>
      </c>
      <c r="Z58" s="22">
        <v>206.86699999999999</v>
      </c>
      <c r="AA58" s="22">
        <v>-1.60736E-2</v>
      </c>
      <c r="AB58" s="22">
        <v>48</v>
      </c>
      <c r="AC58" s="22">
        <v>1.55762</v>
      </c>
      <c r="AD58">
        <f t="shared" si="4"/>
        <v>16.073599999999999</v>
      </c>
      <c r="AE58">
        <f t="shared" si="5"/>
        <v>25.046365727999998</v>
      </c>
      <c r="AF58" s="9"/>
      <c r="AG58" s="22">
        <v>0.14175399999999999</v>
      </c>
      <c r="AH58" s="22">
        <v>339.20100000000002</v>
      </c>
      <c r="AI58" s="22">
        <v>-1.7089799999999999E-2</v>
      </c>
      <c r="AJ58" s="22">
        <v>48</v>
      </c>
      <c r="AK58" s="22">
        <v>0.14108299999999999</v>
      </c>
      <c r="AL58">
        <f t="shared" si="6"/>
        <v>17.0898</v>
      </c>
      <c r="AM58">
        <f t="shared" si="7"/>
        <v>2.4225475091999997</v>
      </c>
      <c r="AP58" s="9"/>
      <c r="AQ58" s="22">
        <v>1.55823</v>
      </c>
      <c r="AR58" s="22">
        <v>408.291</v>
      </c>
      <c r="AS58" s="22">
        <v>-1.6064499999999999E-2</v>
      </c>
      <c r="AT58" s="22">
        <v>48</v>
      </c>
      <c r="AU58" s="22">
        <v>1.55701</v>
      </c>
      <c r="AV58">
        <f t="shared" si="8"/>
        <v>16.064499999999999</v>
      </c>
      <c r="AW58">
        <f t="shared" si="9"/>
        <v>25.032185835</v>
      </c>
      <c r="AX58" s="9"/>
      <c r="AY58" s="22">
        <v>0.14175399999999999</v>
      </c>
      <c r="AZ58" s="22">
        <v>469.12400000000002</v>
      </c>
      <c r="BA58" s="22">
        <v>-1.70715E-2</v>
      </c>
      <c r="BB58" s="22">
        <v>48</v>
      </c>
      <c r="BC58" s="22">
        <v>0.14108299999999999</v>
      </c>
      <c r="BD58">
        <f t="shared" si="10"/>
        <v>17.0715</v>
      </c>
      <c r="BE58">
        <f t="shared" si="11"/>
        <v>2.4199534109999998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32.455100000000002</v>
      </c>
      <c r="I59" s="22">
        <v>4.9902299999999997E-2</v>
      </c>
      <c r="J59" s="22">
        <v>49</v>
      </c>
      <c r="K59" s="22">
        <v>7.85217E-2</v>
      </c>
      <c r="L59">
        <f t="shared" si="0"/>
        <v>-49.902299999999997</v>
      </c>
      <c r="M59">
        <f t="shared" si="1"/>
        <v>-77.507753336999997</v>
      </c>
      <c r="N59" s="9"/>
      <c r="O59" s="22">
        <v>0.14679</v>
      </c>
      <c r="P59" s="22">
        <v>143.38200000000001</v>
      </c>
      <c r="Q59" s="22">
        <v>-1.7114299999999999E-2</v>
      </c>
      <c r="R59" s="22">
        <v>49</v>
      </c>
      <c r="S59" s="22">
        <v>0.146088</v>
      </c>
      <c r="T59">
        <f t="shared" si="2"/>
        <v>17.1143</v>
      </c>
      <c r="U59">
        <f t="shared" si="3"/>
        <v>2.5122080970000003</v>
      </c>
      <c r="X59" s="9"/>
      <c r="Y59" s="22">
        <v>1.5531900000000001</v>
      </c>
      <c r="Z59" s="22">
        <v>206.96799999999999</v>
      </c>
      <c r="AA59" s="22">
        <v>-1.6091899999999999E-2</v>
      </c>
      <c r="AB59" s="22">
        <v>49</v>
      </c>
      <c r="AC59" s="22">
        <v>1.55243</v>
      </c>
      <c r="AD59">
        <f t="shared" si="4"/>
        <v>16.091899999999999</v>
      </c>
      <c r="AE59">
        <f t="shared" si="5"/>
        <v>24.993778160999998</v>
      </c>
      <c r="AF59" s="9"/>
      <c r="AG59" s="22">
        <v>0.14679</v>
      </c>
      <c r="AH59" s="22">
        <v>339.30099999999999</v>
      </c>
      <c r="AI59" s="22">
        <v>-1.7086799999999999E-2</v>
      </c>
      <c r="AJ59" s="22">
        <v>49</v>
      </c>
      <c r="AK59" s="22">
        <v>0.146118</v>
      </c>
      <c r="AL59">
        <f t="shared" si="6"/>
        <v>17.0868</v>
      </c>
      <c r="AM59">
        <f t="shared" si="7"/>
        <v>2.5081713720000001</v>
      </c>
      <c r="AP59" s="9"/>
      <c r="AQ59" s="22">
        <v>1.5531900000000001</v>
      </c>
      <c r="AR59" s="22">
        <v>408.39100000000002</v>
      </c>
      <c r="AS59" s="22">
        <v>-1.6079699999999999E-2</v>
      </c>
      <c r="AT59" s="22">
        <v>49</v>
      </c>
      <c r="AU59" s="22">
        <v>1.55182</v>
      </c>
      <c r="AV59">
        <f t="shared" si="8"/>
        <v>16.079699999999999</v>
      </c>
      <c r="AW59">
        <f t="shared" si="9"/>
        <v>24.974829242999999</v>
      </c>
      <c r="AX59" s="9"/>
      <c r="AY59" s="22">
        <v>0.14679</v>
      </c>
      <c r="AZ59" s="22">
        <v>469.22399999999999</v>
      </c>
      <c r="BA59" s="22">
        <v>-1.7065400000000001E-2</v>
      </c>
      <c r="BB59" s="22">
        <v>49</v>
      </c>
      <c r="BC59" s="22">
        <v>0.146149</v>
      </c>
      <c r="BD59">
        <f t="shared" si="10"/>
        <v>17.0654</v>
      </c>
      <c r="BE59">
        <f t="shared" si="11"/>
        <v>2.5050300660000002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32.555799999999998</v>
      </c>
      <c r="I60" s="22">
        <v>4.9856600000000001E-2</v>
      </c>
      <c r="J60" s="22">
        <v>50</v>
      </c>
      <c r="K60" s="22">
        <v>7.8491199999999997E-2</v>
      </c>
      <c r="L60">
        <f t="shared" si="0"/>
        <v>-49.8566</v>
      </c>
      <c r="M60">
        <f t="shared" si="1"/>
        <v>-77.185993855999996</v>
      </c>
      <c r="N60" s="9"/>
      <c r="O60" s="22">
        <v>0.15182499999999999</v>
      </c>
      <c r="P60" s="22">
        <v>143.483</v>
      </c>
      <c r="Q60" s="22">
        <v>-1.7105100000000002E-2</v>
      </c>
      <c r="R60" s="22">
        <v>50</v>
      </c>
      <c r="S60" s="22">
        <v>0.15118400000000001</v>
      </c>
      <c r="T60">
        <f t="shared" si="2"/>
        <v>17.1051</v>
      </c>
      <c r="U60">
        <f t="shared" si="3"/>
        <v>2.5969818074999997</v>
      </c>
      <c r="X60" s="9"/>
      <c r="Y60" s="22">
        <v>1.54816</v>
      </c>
      <c r="Z60" s="22">
        <v>207.06899999999999</v>
      </c>
      <c r="AA60" s="22">
        <v>-1.6110200000000002E-2</v>
      </c>
      <c r="AB60" s="22">
        <v>50</v>
      </c>
      <c r="AC60" s="22">
        <v>1.54694</v>
      </c>
      <c r="AD60">
        <f t="shared" si="4"/>
        <v>16.110200000000003</v>
      </c>
      <c r="AE60">
        <f t="shared" si="5"/>
        <v>24.941167232000005</v>
      </c>
      <c r="AF60" s="9"/>
      <c r="AG60" s="22">
        <v>0.15182499999999999</v>
      </c>
      <c r="AH60" s="22">
        <v>339.40199999999999</v>
      </c>
      <c r="AI60" s="22">
        <v>-1.7077599999999998E-2</v>
      </c>
      <c r="AJ60" s="22">
        <v>50</v>
      </c>
      <c r="AK60" s="22">
        <v>0.15118400000000001</v>
      </c>
      <c r="AL60">
        <f t="shared" si="6"/>
        <v>17.077599999999997</v>
      </c>
      <c r="AM60">
        <f t="shared" si="7"/>
        <v>2.5928066199999993</v>
      </c>
      <c r="AP60" s="9"/>
      <c r="AQ60" s="22">
        <v>1.54816</v>
      </c>
      <c r="AR60" s="22">
        <v>408.49200000000002</v>
      </c>
      <c r="AS60" s="22">
        <v>-1.6095000000000002E-2</v>
      </c>
      <c r="AT60" s="22">
        <v>50</v>
      </c>
      <c r="AU60" s="22">
        <v>1.5472399999999999</v>
      </c>
      <c r="AV60">
        <f t="shared" si="8"/>
        <v>16.095000000000002</v>
      </c>
      <c r="AW60">
        <f t="shared" si="9"/>
        <v>24.917635200000003</v>
      </c>
      <c r="AX60" s="9"/>
      <c r="AY60" s="22">
        <v>0.15182499999999999</v>
      </c>
      <c r="AZ60" s="22">
        <v>469.32499999999999</v>
      </c>
      <c r="BA60" s="22">
        <v>-1.7065400000000001E-2</v>
      </c>
      <c r="BB60" s="22">
        <v>50</v>
      </c>
      <c r="BC60" s="22">
        <v>0.15109300000000001</v>
      </c>
      <c r="BD60">
        <f t="shared" si="10"/>
        <v>17.0654</v>
      </c>
      <c r="BE60">
        <f t="shared" si="11"/>
        <v>2.590954355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32.656500000000001</v>
      </c>
      <c r="I61" s="22">
        <v>4.9853500000000002E-2</v>
      </c>
      <c r="J61" s="22">
        <v>51</v>
      </c>
      <c r="K61" s="22">
        <v>7.8552200000000003E-2</v>
      </c>
      <c r="L61">
        <f t="shared" si="0"/>
        <v>-49.853500000000004</v>
      </c>
      <c r="M61">
        <f t="shared" si="1"/>
        <v>-76.929932920000013</v>
      </c>
      <c r="N61" s="9"/>
      <c r="O61" s="22">
        <v>0.15686</v>
      </c>
      <c r="P61" s="22">
        <v>143.583</v>
      </c>
      <c r="Q61" s="22">
        <v>-1.7114299999999999E-2</v>
      </c>
      <c r="R61" s="22">
        <v>51</v>
      </c>
      <c r="S61" s="22">
        <v>0.156281</v>
      </c>
      <c r="T61">
        <f t="shared" si="2"/>
        <v>17.1143</v>
      </c>
      <c r="U61">
        <f t="shared" si="3"/>
        <v>2.6845490980000002</v>
      </c>
      <c r="X61" s="9"/>
      <c r="Y61" s="22">
        <v>1.54312</v>
      </c>
      <c r="Z61" s="22">
        <v>207.16900000000001</v>
      </c>
      <c r="AA61" s="22">
        <v>-1.6131599999999999E-2</v>
      </c>
      <c r="AB61" s="22">
        <v>51</v>
      </c>
      <c r="AC61" s="22">
        <v>1.54236</v>
      </c>
      <c r="AD61">
        <f t="shared" si="4"/>
        <v>16.131599999999999</v>
      </c>
      <c r="AE61">
        <f t="shared" si="5"/>
        <v>24.892994591999997</v>
      </c>
      <c r="AF61" s="9"/>
      <c r="AG61" s="22">
        <v>0.15686</v>
      </c>
      <c r="AH61" s="22">
        <v>339.50299999999999</v>
      </c>
      <c r="AI61" s="22">
        <v>-1.7077599999999998E-2</v>
      </c>
      <c r="AJ61" s="22">
        <v>51</v>
      </c>
      <c r="AK61" s="22">
        <v>0.156281</v>
      </c>
      <c r="AL61">
        <f t="shared" si="6"/>
        <v>17.077599999999997</v>
      </c>
      <c r="AM61">
        <f t="shared" si="7"/>
        <v>2.6787923359999994</v>
      </c>
      <c r="AP61" s="9"/>
      <c r="AQ61" s="22">
        <v>1.54312</v>
      </c>
      <c r="AR61" s="22">
        <v>408.59300000000002</v>
      </c>
      <c r="AS61" s="22">
        <v>-1.6098000000000001E-2</v>
      </c>
      <c r="AT61" s="22">
        <v>51</v>
      </c>
      <c r="AU61" s="22">
        <v>1.54236</v>
      </c>
      <c r="AV61">
        <f t="shared" si="8"/>
        <v>16.098000000000003</v>
      </c>
      <c r="AW61">
        <f t="shared" si="9"/>
        <v>24.841145760000003</v>
      </c>
      <c r="AX61" s="9"/>
      <c r="AY61" s="22">
        <v>0.15686</v>
      </c>
      <c r="AZ61" s="22">
        <v>469.42599999999999</v>
      </c>
      <c r="BA61" s="22">
        <v>-1.7065400000000001E-2</v>
      </c>
      <c r="BB61" s="22">
        <v>51</v>
      </c>
      <c r="BC61" s="22">
        <v>0.15600600000000001</v>
      </c>
      <c r="BD61">
        <f t="shared" si="10"/>
        <v>17.0654</v>
      </c>
      <c r="BE61">
        <f t="shared" si="11"/>
        <v>2.6768786439999999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32.757199999999997</v>
      </c>
      <c r="I62" s="22">
        <v>4.9917599999999999E-2</v>
      </c>
      <c r="J62" s="22">
        <v>52</v>
      </c>
      <c r="K62" s="22">
        <v>7.85217E-2</v>
      </c>
      <c r="L62">
        <f t="shared" si="0"/>
        <v>-49.9176</v>
      </c>
      <c r="M62">
        <f t="shared" si="1"/>
        <v>-76.777761384000001</v>
      </c>
      <c r="N62" s="9"/>
      <c r="O62" s="22">
        <v>0.16189600000000001</v>
      </c>
      <c r="P62" s="22">
        <v>143.684</v>
      </c>
      <c r="Q62" s="22">
        <v>-1.71082E-2</v>
      </c>
      <c r="R62" s="22">
        <v>52</v>
      </c>
      <c r="S62" s="22">
        <v>0.161133</v>
      </c>
      <c r="T62">
        <f t="shared" si="2"/>
        <v>17.1082</v>
      </c>
      <c r="U62">
        <f t="shared" si="3"/>
        <v>2.7697491472000002</v>
      </c>
      <c r="X62" s="9"/>
      <c r="Y62" s="22">
        <v>1.53809</v>
      </c>
      <c r="Z62" s="22">
        <v>207.27</v>
      </c>
      <c r="AA62" s="22">
        <v>-1.61438E-2</v>
      </c>
      <c r="AB62" s="22">
        <v>52</v>
      </c>
      <c r="AC62" s="22">
        <v>1.5371699999999999</v>
      </c>
      <c r="AD62">
        <f t="shared" si="4"/>
        <v>16.143799999999999</v>
      </c>
      <c r="AE62">
        <f t="shared" si="5"/>
        <v>24.830617341999996</v>
      </c>
      <c r="AF62" s="9"/>
      <c r="AG62" s="22">
        <v>0.16189600000000001</v>
      </c>
      <c r="AH62" s="22">
        <v>339.60300000000001</v>
      </c>
      <c r="AI62" s="22">
        <v>-1.7077599999999998E-2</v>
      </c>
      <c r="AJ62" s="22">
        <v>52</v>
      </c>
      <c r="AK62" s="22">
        <v>0.16131599999999999</v>
      </c>
      <c r="AL62">
        <f t="shared" si="6"/>
        <v>17.077599999999997</v>
      </c>
      <c r="AM62">
        <f t="shared" si="7"/>
        <v>2.7647951295999995</v>
      </c>
      <c r="AP62" s="9"/>
      <c r="AQ62" s="22">
        <v>1.53809</v>
      </c>
      <c r="AR62" s="22">
        <v>408.69299999999998</v>
      </c>
      <c r="AS62" s="22">
        <v>-1.6122399999999999E-2</v>
      </c>
      <c r="AT62" s="22">
        <v>52</v>
      </c>
      <c r="AU62" s="22">
        <v>1.5371699999999999</v>
      </c>
      <c r="AV62">
        <f t="shared" si="8"/>
        <v>16.122399999999999</v>
      </c>
      <c r="AW62">
        <f t="shared" si="9"/>
        <v>24.797702215999998</v>
      </c>
      <c r="AX62" s="9"/>
      <c r="AY62" s="22">
        <v>0.16189600000000001</v>
      </c>
      <c r="AZ62" s="22">
        <v>469.52600000000001</v>
      </c>
      <c r="BA62" s="22">
        <v>-1.7059299999999999E-2</v>
      </c>
      <c r="BB62" s="22">
        <v>52</v>
      </c>
      <c r="BC62" s="22">
        <v>0.16104099999999999</v>
      </c>
      <c r="BD62">
        <f t="shared" si="10"/>
        <v>17.0593</v>
      </c>
      <c r="BE62">
        <f t="shared" si="11"/>
        <v>2.7618324328000003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32.857900000000001</v>
      </c>
      <c r="I63" s="22">
        <v>4.9862700000000003E-2</v>
      </c>
      <c r="J63" s="22">
        <v>53</v>
      </c>
      <c r="K63" s="22">
        <v>7.8582799999999994E-2</v>
      </c>
      <c r="L63">
        <f t="shared" si="0"/>
        <v>-49.862700000000004</v>
      </c>
      <c r="M63">
        <f t="shared" si="1"/>
        <v>-76.442012235000007</v>
      </c>
      <c r="N63" s="9"/>
      <c r="O63" s="22">
        <v>0.166931</v>
      </c>
      <c r="P63" s="22">
        <v>143.785</v>
      </c>
      <c r="Q63" s="22">
        <v>-1.7102099999999999E-2</v>
      </c>
      <c r="R63" s="22">
        <v>53</v>
      </c>
      <c r="S63" s="22">
        <v>0.16592399999999999</v>
      </c>
      <c r="T63">
        <f t="shared" si="2"/>
        <v>17.1021</v>
      </c>
      <c r="U63">
        <f t="shared" si="3"/>
        <v>2.8548706551</v>
      </c>
      <c r="X63" s="9"/>
      <c r="Y63" s="22">
        <v>1.53305</v>
      </c>
      <c r="Z63" s="22">
        <v>207.37100000000001</v>
      </c>
      <c r="AA63" s="22">
        <v>-1.6159099999999999E-2</v>
      </c>
      <c r="AB63" s="22">
        <v>53</v>
      </c>
      <c r="AC63" s="22">
        <v>1.5316799999999999</v>
      </c>
      <c r="AD63">
        <f t="shared" si="4"/>
        <v>16.159099999999999</v>
      </c>
      <c r="AE63">
        <f t="shared" si="5"/>
        <v>24.772708254999998</v>
      </c>
      <c r="AF63" s="9"/>
      <c r="AG63" s="22">
        <v>0.166931</v>
      </c>
      <c r="AH63" s="22">
        <v>339.70400000000001</v>
      </c>
      <c r="AI63" s="22">
        <v>-1.7074599999999999E-2</v>
      </c>
      <c r="AJ63" s="22">
        <v>53</v>
      </c>
      <c r="AK63" s="22">
        <v>0.166382</v>
      </c>
      <c r="AL63">
        <f t="shared" si="6"/>
        <v>17.0746</v>
      </c>
      <c r="AM63">
        <f t="shared" si="7"/>
        <v>2.8502800526000001</v>
      </c>
      <c r="AP63" s="9"/>
      <c r="AQ63" s="22">
        <v>1.53305</v>
      </c>
      <c r="AR63" s="22">
        <v>408.79399999999998</v>
      </c>
      <c r="AS63" s="22">
        <v>-1.6131599999999999E-2</v>
      </c>
      <c r="AT63" s="22">
        <v>53</v>
      </c>
      <c r="AU63" s="22">
        <v>1.5322899999999999</v>
      </c>
      <c r="AV63">
        <f t="shared" si="8"/>
        <v>16.131599999999999</v>
      </c>
      <c r="AW63">
        <f t="shared" si="9"/>
        <v>24.730549379999999</v>
      </c>
      <c r="AX63" s="9"/>
      <c r="AY63" s="22">
        <v>0.166931</v>
      </c>
      <c r="AZ63" s="22">
        <v>469.62700000000001</v>
      </c>
      <c r="BA63" s="22">
        <v>-1.7053200000000001E-2</v>
      </c>
      <c r="BB63" s="22">
        <v>53</v>
      </c>
      <c r="BC63" s="22">
        <v>0.16644300000000001</v>
      </c>
      <c r="BD63">
        <f t="shared" si="10"/>
        <v>17.0532</v>
      </c>
      <c r="BE63">
        <f t="shared" si="11"/>
        <v>2.8467077291999998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32.958599999999997</v>
      </c>
      <c r="I64" s="22">
        <v>4.9786400000000001E-2</v>
      </c>
      <c r="J64" s="22">
        <v>54</v>
      </c>
      <c r="K64" s="22">
        <v>7.86438E-2</v>
      </c>
      <c r="L64">
        <f t="shared" si="0"/>
        <v>-49.7864</v>
      </c>
      <c r="M64">
        <f t="shared" si="1"/>
        <v>-76.074614928000003</v>
      </c>
      <c r="N64" s="9"/>
      <c r="O64" s="22">
        <v>0.17196700000000001</v>
      </c>
      <c r="P64" s="22">
        <v>143.88499999999999</v>
      </c>
      <c r="Q64" s="22">
        <v>-1.7102099999999999E-2</v>
      </c>
      <c r="R64" s="22">
        <v>54</v>
      </c>
      <c r="S64" s="22">
        <v>0.171265</v>
      </c>
      <c r="T64">
        <f t="shared" si="2"/>
        <v>17.1021</v>
      </c>
      <c r="U64">
        <f t="shared" si="3"/>
        <v>2.9409968307000001</v>
      </c>
      <c r="X64" s="9"/>
      <c r="Y64" s="22">
        <v>1.5280199999999999</v>
      </c>
      <c r="Z64" s="22">
        <v>207.471</v>
      </c>
      <c r="AA64" s="22">
        <v>-1.6174299999999999E-2</v>
      </c>
      <c r="AB64" s="22">
        <v>54</v>
      </c>
      <c r="AC64" s="22">
        <v>1.5267900000000001</v>
      </c>
      <c r="AD64">
        <f t="shared" si="4"/>
        <v>16.174299999999999</v>
      </c>
      <c r="AE64">
        <f t="shared" si="5"/>
        <v>24.714653885999997</v>
      </c>
      <c r="AF64" s="9"/>
      <c r="AG64" s="22">
        <v>0.17196700000000001</v>
      </c>
      <c r="AH64" s="22">
        <v>339.80500000000001</v>
      </c>
      <c r="AI64" s="22">
        <v>-1.70715E-2</v>
      </c>
      <c r="AJ64" s="22">
        <v>54</v>
      </c>
      <c r="AK64" s="22">
        <v>0.171265</v>
      </c>
      <c r="AL64">
        <f t="shared" si="6"/>
        <v>17.0715</v>
      </c>
      <c r="AM64">
        <f t="shared" si="7"/>
        <v>2.9357346405000002</v>
      </c>
      <c r="AP64" s="9"/>
      <c r="AQ64" s="22">
        <v>1.5280199999999999</v>
      </c>
      <c r="AR64" s="22">
        <v>408.89499999999998</v>
      </c>
      <c r="AS64" s="22">
        <v>-1.6131599999999999E-2</v>
      </c>
      <c r="AT64" s="22">
        <v>54</v>
      </c>
      <c r="AU64" s="22">
        <v>1.5267900000000001</v>
      </c>
      <c r="AV64">
        <f t="shared" si="8"/>
        <v>16.131599999999999</v>
      </c>
      <c r="AW64">
        <f t="shared" si="9"/>
        <v>24.649407431999997</v>
      </c>
      <c r="AX64" s="9"/>
      <c r="AY64" s="22">
        <v>0.17196700000000001</v>
      </c>
      <c r="AZ64" s="22">
        <v>469.72800000000001</v>
      </c>
      <c r="BA64" s="22">
        <v>-1.7050200000000001E-2</v>
      </c>
      <c r="BB64" s="22">
        <v>54</v>
      </c>
      <c r="BC64" s="22">
        <v>0.17132600000000001</v>
      </c>
      <c r="BD64">
        <f t="shared" si="10"/>
        <v>17.0502</v>
      </c>
      <c r="BE64">
        <f t="shared" si="11"/>
        <v>2.9320717434000003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33.0593</v>
      </c>
      <c r="I65" s="22">
        <v>4.9798599999999998E-2</v>
      </c>
      <c r="J65" s="22">
        <v>55</v>
      </c>
      <c r="K65" s="22">
        <v>7.86438E-2</v>
      </c>
      <c r="L65">
        <f t="shared" si="0"/>
        <v>-49.7986</v>
      </c>
      <c r="M65">
        <f t="shared" si="1"/>
        <v>-75.842271827999994</v>
      </c>
      <c r="N65" s="9"/>
      <c r="O65" s="22">
        <v>0.17700199999999999</v>
      </c>
      <c r="P65" s="22">
        <v>143.98599999999999</v>
      </c>
      <c r="Q65" s="22">
        <v>-1.7095900000000001E-2</v>
      </c>
      <c r="R65" s="22">
        <v>55</v>
      </c>
      <c r="S65" s="22">
        <v>0.176422</v>
      </c>
      <c r="T65">
        <f t="shared" si="2"/>
        <v>17.0959</v>
      </c>
      <c r="U65">
        <f t="shared" si="3"/>
        <v>3.0260084917999999</v>
      </c>
      <c r="X65" s="9"/>
      <c r="Y65" s="22">
        <v>1.52298</v>
      </c>
      <c r="Z65" s="22">
        <v>207.572</v>
      </c>
      <c r="AA65" s="22">
        <v>-1.6180400000000001E-2</v>
      </c>
      <c r="AB65" s="22">
        <v>55</v>
      </c>
      <c r="AC65" s="22">
        <v>1.5222199999999999</v>
      </c>
      <c r="AD65">
        <f t="shared" si="4"/>
        <v>16.180400000000002</v>
      </c>
      <c r="AE65">
        <f t="shared" si="5"/>
        <v>24.642425592000002</v>
      </c>
      <c r="AF65" s="9"/>
      <c r="AG65" s="22">
        <v>0.17700199999999999</v>
      </c>
      <c r="AH65" s="22">
        <v>339.90499999999997</v>
      </c>
      <c r="AI65" s="22">
        <v>-1.7074599999999999E-2</v>
      </c>
      <c r="AJ65" s="22">
        <v>55</v>
      </c>
      <c r="AK65" s="22">
        <v>0.17627000000000001</v>
      </c>
      <c r="AL65">
        <f t="shared" si="6"/>
        <v>17.0746</v>
      </c>
      <c r="AM65">
        <f t="shared" si="7"/>
        <v>3.0222383491999998</v>
      </c>
      <c r="AP65" s="9"/>
      <c r="AQ65" s="22">
        <v>1.52298</v>
      </c>
      <c r="AR65" s="22">
        <v>408.99599999999998</v>
      </c>
      <c r="AS65" s="22">
        <v>-1.61438E-2</v>
      </c>
      <c r="AT65" s="22">
        <v>55</v>
      </c>
      <c r="AU65" s="22">
        <v>1.5219100000000001</v>
      </c>
      <c r="AV65">
        <f t="shared" si="8"/>
        <v>16.143799999999999</v>
      </c>
      <c r="AW65">
        <f t="shared" si="9"/>
        <v>24.586684523999999</v>
      </c>
      <c r="AX65" s="9"/>
      <c r="AY65" s="22">
        <v>0.17700199999999999</v>
      </c>
      <c r="AZ65" s="22">
        <v>469.82900000000001</v>
      </c>
      <c r="BA65" s="22">
        <v>-1.7053200000000001E-2</v>
      </c>
      <c r="BB65" s="22">
        <v>55</v>
      </c>
      <c r="BC65" s="22">
        <v>0.17627000000000001</v>
      </c>
      <c r="BD65">
        <f t="shared" si="10"/>
        <v>17.0532</v>
      </c>
      <c r="BE65">
        <f t="shared" si="11"/>
        <v>3.0184505063999998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33.159999999999997</v>
      </c>
      <c r="I66" s="22">
        <v>4.97528E-2</v>
      </c>
      <c r="J66" s="22">
        <v>56</v>
      </c>
      <c r="K66" s="22">
        <v>7.8704800000000005E-2</v>
      </c>
      <c r="L66">
        <f t="shared" si="0"/>
        <v>-49.752800000000001</v>
      </c>
      <c r="M66">
        <f t="shared" si="1"/>
        <v>-75.521765232000007</v>
      </c>
      <c r="N66" s="9"/>
      <c r="O66" s="22">
        <v>0.182037</v>
      </c>
      <c r="P66" s="22">
        <v>144.08699999999999</v>
      </c>
      <c r="Q66" s="22">
        <v>-1.7105100000000002E-2</v>
      </c>
      <c r="R66" s="22">
        <v>56</v>
      </c>
      <c r="S66" s="22">
        <v>0.18118300000000001</v>
      </c>
      <c r="T66">
        <f t="shared" si="2"/>
        <v>17.1051</v>
      </c>
      <c r="U66">
        <f t="shared" si="3"/>
        <v>3.1137610887</v>
      </c>
      <c r="X66" s="9"/>
      <c r="Y66" s="22">
        <v>1.5179400000000001</v>
      </c>
      <c r="Z66" s="22">
        <v>207.673</v>
      </c>
      <c r="AA66" s="22">
        <v>-1.6186499999999999E-2</v>
      </c>
      <c r="AB66" s="22">
        <v>56</v>
      </c>
      <c r="AC66" s="22">
        <v>1.5173300000000001</v>
      </c>
      <c r="AD66">
        <f t="shared" si="4"/>
        <v>16.186499999999999</v>
      </c>
      <c r="AE66">
        <f t="shared" si="5"/>
        <v>24.57013581</v>
      </c>
      <c r="AF66" s="9"/>
      <c r="AG66" s="22">
        <v>0.182037</v>
      </c>
      <c r="AH66" s="22">
        <v>340.00599999999997</v>
      </c>
      <c r="AI66" s="22">
        <v>-1.7074599999999999E-2</v>
      </c>
      <c r="AJ66" s="22">
        <v>56</v>
      </c>
      <c r="AK66" s="22">
        <v>0.181366</v>
      </c>
      <c r="AL66">
        <f t="shared" si="6"/>
        <v>17.0746</v>
      </c>
      <c r="AM66">
        <f t="shared" si="7"/>
        <v>3.1082089602000003</v>
      </c>
      <c r="AP66" s="9"/>
      <c r="AQ66" s="22">
        <v>1.5179400000000001</v>
      </c>
      <c r="AR66" s="22">
        <v>409.096</v>
      </c>
      <c r="AS66" s="22">
        <v>-1.6153000000000001E-2</v>
      </c>
      <c r="AT66" s="22">
        <v>56</v>
      </c>
      <c r="AU66" s="22">
        <v>1.5173300000000001</v>
      </c>
      <c r="AV66">
        <f t="shared" si="8"/>
        <v>16.153000000000002</v>
      </c>
      <c r="AW66">
        <f t="shared" si="9"/>
        <v>24.519284820000003</v>
      </c>
      <c r="AX66" s="9"/>
      <c r="AY66" s="22">
        <v>0.182037</v>
      </c>
      <c r="AZ66" s="22">
        <v>469.92899999999997</v>
      </c>
      <c r="BA66" s="22">
        <v>-1.7053200000000001E-2</v>
      </c>
      <c r="BB66" s="22">
        <v>56</v>
      </c>
      <c r="BC66" s="22">
        <v>0.181366</v>
      </c>
      <c r="BD66">
        <f t="shared" si="10"/>
        <v>17.0532</v>
      </c>
      <c r="BE66">
        <f t="shared" si="11"/>
        <v>3.1043133684000002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33.2607</v>
      </c>
      <c r="I67" s="22">
        <v>4.9868799999999998E-2</v>
      </c>
      <c r="J67" s="22">
        <v>57</v>
      </c>
      <c r="K67" s="22">
        <v>7.8704800000000005E-2</v>
      </c>
      <c r="L67">
        <f t="shared" si="0"/>
        <v>-49.8688</v>
      </c>
      <c r="M67">
        <f t="shared" si="1"/>
        <v>-75.447006208000005</v>
      </c>
      <c r="N67" s="9"/>
      <c r="O67" s="22">
        <v>0.18707299999999999</v>
      </c>
      <c r="P67" s="22">
        <v>144.18799999999999</v>
      </c>
      <c r="Q67" s="22">
        <v>-1.7095900000000001E-2</v>
      </c>
      <c r="R67" s="22">
        <v>57</v>
      </c>
      <c r="S67" s="22">
        <v>0.18640100000000001</v>
      </c>
      <c r="T67">
        <f t="shared" si="2"/>
        <v>17.0959</v>
      </c>
      <c r="U67">
        <f t="shared" si="3"/>
        <v>3.1981813007</v>
      </c>
      <c r="X67" s="9"/>
      <c r="Y67" s="22">
        <v>1.51291</v>
      </c>
      <c r="Z67" s="22">
        <v>207.774</v>
      </c>
      <c r="AA67" s="22">
        <v>-1.61987E-2</v>
      </c>
      <c r="AB67" s="22">
        <v>57</v>
      </c>
      <c r="AC67" s="22">
        <v>1.5121500000000001</v>
      </c>
      <c r="AD67">
        <f t="shared" si="4"/>
        <v>16.198699999999999</v>
      </c>
      <c r="AE67">
        <f t="shared" si="5"/>
        <v>24.507175216999997</v>
      </c>
      <c r="AF67" s="9"/>
      <c r="AG67" s="22">
        <v>0.18707299999999999</v>
      </c>
      <c r="AH67" s="22">
        <v>340.10700000000003</v>
      </c>
      <c r="AI67" s="22">
        <v>-1.70715E-2</v>
      </c>
      <c r="AJ67" s="22">
        <v>57</v>
      </c>
      <c r="AK67" s="22">
        <v>0.18637100000000001</v>
      </c>
      <c r="AL67">
        <f t="shared" si="6"/>
        <v>17.0715</v>
      </c>
      <c r="AM67">
        <f t="shared" si="7"/>
        <v>3.1936167195</v>
      </c>
      <c r="AP67" s="9"/>
      <c r="AQ67" s="22">
        <v>1.51291</v>
      </c>
      <c r="AR67" s="22">
        <v>409.197</v>
      </c>
      <c r="AS67" s="22">
        <v>-1.6165200000000001E-2</v>
      </c>
      <c r="AT67" s="22">
        <v>57</v>
      </c>
      <c r="AU67" s="22">
        <v>1.5121500000000001</v>
      </c>
      <c r="AV67">
        <f t="shared" si="8"/>
        <v>16.165200000000002</v>
      </c>
      <c r="AW67">
        <f t="shared" si="9"/>
        <v>24.456492732000005</v>
      </c>
      <c r="AX67" s="9"/>
      <c r="AY67" s="22">
        <v>0.18707299999999999</v>
      </c>
      <c r="AZ67" s="22">
        <v>470.03</v>
      </c>
      <c r="BA67" s="22">
        <v>-1.7050200000000001E-2</v>
      </c>
      <c r="BB67" s="22">
        <v>57</v>
      </c>
      <c r="BC67" s="22">
        <v>0.18664600000000001</v>
      </c>
      <c r="BD67">
        <f t="shared" si="10"/>
        <v>17.0502</v>
      </c>
      <c r="BE67">
        <f t="shared" si="11"/>
        <v>3.1896320646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33.361400000000003</v>
      </c>
      <c r="I68" s="22">
        <v>4.9917599999999999E-2</v>
      </c>
      <c r="J68" s="22">
        <v>58</v>
      </c>
      <c r="K68" s="22">
        <v>7.8735399999999997E-2</v>
      </c>
      <c r="L68">
        <f t="shared" si="0"/>
        <v>-49.9176</v>
      </c>
      <c r="M68">
        <f t="shared" si="1"/>
        <v>-75.269251511999997</v>
      </c>
      <c r="N68" s="9"/>
      <c r="O68" s="22">
        <v>0.192108</v>
      </c>
      <c r="P68" s="22">
        <v>144.28800000000001</v>
      </c>
      <c r="Q68" s="22">
        <v>-1.7089799999999999E-2</v>
      </c>
      <c r="R68" s="22">
        <v>58</v>
      </c>
      <c r="S68" s="22">
        <v>0.191467</v>
      </c>
      <c r="T68">
        <f t="shared" si="2"/>
        <v>17.0898</v>
      </c>
      <c r="U68">
        <f t="shared" si="3"/>
        <v>3.2830872983999999</v>
      </c>
      <c r="X68" s="9"/>
      <c r="Y68" s="22">
        <v>1.50787</v>
      </c>
      <c r="Z68" s="22">
        <v>207.874</v>
      </c>
      <c r="AA68" s="22">
        <v>-1.6207900000000001E-2</v>
      </c>
      <c r="AB68" s="22">
        <v>58</v>
      </c>
      <c r="AC68" s="22">
        <v>1.5069600000000001</v>
      </c>
      <c r="AD68">
        <f t="shared" si="4"/>
        <v>16.207900000000002</v>
      </c>
      <c r="AE68">
        <f t="shared" si="5"/>
        <v>24.439406173000005</v>
      </c>
      <c r="AF68" s="9"/>
      <c r="AG68" s="22">
        <v>0.192108</v>
      </c>
      <c r="AH68" s="22">
        <v>340.20800000000003</v>
      </c>
      <c r="AI68" s="22">
        <v>-1.7062399999999998E-2</v>
      </c>
      <c r="AJ68" s="22">
        <v>58</v>
      </c>
      <c r="AK68" s="22">
        <v>0.191437</v>
      </c>
      <c r="AL68">
        <f t="shared" si="6"/>
        <v>17.062399999999997</v>
      </c>
      <c r="AM68">
        <f t="shared" si="7"/>
        <v>3.2778235391999995</v>
      </c>
      <c r="AP68" s="9"/>
      <c r="AQ68" s="22">
        <v>1.50787</v>
      </c>
      <c r="AR68" s="22">
        <v>409.298</v>
      </c>
      <c r="AS68" s="22">
        <v>-1.6174299999999999E-2</v>
      </c>
      <c r="AT68" s="22">
        <v>58</v>
      </c>
      <c r="AU68" s="22">
        <v>1.5069600000000001</v>
      </c>
      <c r="AV68">
        <f t="shared" si="8"/>
        <v>16.174299999999999</v>
      </c>
      <c r="AW68">
        <f t="shared" si="9"/>
        <v>24.388741741</v>
      </c>
      <c r="AX68" s="9"/>
      <c r="AY68" s="22">
        <v>0.192108</v>
      </c>
      <c r="AZ68" s="22">
        <v>470.13099999999997</v>
      </c>
      <c r="BA68" s="22">
        <v>-1.7041000000000001E-2</v>
      </c>
      <c r="BB68" s="22">
        <v>58</v>
      </c>
      <c r="BC68" s="22">
        <v>0.191437</v>
      </c>
      <c r="BD68">
        <f t="shared" si="10"/>
        <v>17.041</v>
      </c>
      <c r="BE68">
        <f t="shared" si="11"/>
        <v>3.2737124280000001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33.4621</v>
      </c>
      <c r="I69" s="22">
        <v>4.9838300000000002E-2</v>
      </c>
      <c r="J69" s="22">
        <v>59</v>
      </c>
      <c r="K69" s="22">
        <v>7.8704800000000005E-2</v>
      </c>
      <c r="L69">
        <f t="shared" si="0"/>
        <v>-49.838300000000004</v>
      </c>
      <c r="M69">
        <f t="shared" si="1"/>
        <v>-74.898990772000005</v>
      </c>
      <c r="N69" s="9"/>
      <c r="O69" s="22">
        <v>0.19714400000000001</v>
      </c>
      <c r="P69" s="22">
        <v>144.38900000000001</v>
      </c>
      <c r="Q69" s="22">
        <v>-1.7086799999999999E-2</v>
      </c>
      <c r="R69" s="22">
        <v>59</v>
      </c>
      <c r="S69" s="22">
        <v>0.19653300000000001</v>
      </c>
      <c r="T69">
        <f t="shared" si="2"/>
        <v>17.0868</v>
      </c>
      <c r="U69">
        <f t="shared" si="3"/>
        <v>3.3685600992000002</v>
      </c>
      <c r="X69" s="9"/>
      <c r="Y69" s="22">
        <v>1.50284</v>
      </c>
      <c r="Z69" s="22">
        <v>207.97499999999999</v>
      </c>
      <c r="AA69" s="22">
        <v>-1.6216999999999999E-2</v>
      </c>
      <c r="AB69" s="22">
        <v>59</v>
      </c>
      <c r="AC69" s="22">
        <v>1.50177</v>
      </c>
      <c r="AD69">
        <f t="shared" si="4"/>
        <v>16.216999999999999</v>
      </c>
      <c r="AE69">
        <f t="shared" si="5"/>
        <v>24.371556279999997</v>
      </c>
      <c r="AF69" s="9"/>
      <c r="AG69" s="22">
        <v>0.19714400000000001</v>
      </c>
      <c r="AH69" s="22">
        <v>340.30799999999999</v>
      </c>
      <c r="AI69" s="22">
        <v>-1.7059299999999999E-2</v>
      </c>
      <c r="AJ69" s="22">
        <v>59</v>
      </c>
      <c r="AK69" s="22">
        <v>0.19647200000000001</v>
      </c>
      <c r="AL69">
        <f t="shared" si="6"/>
        <v>17.0593</v>
      </c>
      <c r="AM69">
        <f t="shared" si="7"/>
        <v>3.3631386392000002</v>
      </c>
      <c r="AP69" s="9"/>
      <c r="AQ69" s="22">
        <v>1.50284</v>
      </c>
      <c r="AR69" s="22">
        <v>409.39800000000002</v>
      </c>
      <c r="AS69" s="22">
        <v>-1.6186499999999999E-2</v>
      </c>
      <c r="AT69" s="22">
        <v>59</v>
      </c>
      <c r="AU69" s="22">
        <v>1.50146</v>
      </c>
      <c r="AV69">
        <f t="shared" si="8"/>
        <v>16.186499999999999</v>
      </c>
      <c r="AW69">
        <f t="shared" si="9"/>
        <v>24.325719659999997</v>
      </c>
      <c r="AX69" s="9"/>
      <c r="AY69" s="22">
        <v>0.19714400000000001</v>
      </c>
      <c r="AZ69" s="22">
        <v>470.23099999999999</v>
      </c>
      <c r="BA69" s="22">
        <v>-1.7038000000000001E-2</v>
      </c>
      <c r="BB69" s="22">
        <v>59</v>
      </c>
      <c r="BC69" s="22">
        <v>0.19650300000000001</v>
      </c>
      <c r="BD69">
        <f t="shared" si="10"/>
        <v>17.038</v>
      </c>
      <c r="BE69">
        <f t="shared" si="11"/>
        <v>3.3589394720000003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33.562899999999999</v>
      </c>
      <c r="I70" s="22">
        <v>4.9954199999999997E-2</v>
      </c>
      <c r="J70" s="22">
        <v>60</v>
      </c>
      <c r="K70" s="22">
        <v>7.8735399999999997E-2</v>
      </c>
      <c r="L70">
        <f t="shared" si="0"/>
        <v>-49.9542</v>
      </c>
      <c r="M70">
        <f t="shared" si="1"/>
        <v>-74.821400760000003</v>
      </c>
      <c r="N70" s="9"/>
      <c r="O70" s="22">
        <v>0.202179</v>
      </c>
      <c r="P70" s="22">
        <v>144.49</v>
      </c>
      <c r="Q70" s="22">
        <v>-1.7086799999999999E-2</v>
      </c>
      <c r="R70" s="22">
        <v>60</v>
      </c>
      <c r="S70" s="22">
        <v>0.201599</v>
      </c>
      <c r="T70">
        <f t="shared" si="2"/>
        <v>17.0868</v>
      </c>
      <c r="U70">
        <f t="shared" si="3"/>
        <v>3.4545921372000001</v>
      </c>
      <c r="X70" s="9"/>
      <c r="Y70" s="22">
        <v>1.4978</v>
      </c>
      <c r="Z70" s="22">
        <v>208.07599999999999</v>
      </c>
      <c r="AA70" s="22">
        <v>-1.6235400000000001E-2</v>
      </c>
      <c r="AB70" s="22">
        <v>60</v>
      </c>
      <c r="AC70" s="22">
        <v>1.49719</v>
      </c>
      <c r="AD70">
        <f t="shared" si="4"/>
        <v>16.235400000000002</v>
      </c>
      <c r="AE70">
        <f t="shared" si="5"/>
        <v>24.317382120000005</v>
      </c>
      <c r="AF70" s="9"/>
      <c r="AG70" s="22">
        <v>0.202179</v>
      </c>
      <c r="AH70" s="22">
        <v>340.40899999999999</v>
      </c>
      <c r="AI70" s="22">
        <v>-1.7059299999999999E-2</v>
      </c>
      <c r="AJ70" s="22">
        <v>60</v>
      </c>
      <c r="AK70" s="22">
        <v>0.20147699999999999</v>
      </c>
      <c r="AL70">
        <f t="shared" si="6"/>
        <v>17.0593</v>
      </c>
      <c r="AM70">
        <f t="shared" si="7"/>
        <v>3.4490322146999999</v>
      </c>
      <c r="AP70" s="9"/>
      <c r="AQ70" s="22">
        <v>1.4978</v>
      </c>
      <c r="AR70" s="22">
        <v>409.49900000000002</v>
      </c>
      <c r="AS70" s="22">
        <v>-1.6192600000000001E-2</v>
      </c>
      <c r="AT70" s="22">
        <v>60</v>
      </c>
      <c r="AU70" s="22">
        <v>1.4968900000000001</v>
      </c>
      <c r="AV70">
        <f t="shared" si="8"/>
        <v>16.192600000000002</v>
      </c>
      <c r="AW70">
        <f t="shared" si="9"/>
        <v>24.253276280000005</v>
      </c>
      <c r="AX70" s="9"/>
      <c r="AY70" s="22">
        <v>0.202179</v>
      </c>
      <c r="AZ70" s="22">
        <v>470.33199999999999</v>
      </c>
      <c r="BA70" s="22">
        <v>-1.7041000000000001E-2</v>
      </c>
      <c r="BB70" s="22">
        <v>60</v>
      </c>
      <c r="BC70" s="22">
        <v>0.20147699999999999</v>
      </c>
      <c r="BD70">
        <f t="shared" si="10"/>
        <v>17.041</v>
      </c>
      <c r="BE70">
        <f t="shared" si="11"/>
        <v>3.4453323390000001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33.663600000000002</v>
      </c>
      <c r="I71" s="22">
        <v>4.9844399999999997E-2</v>
      </c>
      <c r="J71" s="22">
        <v>61</v>
      </c>
      <c r="K71" s="22">
        <v>7.8735399999999997E-2</v>
      </c>
      <c r="L71">
        <f t="shared" si="0"/>
        <v>-49.8444</v>
      </c>
      <c r="M71">
        <f t="shared" si="1"/>
        <v>-74.406224987999991</v>
      </c>
      <c r="N71" s="9"/>
      <c r="O71" s="22">
        <v>0.20721400000000001</v>
      </c>
      <c r="P71" s="22">
        <v>144.59</v>
      </c>
      <c r="Q71" s="22">
        <v>-1.7092900000000001E-2</v>
      </c>
      <c r="R71" s="22">
        <v>61</v>
      </c>
      <c r="S71" s="22">
        <v>0.20660400000000001</v>
      </c>
      <c r="T71">
        <f t="shared" si="2"/>
        <v>17.0929</v>
      </c>
      <c r="U71">
        <f t="shared" si="3"/>
        <v>3.5418881806</v>
      </c>
      <c r="X71" s="9"/>
      <c r="Y71" s="22">
        <v>1.4927699999999999</v>
      </c>
      <c r="Z71" s="22">
        <v>208.17599999999999</v>
      </c>
      <c r="AA71" s="22">
        <v>-1.6235400000000001E-2</v>
      </c>
      <c r="AB71" s="22">
        <v>61</v>
      </c>
      <c r="AC71" s="22">
        <v>1.492</v>
      </c>
      <c r="AD71">
        <f t="shared" si="4"/>
        <v>16.235400000000002</v>
      </c>
      <c r="AE71">
        <f t="shared" si="5"/>
        <v>24.235718058000003</v>
      </c>
      <c r="AF71" s="9"/>
      <c r="AG71" s="22">
        <v>0.20721400000000001</v>
      </c>
      <c r="AH71" s="22">
        <v>340.51</v>
      </c>
      <c r="AI71" s="22">
        <v>-1.7050200000000001E-2</v>
      </c>
      <c r="AJ71" s="22">
        <v>61</v>
      </c>
      <c r="AK71" s="22">
        <v>0.206543</v>
      </c>
      <c r="AL71">
        <f t="shared" si="6"/>
        <v>17.0502</v>
      </c>
      <c r="AM71">
        <f t="shared" si="7"/>
        <v>3.5330401428</v>
      </c>
      <c r="AP71" s="9"/>
      <c r="AQ71" s="22">
        <v>1.4927699999999999</v>
      </c>
      <c r="AR71" s="22">
        <v>409.6</v>
      </c>
      <c r="AS71" s="22">
        <v>-1.61987E-2</v>
      </c>
      <c r="AT71" s="22">
        <v>61</v>
      </c>
      <c r="AU71" s="22">
        <v>1.4917</v>
      </c>
      <c r="AV71">
        <f t="shared" si="8"/>
        <v>16.198699999999999</v>
      </c>
      <c r="AW71">
        <f t="shared" si="9"/>
        <v>24.180933398999997</v>
      </c>
      <c r="AX71" s="9"/>
      <c r="AY71" s="22">
        <v>0.20721400000000001</v>
      </c>
      <c r="AZ71" s="22">
        <v>470.43299999999999</v>
      </c>
      <c r="BA71" s="22">
        <v>-1.7041000000000001E-2</v>
      </c>
      <c r="BB71" s="22">
        <v>61</v>
      </c>
      <c r="BC71" s="22">
        <v>0.206512</v>
      </c>
      <c r="BD71">
        <f t="shared" si="10"/>
        <v>17.041</v>
      </c>
      <c r="BE71">
        <f t="shared" si="11"/>
        <v>3.5311337740000002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33.764299999999999</v>
      </c>
      <c r="I72" s="22">
        <v>4.9838300000000002E-2</v>
      </c>
      <c r="J72" s="22">
        <v>62</v>
      </c>
      <c r="K72" s="22">
        <v>7.87659E-2</v>
      </c>
      <c r="L72">
        <f t="shared" si="0"/>
        <v>-49.838300000000004</v>
      </c>
      <c r="M72">
        <f t="shared" si="1"/>
        <v>-74.145934059000012</v>
      </c>
      <c r="N72" s="9"/>
      <c r="O72" s="22">
        <v>0.21224999999999999</v>
      </c>
      <c r="P72" s="22">
        <v>144.691</v>
      </c>
      <c r="Q72" s="22">
        <v>-1.70837E-2</v>
      </c>
      <c r="R72" s="22">
        <v>62</v>
      </c>
      <c r="S72" s="22">
        <v>0.21157799999999999</v>
      </c>
      <c r="T72">
        <f t="shared" si="2"/>
        <v>17.0837</v>
      </c>
      <c r="U72">
        <f t="shared" si="3"/>
        <v>3.626015325</v>
      </c>
      <c r="X72" s="9"/>
      <c r="Y72" s="22">
        <v>1.48773</v>
      </c>
      <c r="Z72" s="22">
        <v>208.27699999999999</v>
      </c>
      <c r="AA72" s="22">
        <v>-1.6235400000000001E-2</v>
      </c>
      <c r="AB72" s="22">
        <v>62</v>
      </c>
      <c r="AC72" s="22">
        <v>1.48621</v>
      </c>
      <c r="AD72">
        <f t="shared" si="4"/>
        <v>16.235400000000002</v>
      </c>
      <c r="AE72">
        <f t="shared" si="5"/>
        <v>24.153891642000001</v>
      </c>
      <c r="AF72" s="9"/>
      <c r="AG72" s="22">
        <v>0.21224999999999999</v>
      </c>
      <c r="AH72" s="22">
        <v>340.61</v>
      </c>
      <c r="AI72" s="22">
        <v>-1.7047099999999999E-2</v>
      </c>
      <c r="AJ72" s="22">
        <v>62</v>
      </c>
      <c r="AK72" s="22">
        <v>0.21160899999999999</v>
      </c>
      <c r="AL72">
        <f t="shared" si="6"/>
        <v>17.0471</v>
      </c>
      <c r="AM72">
        <f t="shared" si="7"/>
        <v>3.6182469749999999</v>
      </c>
      <c r="AP72" s="9"/>
      <c r="AQ72" s="22">
        <v>1.48773</v>
      </c>
      <c r="AR72" s="22">
        <v>409.70100000000002</v>
      </c>
      <c r="AS72" s="22">
        <v>-1.6204799999999998E-2</v>
      </c>
      <c r="AT72" s="22">
        <v>62</v>
      </c>
      <c r="AU72" s="22">
        <v>1.48682</v>
      </c>
      <c r="AV72">
        <f t="shared" si="8"/>
        <v>16.204799999999999</v>
      </c>
      <c r="AW72">
        <f t="shared" si="9"/>
        <v>24.108367103999999</v>
      </c>
      <c r="AX72" s="9"/>
      <c r="AY72" s="22">
        <v>0.21224999999999999</v>
      </c>
      <c r="AZ72" s="22">
        <v>470.53300000000002</v>
      </c>
      <c r="BA72" s="22">
        <v>-1.7031899999999999E-2</v>
      </c>
      <c r="BB72" s="22">
        <v>62</v>
      </c>
      <c r="BC72" s="22">
        <v>0.21154800000000001</v>
      </c>
      <c r="BD72">
        <f t="shared" si="10"/>
        <v>17.0319</v>
      </c>
      <c r="BE72">
        <f t="shared" si="11"/>
        <v>3.6150207750000001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33.865000000000002</v>
      </c>
      <c r="I73" s="22">
        <v>5.06775E-2</v>
      </c>
      <c r="J73" s="22">
        <v>63</v>
      </c>
      <c r="K73" s="22">
        <v>7.8796400000000003E-2</v>
      </c>
      <c r="L73">
        <f t="shared" si="0"/>
        <v>-50.677500000000002</v>
      </c>
      <c r="M73">
        <f t="shared" si="1"/>
        <v>-75.139529249999995</v>
      </c>
      <c r="N73" s="9"/>
      <c r="O73" s="22">
        <v>0.21728500000000001</v>
      </c>
      <c r="P73" s="22">
        <v>144.792</v>
      </c>
      <c r="Q73" s="22">
        <v>-1.70837E-2</v>
      </c>
      <c r="R73" s="22">
        <v>63</v>
      </c>
      <c r="S73" s="22">
        <v>0.216583</v>
      </c>
      <c r="T73">
        <f t="shared" si="2"/>
        <v>17.0837</v>
      </c>
      <c r="U73">
        <f t="shared" si="3"/>
        <v>3.7120317545000003</v>
      </c>
      <c r="X73" s="9"/>
      <c r="Y73" s="22">
        <v>1.4826999999999999</v>
      </c>
      <c r="Z73" s="22">
        <v>208.37799999999999</v>
      </c>
      <c r="AA73" s="22">
        <v>-1.6247600000000001E-2</v>
      </c>
      <c r="AB73" s="22">
        <v>63</v>
      </c>
      <c r="AC73" s="22">
        <v>1.48132</v>
      </c>
      <c r="AD73">
        <f t="shared" si="4"/>
        <v>16.247600000000002</v>
      </c>
      <c r="AE73">
        <f t="shared" si="5"/>
        <v>24.090316520000002</v>
      </c>
      <c r="AF73" s="9"/>
      <c r="AG73" s="22">
        <v>0.21728500000000001</v>
      </c>
      <c r="AH73" s="22">
        <v>340.71100000000001</v>
      </c>
      <c r="AI73" s="22">
        <v>-1.7050200000000001E-2</v>
      </c>
      <c r="AJ73" s="22">
        <v>63</v>
      </c>
      <c r="AK73" s="22">
        <v>0.21652199999999999</v>
      </c>
      <c r="AL73">
        <f t="shared" si="6"/>
        <v>17.0502</v>
      </c>
      <c r="AM73">
        <f t="shared" si="7"/>
        <v>3.7047527070000004</v>
      </c>
      <c r="AP73" s="9"/>
      <c r="AQ73" s="22">
        <v>1.4826999999999999</v>
      </c>
      <c r="AR73" s="22">
        <v>409.80099999999999</v>
      </c>
      <c r="AS73" s="22">
        <v>-1.6213999999999999E-2</v>
      </c>
      <c r="AT73" s="22">
        <v>63</v>
      </c>
      <c r="AU73" s="22">
        <v>1.48163</v>
      </c>
      <c r="AV73">
        <f t="shared" si="8"/>
        <v>16.213999999999999</v>
      </c>
      <c r="AW73">
        <f t="shared" si="9"/>
        <v>24.040497799999997</v>
      </c>
      <c r="AX73" s="9"/>
      <c r="AY73" s="22">
        <v>0.21728500000000001</v>
      </c>
      <c r="AZ73" s="22">
        <v>470.63400000000001</v>
      </c>
      <c r="BA73" s="22">
        <v>-1.7034899999999999E-2</v>
      </c>
      <c r="BB73" s="22">
        <v>63</v>
      </c>
      <c r="BC73" s="22">
        <v>0.21667500000000001</v>
      </c>
      <c r="BD73">
        <f t="shared" si="10"/>
        <v>17.0349</v>
      </c>
      <c r="BE73">
        <f t="shared" si="11"/>
        <v>3.7014282465000004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33.965699999999998</v>
      </c>
      <c r="I74" s="22">
        <v>4.98474E-2</v>
      </c>
      <c r="J74" s="22">
        <v>64</v>
      </c>
      <c r="K74" s="22">
        <v>7.8826900000000005E-2</v>
      </c>
      <c r="L74">
        <f t="shared" si="0"/>
        <v>-49.8474</v>
      </c>
      <c r="M74">
        <f t="shared" si="1"/>
        <v>-73.657509083999997</v>
      </c>
      <c r="N74" s="9"/>
      <c r="O74" s="22">
        <v>0.22232099999999999</v>
      </c>
      <c r="P74" s="22">
        <v>144.893</v>
      </c>
      <c r="Q74" s="22">
        <v>-1.7080700000000001E-2</v>
      </c>
      <c r="R74" s="22">
        <v>64</v>
      </c>
      <c r="S74" s="22">
        <v>0.221558</v>
      </c>
      <c r="T74">
        <f t="shared" si="2"/>
        <v>17.0807</v>
      </c>
      <c r="U74">
        <f t="shared" si="3"/>
        <v>3.7973983046999997</v>
      </c>
      <c r="X74" s="9"/>
      <c r="Y74" s="22">
        <v>1.47766</v>
      </c>
      <c r="Z74" s="22">
        <v>208.47900000000001</v>
      </c>
      <c r="AA74" s="22">
        <v>-1.62506E-2</v>
      </c>
      <c r="AB74" s="22">
        <v>64</v>
      </c>
      <c r="AC74" s="22">
        <v>1.47705</v>
      </c>
      <c r="AD74">
        <f t="shared" si="4"/>
        <v>16.250600000000002</v>
      </c>
      <c r="AE74">
        <f t="shared" si="5"/>
        <v>24.012861596000004</v>
      </c>
      <c r="AF74" s="9"/>
      <c r="AG74" s="22">
        <v>0.22232099999999999</v>
      </c>
      <c r="AH74" s="22">
        <v>340.81200000000001</v>
      </c>
      <c r="AI74" s="22">
        <v>-1.7047099999999999E-2</v>
      </c>
      <c r="AJ74" s="22">
        <v>64</v>
      </c>
      <c r="AK74" s="22">
        <v>0.221558</v>
      </c>
      <c r="AL74">
        <f t="shared" si="6"/>
        <v>17.0471</v>
      </c>
      <c r="AM74">
        <f t="shared" si="7"/>
        <v>3.7899283190999999</v>
      </c>
      <c r="AP74" s="9"/>
      <c r="AQ74" s="22">
        <v>1.47766</v>
      </c>
      <c r="AR74" s="22">
        <v>409.90199999999999</v>
      </c>
      <c r="AS74" s="22">
        <v>-1.6213999999999999E-2</v>
      </c>
      <c r="AT74" s="22">
        <v>64</v>
      </c>
      <c r="AU74" s="22">
        <v>1.47675</v>
      </c>
      <c r="AV74">
        <f t="shared" si="8"/>
        <v>16.213999999999999</v>
      </c>
      <c r="AW74">
        <f t="shared" si="9"/>
        <v>23.958779239999998</v>
      </c>
      <c r="AX74" s="9"/>
      <c r="AY74" s="22">
        <v>0.22232099999999999</v>
      </c>
      <c r="AZ74" s="22">
        <v>470.73500000000001</v>
      </c>
      <c r="BA74" s="22">
        <v>-1.7031899999999999E-2</v>
      </c>
      <c r="BB74" s="22">
        <v>64</v>
      </c>
      <c r="BC74" s="22">
        <v>0.22164900000000001</v>
      </c>
      <c r="BD74">
        <f t="shared" si="10"/>
        <v>17.0319</v>
      </c>
      <c r="BE74">
        <f t="shared" si="11"/>
        <v>3.7865490398999997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34.066400000000002</v>
      </c>
      <c r="I75" s="22">
        <v>4.98474E-2</v>
      </c>
      <c r="J75" s="22">
        <v>65</v>
      </c>
      <c r="K75" s="22">
        <v>7.8826900000000005E-2</v>
      </c>
      <c r="L75">
        <f t="shared" si="0"/>
        <v>-49.8474</v>
      </c>
      <c r="M75">
        <f t="shared" si="1"/>
        <v>-73.406776662000013</v>
      </c>
      <c r="N75" s="9"/>
      <c r="O75" s="22">
        <v>0.227356</v>
      </c>
      <c r="P75" s="22">
        <v>144.99299999999999</v>
      </c>
      <c r="Q75" s="22">
        <v>-1.7077599999999998E-2</v>
      </c>
      <c r="R75" s="22">
        <v>65</v>
      </c>
      <c r="S75" s="22">
        <v>0.22692899999999999</v>
      </c>
      <c r="T75">
        <f t="shared" si="2"/>
        <v>17.077599999999997</v>
      </c>
      <c r="U75">
        <f t="shared" si="3"/>
        <v>3.8826948255999993</v>
      </c>
      <c r="X75" s="9"/>
      <c r="Y75" s="22">
        <v>1.4726300000000001</v>
      </c>
      <c r="Z75" s="22">
        <v>208.57900000000001</v>
      </c>
      <c r="AA75" s="22">
        <v>-1.62506E-2</v>
      </c>
      <c r="AB75" s="22">
        <v>65</v>
      </c>
      <c r="AC75" s="22">
        <v>1.4718599999999999</v>
      </c>
      <c r="AD75">
        <f t="shared" si="4"/>
        <v>16.250600000000002</v>
      </c>
      <c r="AE75">
        <f t="shared" si="5"/>
        <v>23.931121078000004</v>
      </c>
      <c r="AF75" s="9"/>
      <c r="AG75" s="22">
        <v>0.227356</v>
      </c>
      <c r="AH75" s="22">
        <v>340.91300000000001</v>
      </c>
      <c r="AI75" s="22">
        <v>-1.70441E-2</v>
      </c>
      <c r="AJ75" s="22">
        <v>65</v>
      </c>
      <c r="AK75" s="22">
        <v>0.226715</v>
      </c>
      <c r="AL75">
        <f t="shared" si="6"/>
        <v>17.0441</v>
      </c>
      <c r="AM75">
        <f t="shared" si="7"/>
        <v>3.8750783996</v>
      </c>
      <c r="AP75" s="9"/>
      <c r="AQ75" s="22">
        <v>1.4726300000000001</v>
      </c>
      <c r="AR75" s="22">
        <v>410.00299999999999</v>
      </c>
      <c r="AS75" s="22">
        <v>-1.62262E-2</v>
      </c>
      <c r="AT75" s="22">
        <v>65</v>
      </c>
      <c r="AU75" s="22">
        <v>1.4718599999999999</v>
      </c>
      <c r="AV75">
        <f t="shared" si="8"/>
        <v>16.226199999999999</v>
      </c>
      <c r="AW75">
        <f t="shared" si="9"/>
        <v>23.895188906000001</v>
      </c>
      <c r="AX75" s="9"/>
      <c r="AY75" s="22">
        <v>0.227356</v>
      </c>
      <c r="AZ75" s="22">
        <v>470.83600000000001</v>
      </c>
      <c r="BA75" s="22">
        <v>-1.7034899999999999E-2</v>
      </c>
      <c r="BB75" s="22">
        <v>65</v>
      </c>
      <c r="BC75" s="22">
        <v>0.22631799999999999</v>
      </c>
      <c r="BD75">
        <f t="shared" si="10"/>
        <v>17.0349</v>
      </c>
      <c r="BE75">
        <f t="shared" si="11"/>
        <v>3.8729867244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34.167099999999998</v>
      </c>
      <c r="I76" s="22">
        <v>4.9856600000000001E-2</v>
      </c>
      <c r="J76" s="22">
        <v>66</v>
      </c>
      <c r="K76" s="22">
        <v>7.8857399999999994E-2</v>
      </c>
      <c r="L76">
        <f t="shared" ref="L76:L139" si="12">-I76/$F$2*1000</f>
        <v>-49.8566</v>
      </c>
      <c r="M76">
        <f t="shared" ref="M76:M139" si="13">L76*G76</f>
        <v>-73.169047593999991</v>
      </c>
      <c r="N76" s="9"/>
      <c r="O76" s="22">
        <v>0.23239099999999999</v>
      </c>
      <c r="P76" s="22">
        <v>145.09399999999999</v>
      </c>
      <c r="Q76" s="22">
        <v>-1.7077599999999998E-2</v>
      </c>
      <c r="R76" s="22">
        <v>66</v>
      </c>
      <c r="S76" s="22">
        <v>0.231903</v>
      </c>
      <c r="T76">
        <f t="shared" ref="T76:T139" si="14">-Q76/$F$2*1000</f>
        <v>17.077599999999997</v>
      </c>
      <c r="U76">
        <f t="shared" ref="U76:U139" si="15">T76*O76</f>
        <v>3.9686805415999991</v>
      </c>
      <c r="X76" s="9"/>
      <c r="Y76" s="22">
        <v>1.46759</v>
      </c>
      <c r="Z76" s="22">
        <v>208.68</v>
      </c>
      <c r="AA76" s="22">
        <v>-1.6259800000000001E-2</v>
      </c>
      <c r="AB76" s="22">
        <v>66</v>
      </c>
      <c r="AC76" s="22">
        <v>1.46729</v>
      </c>
      <c r="AD76">
        <f t="shared" ref="AD76:AD139" si="16">-AA76/$F$2*1000</f>
        <v>16.259800000000002</v>
      </c>
      <c r="AE76">
        <f t="shared" ref="AE76:AE139" si="17">AD76*Y76</f>
        <v>23.862719882000004</v>
      </c>
      <c r="AF76" s="9"/>
      <c r="AG76" s="22">
        <v>0.23239099999999999</v>
      </c>
      <c r="AH76" s="22">
        <v>341.01299999999998</v>
      </c>
      <c r="AI76" s="22">
        <v>-1.70441E-2</v>
      </c>
      <c r="AJ76" s="22">
        <v>66</v>
      </c>
      <c r="AK76" s="22">
        <v>0.23172000000000001</v>
      </c>
      <c r="AL76">
        <f t="shared" ref="AL76:AL139" si="18">-AI76/$F$2*1000</f>
        <v>17.0441</v>
      </c>
      <c r="AM76">
        <f t="shared" ref="AM76:AM139" si="19">AL76*AG76</f>
        <v>3.9608954430999996</v>
      </c>
      <c r="AP76" s="9"/>
      <c r="AQ76" s="22">
        <v>1.46759</v>
      </c>
      <c r="AR76" s="22">
        <v>410.10300000000001</v>
      </c>
      <c r="AS76" s="22">
        <v>-1.62262E-2</v>
      </c>
      <c r="AT76" s="22">
        <v>66</v>
      </c>
      <c r="AU76" s="22">
        <v>1.4666699999999999</v>
      </c>
      <c r="AV76">
        <f t="shared" ref="AV76:AV139" si="20">-AS76/$F$2*1000</f>
        <v>16.226199999999999</v>
      </c>
      <c r="AW76">
        <f t="shared" ref="AW76:AW139" si="21">AV76*AQ76</f>
        <v>23.813408857999995</v>
      </c>
      <c r="AX76" s="9"/>
      <c r="AY76" s="22">
        <v>0.23239099999999999</v>
      </c>
      <c r="AZ76" s="22">
        <v>470.93599999999998</v>
      </c>
      <c r="BA76" s="22">
        <v>-1.7022700000000002E-2</v>
      </c>
      <c r="BB76" s="22">
        <v>66</v>
      </c>
      <c r="BC76" s="22">
        <v>0.23168900000000001</v>
      </c>
      <c r="BD76">
        <f t="shared" ref="BD76:BD139" si="22">-BA76/$F$2*1000</f>
        <v>17.0227</v>
      </c>
      <c r="BE76">
        <f t="shared" ref="BE76:BE139" si="23">BD76*AY76</f>
        <v>3.9559222756999999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34.267800000000001</v>
      </c>
      <c r="I77" s="22">
        <v>4.9829100000000001E-2</v>
      </c>
      <c r="J77" s="22">
        <v>67</v>
      </c>
      <c r="K77" s="22">
        <v>7.8918500000000003E-2</v>
      </c>
      <c r="L77">
        <f t="shared" si="12"/>
        <v>-49.829100000000004</v>
      </c>
      <c r="M77">
        <f t="shared" si="13"/>
        <v>-72.877550205000006</v>
      </c>
      <c r="N77" s="9"/>
      <c r="O77" s="22">
        <v>0.237427</v>
      </c>
      <c r="P77" s="22">
        <v>145.19499999999999</v>
      </c>
      <c r="Q77" s="22">
        <v>-1.7074599999999999E-2</v>
      </c>
      <c r="R77" s="22">
        <v>67</v>
      </c>
      <c r="S77" s="22">
        <v>0.236877</v>
      </c>
      <c r="T77">
        <f t="shared" si="14"/>
        <v>17.0746</v>
      </c>
      <c r="U77">
        <f t="shared" si="15"/>
        <v>4.0539710541999998</v>
      </c>
      <c r="X77" s="9"/>
      <c r="Y77" s="22">
        <v>1.46255</v>
      </c>
      <c r="Z77" s="22">
        <v>208.78100000000001</v>
      </c>
      <c r="AA77" s="22">
        <v>-1.6268899999999999E-2</v>
      </c>
      <c r="AB77" s="22">
        <v>67</v>
      </c>
      <c r="AC77" s="22">
        <v>1.4617899999999999</v>
      </c>
      <c r="AD77">
        <f t="shared" si="16"/>
        <v>16.268899999999999</v>
      </c>
      <c r="AE77">
        <f t="shared" si="17"/>
        <v>23.794079694999997</v>
      </c>
      <c r="AF77" s="9"/>
      <c r="AG77" s="22">
        <v>0.237427</v>
      </c>
      <c r="AH77" s="22">
        <v>341.11399999999998</v>
      </c>
      <c r="AI77" s="22">
        <v>-1.70441E-2</v>
      </c>
      <c r="AJ77" s="22">
        <v>67</v>
      </c>
      <c r="AK77" s="22">
        <v>0.23672499999999999</v>
      </c>
      <c r="AL77">
        <f t="shared" si="18"/>
        <v>17.0441</v>
      </c>
      <c r="AM77">
        <f t="shared" si="19"/>
        <v>4.0467295307000004</v>
      </c>
      <c r="AP77" s="9"/>
      <c r="AQ77" s="22">
        <v>1.46255</v>
      </c>
      <c r="AR77" s="22">
        <v>410.20400000000001</v>
      </c>
      <c r="AS77" s="22">
        <v>-1.6232300000000002E-2</v>
      </c>
      <c r="AT77" s="22">
        <v>67</v>
      </c>
      <c r="AU77" s="22">
        <v>1.46149</v>
      </c>
      <c r="AV77">
        <f t="shared" si="20"/>
        <v>16.232300000000002</v>
      </c>
      <c r="AW77">
        <f t="shared" si="21"/>
        <v>23.740550365000004</v>
      </c>
      <c r="AX77" s="9"/>
      <c r="AY77" s="22">
        <v>0.237427</v>
      </c>
      <c r="AZ77" s="22">
        <v>471.03699999999998</v>
      </c>
      <c r="BA77" s="22">
        <v>-1.7025800000000001E-2</v>
      </c>
      <c r="BB77" s="22">
        <v>67</v>
      </c>
      <c r="BC77" s="22">
        <v>0.23663300000000001</v>
      </c>
      <c r="BD77">
        <f t="shared" si="22"/>
        <v>17.0258</v>
      </c>
      <c r="BE77">
        <f t="shared" si="23"/>
        <v>4.0423846165999997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34.368499999999997</v>
      </c>
      <c r="I78" s="22">
        <v>4.9844399999999997E-2</v>
      </c>
      <c r="J78" s="22">
        <v>68</v>
      </c>
      <c r="K78" s="22">
        <v>7.8918500000000003E-2</v>
      </c>
      <c r="L78">
        <f t="shared" si="12"/>
        <v>-49.8444</v>
      </c>
      <c r="M78">
        <f t="shared" si="13"/>
        <v>-72.649209888000001</v>
      </c>
      <c r="N78" s="9"/>
      <c r="O78" s="22">
        <v>0.24246200000000001</v>
      </c>
      <c r="P78" s="22">
        <v>145.29499999999999</v>
      </c>
      <c r="Q78" s="22">
        <v>-1.70715E-2</v>
      </c>
      <c r="R78" s="22">
        <v>68</v>
      </c>
      <c r="S78" s="22">
        <v>0.24179100000000001</v>
      </c>
      <c r="T78">
        <f t="shared" si="14"/>
        <v>17.0715</v>
      </c>
      <c r="U78">
        <f t="shared" si="15"/>
        <v>4.1391900330000002</v>
      </c>
      <c r="X78" s="9"/>
      <c r="Y78" s="22">
        <v>1.4575199999999999</v>
      </c>
      <c r="Z78" s="22">
        <v>208.881</v>
      </c>
      <c r="AA78" s="22">
        <v>-1.6271999999999998E-2</v>
      </c>
      <c r="AB78" s="22">
        <v>68</v>
      </c>
      <c r="AC78" s="22">
        <v>1.4569099999999999</v>
      </c>
      <c r="AD78">
        <f t="shared" si="16"/>
        <v>16.271999999999998</v>
      </c>
      <c r="AE78">
        <f t="shared" si="17"/>
        <v>23.716765439999996</v>
      </c>
      <c r="AF78" s="9"/>
      <c r="AG78" s="22">
        <v>0.24246200000000001</v>
      </c>
      <c r="AH78" s="22">
        <v>341.21499999999997</v>
      </c>
      <c r="AI78" s="22">
        <v>-1.7034899999999999E-2</v>
      </c>
      <c r="AJ78" s="22">
        <v>68</v>
      </c>
      <c r="AK78" s="22">
        <v>0.241699</v>
      </c>
      <c r="AL78">
        <f t="shared" si="18"/>
        <v>17.0349</v>
      </c>
      <c r="AM78">
        <f t="shared" si="19"/>
        <v>4.1303159238000005</v>
      </c>
      <c r="AP78" s="9"/>
      <c r="AQ78" s="22">
        <v>1.4575199999999999</v>
      </c>
      <c r="AR78" s="22">
        <v>410.30500000000001</v>
      </c>
      <c r="AS78" s="22">
        <v>-1.62384E-2</v>
      </c>
      <c r="AT78" s="22">
        <v>68</v>
      </c>
      <c r="AU78" s="22">
        <v>1.4565999999999999</v>
      </c>
      <c r="AV78">
        <f t="shared" si="20"/>
        <v>16.238399999999999</v>
      </c>
      <c r="AW78">
        <f t="shared" si="21"/>
        <v>23.667792767999998</v>
      </c>
      <c r="AX78" s="9"/>
      <c r="AY78" s="22">
        <v>0.24246200000000001</v>
      </c>
      <c r="AZ78" s="22">
        <v>471.13799999999998</v>
      </c>
      <c r="BA78" s="22">
        <v>-1.7022700000000002E-2</v>
      </c>
      <c r="BB78" s="22">
        <v>68</v>
      </c>
      <c r="BC78" s="22">
        <v>0.24157699999999999</v>
      </c>
      <c r="BD78">
        <f t="shared" si="22"/>
        <v>17.0227</v>
      </c>
      <c r="BE78">
        <f t="shared" si="23"/>
        <v>4.1273578874000005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34.469200000000001</v>
      </c>
      <c r="I79" s="22">
        <v>4.9762000000000001E-2</v>
      </c>
      <c r="J79" s="22">
        <v>69</v>
      </c>
      <c r="K79" s="22">
        <v>7.8918500000000003E-2</v>
      </c>
      <c r="L79">
        <f t="shared" si="12"/>
        <v>-49.762</v>
      </c>
      <c r="M79">
        <f t="shared" si="13"/>
        <v>-72.278309759999999</v>
      </c>
      <c r="N79" s="9"/>
      <c r="O79" s="22">
        <v>0.247498</v>
      </c>
      <c r="P79" s="22">
        <v>145.39599999999999</v>
      </c>
      <c r="Q79" s="22">
        <v>-1.70685E-2</v>
      </c>
      <c r="R79" s="22">
        <v>69</v>
      </c>
      <c r="S79" s="22">
        <v>0.24673500000000001</v>
      </c>
      <c r="T79">
        <f t="shared" si="14"/>
        <v>17.0685</v>
      </c>
      <c r="U79">
        <f t="shared" si="15"/>
        <v>4.2244196130000002</v>
      </c>
      <c r="X79" s="9"/>
      <c r="Y79" s="22">
        <v>1.45248</v>
      </c>
      <c r="Z79" s="22">
        <v>208.982</v>
      </c>
      <c r="AA79" s="22">
        <v>-1.62811E-2</v>
      </c>
      <c r="AB79" s="22">
        <v>69</v>
      </c>
      <c r="AC79" s="22">
        <v>1.4520299999999999</v>
      </c>
      <c r="AD79">
        <f t="shared" si="16"/>
        <v>16.281099999999999</v>
      </c>
      <c r="AE79">
        <f t="shared" si="17"/>
        <v>23.647972127999999</v>
      </c>
      <c r="AF79" s="9"/>
      <c r="AG79" s="22">
        <v>0.247498</v>
      </c>
      <c r="AH79" s="22">
        <v>341.315</v>
      </c>
      <c r="AI79" s="22">
        <v>-1.7031899999999999E-2</v>
      </c>
      <c r="AJ79" s="22">
        <v>69</v>
      </c>
      <c r="AK79" s="22">
        <v>0.246918</v>
      </c>
      <c r="AL79">
        <f t="shared" si="18"/>
        <v>17.0319</v>
      </c>
      <c r="AM79">
        <f t="shared" si="19"/>
        <v>4.2153611862</v>
      </c>
      <c r="AP79" s="9"/>
      <c r="AQ79" s="22">
        <v>1.45248</v>
      </c>
      <c r="AR79" s="22">
        <v>410.40499999999997</v>
      </c>
      <c r="AS79" s="22">
        <v>-1.6241499999999999E-2</v>
      </c>
      <c r="AT79" s="22">
        <v>69</v>
      </c>
      <c r="AU79" s="22">
        <v>1.4508099999999999</v>
      </c>
      <c r="AV79">
        <f t="shared" si="20"/>
        <v>16.241499999999998</v>
      </c>
      <c r="AW79">
        <f t="shared" si="21"/>
        <v>23.590453919999998</v>
      </c>
      <c r="AX79" s="9"/>
      <c r="AY79" s="22">
        <v>0.247498</v>
      </c>
      <c r="AZ79" s="22">
        <v>471.238</v>
      </c>
      <c r="BA79" s="22">
        <v>-1.7019699999999999E-2</v>
      </c>
      <c r="BB79" s="22">
        <v>69</v>
      </c>
      <c r="BC79" s="22">
        <v>0.24682599999999999</v>
      </c>
      <c r="BD79">
        <f t="shared" si="22"/>
        <v>17.0197</v>
      </c>
      <c r="BE79">
        <f t="shared" si="23"/>
        <v>4.2123417105999996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34.569899999999997</v>
      </c>
      <c r="I80" s="22">
        <v>4.9850499999999999E-2</v>
      </c>
      <c r="J80" s="22">
        <v>70</v>
      </c>
      <c r="K80" s="22">
        <v>7.8918500000000003E-2</v>
      </c>
      <c r="L80">
        <f t="shared" si="12"/>
        <v>-49.850499999999997</v>
      </c>
      <c r="M80">
        <f t="shared" si="13"/>
        <v>-72.156106224999988</v>
      </c>
      <c r="N80" s="9"/>
      <c r="O80" s="22">
        <v>0.25253300000000001</v>
      </c>
      <c r="P80" s="22">
        <v>145.49700000000001</v>
      </c>
      <c r="Q80" s="22">
        <v>-1.7074599999999999E-2</v>
      </c>
      <c r="R80" s="22">
        <v>70</v>
      </c>
      <c r="S80" s="22">
        <v>0.251892</v>
      </c>
      <c r="T80">
        <f t="shared" si="14"/>
        <v>17.0746</v>
      </c>
      <c r="U80">
        <f t="shared" si="15"/>
        <v>4.3118999618</v>
      </c>
      <c r="X80" s="9"/>
      <c r="Y80" s="22">
        <v>1.4474499999999999</v>
      </c>
      <c r="Z80" s="22">
        <v>209.083</v>
      </c>
      <c r="AA80" s="22">
        <v>-1.6284199999999999E-2</v>
      </c>
      <c r="AB80" s="22">
        <v>70</v>
      </c>
      <c r="AC80" s="22">
        <v>1.4468399999999999</v>
      </c>
      <c r="AD80">
        <f t="shared" si="16"/>
        <v>16.284199999999998</v>
      </c>
      <c r="AE80">
        <f t="shared" si="17"/>
        <v>23.570565289999998</v>
      </c>
      <c r="AF80" s="9"/>
      <c r="AG80" s="22">
        <v>0.25253300000000001</v>
      </c>
      <c r="AH80" s="22">
        <v>341.416</v>
      </c>
      <c r="AI80" s="22">
        <v>-1.7034899999999999E-2</v>
      </c>
      <c r="AJ80" s="22">
        <v>70</v>
      </c>
      <c r="AK80" s="22">
        <v>0.25183100000000003</v>
      </c>
      <c r="AL80">
        <f t="shared" si="18"/>
        <v>17.0349</v>
      </c>
      <c r="AM80">
        <f t="shared" si="19"/>
        <v>4.3018744017000001</v>
      </c>
      <c r="AP80" s="9"/>
      <c r="AQ80" s="22">
        <v>1.4474499999999999</v>
      </c>
      <c r="AR80" s="22">
        <v>410.50599999999997</v>
      </c>
      <c r="AS80" s="22">
        <v>-1.6253699999999999E-2</v>
      </c>
      <c r="AT80" s="22">
        <v>70</v>
      </c>
      <c r="AU80" s="22">
        <v>1.4462299999999999</v>
      </c>
      <c r="AV80">
        <f t="shared" si="20"/>
        <v>16.253699999999998</v>
      </c>
      <c r="AW80">
        <f t="shared" si="21"/>
        <v>23.526418064999998</v>
      </c>
      <c r="AX80" s="9"/>
      <c r="AY80" s="22">
        <v>0.25253300000000001</v>
      </c>
      <c r="AZ80" s="22">
        <v>471.339</v>
      </c>
      <c r="BA80" s="22">
        <v>-1.70166E-2</v>
      </c>
      <c r="BB80" s="22">
        <v>70</v>
      </c>
      <c r="BC80" s="22">
        <v>0.25186199999999997</v>
      </c>
      <c r="BD80">
        <f t="shared" si="22"/>
        <v>17.0166</v>
      </c>
      <c r="BE80">
        <f t="shared" si="23"/>
        <v>4.2972530477999999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34.6706</v>
      </c>
      <c r="I81" s="22">
        <v>4.9929800000000003E-2</v>
      </c>
      <c r="J81" s="22">
        <v>71</v>
      </c>
      <c r="K81" s="22">
        <v>7.8979499999999994E-2</v>
      </c>
      <c r="L81">
        <f t="shared" si="12"/>
        <v>-49.9298</v>
      </c>
      <c r="M81">
        <f t="shared" si="13"/>
        <v>-72.019242817999995</v>
      </c>
      <c r="N81" s="9"/>
      <c r="O81" s="22">
        <v>0.25756800000000002</v>
      </c>
      <c r="P81" s="22">
        <v>145.59800000000001</v>
      </c>
      <c r="Q81" s="22">
        <v>-1.7065400000000001E-2</v>
      </c>
      <c r="R81" s="22">
        <v>71</v>
      </c>
      <c r="S81" s="22">
        <v>0.25680500000000001</v>
      </c>
      <c r="T81">
        <f t="shared" si="14"/>
        <v>17.0654</v>
      </c>
      <c r="U81">
        <f t="shared" si="15"/>
        <v>4.3955009472000004</v>
      </c>
      <c r="X81" s="9"/>
      <c r="Y81" s="22">
        <v>1.44241</v>
      </c>
      <c r="Z81" s="22">
        <v>209.184</v>
      </c>
      <c r="AA81" s="22">
        <v>-1.6290300000000001E-2</v>
      </c>
      <c r="AB81" s="22">
        <v>71</v>
      </c>
      <c r="AC81" s="22">
        <v>1.4419599999999999</v>
      </c>
      <c r="AD81">
        <f t="shared" si="16"/>
        <v>16.290300000000002</v>
      </c>
      <c r="AE81">
        <f t="shared" si="17"/>
        <v>23.497291623000002</v>
      </c>
      <c r="AF81" s="9"/>
      <c r="AG81" s="22">
        <v>0.25756800000000002</v>
      </c>
      <c r="AH81" s="22">
        <v>341.517</v>
      </c>
      <c r="AI81" s="22">
        <v>-1.70288E-2</v>
      </c>
      <c r="AJ81" s="22">
        <v>71</v>
      </c>
      <c r="AK81" s="22">
        <v>0.256714</v>
      </c>
      <c r="AL81">
        <f t="shared" si="18"/>
        <v>17.0288</v>
      </c>
      <c r="AM81">
        <f t="shared" si="19"/>
        <v>4.3860739584000008</v>
      </c>
      <c r="AP81" s="9"/>
      <c r="AQ81" s="22">
        <v>1.44241</v>
      </c>
      <c r="AR81" s="22">
        <v>410.60700000000003</v>
      </c>
      <c r="AS81" s="22">
        <v>-1.6253699999999999E-2</v>
      </c>
      <c r="AT81" s="22">
        <v>71</v>
      </c>
      <c r="AU81" s="22">
        <v>1.4419599999999999</v>
      </c>
      <c r="AV81">
        <f t="shared" si="20"/>
        <v>16.253699999999998</v>
      </c>
      <c r="AW81">
        <f t="shared" si="21"/>
        <v>23.444499416999996</v>
      </c>
      <c r="AX81" s="9"/>
      <c r="AY81" s="22">
        <v>0.25756800000000002</v>
      </c>
      <c r="AZ81" s="22">
        <v>471.44</v>
      </c>
      <c r="BA81" s="22">
        <v>-1.7007399999999999E-2</v>
      </c>
      <c r="BB81" s="22">
        <v>71</v>
      </c>
      <c r="BC81" s="22">
        <v>0.25674400000000003</v>
      </c>
      <c r="BD81">
        <f t="shared" si="22"/>
        <v>17.007400000000001</v>
      </c>
      <c r="BE81">
        <f t="shared" si="23"/>
        <v>4.3805620032000006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34.771299999999997</v>
      </c>
      <c r="I82" s="22">
        <v>4.99268E-2</v>
      </c>
      <c r="J82" s="22">
        <v>72</v>
      </c>
      <c r="K82" s="22">
        <v>7.8949000000000005E-2</v>
      </c>
      <c r="L82">
        <f t="shared" si="12"/>
        <v>-49.9268</v>
      </c>
      <c r="M82">
        <f t="shared" si="13"/>
        <v>-71.763783784000012</v>
      </c>
      <c r="N82" s="9"/>
      <c r="O82" s="22">
        <v>0.262604</v>
      </c>
      <c r="P82" s="22">
        <v>145.69800000000001</v>
      </c>
      <c r="Q82" s="22">
        <v>-1.70685E-2</v>
      </c>
      <c r="R82" s="22">
        <v>72</v>
      </c>
      <c r="S82" s="22">
        <v>0.261932</v>
      </c>
      <c r="T82">
        <f t="shared" si="14"/>
        <v>17.0685</v>
      </c>
      <c r="U82">
        <f t="shared" si="15"/>
        <v>4.4822563740000003</v>
      </c>
      <c r="X82" s="9"/>
      <c r="Y82" s="22">
        <v>1.4373800000000001</v>
      </c>
      <c r="Z82" s="22">
        <v>209.28399999999999</v>
      </c>
      <c r="AA82" s="22">
        <v>-1.6296399999999999E-2</v>
      </c>
      <c r="AB82" s="22">
        <v>72</v>
      </c>
      <c r="AC82" s="22">
        <v>1.4364600000000001</v>
      </c>
      <c r="AD82">
        <f t="shared" si="16"/>
        <v>16.296399999999998</v>
      </c>
      <c r="AE82">
        <f t="shared" si="17"/>
        <v>23.424119431999998</v>
      </c>
      <c r="AF82" s="9"/>
      <c r="AG82" s="22">
        <v>0.262604</v>
      </c>
      <c r="AH82" s="22">
        <v>341.61799999999999</v>
      </c>
      <c r="AI82" s="22">
        <v>-1.7022700000000002E-2</v>
      </c>
      <c r="AJ82" s="22">
        <v>72</v>
      </c>
      <c r="AK82" s="22">
        <v>0.26190200000000002</v>
      </c>
      <c r="AL82">
        <f t="shared" si="18"/>
        <v>17.0227</v>
      </c>
      <c r="AM82">
        <f t="shared" si="19"/>
        <v>4.4702291108000001</v>
      </c>
      <c r="AP82" s="9"/>
      <c r="AQ82" s="22">
        <v>1.4373800000000001</v>
      </c>
      <c r="AR82" s="22">
        <v>410.70800000000003</v>
      </c>
      <c r="AS82" s="22">
        <v>-1.6262800000000001E-2</v>
      </c>
      <c r="AT82" s="22">
        <v>72</v>
      </c>
      <c r="AU82" s="22">
        <v>1.4370700000000001</v>
      </c>
      <c r="AV82">
        <f t="shared" si="20"/>
        <v>16.262800000000002</v>
      </c>
      <c r="AW82">
        <f t="shared" si="21"/>
        <v>23.375823464000003</v>
      </c>
      <c r="AX82" s="9"/>
      <c r="AY82" s="22">
        <v>0.262604</v>
      </c>
      <c r="AZ82" s="22">
        <v>471.541</v>
      </c>
      <c r="BA82" s="22">
        <v>-1.7004399999999999E-2</v>
      </c>
      <c r="BB82" s="22">
        <v>72</v>
      </c>
      <c r="BC82" s="22">
        <v>0.26190200000000002</v>
      </c>
      <c r="BD82">
        <f t="shared" si="22"/>
        <v>17.0044</v>
      </c>
      <c r="BE82">
        <f t="shared" si="23"/>
        <v>4.4654234576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34.872100000000003</v>
      </c>
      <c r="I83" s="22">
        <v>4.9908399999999999E-2</v>
      </c>
      <c r="J83" s="22">
        <v>73</v>
      </c>
      <c r="K83" s="22">
        <v>7.9009999999999997E-2</v>
      </c>
      <c r="L83">
        <f t="shared" si="12"/>
        <v>-49.9084</v>
      </c>
      <c r="M83">
        <f t="shared" si="13"/>
        <v>-71.485797656000003</v>
      </c>
      <c r="N83" s="9"/>
      <c r="O83" s="22">
        <v>0.26763900000000002</v>
      </c>
      <c r="P83" s="22">
        <v>145.79900000000001</v>
      </c>
      <c r="Q83" s="22">
        <v>-1.7062399999999998E-2</v>
      </c>
      <c r="R83" s="22">
        <v>73</v>
      </c>
      <c r="S83" s="22">
        <v>0.26690700000000001</v>
      </c>
      <c r="T83">
        <f t="shared" si="14"/>
        <v>17.062399999999997</v>
      </c>
      <c r="U83">
        <f t="shared" si="15"/>
        <v>4.5665636735999993</v>
      </c>
      <c r="X83" s="9"/>
      <c r="Y83" s="22">
        <v>1.4323399999999999</v>
      </c>
      <c r="Z83" s="22">
        <v>209.38499999999999</v>
      </c>
      <c r="AA83" s="22">
        <v>-1.6299399999999999E-2</v>
      </c>
      <c r="AB83" s="22">
        <v>73</v>
      </c>
      <c r="AC83" s="22">
        <v>1.4315800000000001</v>
      </c>
      <c r="AD83">
        <f t="shared" si="16"/>
        <v>16.299399999999999</v>
      </c>
      <c r="AE83">
        <f t="shared" si="17"/>
        <v>23.346282595999998</v>
      </c>
      <c r="AF83" s="9"/>
      <c r="AG83" s="22">
        <v>0.26763900000000002</v>
      </c>
      <c r="AH83" s="22">
        <v>341.71800000000002</v>
      </c>
      <c r="AI83" s="22">
        <v>-1.7025800000000001E-2</v>
      </c>
      <c r="AJ83" s="22">
        <v>73</v>
      </c>
      <c r="AK83" s="22">
        <v>0.26678499999999999</v>
      </c>
      <c r="AL83">
        <f t="shared" si="18"/>
        <v>17.0258</v>
      </c>
      <c r="AM83">
        <f t="shared" si="19"/>
        <v>4.5567680862</v>
      </c>
      <c r="AP83" s="9"/>
      <c r="AQ83" s="22">
        <v>1.4323399999999999</v>
      </c>
      <c r="AR83" s="22">
        <v>410.80799999999999</v>
      </c>
      <c r="AS83" s="22">
        <v>-1.62659E-2</v>
      </c>
      <c r="AT83" s="22">
        <v>73</v>
      </c>
      <c r="AU83" s="22">
        <v>1.4315800000000001</v>
      </c>
      <c r="AV83">
        <f t="shared" si="20"/>
        <v>16.265899999999998</v>
      </c>
      <c r="AW83">
        <f t="shared" si="21"/>
        <v>23.298299205999996</v>
      </c>
      <c r="AX83" s="9"/>
      <c r="AY83" s="22">
        <v>0.26763900000000002</v>
      </c>
      <c r="AZ83" s="22">
        <v>471.64100000000002</v>
      </c>
      <c r="BA83" s="22">
        <v>-1.7007399999999999E-2</v>
      </c>
      <c r="BB83" s="22">
        <v>73</v>
      </c>
      <c r="BC83" s="22">
        <v>0.26696799999999998</v>
      </c>
      <c r="BD83">
        <f t="shared" si="22"/>
        <v>17.007400000000001</v>
      </c>
      <c r="BE83">
        <f t="shared" si="23"/>
        <v>4.5518435286000001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34.972799999999999</v>
      </c>
      <c r="I84" s="22">
        <v>4.9881000000000002E-2</v>
      </c>
      <c r="J84" s="22">
        <v>74</v>
      </c>
      <c r="K84" s="22">
        <v>7.9009999999999997E-2</v>
      </c>
      <c r="L84">
        <f t="shared" si="12"/>
        <v>-49.881</v>
      </c>
      <c r="M84">
        <f t="shared" si="13"/>
        <v>-71.195650110000003</v>
      </c>
      <c r="N84" s="9"/>
      <c r="O84" s="22">
        <v>0.272675</v>
      </c>
      <c r="P84" s="22">
        <v>145.9</v>
      </c>
      <c r="Q84" s="22">
        <v>-1.70563E-2</v>
      </c>
      <c r="R84" s="22">
        <v>74</v>
      </c>
      <c r="S84" s="22">
        <v>0.27188099999999998</v>
      </c>
      <c r="T84">
        <f t="shared" si="14"/>
        <v>17.0563</v>
      </c>
      <c r="U84">
        <f t="shared" si="15"/>
        <v>4.6508266025000005</v>
      </c>
      <c r="X84" s="9"/>
      <c r="Y84" s="22">
        <v>1.4273100000000001</v>
      </c>
      <c r="Z84" s="22">
        <v>209.48599999999999</v>
      </c>
      <c r="AA84" s="22">
        <v>-1.6305500000000001E-2</v>
      </c>
      <c r="AB84" s="22">
        <v>74</v>
      </c>
      <c r="AC84" s="22">
        <v>1.427</v>
      </c>
      <c r="AD84">
        <f t="shared" si="16"/>
        <v>16.305500000000002</v>
      </c>
      <c r="AE84">
        <f t="shared" si="17"/>
        <v>23.273003205000006</v>
      </c>
      <c r="AF84" s="9"/>
      <c r="AG84" s="22">
        <v>0.272675</v>
      </c>
      <c r="AH84" s="22">
        <v>341.81900000000002</v>
      </c>
      <c r="AI84" s="22">
        <v>-1.70166E-2</v>
      </c>
      <c r="AJ84" s="22">
        <v>74</v>
      </c>
      <c r="AK84" s="22">
        <v>0.27200299999999999</v>
      </c>
      <c r="AL84">
        <f t="shared" si="18"/>
        <v>17.0166</v>
      </c>
      <c r="AM84">
        <f t="shared" si="19"/>
        <v>4.6400014050000005</v>
      </c>
      <c r="AP84" s="9"/>
      <c r="AQ84" s="22">
        <v>1.4273100000000001</v>
      </c>
      <c r="AR84" s="22">
        <v>410.90899999999999</v>
      </c>
      <c r="AS84" s="22">
        <v>-1.6271999999999998E-2</v>
      </c>
      <c r="AT84" s="22">
        <v>74</v>
      </c>
      <c r="AU84" s="22">
        <v>1.42639</v>
      </c>
      <c r="AV84">
        <f t="shared" si="20"/>
        <v>16.271999999999998</v>
      </c>
      <c r="AW84">
        <f t="shared" si="21"/>
        <v>23.225188319999997</v>
      </c>
      <c r="AX84" s="9"/>
      <c r="AY84" s="22">
        <v>0.272675</v>
      </c>
      <c r="AZ84" s="22">
        <v>471.74200000000002</v>
      </c>
      <c r="BA84" s="22">
        <v>-1.70013E-2</v>
      </c>
      <c r="BB84" s="22">
        <v>74</v>
      </c>
      <c r="BC84" s="22">
        <v>0.27197300000000002</v>
      </c>
      <c r="BD84">
        <f t="shared" si="22"/>
        <v>17.001300000000001</v>
      </c>
      <c r="BE84">
        <f t="shared" si="23"/>
        <v>4.6358294774999997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35.073500000000003</v>
      </c>
      <c r="I85" s="22">
        <v>4.9893199999999999E-2</v>
      </c>
      <c r="J85" s="22">
        <v>75</v>
      </c>
      <c r="K85" s="22">
        <v>7.9071000000000002E-2</v>
      </c>
      <c r="L85">
        <f t="shared" si="12"/>
        <v>-49.8932</v>
      </c>
      <c r="M85">
        <f t="shared" si="13"/>
        <v>-70.961601563999992</v>
      </c>
      <c r="N85" s="9"/>
      <c r="O85" s="22">
        <v>0.27771000000000001</v>
      </c>
      <c r="P85" s="22">
        <v>146</v>
      </c>
      <c r="Q85" s="22">
        <v>-1.7062399999999998E-2</v>
      </c>
      <c r="R85" s="22">
        <v>75</v>
      </c>
      <c r="S85" s="22">
        <v>0.276978</v>
      </c>
      <c r="T85">
        <f t="shared" si="14"/>
        <v>17.062399999999997</v>
      </c>
      <c r="U85">
        <f t="shared" si="15"/>
        <v>4.7383991039999991</v>
      </c>
      <c r="X85" s="9"/>
      <c r="Y85" s="22">
        <v>1.4222699999999999</v>
      </c>
      <c r="Z85" s="22">
        <v>209.58600000000001</v>
      </c>
      <c r="AA85" s="22">
        <v>-1.6317700000000001E-2</v>
      </c>
      <c r="AB85" s="22">
        <v>75</v>
      </c>
      <c r="AC85" s="22">
        <v>1.4215100000000001</v>
      </c>
      <c r="AD85">
        <f t="shared" si="16"/>
        <v>16.317700000000002</v>
      </c>
      <c r="AE85">
        <f t="shared" si="17"/>
        <v>23.208175179000001</v>
      </c>
      <c r="AF85" s="9"/>
      <c r="AG85" s="22">
        <v>0.27771000000000001</v>
      </c>
      <c r="AH85" s="22">
        <v>341.92</v>
      </c>
      <c r="AI85" s="22">
        <v>-1.7022700000000002E-2</v>
      </c>
      <c r="AJ85" s="22">
        <v>75</v>
      </c>
      <c r="AK85" s="22">
        <v>0.27710000000000001</v>
      </c>
      <c r="AL85">
        <f t="shared" si="18"/>
        <v>17.0227</v>
      </c>
      <c r="AM85">
        <f t="shared" si="19"/>
        <v>4.7273740170000007</v>
      </c>
      <c r="AP85" s="9"/>
      <c r="AQ85" s="22">
        <v>1.4222699999999999</v>
      </c>
      <c r="AR85" s="22">
        <v>411.01</v>
      </c>
      <c r="AS85" s="22">
        <v>-1.62781E-2</v>
      </c>
      <c r="AT85" s="22">
        <v>75</v>
      </c>
      <c r="AU85" s="22">
        <v>1.4215100000000001</v>
      </c>
      <c r="AV85">
        <f t="shared" si="20"/>
        <v>16.278099999999998</v>
      </c>
      <c r="AW85">
        <f t="shared" si="21"/>
        <v>23.151853286999998</v>
      </c>
      <c r="AX85" s="9"/>
      <c r="AY85" s="22">
        <v>0.27771000000000001</v>
      </c>
      <c r="AZ85" s="22">
        <v>471.84300000000002</v>
      </c>
      <c r="BA85" s="22">
        <v>-1.70013E-2</v>
      </c>
      <c r="BB85" s="22">
        <v>75</v>
      </c>
      <c r="BC85" s="22">
        <v>0.27710000000000001</v>
      </c>
      <c r="BD85">
        <f t="shared" si="22"/>
        <v>17.001300000000001</v>
      </c>
      <c r="BE85">
        <f t="shared" si="23"/>
        <v>4.7214310230000001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35.174199999999999</v>
      </c>
      <c r="I86" s="22">
        <v>4.9881000000000002E-2</v>
      </c>
      <c r="J86" s="22">
        <v>76</v>
      </c>
      <c r="K86" s="22">
        <v>7.9071000000000002E-2</v>
      </c>
      <c r="L86">
        <f t="shared" si="12"/>
        <v>-49.881</v>
      </c>
      <c r="M86">
        <f t="shared" si="13"/>
        <v>-70.693348440000008</v>
      </c>
      <c r="N86" s="9"/>
      <c r="O86" s="22">
        <v>0.28274500000000002</v>
      </c>
      <c r="P86" s="22">
        <v>146.101</v>
      </c>
      <c r="Q86" s="22">
        <v>-1.70563E-2</v>
      </c>
      <c r="R86" s="22">
        <v>76</v>
      </c>
      <c r="S86" s="22">
        <v>0.28201300000000001</v>
      </c>
      <c r="T86">
        <f t="shared" si="14"/>
        <v>17.0563</v>
      </c>
      <c r="U86">
        <f t="shared" si="15"/>
        <v>4.8225835435000004</v>
      </c>
      <c r="X86" s="9"/>
      <c r="Y86" s="22">
        <v>1.4172400000000001</v>
      </c>
      <c r="Z86" s="22">
        <v>209.68700000000001</v>
      </c>
      <c r="AA86" s="22">
        <v>-1.6323899999999999E-2</v>
      </c>
      <c r="AB86" s="22">
        <v>76</v>
      </c>
      <c r="AC86" s="22">
        <v>1.4166300000000001</v>
      </c>
      <c r="AD86">
        <f t="shared" si="16"/>
        <v>16.323899999999998</v>
      </c>
      <c r="AE86">
        <f t="shared" si="17"/>
        <v>23.134884035999999</v>
      </c>
      <c r="AF86" s="9"/>
      <c r="AG86" s="22">
        <v>0.28274500000000002</v>
      </c>
      <c r="AH86" s="22">
        <v>342.02</v>
      </c>
      <c r="AI86" s="22">
        <v>-1.70166E-2</v>
      </c>
      <c r="AJ86" s="22">
        <v>76</v>
      </c>
      <c r="AK86" s="22">
        <v>0.28195199999999998</v>
      </c>
      <c r="AL86">
        <f t="shared" si="18"/>
        <v>17.0166</v>
      </c>
      <c r="AM86">
        <f t="shared" si="19"/>
        <v>4.8113585670000001</v>
      </c>
      <c r="AP86" s="9"/>
      <c r="AQ86" s="22">
        <v>1.4172400000000001</v>
      </c>
      <c r="AR86" s="22">
        <v>411.11</v>
      </c>
      <c r="AS86" s="22">
        <v>-1.6287200000000002E-2</v>
      </c>
      <c r="AT86" s="22">
        <v>76</v>
      </c>
      <c r="AU86" s="22">
        <v>1.41693</v>
      </c>
      <c r="AV86">
        <f t="shared" si="20"/>
        <v>16.287200000000002</v>
      </c>
      <c r="AW86">
        <f t="shared" si="21"/>
        <v>23.082871328000003</v>
      </c>
      <c r="AX86" s="9"/>
      <c r="AY86" s="22">
        <v>0.28274500000000002</v>
      </c>
      <c r="AZ86" s="22">
        <v>471.94299999999998</v>
      </c>
      <c r="BA86" s="22">
        <v>-1.6998300000000001E-2</v>
      </c>
      <c r="BB86" s="22">
        <v>76</v>
      </c>
      <c r="BC86" s="22">
        <v>0.28201300000000001</v>
      </c>
      <c r="BD86">
        <f t="shared" si="22"/>
        <v>16.9983</v>
      </c>
      <c r="BE86">
        <f t="shared" si="23"/>
        <v>4.806184333500001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35.274900000000002</v>
      </c>
      <c r="I87" s="22">
        <v>4.9865699999999999E-2</v>
      </c>
      <c r="J87" s="22">
        <v>77</v>
      </c>
      <c r="K87" s="22">
        <v>7.9132099999999997E-2</v>
      </c>
      <c r="L87">
        <f t="shared" si="12"/>
        <v>-49.865699999999997</v>
      </c>
      <c r="M87">
        <f t="shared" si="13"/>
        <v>-70.420341539999995</v>
      </c>
      <c r="N87" s="9"/>
      <c r="O87" s="22">
        <v>0.28778100000000001</v>
      </c>
      <c r="P87" s="22">
        <v>146.202</v>
      </c>
      <c r="Q87" s="22">
        <v>-1.7053200000000001E-2</v>
      </c>
      <c r="R87" s="22">
        <v>77</v>
      </c>
      <c r="S87" s="22">
        <v>0.287018</v>
      </c>
      <c r="T87">
        <f t="shared" si="14"/>
        <v>17.0532</v>
      </c>
      <c r="U87">
        <f t="shared" si="15"/>
        <v>4.9075869492000006</v>
      </c>
      <c r="X87" s="9"/>
      <c r="Y87" s="22">
        <v>1.4121999999999999</v>
      </c>
      <c r="Z87" s="22">
        <v>209.78800000000001</v>
      </c>
      <c r="AA87" s="22">
        <v>-1.63208E-2</v>
      </c>
      <c r="AB87" s="22">
        <v>77</v>
      </c>
      <c r="AC87" s="22">
        <v>1.41144</v>
      </c>
      <c r="AD87">
        <f t="shared" si="16"/>
        <v>16.320799999999998</v>
      </c>
      <c r="AE87">
        <f t="shared" si="17"/>
        <v>23.048233759999995</v>
      </c>
      <c r="AF87" s="9"/>
      <c r="AG87" s="22">
        <v>0.28778100000000001</v>
      </c>
      <c r="AH87" s="22">
        <v>342.12099999999998</v>
      </c>
      <c r="AI87" s="22">
        <v>-1.70166E-2</v>
      </c>
      <c r="AJ87" s="22">
        <v>77</v>
      </c>
      <c r="AK87" s="22">
        <v>0.28714000000000001</v>
      </c>
      <c r="AL87">
        <f t="shared" si="18"/>
        <v>17.0166</v>
      </c>
      <c r="AM87">
        <f t="shared" si="19"/>
        <v>4.8970541646000001</v>
      </c>
      <c r="AP87" s="9"/>
      <c r="AQ87" s="22">
        <v>1.4121999999999999</v>
      </c>
      <c r="AR87" s="22">
        <v>411.21100000000001</v>
      </c>
      <c r="AS87" s="22">
        <v>-1.6287200000000002E-2</v>
      </c>
      <c r="AT87" s="22">
        <v>77</v>
      </c>
      <c r="AU87" s="22">
        <v>1.41144</v>
      </c>
      <c r="AV87">
        <f t="shared" si="20"/>
        <v>16.287200000000002</v>
      </c>
      <c r="AW87">
        <f t="shared" si="21"/>
        <v>23.00078384</v>
      </c>
      <c r="AX87" s="9"/>
      <c r="AY87" s="22">
        <v>0.28778100000000001</v>
      </c>
      <c r="AZ87" s="22">
        <v>472.04399999999998</v>
      </c>
      <c r="BA87" s="22">
        <v>-1.70013E-2</v>
      </c>
      <c r="BB87" s="22">
        <v>77</v>
      </c>
      <c r="BC87" s="22">
        <v>0.28689599999999998</v>
      </c>
      <c r="BD87">
        <f t="shared" si="22"/>
        <v>17.001300000000001</v>
      </c>
      <c r="BE87">
        <f t="shared" si="23"/>
        <v>4.8926511153000005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35.375599999999999</v>
      </c>
      <c r="I88" s="22">
        <v>4.9868799999999998E-2</v>
      </c>
      <c r="J88" s="22">
        <v>78</v>
      </c>
      <c r="K88" s="22">
        <v>7.9132099999999997E-2</v>
      </c>
      <c r="L88">
        <f t="shared" si="12"/>
        <v>-49.8688</v>
      </c>
      <c r="M88">
        <f t="shared" si="13"/>
        <v>-70.173879295999996</v>
      </c>
      <c r="N88" s="9"/>
      <c r="O88" s="22">
        <v>0.29281600000000002</v>
      </c>
      <c r="P88" s="22">
        <v>146.30199999999999</v>
      </c>
      <c r="Q88" s="22">
        <v>-1.7050200000000001E-2</v>
      </c>
      <c r="R88" s="22">
        <v>78</v>
      </c>
      <c r="S88" s="22">
        <v>0.29208400000000001</v>
      </c>
      <c r="T88">
        <f t="shared" si="14"/>
        <v>17.0502</v>
      </c>
      <c r="U88">
        <f t="shared" si="15"/>
        <v>4.9925713632000006</v>
      </c>
      <c r="X88" s="9"/>
      <c r="Y88" s="22">
        <v>1.40717</v>
      </c>
      <c r="Z88" s="22">
        <v>209.88800000000001</v>
      </c>
      <c r="AA88" s="22">
        <v>-1.6330000000000001E-2</v>
      </c>
      <c r="AB88" s="22">
        <v>78</v>
      </c>
      <c r="AC88" s="22">
        <v>1.40625</v>
      </c>
      <c r="AD88">
        <f t="shared" si="16"/>
        <v>16.330000000000002</v>
      </c>
      <c r="AE88">
        <f t="shared" si="17"/>
        <v>22.979086100000004</v>
      </c>
      <c r="AF88" s="9"/>
      <c r="AG88" s="22">
        <v>0.29281600000000002</v>
      </c>
      <c r="AH88" s="22">
        <v>342.22199999999998</v>
      </c>
      <c r="AI88" s="22">
        <v>-1.7007399999999999E-2</v>
      </c>
      <c r="AJ88" s="22">
        <v>78</v>
      </c>
      <c r="AK88" s="22">
        <v>0.29205300000000001</v>
      </c>
      <c r="AL88">
        <f t="shared" si="18"/>
        <v>17.007400000000001</v>
      </c>
      <c r="AM88">
        <f t="shared" si="19"/>
        <v>4.9800388384000005</v>
      </c>
      <c r="AP88" s="9"/>
      <c r="AQ88" s="22">
        <v>1.40717</v>
      </c>
      <c r="AR88" s="22">
        <v>411.31200000000001</v>
      </c>
      <c r="AS88" s="22">
        <v>-1.62933E-2</v>
      </c>
      <c r="AT88" s="22">
        <v>78</v>
      </c>
      <c r="AU88" s="22">
        <v>1.40656</v>
      </c>
      <c r="AV88">
        <f t="shared" si="20"/>
        <v>16.293299999999999</v>
      </c>
      <c r="AW88">
        <f t="shared" si="21"/>
        <v>22.927442960999997</v>
      </c>
      <c r="AX88" s="9"/>
      <c r="AY88" s="22">
        <v>0.29281600000000002</v>
      </c>
      <c r="AZ88" s="22">
        <v>472.14499999999998</v>
      </c>
      <c r="BA88" s="22">
        <v>-1.69891E-2</v>
      </c>
      <c r="BB88" s="22">
        <v>78</v>
      </c>
      <c r="BC88" s="22">
        <v>0.29214499999999999</v>
      </c>
      <c r="BD88">
        <f t="shared" si="22"/>
        <v>16.989100000000001</v>
      </c>
      <c r="BE88">
        <f t="shared" si="23"/>
        <v>4.9746803056000006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35.476300000000002</v>
      </c>
      <c r="I89" s="22">
        <v>4.9850499999999999E-2</v>
      </c>
      <c r="J89" s="22">
        <v>79</v>
      </c>
      <c r="K89" s="22">
        <v>7.9132099999999997E-2</v>
      </c>
      <c r="L89">
        <f t="shared" si="12"/>
        <v>-49.850499999999997</v>
      </c>
      <c r="M89">
        <f t="shared" si="13"/>
        <v>-69.896881565000001</v>
      </c>
      <c r="N89" s="9"/>
      <c r="O89" s="22">
        <v>0.29785200000000001</v>
      </c>
      <c r="P89" s="22">
        <v>146.40299999999999</v>
      </c>
      <c r="Q89" s="22">
        <v>-1.7047099999999999E-2</v>
      </c>
      <c r="R89" s="22">
        <v>79</v>
      </c>
      <c r="S89" s="22">
        <v>0.29705799999999999</v>
      </c>
      <c r="T89">
        <f t="shared" si="14"/>
        <v>17.0471</v>
      </c>
      <c r="U89">
        <f t="shared" si="15"/>
        <v>5.0775128291999998</v>
      </c>
      <c r="X89" s="9"/>
      <c r="Y89" s="22">
        <v>1.4021300000000001</v>
      </c>
      <c r="Z89" s="22">
        <v>209.989</v>
      </c>
      <c r="AA89" s="22">
        <v>-1.6339099999999999E-2</v>
      </c>
      <c r="AB89" s="22">
        <v>79</v>
      </c>
      <c r="AC89" s="22">
        <v>1.40106</v>
      </c>
      <c r="AD89">
        <f t="shared" si="16"/>
        <v>16.339099999999998</v>
      </c>
      <c r="AE89">
        <f t="shared" si="17"/>
        <v>22.909542283</v>
      </c>
      <c r="AF89" s="9"/>
      <c r="AG89" s="22">
        <v>0.29785200000000001</v>
      </c>
      <c r="AH89" s="22">
        <v>342.322</v>
      </c>
      <c r="AI89" s="22">
        <v>-1.7013500000000001E-2</v>
      </c>
      <c r="AJ89" s="22">
        <v>79</v>
      </c>
      <c r="AK89" s="22">
        <v>0.29696699999999998</v>
      </c>
      <c r="AL89">
        <f t="shared" si="18"/>
        <v>17.013500000000001</v>
      </c>
      <c r="AM89">
        <f t="shared" si="19"/>
        <v>5.0675050019999999</v>
      </c>
      <c r="AP89" s="9"/>
      <c r="AQ89" s="22">
        <v>1.4021300000000001</v>
      </c>
      <c r="AR89" s="22">
        <v>411.41300000000001</v>
      </c>
      <c r="AS89" s="22">
        <v>-1.6299399999999999E-2</v>
      </c>
      <c r="AT89" s="22">
        <v>79</v>
      </c>
      <c r="AU89" s="22">
        <v>1.40137</v>
      </c>
      <c r="AV89">
        <f t="shared" si="20"/>
        <v>16.299399999999999</v>
      </c>
      <c r="AW89">
        <f t="shared" si="21"/>
        <v>22.853877722</v>
      </c>
      <c r="AX89" s="9"/>
      <c r="AY89" s="22">
        <v>0.29785200000000001</v>
      </c>
      <c r="AZ89" s="22">
        <v>472.24599999999998</v>
      </c>
      <c r="BA89" s="22">
        <v>-1.6992199999999999E-2</v>
      </c>
      <c r="BB89" s="22">
        <v>79</v>
      </c>
      <c r="BC89" s="22">
        <v>0.29715000000000003</v>
      </c>
      <c r="BD89">
        <f t="shared" si="22"/>
        <v>16.9922</v>
      </c>
      <c r="BE89">
        <f t="shared" si="23"/>
        <v>5.0611607544000004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35.576999999999998</v>
      </c>
      <c r="I90" s="22">
        <v>4.9844399999999997E-2</v>
      </c>
      <c r="J90" s="22">
        <v>80</v>
      </c>
      <c r="K90" s="22">
        <v>7.9071000000000002E-2</v>
      </c>
      <c r="L90">
        <f t="shared" si="12"/>
        <v>-49.8444</v>
      </c>
      <c r="M90">
        <f t="shared" si="13"/>
        <v>-69.637112795999997</v>
      </c>
      <c r="N90" s="9"/>
      <c r="O90" s="22">
        <v>0.30288700000000002</v>
      </c>
      <c r="P90" s="22">
        <v>146.50399999999999</v>
      </c>
      <c r="Q90" s="22">
        <v>-1.7041000000000001E-2</v>
      </c>
      <c r="R90" s="22">
        <v>80</v>
      </c>
      <c r="S90" s="22">
        <v>0.30221599999999998</v>
      </c>
      <c r="T90">
        <f t="shared" si="14"/>
        <v>17.041</v>
      </c>
      <c r="U90">
        <f t="shared" si="15"/>
        <v>5.1614973670000008</v>
      </c>
      <c r="X90" s="9"/>
      <c r="Y90" s="22">
        <v>1.3970899999999999</v>
      </c>
      <c r="Z90" s="22">
        <v>210.09</v>
      </c>
      <c r="AA90" s="22">
        <v>-1.6342200000000001E-2</v>
      </c>
      <c r="AB90" s="22">
        <v>80</v>
      </c>
      <c r="AC90" s="22">
        <v>1.39618</v>
      </c>
      <c r="AD90">
        <f t="shared" si="16"/>
        <v>16.342200000000002</v>
      </c>
      <c r="AE90">
        <f t="shared" si="17"/>
        <v>22.831524198</v>
      </c>
      <c r="AF90" s="9"/>
      <c r="AG90" s="22">
        <v>0.30288700000000002</v>
      </c>
      <c r="AH90" s="22">
        <v>342.423</v>
      </c>
      <c r="AI90" s="22">
        <v>-1.7004399999999999E-2</v>
      </c>
      <c r="AJ90" s="22">
        <v>80</v>
      </c>
      <c r="AK90" s="22">
        <v>0.30221599999999998</v>
      </c>
      <c r="AL90">
        <f t="shared" si="18"/>
        <v>17.0044</v>
      </c>
      <c r="AM90">
        <f t="shared" si="19"/>
        <v>5.1504117028000005</v>
      </c>
      <c r="AP90" s="9"/>
      <c r="AQ90" s="22">
        <v>1.3970899999999999</v>
      </c>
      <c r="AR90" s="22">
        <v>411.51299999999998</v>
      </c>
      <c r="AS90" s="22">
        <v>-1.6302500000000001E-2</v>
      </c>
      <c r="AT90" s="22">
        <v>80</v>
      </c>
      <c r="AU90" s="22">
        <v>1.39679</v>
      </c>
      <c r="AV90">
        <f t="shared" si="20"/>
        <v>16.302500000000002</v>
      </c>
      <c r="AW90">
        <f t="shared" si="21"/>
        <v>22.776059725000003</v>
      </c>
      <c r="AX90" s="9"/>
      <c r="AY90" s="22">
        <v>0.30288700000000002</v>
      </c>
      <c r="AZ90" s="22">
        <v>472.346</v>
      </c>
      <c r="BA90" s="22">
        <v>-1.6986100000000001E-2</v>
      </c>
      <c r="BB90" s="22">
        <v>80</v>
      </c>
      <c r="BC90" s="22">
        <v>0.30209399999999997</v>
      </c>
      <c r="BD90">
        <f t="shared" si="22"/>
        <v>16.9861</v>
      </c>
      <c r="BE90">
        <f t="shared" si="23"/>
        <v>5.1448688707000008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35.677700000000002</v>
      </c>
      <c r="I91" s="22">
        <v>4.9929800000000003E-2</v>
      </c>
      <c r="J91" s="22">
        <v>81</v>
      </c>
      <c r="K91" s="22">
        <v>7.9132099999999997E-2</v>
      </c>
      <c r="L91">
        <f t="shared" si="12"/>
        <v>-49.9298</v>
      </c>
      <c r="M91">
        <f t="shared" si="13"/>
        <v>-69.50527738800001</v>
      </c>
      <c r="N91" s="9"/>
      <c r="O91" s="22">
        <v>0.30792199999999997</v>
      </c>
      <c r="P91" s="22">
        <v>146.60499999999999</v>
      </c>
      <c r="Q91" s="22">
        <v>-1.7047099999999999E-2</v>
      </c>
      <c r="R91" s="22">
        <v>81</v>
      </c>
      <c r="S91" s="22">
        <v>0.30715900000000002</v>
      </c>
      <c r="T91">
        <f t="shared" si="14"/>
        <v>17.0471</v>
      </c>
      <c r="U91">
        <f t="shared" si="15"/>
        <v>5.2491771261999993</v>
      </c>
      <c r="X91" s="9"/>
      <c r="Y91" s="22">
        <v>1.3920600000000001</v>
      </c>
      <c r="Z91" s="22">
        <v>210.191</v>
      </c>
      <c r="AA91" s="22">
        <v>-1.63483E-2</v>
      </c>
      <c r="AB91" s="22">
        <v>81</v>
      </c>
      <c r="AC91" s="22">
        <v>1.3913</v>
      </c>
      <c r="AD91">
        <f t="shared" si="16"/>
        <v>16.348299999999998</v>
      </c>
      <c r="AE91">
        <f t="shared" si="17"/>
        <v>22.757814497999998</v>
      </c>
      <c r="AF91" s="9"/>
      <c r="AG91" s="22">
        <v>0.30792199999999997</v>
      </c>
      <c r="AH91" s="22">
        <v>342.524</v>
      </c>
      <c r="AI91" s="22">
        <v>-1.7004399999999999E-2</v>
      </c>
      <c r="AJ91" s="22">
        <v>81</v>
      </c>
      <c r="AK91" s="22">
        <v>0.30728100000000003</v>
      </c>
      <c r="AL91">
        <f t="shared" si="18"/>
        <v>17.0044</v>
      </c>
      <c r="AM91">
        <f t="shared" si="19"/>
        <v>5.2360288568</v>
      </c>
      <c r="AP91" s="9"/>
      <c r="AQ91" s="22">
        <v>1.3920600000000001</v>
      </c>
      <c r="AR91" s="22">
        <v>411.61399999999998</v>
      </c>
      <c r="AS91" s="22">
        <v>-1.6308599999999999E-2</v>
      </c>
      <c r="AT91" s="22">
        <v>81</v>
      </c>
      <c r="AU91" s="22">
        <v>1.3913</v>
      </c>
      <c r="AV91">
        <f t="shared" si="20"/>
        <v>16.308599999999998</v>
      </c>
      <c r="AW91">
        <f t="shared" si="21"/>
        <v>22.702549716</v>
      </c>
      <c r="AX91" s="9"/>
      <c r="AY91" s="22">
        <v>0.30792199999999997</v>
      </c>
      <c r="AZ91" s="22">
        <v>472.447</v>
      </c>
      <c r="BA91" s="22">
        <v>-1.6979999999999999E-2</v>
      </c>
      <c r="BB91" s="22">
        <v>81</v>
      </c>
      <c r="BC91" s="22">
        <v>0.30721999999999999</v>
      </c>
      <c r="BD91">
        <f t="shared" si="22"/>
        <v>16.979999999999997</v>
      </c>
      <c r="BE91">
        <f t="shared" si="23"/>
        <v>5.2285155599999982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35.778399999999998</v>
      </c>
      <c r="I92" s="22">
        <v>4.9896200000000002E-2</v>
      </c>
      <c r="J92" s="22">
        <v>82</v>
      </c>
      <c r="K92" s="22">
        <v>7.91626E-2</v>
      </c>
      <c r="L92">
        <f t="shared" si="12"/>
        <v>-49.8962</v>
      </c>
      <c r="M92">
        <f t="shared" si="13"/>
        <v>-69.207027323999995</v>
      </c>
      <c r="N92" s="9"/>
      <c r="O92" s="22">
        <v>0.31295800000000001</v>
      </c>
      <c r="P92" s="22">
        <v>146.70500000000001</v>
      </c>
      <c r="Q92" s="22">
        <v>-1.7041000000000001E-2</v>
      </c>
      <c r="R92" s="22">
        <v>82</v>
      </c>
      <c r="S92" s="22">
        <v>0.31259199999999998</v>
      </c>
      <c r="T92">
        <f t="shared" si="14"/>
        <v>17.041</v>
      </c>
      <c r="U92">
        <f t="shared" si="15"/>
        <v>5.3331172780000005</v>
      </c>
      <c r="X92" s="9"/>
      <c r="Y92" s="22">
        <v>1.3870199999999999</v>
      </c>
      <c r="Z92" s="22">
        <v>210.291</v>
      </c>
      <c r="AA92" s="22">
        <v>-1.6342200000000001E-2</v>
      </c>
      <c r="AB92" s="22">
        <v>82</v>
      </c>
      <c r="AC92" s="22">
        <v>1.3864099999999999</v>
      </c>
      <c r="AD92">
        <f t="shared" si="16"/>
        <v>16.342200000000002</v>
      </c>
      <c r="AE92">
        <f t="shared" si="17"/>
        <v>22.666958244</v>
      </c>
      <c r="AF92" s="9"/>
      <c r="AG92" s="22">
        <v>0.31295800000000001</v>
      </c>
      <c r="AH92" s="22">
        <v>342.625</v>
      </c>
      <c r="AI92" s="22">
        <v>-1.6995199999999999E-2</v>
      </c>
      <c r="AJ92" s="22">
        <v>82</v>
      </c>
      <c r="AK92" s="22">
        <v>0.31234699999999999</v>
      </c>
      <c r="AL92">
        <f t="shared" si="18"/>
        <v>16.995199999999997</v>
      </c>
      <c r="AM92">
        <f t="shared" si="19"/>
        <v>5.3187838015999995</v>
      </c>
      <c r="AP92" s="9"/>
      <c r="AQ92" s="22">
        <v>1.3870199999999999</v>
      </c>
      <c r="AR92" s="22">
        <v>411.71499999999997</v>
      </c>
      <c r="AS92" s="22">
        <v>-1.6305500000000001E-2</v>
      </c>
      <c r="AT92" s="22">
        <v>82</v>
      </c>
      <c r="AU92" s="22">
        <v>1.3864099999999999</v>
      </c>
      <c r="AV92">
        <f t="shared" si="20"/>
        <v>16.305500000000002</v>
      </c>
      <c r="AW92">
        <f t="shared" si="21"/>
        <v>22.616054610000003</v>
      </c>
      <c r="AX92" s="9"/>
      <c r="AY92" s="22">
        <v>0.31295800000000001</v>
      </c>
      <c r="AZ92" s="22">
        <v>472.548</v>
      </c>
      <c r="BA92" s="22">
        <v>-1.6986100000000001E-2</v>
      </c>
      <c r="BB92" s="22">
        <v>82</v>
      </c>
      <c r="BC92" s="22">
        <v>0.312195</v>
      </c>
      <c r="BD92">
        <f t="shared" si="22"/>
        <v>16.9861</v>
      </c>
      <c r="BE92">
        <f t="shared" si="23"/>
        <v>5.3159358837999999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35.879100000000001</v>
      </c>
      <c r="I93" s="22">
        <v>4.9966400000000001E-2</v>
      </c>
      <c r="J93" s="22">
        <v>83</v>
      </c>
      <c r="K93" s="22">
        <v>7.91626E-2</v>
      </c>
      <c r="L93">
        <f t="shared" si="12"/>
        <v>-49.9664</v>
      </c>
      <c r="M93">
        <f t="shared" si="13"/>
        <v>-69.053065136000001</v>
      </c>
      <c r="N93" s="9"/>
      <c r="O93" s="22">
        <v>0.31799300000000003</v>
      </c>
      <c r="P93" s="22">
        <v>146.80600000000001</v>
      </c>
      <c r="Q93" s="22">
        <v>-1.7038000000000001E-2</v>
      </c>
      <c r="R93" s="22">
        <v>83</v>
      </c>
      <c r="S93" s="22">
        <v>0.317139</v>
      </c>
      <c r="T93">
        <f t="shared" si="14"/>
        <v>17.038</v>
      </c>
      <c r="U93">
        <f t="shared" si="15"/>
        <v>5.4179647340000008</v>
      </c>
      <c r="X93" s="9"/>
      <c r="Y93" s="22">
        <v>1.3819900000000001</v>
      </c>
      <c r="Z93" s="22">
        <v>210.392</v>
      </c>
      <c r="AA93" s="22">
        <v>-1.6354400000000002E-2</v>
      </c>
      <c r="AB93" s="22">
        <v>83</v>
      </c>
      <c r="AC93" s="22">
        <v>1.38062</v>
      </c>
      <c r="AD93">
        <f t="shared" si="16"/>
        <v>16.354400000000002</v>
      </c>
      <c r="AE93">
        <f t="shared" si="17"/>
        <v>22.601617256000004</v>
      </c>
      <c r="AF93" s="9"/>
      <c r="AG93" s="22">
        <v>0.31799300000000003</v>
      </c>
      <c r="AH93" s="22">
        <v>342.72500000000002</v>
      </c>
      <c r="AI93" s="22">
        <v>-1.70013E-2</v>
      </c>
      <c r="AJ93" s="22">
        <v>83</v>
      </c>
      <c r="AK93" s="22">
        <v>0.31723000000000001</v>
      </c>
      <c r="AL93">
        <f t="shared" si="18"/>
        <v>17.001300000000001</v>
      </c>
      <c r="AM93">
        <f t="shared" si="19"/>
        <v>5.4062943909000003</v>
      </c>
      <c r="AP93" s="9"/>
      <c r="AQ93" s="22">
        <v>1.3819900000000001</v>
      </c>
      <c r="AR93" s="22">
        <v>411.815</v>
      </c>
      <c r="AS93" s="22">
        <v>-1.6314700000000001E-2</v>
      </c>
      <c r="AT93" s="22">
        <v>83</v>
      </c>
      <c r="AU93" s="22">
        <v>1.3815299999999999</v>
      </c>
      <c r="AV93">
        <f t="shared" si="20"/>
        <v>16.314700000000002</v>
      </c>
      <c r="AW93">
        <f t="shared" si="21"/>
        <v>22.546752253000005</v>
      </c>
      <c r="AX93" s="9"/>
      <c r="AY93" s="22">
        <v>0.31799300000000003</v>
      </c>
      <c r="AZ93" s="22">
        <v>472.64800000000002</v>
      </c>
      <c r="BA93" s="22">
        <v>-1.69891E-2</v>
      </c>
      <c r="BB93" s="22">
        <v>83</v>
      </c>
      <c r="BC93" s="22">
        <v>0.31729099999999999</v>
      </c>
      <c r="BD93">
        <f t="shared" si="22"/>
        <v>16.989100000000001</v>
      </c>
      <c r="BE93">
        <f t="shared" si="23"/>
        <v>5.4024148763000008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35.979799999999997</v>
      </c>
      <c r="I94" s="22">
        <v>4.9856600000000001E-2</v>
      </c>
      <c r="J94" s="22">
        <v>84</v>
      </c>
      <c r="K94" s="22">
        <v>7.9193100000000002E-2</v>
      </c>
      <c r="L94">
        <f t="shared" si="12"/>
        <v>-49.8566</v>
      </c>
      <c r="M94">
        <f t="shared" si="13"/>
        <v>-68.650045370000001</v>
      </c>
      <c r="N94" s="9"/>
      <c r="O94" s="22">
        <v>0.32302900000000001</v>
      </c>
      <c r="P94" s="22">
        <v>146.90700000000001</v>
      </c>
      <c r="Q94" s="22">
        <v>-1.7034899999999999E-2</v>
      </c>
      <c r="R94" s="22">
        <v>84</v>
      </c>
      <c r="S94" s="22">
        <v>0.32223499999999999</v>
      </c>
      <c r="T94">
        <f t="shared" si="14"/>
        <v>17.0349</v>
      </c>
      <c r="U94">
        <f t="shared" si="15"/>
        <v>5.5027667121000006</v>
      </c>
      <c r="X94" s="9"/>
      <c r="Y94" s="22">
        <v>1.3769499999999999</v>
      </c>
      <c r="Z94" s="22">
        <v>210.49299999999999</v>
      </c>
      <c r="AA94" s="22">
        <v>-1.63605E-2</v>
      </c>
      <c r="AB94" s="22">
        <v>84</v>
      </c>
      <c r="AC94" s="22">
        <v>1.3760399999999999</v>
      </c>
      <c r="AD94">
        <f t="shared" si="16"/>
        <v>16.360500000000002</v>
      </c>
      <c r="AE94">
        <f t="shared" si="17"/>
        <v>22.527590475</v>
      </c>
      <c r="AF94" s="9"/>
      <c r="AG94" s="22">
        <v>0.32302900000000001</v>
      </c>
      <c r="AH94" s="22">
        <v>342.82600000000002</v>
      </c>
      <c r="AI94" s="22">
        <v>-1.6995199999999999E-2</v>
      </c>
      <c r="AJ94" s="22">
        <v>84</v>
      </c>
      <c r="AK94" s="22">
        <v>0.32229600000000003</v>
      </c>
      <c r="AL94">
        <f t="shared" si="18"/>
        <v>16.995199999999997</v>
      </c>
      <c r="AM94">
        <f t="shared" si="19"/>
        <v>5.4899424607999991</v>
      </c>
      <c r="AP94" s="9"/>
      <c r="AQ94" s="22">
        <v>1.3769499999999999</v>
      </c>
      <c r="AR94" s="22">
        <v>411.916</v>
      </c>
      <c r="AS94" s="22">
        <v>-1.6317700000000001E-2</v>
      </c>
      <c r="AT94" s="22">
        <v>84</v>
      </c>
      <c r="AU94" s="22">
        <v>1.3760399999999999</v>
      </c>
      <c r="AV94">
        <f t="shared" si="20"/>
        <v>16.317700000000002</v>
      </c>
      <c r="AW94">
        <f t="shared" si="21"/>
        <v>22.468657015000002</v>
      </c>
      <c r="AX94" s="9"/>
      <c r="AY94" s="22">
        <v>0.32302900000000001</v>
      </c>
      <c r="AZ94" s="22">
        <v>472.74900000000002</v>
      </c>
      <c r="BA94" s="22">
        <v>-1.6979999999999999E-2</v>
      </c>
      <c r="BB94" s="22">
        <v>84</v>
      </c>
      <c r="BC94" s="22">
        <v>0.322357</v>
      </c>
      <c r="BD94">
        <f t="shared" si="22"/>
        <v>16.979999999999997</v>
      </c>
      <c r="BE94">
        <f t="shared" si="23"/>
        <v>5.4850324199999996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36.080599999999997</v>
      </c>
      <c r="I95" s="22">
        <v>4.9868799999999998E-2</v>
      </c>
      <c r="J95" s="22">
        <v>85</v>
      </c>
      <c r="K95" s="22">
        <v>7.9223600000000005E-2</v>
      </c>
      <c r="L95">
        <f t="shared" si="12"/>
        <v>-49.8688</v>
      </c>
      <c r="M95">
        <f t="shared" si="13"/>
        <v>-68.416004095999995</v>
      </c>
      <c r="N95" s="9"/>
      <c r="O95" s="22">
        <v>0.32806400000000002</v>
      </c>
      <c r="P95" s="22">
        <v>147.00700000000001</v>
      </c>
      <c r="Q95" s="22">
        <v>-1.7031899999999999E-2</v>
      </c>
      <c r="R95" s="22">
        <v>85</v>
      </c>
      <c r="S95" s="22">
        <v>0.32736199999999999</v>
      </c>
      <c r="T95">
        <f t="shared" si="14"/>
        <v>17.0319</v>
      </c>
      <c r="U95">
        <f t="shared" si="15"/>
        <v>5.5875532416000002</v>
      </c>
      <c r="X95" s="9"/>
      <c r="Y95" s="22">
        <v>1.37192</v>
      </c>
      <c r="Z95" s="22">
        <v>210.59299999999999</v>
      </c>
      <c r="AA95" s="22">
        <v>-1.6357400000000001E-2</v>
      </c>
      <c r="AB95" s="22">
        <v>85</v>
      </c>
      <c r="AC95" s="22">
        <v>1.3717699999999999</v>
      </c>
      <c r="AD95">
        <f t="shared" si="16"/>
        <v>16.357400000000002</v>
      </c>
      <c r="AE95">
        <f t="shared" si="17"/>
        <v>22.441044208000005</v>
      </c>
      <c r="AF95" s="9"/>
      <c r="AG95" s="22">
        <v>0.32806400000000002</v>
      </c>
      <c r="AH95" s="22">
        <v>342.92700000000002</v>
      </c>
      <c r="AI95" s="22">
        <v>-1.6998300000000001E-2</v>
      </c>
      <c r="AJ95" s="22">
        <v>85</v>
      </c>
      <c r="AK95" s="22">
        <v>0.32733200000000001</v>
      </c>
      <c r="AL95">
        <f t="shared" si="18"/>
        <v>16.9983</v>
      </c>
      <c r="AM95">
        <f t="shared" si="19"/>
        <v>5.5765302912000001</v>
      </c>
      <c r="AP95" s="9"/>
      <c r="AQ95" s="22">
        <v>1.37192</v>
      </c>
      <c r="AR95" s="22">
        <v>412.017</v>
      </c>
      <c r="AS95" s="22">
        <v>-1.6326899999999998E-2</v>
      </c>
      <c r="AT95" s="22">
        <v>85</v>
      </c>
      <c r="AU95" s="22">
        <v>1.3711500000000001</v>
      </c>
      <c r="AV95">
        <f t="shared" si="20"/>
        <v>16.326899999999998</v>
      </c>
      <c r="AW95">
        <f t="shared" si="21"/>
        <v>22.399200647999997</v>
      </c>
      <c r="AX95" s="9"/>
      <c r="AY95" s="22">
        <v>0.32806400000000002</v>
      </c>
      <c r="AZ95" s="22">
        <v>472.85</v>
      </c>
      <c r="BA95" s="22">
        <v>-1.69769E-2</v>
      </c>
      <c r="BB95" s="22">
        <v>85</v>
      </c>
      <c r="BC95" s="22">
        <v>0.32730100000000001</v>
      </c>
      <c r="BD95">
        <f t="shared" si="22"/>
        <v>16.976900000000001</v>
      </c>
      <c r="BE95">
        <f t="shared" si="23"/>
        <v>5.5695097216000002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36.1813</v>
      </c>
      <c r="I96" s="22">
        <v>4.9838300000000002E-2</v>
      </c>
      <c r="J96" s="22">
        <v>86</v>
      </c>
      <c r="K96" s="22">
        <v>7.9254199999999997E-2</v>
      </c>
      <c r="L96">
        <f t="shared" si="12"/>
        <v>-49.838300000000004</v>
      </c>
      <c r="M96">
        <f t="shared" si="13"/>
        <v>-68.12297550400001</v>
      </c>
      <c r="N96" s="9"/>
      <c r="O96" s="22">
        <v>0.33309899999999998</v>
      </c>
      <c r="P96" s="22">
        <v>147.108</v>
      </c>
      <c r="Q96" s="22">
        <v>-1.70288E-2</v>
      </c>
      <c r="R96" s="22">
        <v>86</v>
      </c>
      <c r="S96" s="22">
        <v>0.33218399999999998</v>
      </c>
      <c r="T96">
        <f t="shared" si="14"/>
        <v>17.0288</v>
      </c>
      <c r="U96">
        <f t="shared" si="15"/>
        <v>5.6722762511999996</v>
      </c>
      <c r="X96" s="9"/>
      <c r="Y96" s="22">
        <v>1.3668800000000001</v>
      </c>
      <c r="Z96" s="22">
        <v>210.69399999999999</v>
      </c>
      <c r="AA96" s="22">
        <v>-1.63605E-2</v>
      </c>
      <c r="AB96" s="22">
        <v>86</v>
      </c>
      <c r="AC96" s="22">
        <v>1.3662700000000001</v>
      </c>
      <c r="AD96">
        <f t="shared" si="16"/>
        <v>16.360500000000002</v>
      </c>
      <c r="AE96">
        <f t="shared" si="17"/>
        <v>22.362840240000004</v>
      </c>
      <c r="AF96" s="9"/>
      <c r="AG96" s="22">
        <v>0.33309899999999998</v>
      </c>
      <c r="AH96" s="22">
        <v>343.02699999999999</v>
      </c>
      <c r="AI96" s="22">
        <v>-1.6995199999999999E-2</v>
      </c>
      <c r="AJ96" s="22">
        <v>86</v>
      </c>
      <c r="AK96" s="22">
        <v>0.33230599999999999</v>
      </c>
      <c r="AL96">
        <f t="shared" si="18"/>
        <v>16.995199999999997</v>
      </c>
      <c r="AM96">
        <f t="shared" si="19"/>
        <v>5.6610841247999986</v>
      </c>
      <c r="AP96" s="9"/>
      <c r="AQ96" s="22">
        <v>1.3668800000000001</v>
      </c>
      <c r="AR96" s="22">
        <v>412.11799999999999</v>
      </c>
      <c r="AS96" s="22">
        <v>-1.6330000000000001E-2</v>
      </c>
      <c r="AT96" s="22">
        <v>86</v>
      </c>
      <c r="AU96" s="22">
        <v>1.3662700000000001</v>
      </c>
      <c r="AV96">
        <f t="shared" si="20"/>
        <v>16.330000000000002</v>
      </c>
      <c r="AW96">
        <f t="shared" si="21"/>
        <v>22.321150400000004</v>
      </c>
      <c r="AX96" s="9"/>
      <c r="AY96" s="22">
        <v>0.33309899999999998</v>
      </c>
      <c r="AZ96" s="22">
        <v>472.95</v>
      </c>
      <c r="BA96" s="22">
        <v>-1.69739E-2</v>
      </c>
      <c r="BB96" s="22">
        <v>86</v>
      </c>
      <c r="BC96" s="22">
        <v>0.33236700000000002</v>
      </c>
      <c r="BD96">
        <f t="shared" si="22"/>
        <v>16.9739</v>
      </c>
      <c r="BE96">
        <f t="shared" si="23"/>
        <v>5.6539891161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36.281999999999996</v>
      </c>
      <c r="I97" s="22">
        <v>4.98322E-2</v>
      </c>
      <c r="J97" s="22">
        <v>87</v>
      </c>
      <c r="K97" s="22">
        <v>7.9193100000000002E-2</v>
      </c>
      <c r="L97">
        <f t="shared" si="12"/>
        <v>-49.8322</v>
      </c>
      <c r="M97">
        <f t="shared" si="13"/>
        <v>-67.863981570000007</v>
      </c>
      <c r="N97" s="9"/>
      <c r="O97" s="22">
        <v>0.33813500000000002</v>
      </c>
      <c r="P97" s="22">
        <v>147.209</v>
      </c>
      <c r="Q97" s="22">
        <v>-1.7025800000000001E-2</v>
      </c>
      <c r="R97" s="22">
        <v>87</v>
      </c>
      <c r="S97" s="22">
        <v>0.33731100000000003</v>
      </c>
      <c r="T97">
        <f t="shared" si="14"/>
        <v>17.0258</v>
      </c>
      <c r="U97">
        <f t="shared" si="15"/>
        <v>5.7570188830000006</v>
      </c>
      <c r="X97" s="9"/>
      <c r="Y97" s="22">
        <v>1.36185</v>
      </c>
      <c r="Z97" s="22">
        <v>210.79499999999999</v>
      </c>
      <c r="AA97" s="22">
        <v>-1.6369600000000002E-2</v>
      </c>
      <c r="AB97" s="22">
        <v>87</v>
      </c>
      <c r="AC97" s="22">
        <v>1.3607800000000001</v>
      </c>
      <c r="AD97">
        <f t="shared" si="16"/>
        <v>16.369600000000002</v>
      </c>
      <c r="AE97">
        <f t="shared" si="17"/>
        <v>22.292939760000003</v>
      </c>
      <c r="AF97" s="9"/>
      <c r="AG97" s="22">
        <v>0.33813500000000002</v>
      </c>
      <c r="AH97" s="22">
        <v>343.12799999999999</v>
      </c>
      <c r="AI97" s="22">
        <v>-1.69891E-2</v>
      </c>
      <c r="AJ97" s="22">
        <v>87</v>
      </c>
      <c r="AK97" s="22">
        <v>0.33740199999999998</v>
      </c>
      <c r="AL97">
        <f t="shared" si="18"/>
        <v>16.989100000000001</v>
      </c>
      <c r="AM97">
        <f t="shared" si="19"/>
        <v>5.7446093285000002</v>
      </c>
      <c r="AP97" s="9"/>
      <c r="AQ97" s="22">
        <v>1.36185</v>
      </c>
      <c r="AR97" s="22">
        <v>412.21800000000002</v>
      </c>
      <c r="AS97" s="22">
        <v>-1.6330000000000001E-2</v>
      </c>
      <c r="AT97" s="22">
        <v>87</v>
      </c>
      <c r="AU97" s="22">
        <v>1.3607800000000001</v>
      </c>
      <c r="AV97">
        <f t="shared" si="20"/>
        <v>16.330000000000002</v>
      </c>
      <c r="AW97">
        <f t="shared" si="21"/>
        <v>22.239010500000003</v>
      </c>
      <c r="AX97" s="9"/>
      <c r="AY97" s="22">
        <v>0.33813500000000002</v>
      </c>
      <c r="AZ97" s="22">
        <v>473.05099999999999</v>
      </c>
      <c r="BA97" s="22">
        <v>-1.6967800000000002E-2</v>
      </c>
      <c r="BB97" s="22">
        <v>87</v>
      </c>
      <c r="BC97" s="22">
        <v>0.337341</v>
      </c>
      <c r="BD97">
        <f t="shared" si="22"/>
        <v>16.9678</v>
      </c>
      <c r="BE97">
        <f t="shared" si="23"/>
        <v>5.7374070530000001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36.3827</v>
      </c>
      <c r="I98" s="22">
        <v>4.9877900000000003E-2</v>
      </c>
      <c r="J98" s="22">
        <v>88</v>
      </c>
      <c r="K98" s="22">
        <v>7.9193100000000002E-2</v>
      </c>
      <c r="L98">
        <f t="shared" si="12"/>
        <v>-49.877900000000004</v>
      </c>
      <c r="M98">
        <f t="shared" si="13"/>
        <v>-67.674833499000002</v>
      </c>
      <c r="N98" s="9"/>
      <c r="O98" s="22">
        <v>0.34316999999999998</v>
      </c>
      <c r="P98" s="22">
        <v>147.31</v>
      </c>
      <c r="Q98" s="22">
        <v>-1.7025800000000001E-2</v>
      </c>
      <c r="R98" s="22">
        <v>88</v>
      </c>
      <c r="S98" s="22">
        <v>0.34240700000000002</v>
      </c>
      <c r="T98">
        <f t="shared" si="14"/>
        <v>17.0258</v>
      </c>
      <c r="U98">
        <f t="shared" si="15"/>
        <v>5.8427437859999998</v>
      </c>
      <c r="X98" s="9"/>
      <c r="Y98" s="22">
        <v>1.3568100000000001</v>
      </c>
      <c r="Z98" s="22">
        <v>210.89599999999999</v>
      </c>
      <c r="AA98" s="22">
        <v>-1.63757E-2</v>
      </c>
      <c r="AB98" s="22">
        <v>88</v>
      </c>
      <c r="AC98" s="22">
        <v>1.3559000000000001</v>
      </c>
      <c r="AD98">
        <f t="shared" si="16"/>
        <v>16.375699999999998</v>
      </c>
      <c r="AE98">
        <f t="shared" si="17"/>
        <v>22.218713516999998</v>
      </c>
      <c r="AF98" s="9"/>
      <c r="AG98" s="22">
        <v>0.34316999999999998</v>
      </c>
      <c r="AH98" s="22">
        <v>343.22899999999998</v>
      </c>
      <c r="AI98" s="22">
        <v>-1.69891E-2</v>
      </c>
      <c r="AJ98" s="22">
        <v>88</v>
      </c>
      <c r="AK98" s="22">
        <v>0.34243800000000002</v>
      </c>
      <c r="AL98">
        <f t="shared" si="18"/>
        <v>16.989100000000001</v>
      </c>
      <c r="AM98">
        <f t="shared" si="19"/>
        <v>5.8301494470000002</v>
      </c>
      <c r="AP98" s="9"/>
      <c r="AQ98" s="22">
        <v>1.3568100000000001</v>
      </c>
      <c r="AR98" s="22">
        <v>412.31900000000002</v>
      </c>
      <c r="AS98" s="22">
        <v>-1.6336099999999999E-2</v>
      </c>
      <c r="AT98" s="22">
        <v>88</v>
      </c>
      <c r="AU98" s="22">
        <v>1.3555900000000001</v>
      </c>
      <c r="AV98">
        <f t="shared" si="20"/>
        <v>16.336099999999998</v>
      </c>
      <c r="AW98">
        <f t="shared" si="21"/>
        <v>22.164983840999998</v>
      </c>
      <c r="AX98" s="9"/>
      <c r="AY98" s="22">
        <v>0.34316999999999998</v>
      </c>
      <c r="AZ98" s="22">
        <v>473.15199999999999</v>
      </c>
      <c r="BA98" s="22">
        <v>-1.6970800000000001E-2</v>
      </c>
      <c r="BB98" s="22">
        <v>88</v>
      </c>
      <c r="BC98" s="22">
        <v>0.34243800000000002</v>
      </c>
      <c r="BD98">
        <f t="shared" si="22"/>
        <v>16.970800000000001</v>
      </c>
      <c r="BE98">
        <f t="shared" si="23"/>
        <v>5.8238694359999998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36.483400000000003</v>
      </c>
      <c r="I99" s="22">
        <v>4.9768100000000003E-2</v>
      </c>
      <c r="J99" s="22">
        <v>89</v>
      </c>
      <c r="K99" s="22">
        <v>7.92847E-2</v>
      </c>
      <c r="L99">
        <f t="shared" si="12"/>
        <v>-49.768100000000004</v>
      </c>
      <c r="M99">
        <f t="shared" si="13"/>
        <v>-67.275522218000006</v>
      </c>
      <c r="N99" s="9"/>
      <c r="O99" s="22">
        <v>0.34820600000000002</v>
      </c>
      <c r="P99" s="22">
        <v>147.41</v>
      </c>
      <c r="Q99" s="22">
        <v>-1.70288E-2</v>
      </c>
      <c r="R99" s="22">
        <v>89</v>
      </c>
      <c r="S99" s="22">
        <v>0.347443</v>
      </c>
      <c r="T99">
        <f t="shared" si="14"/>
        <v>17.0288</v>
      </c>
      <c r="U99">
        <f t="shared" si="15"/>
        <v>5.9295303328000006</v>
      </c>
      <c r="X99" s="9"/>
      <c r="Y99" s="22">
        <v>1.35178</v>
      </c>
      <c r="Z99" s="22">
        <v>210.99600000000001</v>
      </c>
      <c r="AA99" s="22">
        <v>-1.6384900000000001E-2</v>
      </c>
      <c r="AB99" s="22">
        <v>89</v>
      </c>
      <c r="AC99" s="22">
        <v>1.35101</v>
      </c>
      <c r="AD99">
        <f t="shared" si="16"/>
        <v>16.384900000000002</v>
      </c>
      <c r="AE99">
        <f t="shared" si="17"/>
        <v>22.148780122000002</v>
      </c>
      <c r="AF99" s="9"/>
      <c r="AG99" s="22">
        <v>0.34820600000000002</v>
      </c>
      <c r="AH99" s="22">
        <v>343.33</v>
      </c>
      <c r="AI99" s="22">
        <v>-1.6986100000000001E-2</v>
      </c>
      <c r="AJ99" s="22">
        <v>89</v>
      </c>
      <c r="AK99" s="22">
        <v>0.347412</v>
      </c>
      <c r="AL99">
        <f t="shared" si="18"/>
        <v>16.9861</v>
      </c>
      <c r="AM99">
        <f t="shared" si="19"/>
        <v>5.9146619366000008</v>
      </c>
      <c r="AP99" s="9"/>
      <c r="AQ99" s="22">
        <v>1.35178</v>
      </c>
      <c r="AR99" s="22">
        <v>412.42</v>
      </c>
      <c r="AS99" s="22">
        <v>-1.6339099999999999E-2</v>
      </c>
      <c r="AT99" s="22">
        <v>89</v>
      </c>
      <c r="AU99" s="22">
        <v>1.3504</v>
      </c>
      <c r="AV99">
        <f t="shared" si="20"/>
        <v>16.339099999999998</v>
      </c>
      <c r="AW99">
        <f t="shared" si="21"/>
        <v>22.086868597999999</v>
      </c>
      <c r="AX99" s="9"/>
      <c r="AY99" s="22">
        <v>0.34820600000000002</v>
      </c>
      <c r="AZ99" s="22">
        <v>473.25299999999999</v>
      </c>
      <c r="BA99" s="22">
        <v>-1.6967800000000002E-2</v>
      </c>
      <c r="BB99" s="22">
        <v>89</v>
      </c>
      <c r="BC99" s="22">
        <v>0.347412</v>
      </c>
      <c r="BD99">
        <f t="shared" si="22"/>
        <v>16.9678</v>
      </c>
      <c r="BE99">
        <f t="shared" si="23"/>
        <v>5.9082897668000003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36.584099999999999</v>
      </c>
      <c r="I100" s="22">
        <v>4.9850499999999999E-2</v>
      </c>
      <c r="J100" s="22">
        <v>90</v>
      </c>
      <c r="K100" s="22">
        <v>7.9315200000000002E-2</v>
      </c>
      <c r="L100">
        <f t="shared" si="12"/>
        <v>-49.850499999999997</v>
      </c>
      <c r="M100">
        <f t="shared" si="13"/>
        <v>-67.135662369999991</v>
      </c>
      <c r="N100" s="9"/>
      <c r="O100" s="22">
        <v>0.35324100000000003</v>
      </c>
      <c r="P100" s="22">
        <v>147.511</v>
      </c>
      <c r="Q100" s="22">
        <v>-1.7019699999999999E-2</v>
      </c>
      <c r="R100" s="22">
        <v>90</v>
      </c>
      <c r="S100" s="22">
        <v>0.35260000000000002</v>
      </c>
      <c r="T100">
        <f t="shared" si="14"/>
        <v>17.0197</v>
      </c>
      <c r="U100">
        <f t="shared" si="15"/>
        <v>6.0120558477000001</v>
      </c>
      <c r="X100" s="9"/>
      <c r="Y100" s="22">
        <v>1.34674</v>
      </c>
      <c r="Z100" s="22">
        <v>211.09700000000001</v>
      </c>
      <c r="AA100" s="22">
        <v>-1.6384900000000001E-2</v>
      </c>
      <c r="AB100" s="22">
        <v>90</v>
      </c>
      <c r="AC100" s="22">
        <v>1.3458300000000001</v>
      </c>
      <c r="AD100">
        <f t="shared" si="16"/>
        <v>16.384900000000002</v>
      </c>
      <c r="AE100">
        <f t="shared" si="17"/>
        <v>22.066200226000003</v>
      </c>
      <c r="AF100" s="9"/>
      <c r="AG100" s="22">
        <v>0.35324100000000003</v>
      </c>
      <c r="AH100" s="22">
        <v>343.43</v>
      </c>
      <c r="AI100" s="22">
        <v>-1.6983000000000002E-2</v>
      </c>
      <c r="AJ100" s="22">
        <v>90</v>
      </c>
      <c r="AK100" s="22">
        <v>0.35256999999999999</v>
      </c>
      <c r="AL100">
        <f t="shared" si="18"/>
        <v>16.983000000000001</v>
      </c>
      <c r="AM100">
        <f t="shared" si="19"/>
        <v>5.9990919030000009</v>
      </c>
      <c r="AP100" s="9"/>
      <c r="AQ100" s="22">
        <v>1.34674</v>
      </c>
      <c r="AR100" s="22">
        <v>412.52</v>
      </c>
      <c r="AS100" s="22">
        <v>-1.6336099999999999E-2</v>
      </c>
      <c r="AT100" s="22">
        <v>90</v>
      </c>
      <c r="AU100" s="22">
        <v>1.34613</v>
      </c>
      <c r="AV100">
        <f t="shared" si="20"/>
        <v>16.336099999999998</v>
      </c>
      <c r="AW100">
        <f t="shared" si="21"/>
        <v>22.000479314</v>
      </c>
      <c r="AX100" s="9"/>
      <c r="AY100" s="22">
        <v>0.35324100000000003</v>
      </c>
      <c r="AZ100" s="22">
        <v>473.35300000000001</v>
      </c>
      <c r="BA100" s="22">
        <v>-1.6967800000000002E-2</v>
      </c>
      <c r="BB100" s="22">
        <v>90</v>
      </c>
      <c r="BC100" s="22">
        <v>0.35244799999999998</v>
      </c>
      <c r="BD100">
        <f t="shared" si="22"/>
        <v>16.9678</v>
      </c>
      <c r="BE100">
        <f t="shared" si="23"/>
        <v>5.9937226398000005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36.684800000000003</v>
      </c>
      <c r="I101" s="22">
        <v>4.9835200000000003E-2</v>
      </c>
      <c r="J101" s="22">
        <v>91</v>
      </c>
      <c r="K101" s="22">
        <v>7.9315200000000002E-2</v>
      </c>
      <c r="L101">
        <f t="shared" si="12"/>
        <v>-49.8352</v>
      </c>
      <c r="M101">
        <f t="shared" si="13"/>
        <v>-66.864386191999998</v>
      </c>
      <c r="N101" s="9"/>
      <c r="O101" s="22">
        <v>0.35827599999999998</v>
      </c>
      <c r="P101" s="22">
        <v>147.61199999999999</v>
      </c>
      <c r="Q101" s="22">
        <v>-1.70166E-2</v>
      </c>
      <c r="R101" s="22">
        <v>91</v>
      </c>
      <c r="S101" s="22">
        <v>0.35745199999999999</v>
      </c>
      <c r="T101">
        <f t="shared" si="14"/>
        <v>17.0166</v>
      </c>
      <c r="U101">
        <f t="shared" si="15"/>
        <v>6.0966393816000002</v>
      </c>
      <c r="X101" s="9"/>
      <c r="Y101" s="22">
        <v>1.34171</v>
      </c>
      <c r="Z101" s="22">
        <v>211.19800000000001</v>
      </c>
      <c r="AA101" s="22">
        <v>-1.6393999999999999E-2</v>
      </c>
      <c r="AB101" s="22">
        <v>91</v>
      </c>
      <c r="AC101" s="22">
        <v>1.34094</v>
      </c>
      <c r="AD101">
        <f t="shared" si="16"/>
        <v>16.393999999999998</v>
      </c>
      <c r="AE101">
        <f t="shared" si="17"/>
        <v>21.995993739999996</v>
      </c>
      <c r="AF101" s="9"/>
      <c r="AG101" s="22">
        <v>0.35827599999999998</v>
      </c>
      <c r="AH101" s="22">
        <v>343.53100000000001</v>
      </c>
      <c r="AI101" s="22">
        <v>-1.6979999999999999E-2</v>
      </c>
      <c r="AJ101" s="22">
        <v>91</v>
      </c>
      <c r="AK101" s="22">
        <v>0.35751300000000003</v>
      </c>
      <c r="AL101">
        <f t="shared" si="18"/>
        <v>16.979999999999997</v>
      </c>
      <c r="AM101">
        <f t="shared" si="19"/>
        <v>6.0835264799999988</v>
      </c>
      <c r="AP101" s="9"/>
      <c r="AQ101" s="22">
        <v>1.34171</v>
      </c>
      <c r="AR101" s="22">
        <v>412.62099999999998</v>
      </c>
      <c r="AS101" s="22">
        <v>-1.6345200000000001E-2</v>
      </c>
      <c r="AT101" s="22">
        <v>91</v>
      </c>
      <c r="AU101" s="22">
        <v>1.3412500000000001</v>
      </c>
      <c r="AV101">
        <f t="shared" si="20"/>
        <v>16.345200000000002</v>
      </c>
      <c r="AW101">
        <f t="shared" si="21"/>
        <v>21.930518292000002</v>
      </c>
      <c r="AX101" s="9"/>
      <c r="AY101" s="22">
        <v>0.35827599999999998</v>
      </c>
      <c r="AZ101" s="22">
        <v>473.45400000000001</v>
      </c>
      <c r="BA101" s="22">
        <v>-1.6958600000000001E-2</v>
      </c>
      <c r="BB101" s="22">
        <v>91</v>
      </c>
      <c r="BC101" s="22">
        <v>0.357574</v>
      </c>
      <c r="BD101">
        <f t="shared" si="22"/>
        <v>16.958600000000001</v>
      </c>
      <c r="BE101">
        <f t="shared" si="23"/>
        <v>6.0758593736000002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36.785499999999999</v>
      </c>
      <c r="I102" s="22">
        <v>4.98749E-2</v>
      </c>
      <c r="J102" s="22">
        <v>92</v>
      </c>
      <c r="K102" s="22">
        <v>7.9315200000000002E-2</v>
      </c>
      <c r="L102">
        <f t="shared" si="12"/>
        <v>-49.874899999999997</v>
      </c>
      <c r="M102">
        <f t="shared" si="13"/>
        <v>-66.666282582999997</v>
      </c>
      <c r="N102" s="9"/>
      <c r="O102" s="22">
        <v>0.36331200000000002</v>
      </c>
      <c r="P102" s="22">
        <v>147.71199999999999</v>
      </c>
      <c r="Q102" s="22">
        <v>-1.7013500000000001E-2</v>
      </c>
      <c r="R102" s="22">
        <v>92</v>
      </c>
      <c r="S102" s="22">
        <v>0.36257899999999998</v>
      </c>
      <c r="T102">
        <f t="shared" si="14"/>
        <v>17.013500000000001</v>
      </c>
      <c r="U102">
        <f t="shared" si="15"/>
        <v>6.181208712000001</v>
      </c>
      <c r="X102" s="9"/>
      <c r="Y102" s="22">
        <v>1.33667</v>
      </c>
      <c r="Z102" s="22">
        <v>211.298</v>
      </c>
      <c r="AA102" s="22">
        <v>-1.6397100000000001E-2</v>
      </c>
      <c r="AB102" s="22">
        <v>92</v>
      </c>
      <c r="AC102" s="22">
        <v>1.33606</v>
      </c>
      <c r="AD102">
        <f t="shared" si="16"/>
        <v>16.397100000000002</v>
      </c>
      <c r="AE102">
        <f t="shared" si="17"/>
        <v>21.917511657000002</v>
      </c>
      <c r="AF102" s="9"/>
      <c r="AG102" s="22">
        <v>0.36331200000000002</v>
      </c>
      <c r="AH102" s="22">
        <v>343.63200000000001</v>
      </c>
      <c r="AI102" s="22">
        <v>-1.69769E-2</v>
      </c>
      <c r="AJ102" s="22">
        <v>92</v>
      </c>
      <c r="AK102" s="22">
        <v>0.36254900000000001</v>
      </c>
      <c r="AL102">
        <f t="shared" si="18"/>
        <v>16.976900000000001</v>
      </c>
      <c r="AM102">
        <f t="shared" si="19"/>
        <v>6.1679114928000009</v>
      </c>
      <c r="AP102" s="9"/>
      <c r="AQ102" s="22">
        <v>1.33667</v>
      </c>
      <c r="AR102" s="22">
        <v>412.72199999999998</v>
      </c>
      <c r="AS102" s="22">
        <v>-1.6351299999999999E-2</v>
      </c>
      <c r="AT102" s="22">
        <v>92</v>
      </c>
      <c r="AU102" s="22">
        <v>1.33606</v>
      </c>
      <c r="AV102">
        <f t="shared" si="20"/>
        <v>16.351299999999998</v>
      </c>
      <c r="AW102">
        <f t="shared" si="21"/>
        <v>21.856292171</v>
      </c>
      <c r="AX102" s="9"/>
      <c r="AY102" s="22">
        <v>0.36331200000000002</v>
      </c>
      <c r="AZ102" s="22">
        <v>473.55500000000001</v>
      </c>
      <c r="BA102" s="22">
        <v>-1.69617E-2</v>
      </c>
      <c r="BB102" s="22">
        <v>92</v>
      </c>
      <c r="BC102" s="22">
        <v>0.36254900000000001</v>
      </c>
      <c r="BD102">
        <f t="shared" si="22"/>
        <v>16.9617</v>
      </c>
      <c r="BE102">
        <f t="shared" si="23"/>
        <v>6.1623891504000001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36.886200000000002</v>
      </c>
      <c r="I103" s="22">
        <v>4.9822999999999999E-2</v>
      </c>
      <c r="J103" s="22">
        <v>93</v>
      </c>
      <c r="K103" s="22">
        <v>7.92847E-2</v>
      </c>
      <c r="L103">
        <f t="shared" si="12"/>
        <v>-49.823</v>
      </c>
      <c r="M103">
        <f t="shared" si="13"/>
        <v>-66.345801489999999</v>
      </c>
      <c r="N103" s="9"/>
      <c r="O103" s="22">
        <v>0.36834699999999998</v>
      </c>
      <c r="P103" s="22">
        <v>147.81299999999999</v>
      </c>
      <c r="Q103" s="22">
        <v>-1.7010500000000001E-2</v>
      </c>
      <c r="R103" s="22">
        <v>93</v>
      </c>
      <c r="S103" s="22">
        <v>0.36752299999999999</v>
      </c>
      <c r="T103">
        <f t="shared" si="14"/>
        <v>17.0105</v>
      </c>
      <c r="U103">
        <f t="shared" si="15"/>
        <v>6.2657666435000001</v>
      </c>
      <c r="X103" s="9"/>
      <c r="Y103" s="22">
        <v>1.3316300000000001</v>
      </c>
      <c r="Z103" s="22">
        <v>211.399</v>
      </c>
      <c r="AA103" s="22">
        <v>-1.6400100000000001E-2</v>
      </c>
      <c r="AB103" s="22">
        <v>93</v>
      </c>
      <c r="AC103" s="22">
        <v>1.33057</v>
      </c>
      <c r="AD103">
        <f t="shared" si="16"/>
        <v>16.400100000000002</v>
      </c>
      <c r="AE103">
        <f t="shared" si="17"/>
        <v>21.838865163000005</v>
      </c>
      <c r="AF103" s="9"/>
      <c r="AG103" s="22">
        <v>0.36834699999999998</v>
      </c>
      <c r="AH103" s="22">
        <v>343.73200000000003</v>
      </c>
      <c r="AI103" s="22">
        <v>-1.6970800000000001E-2</v>
      </c>
      <c r="AJ103" s="22">
        <v>93</v>
      </c>
      <c r="AK103" s="22">
        <v>0.367645</v>
      </c>
      <c r="AL103">
        <f t="shared" si="18"/>
        <v>16.970800000000001</v>
      </c>
      <c r="AM103">
        <f t="shared" si="19"/>
        <v>6.2511432675999998</v>
      </c>
      <c r="AP103" s="9"/>
      <c r="AQ103" s="22">
        <v>1.3316300000000001</v>
      </c>
      <c r="AR103" s="22">
        <v>412.822</v>
      </c>
      <c r="AS103" s="22">
        <v>-1.6357400000000001E-2</v>
      </c>
      <c r="AT103" s="22">
        <v>93</v>
      </c>
      <c r="AU103" s="22">
        <v>1.33087</v>
      </c>
      <c r="AV103">
        <f t="shared" si="20"/>
        <v>16.357400000000002</v>
      </c>
      <c r="AW103">
        <f t="shared" si="21"/>
        <v>21.782004562000004</v>
      </c>
      <c r="AX103" s="9"/>
      <c r="AY103" s="22">
        <v>0.36834699999999998</v>
      </c>
      <c r="AZ103" s="22">
        <v>473.65499999999997</v>
      </c>
      <c r="BA103" s="22">
        <v>-1.6958600000000001E-2</v>
      </c>
      <c r="BB103" s="22">
        <v>93</v>
      </c>
      <c r="BC103" s="22">
        <v>0.367645</v>
      </c>
      <c r="BD103">
        <f t="shared" si="22"/>
        <v>16.958600000000001</v>
      </c>
      <c r="BE103">
        <f t="shared" si="23"/>
        <v>6.2466494342000001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36.986899999999999</v>
      </c>
      <c r="I104" s="22">
        <v>4.9764999999999997E-2</v>
      </c>
      <c r="J104" s="22">
        <v>94</v>
      </c>
      <c r="K104" s="22">
        <v>7.92847E-2</v>
      </c>
      <c r="L104">
        <f t="shared" si="12"/>
        <v>-49.764999999999993</v>
      </c>
      <c r="M104">
        <f t="shared" si="13"/>
        <v>-66.018248999999997</v>
      </c>
      <c r="N104" s="9"/>
      <c r="O104" s="22">
        <v>0.37338300000000002</v>
      </c>
      <c r="P104" s="22">
        <v>147.91399999999999</v>
      </c>
      <c r="Q104" s="22">
        <v>-1.7013500000000001E-2</v>
      </c>
      <c r="R104" s="22">
        <v>94</v>
      </c>
      <c r="S104" s="22">
        <v>0.372498</v>
      </c>
      <c r="T104">
        <f t="shared" si="14"/>
        <v>17.013500000000001</v>
      </c>
      <c r="U104">
        <f t="shared" si="15"/>
        <v>6.3525516705000005</v>
      </c>
      <c r="X104" s="9"/>
      <c r="Y104" s="22">
        <v>1.3266</v>
      </c>
      <c r="Z104" s="22">
        <v>211.5</v>
      </c>
      <c r="AA104" s="22">
        <v>-1.6406299999999999E-2</v>
      </c>
      <c r="AB104" s="22">
        <v>94</v>
      </c>
      <c r="AC104" s="22">
        <v>1.32568</v>
      </c>
      <c r="AD104">
        <f t="shared" si="16"/>
        <v>16.406299999999998</v>
      </c>
      <c r="AE104">
        <f t="shared" si="17"/>
        <v>21.764597579999997</v>
      </c>
      <c r="AF104" s="9"/>
      <c r="AG104" s="22">
        <v>0.37338300000000002</v>
      </c>
      <c r="AH104" s="22">
        <v>343.83300000000003</v>
      </c>
      <c r="AI104" s="22">
        <v>-1.69739E-2</v>
      </c>
      <c r="AJ104" s="22">
        <v>94</v>
      </c>
      <c r="AK104" s="22">
        <v>0.372589</v>
      </c>
      <c r="AL104">
        <f t="shared" si="18"/>
        <v>16.9739</v>
      </c>
      <c r="AM104">
        <f t="shared" si="19"/>
        <v>6.3377657037000006</v>
      </c>
      <c r="AP104" s="9"/>
      <c r="AQ104" s="22">
        <v>1.3266</v>
      </c>
      <c r="AR104" s="22">
        <v>412.923</v>
      </c>
      <c r="AS104" s="22">
        <v>-1.63635E-2</v>
      </c>
      <c r="AT104" s="22">
        <v>94</v>
      </c>
      <c r="AU104" s="22">
        <v>1.32568</v>
      </c>
      <c r="AV104">
        <f t="shared" si="20"/>
        <v>16.363499999999998</v>
      </c>
      <c r="AW104">
        <f t="shared" si="21"/>
        <v>21.707819099999998</v>
      </c>
      <c r="AX104" s="9"/>
      <c r="AY104" s="22">
        <v>0.37338300000000002</v>
      </c>
      <c r="AZ104" s="22">
        <v>473.75599999999997</v>
      </c>
      <c r="BA104" s="22">
        <v>-1.6955600000000001E-2</v>
      </c>
      <c r="BB104" s="22">
        <v>94</v>
      </c>
      <c r="BC104" s="22">
        <v>0.37264999999999998</v>
      </c>
      <c r="BD104">
        <f t="shared" si="22"/>
        <v>16.9556</v>
      </c>
      <c r="BE104">
        <f t="shared" si="23"/>
        <v>6.3309327948000007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37.087600000000002</v>
      </c>
      <c r="I105" s="22">
        <v>4.9826000000000002E-2</v>
      </c>
      <c r="J105" s="22">
        <v>95</v>
      </c>
      <c r="K105" s="22">
        <v>7.92847E-2</v>
      </c>
      <c r="L105">
        <f t="shared" si="12"/>
        <v>-49.826000000000001</v>
      </c>
      <c r="M105">
        <f t="shared" si="13"/>
        <v>-65.848048560000009</v>
      </c>
      <c r="N105" s="9"/>
      <c r="O105" s="22">
        <v>0.37841799999999998</v>
      </c>
      <c r="P105" s="22">
        <v>148.01499999999999</v>
      </c>
      <c r="Q105" s="22">
        <v>-1.7007399999999999E-2</v>
      </c>
      <c r="R105" s="22">
        <v>95</v>
      </c>
      <c r="S105" s="22">
        <v>0.37777699999999997</v>
      </c>
      <c r="T105">
        <f t="shared" si="14"/>
        <v>17.007400000000001</v>
      </c>
      <c r="U105">
        <f t="shared" si="15"/>
        <v>6.4359062931999995</v>
      </c>
      <c r="X105" s="9"/>
      <c r="Y105" s="22">
        <v>1.3215600000000001</v>
      </c>
      <c r="Z105" s="22">
        <v>211.601</v>
      </c>
      <c r="AA105" s="22">
        <v>-1.6409300000000002E-2</v>
      </c>
      <c r="AB105" s="22">
        <v>95</v>
      </c>
      <c r="AC105" s="22">
        <v>1.3208</v>
      </c>
      <c r="AD105">
        <f t="shared" si="16"/>
        <v>16.409300000000002</v>
      </c>
      <c r="AE105">
        <f t="shared" si="17"/>
        <v>21.685874508000005</v>
      </c>
      <c r="AF105" s="9"/>
      <c r="AG105" s="22">
        <v>0.37841799999999998</v>
      </c>
      <c r="AH105" s="22">
        <v>343.93400000000003</v>
      </c>
      <c r="AI105" s="22">
        <v>-1.69739E-2</v>
      </c>
      <c r="AJ105" s="22">
        <v>95</v>
      </c>
      <c r="AK105" s="22">
        <v>0.37768600000000002</v>
      </c>
      <c r="AL105">
        <f t="shared" si="18"/>
        <v>16.9739</v>
      </c>
      <c r="AM105">
        <f t="shared" si="19"/>
        <v>6.4232292902000001</v>
      </c>
      <c r="AP105" s="9"/>
      <c r="AQ105" s="22">
        <v>1.3215600000000001</v>
      </c>
      <c r="AR105" s="22">
        <v>413.024</v>
      </c>
      <c r="AS105" s="22">
        <v>-1.63727E-2</v>
      </c>
      <c r="AT105" s="22">
        <v>95</v>
      </c>
      <c r="AU105" s="22">
        <v>1.3208</v>
      </c>
      <c r="AV105">
        <f t="shared" si="20"/>
        <v>16.372700000000002</v>
      </c>
      <c r="AW105">
        <f t="shared" si="21"/>
        <v>21.637505412000003</v>
      </c>
      <c r="AX105" s="9"/>
      <c r="AY105" s="22">
        <v>0.37841799999999998</v>
      </c>
      <c r="AZ105" s="22">
        <v>473.85700000000003</v>
      </c>
      <c r="BA105" s="22">
        <v>-1.6952499999999999E-2</v>
      </c>
      <c r="BB105" s="22">
        <v>95</v>
      </c>
      <c r="BC105" s="22">
        <v>0.37777699999999997</v>
      </c>
      <c r="BD105">
        <f t="shared" si="22"/>
        <v>16.952500000000001</v>
      </c>
      <c r="BE105">
        <f t="shared" si="23"/>
        <v>6.4151311450000001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37.188299999999998</v>
      </c>
      <c r="I106" s="22">
        <v>6.3351400000000002E-2</v>
      </c>
      <c r="J106" s="22">
        <v>96</v>
      </c>
      <c r="K106" s="22">
        <v>7.9345700000000005E-2</v>
      </c>
      <c r="L106">
        <f t="shared" si="12"/>
        <v>-63.351400000000005</v>
      </c>
      <c r="M106">
        <f t="shared" si="13"/>
        <v>-83.404018642000011</v>
      </c>
      <c r="N106" s="9"/>
      <c r="O106" s="22">
        <v>0.38345299999999999</v>
      </c>
      <c r="P106" s="22">
        <v>148.11500000000001</v>
      </c>
      <c r="Q106" s="22">
        <v>-1.7004399999999999E-2</v>
      </c>
      <c r="R106" s="22">
        <v>96</v>
      </c>
      <c r="S106" s="22">
        <v>0.38281300000000001</v>
      </c>
      <c r="T106">
        <f t="shared" si="14"/>
        <v>17.0044</v>
      </c>
      <c r="U106">
        <f t="shared" si="15"/>
        <v>6.5203881931999996</v>
      </c>
      <c r="X106" s="9"/>
      <c r="Y106" s="22">
        <v>1.31653</v>
      </c>
      <c r="Z106" s="22">
        <v>211.70099999999999</v>
      </c>
      <c r="AA106" s="22">
        <v>-1.6406299999999999E-2</v>
      </c>
      <c r="AB106" s="22">
        <v>96</v>
      </c>
      <c r="AC106" s="22">
        <v>1.31592</v>
      </c>
      <c r="AD106">
        <f t="shared" si="16"/>
        <v>16.406299999999998</v>
      </c>
      <c r="AE106">
        <f t="shared" si="17"/>
        <v>21.599386138999996</v>
      </c>
      <c r="AF106" s="9"/>
      <c r="AG106" s="22">
        <v>0.38345299999999999</v>
      </c>
      <c r="AH106" s="22">
        <v>344.03500000000003</v>
      </c>
      <c r="AI106" s="22">
        <v>-1.6970800000000001E-2</v>
      </c>
      <c r="AJ106" s="22">
        <v>96</v>
      </c>
      <c r="AK106" s="22">
        <v>0.38259900000000002</v>
      </c>
      <c r="AL106">
        <f t="shared" si="18"/>
        <v>16.970800000000001</v>
      </c>
      <c r="AM106">
        <f t="shared" si="19"/>
        <v>6.5075041724</v>
      </c>
      <c r="AP106" s="9"/>
      <c r="AQ106" s="22">
        <v>1.31653</v>
      </c>
      <c r="AR106" s="22">
        <v>413.125</v>
      </c>
      <c r="AS106" s="22">
        <v>-1.6378799999999999E-2</v>
      </c>
      <c r="AT106" s="22">
        <v>96</v>
      </c>
      <c r="AU106" s="22">
        <v>1.3156099999999999</v>
      </c>
      <c r="AV106">
        <f t="shared" si="20"/>
        <v>16.378799999999998</v>
      </c>
      <c r="AW106">
        <f t="shared" si="21"/>
        <v>21.563181563999997</v>
      </c>
      <c r="AX106" s="9"/>
      <c r="AY106" s="22">
        <v>0.38345299999999999</v>
      </c>
      <c r="AZ106" s="22">
        <v>473.95800000000003</v>
      </c>
      <c r="BA106" s="22">
        <v>-1.6952499999999999E-2</v>
      </c>
      <c r="BB106" s="22">
        <v>96</v>
      </c>
      <c r="BC106" s="22">
        <v>0.38278200000000001</v>
      </c>
      <c r="BD106">
        <f t="shared" si="22"/>
        <v>16.952500000000001</v>
      </c>
      <c r="BE106">
        <f t="shared" si="23"/>
        <v>6.5004869825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37.289000000000001</v>
      </c>
      <c r="I107" s="22">
        <v>4.9813799999999998E-2</v>
      </c>
      <c r="J107" s="22">
        <v>97</v>
      </c>
      <c r="K107" s="22">
        <v>7.9345700000000005E-2</v>
      </c>
      <c r="L107">
        <f t="shared" si="12"/>
        <v>-49.813800000000001</v>
      </c>
      <c r="M107">
        <f t="shared" si="13"/>
        <v>-65.330300562000005</v>
      </c>
      <c r="N107" s="9"/>
      <c r="O107" s="22">
        <v>0.38848899999999997</v>
      </c>
      <c r="P107" s="22">
        <v>148.21600000000001</v>
      </c>
      <c r="Q107" s="22">
        <v>-1.70013E-2</v>
      </c>
      <c r="R107" s="22">
        <v>97</v>
      </c>
      <c r="S107" s="22">
        <v>0.38766499999999998</v>
      </c>
      <c r="T107">
        <f t="shared" si="14"/>
        <v>17.001300000000001</v>
      </c>
      <c r="U107">
        <f t="shared" si="15"/>
        <v>6.6048180357000001</v>
      </c>
      <c r="X107" s="9"/>
      <c r="Y107" s="22">
        <v>1.31149</v>
      </c>
      <c r="Z107" s="22">
        <v>211.80199999999999</v>
      </c>
      <c r="AA107" s="22">
        <v>-1.6427600000000001E-2</v>
      </c>
      <c r="AB107" s="22">
        <v>97</v>
      </c>
      <c r="AC107" s="22">
        <v>1.31073</v>
      </c>
      <c r="AD107">
        <f t="shared" si="16"/>
        <v>16.427600000000002</v>
      </c>
      <c r="AE107">
        <f t="shared" si="17"/>
        <v>21.544633124000004</v>
      </c>
      <c r="AF107" s="9"/>
      <c r="AG107" s="22">
        <v>0.38848899999999997</v>
      </c>
      <c r="AH107" s="22">
        <v>344.13499999999999</v>
      </c>
      <c r="AI107" s="22">
        <v>-1.6964699999999999E-2</v>
      </c>
      <c r="AJ107" s="22">
        <v>97</v>
      </c>
      <c r="AK107" s="22">
        <v>0.38772600000000002</v>
      </c>
      <c r="AL107">
        <f t="shared" si="18"/>
        <v>16.964700000000001</v>
      </c>
      <c r="AM107">
        <f t="shared" si="19"/>
        <v>6.5905993382999997</v>
      </c>
      <c r="AP107" s="9"/>
      <c r="AQ107" s="22">
        <v>1.31149</v>
      </c>
      <c r="AR107" s="22">
        <v>413.22500000000002</v>
      </c>
      <c r="AS107" s="22">
        <v>-1.63727E-2</v>
      </c>
      <c r="AT107" s="22">
        <v>97</v>
      </c>
      <c r="AU107" s="22">
        <v>1.31104</v>
      </c>
      <c r="AV107">
        <f t="shared" si="20"/>
        <v>16.372700000000002</v>
      </c>
      <c r="AW107">
        <f t="shared" si="21"/>
        <v>21.472632323000003</v>
      </c>
      <c r="AX107" s="9"/>
      <c r="AY107" s="22">
        <v>0.38848899999999997</v>
      </c>
      <c r="AZ107" s="22">
        <v>474.05799999999999</v>
      </c>
      <c r="BA107" s="22">
        <v>-1.69464E-2</v>
      </c>
      <c r="BB107" s="22">
        <v>97</v>
      </c>
      <c r="BC107" s="22">
        <v>0.38778699999999999</v>
      </c>
      <c r="BD107">
        <f t="shared" si="22"/>
        <v>16.946400000000001</v>
      </c>
      <c r="BE107">
        <f t="shared" si="23"/>
        <v>6.5834899895999994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37.389800000000001</v>
      </c>
      <c r="I108" s="22">
        <v>4.9844399999999997E-2</v>
      </c>
      <c r="J108" s="22">
        <v>98</v>
      </c>
      <c r="K108" s="22">
        <v>7.9345700000000005E-2</v>
      </c>
      <c r="L108">
        <f t="shared" si="12"/>
        <v>-49.8444</v>
      </c>
      <c r="M108">
        <f t="shared" si="13"/>
        <v>-65.119714823999999</v>
      </c>
      <c r="N108" s="9"/>
      <c r="O108" s="22">
        <v>0.39352399999999998</v>
      </c>
      <c r="P108" s="22">
        <v>148.31700000000001</v>
      </c>
      <c r="Q108" s="22">
        <v>-1.70013E-2</v>
      </c>
      <c r="R108" s="22">
        <v>98</v>
      </c>
      <c r="S108" s="22">
        <v>0.39285300000000001</v>
      </c>
      <c r="T108">
        <f t="shared" si="14"/>
        <v>17.001300000000001</v>
      </c>
      <c r="U108">
        <f t="shared" si="15"/>
        <v>6.6904195811999996</v>
      </c>
      <c r="X108" s="9"/>
      <c r="Y108" s="22">
        <v>1.30646</v>
      </c>
      <c r="Z108" s="22">
        <v>211.90299999999999</v>
      </c>
      <c r="AA108" s="22">
        <v>-1.6421499999999999E-2</v>
      </c>
      <c r="AB108" s="22">
        <v>98</v>
      </c>
      <c r="AC108" s="22">
        <v>1.3055399999999999</v>
      </c>
      <c r="AD108">
        <f t="shared" si="16"/>
        <v>16.421499999999998</v>
      </c>
      <c r="AE108">
        <f t="shared" si="17"/>
        <v>21.454032889999997</v>
      </c>
      <c r="AF108" s="9"/>
      <c r="AG108" s="22">
        <v>0.39352399999999998</v>
      </c>
      <c r="AH108" s="22">
        <v>344.23599999999999</v>
      </c>
      <c r="AI108" s="22">
        <v>-1.6955600000000001E-2</v>
      </c>
      <c r="AJ108" s="22">
        <v>98</v>
      </c>
      <c r="AK108" s="22">
        <v>0.39279199999999997</v>
      </c>
      <c r="AL108">
        <f t="shared" si="18"/>
        <v>16.9556</v>
      </c>
      <c r="AM108">
        <f t="shared" si="19"/>
        <v>6.6724355343999999</v>
      </c>
      <c r="AP108" s="9"/>
      <c r="AQ108" s="22">
        <v>1.30646</v>
      </c>
      <c r="AR108" s="22">
        <v>413.32600000000002</v>
      </c>
      <c r="AS108" s="22">
        <v>-1.6378799999999999E-2</v>
      </c>
      <c r="AT108" s="22">
        <v>98</v>
      </c>
      <c r="AU108" s="22">
        <v>1.3055399999999999</v>
      </c>
      <c r="AV108">
        <f t="shared" si="20"/>
        <v>16.378799999999998</v>
      </c>
      <c r="AW108">
        <f t="shared" si="21"/>
        <v>21.398247047999998</v>
      </c>
      <c r="AX108" s="9"/>
      <c r="AY108" s="22">
        <v>0.39352399999999998</v>
      </c>
      <c r="AZ108" s="22">
        <v>474.15899999999999</v>
      </c>
      <c r="BA108" s="22">
        <v>-1.6943400000000001E-2</v>
      </c>
      <c r="BB108" s="22">
        <v>98</v>
      </c>
      <c r="BC108" s="22">
        <v>0.39279199999999997</v>
      </c>
      <c r="BD108">
        <f t="shared" si="22"/>
        <v>16.9434</v>
      </c>
      <c r="BE108">
        <f t="shared" si="23"/>
        <v>6.6676345416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37.490499999999997</v>
      </c>
      <c r="I109" s="22">
        <v>4.9743700000000002E-2</v>
      </c>
      <c r="J109" s="22">
        <v>99</v>
      </c>
      <c r="K109" s="22">
        <v>7.9345700000000005E-2</v>
      </c>
      <c r="L109">
        <f t="shared" si="12"/>
        <v>-49.743700000000004</v>
      </c>
      <c r="M109">
        <f t="shared" si="13"/>
        <v>-64.737446054000003</v>
      </c>
      <c r="N109" s="9"/>
      <c r="O109" s="22">
        <v>0.39856000000000003</v>
      </c>
      <c r="P109" s="22">
        <v>148.417</v>
      </c>
      <c r="Q109" s="22">
        <v>-1.6998300000000001E-2</v>
      </c>
      <c r="R109" s="22">
        <v>99</v>
      </c>
      <c r="S109" s="22">
        <v>0.39779700000000001</v>
      </c>
      <c r="T109">
        <f t="shared" si="14"/>
        <v>16.9983</v>
      </c>
      <c r="U109">
        <f t="shared" si="15"/>
        <v>6.7748424480000002</v>
      </c>
      <c r="X109" s="9"/>
      <c r="Y109" s="22">
        <v>1.30142</v>
      </c>
      <c r="Z109" s="22">
        <v>212.00299999999999</v>
      </c>
      <c r="AA109" s="22">
        <v>-1.6421499999999999E-2</v>
      </c>
      <c r="AB109" s="22">
        <v>99</v>
      </c>
      <c r="AC109" s="22">
        <v>1.3006599999999999</v>
      </c>
      <c r="AD109">
        <f t="shared" si="16"/>
        <v>16.421499999999998</v>
      </c>
      <c r="AE109">
        <f t="shared" si="17"/>
        <v>21.371268529999998</v>
      </c>
      <c r="AF109" s="9"/>
      <c r="AG109" s="22">
        <v>0.39856000000000003</v>
      </c>
      <c r="AH109" s="22">
        <v>344.33699999999999</v>
      </c>
      <c r="AI109" s="22">
        <v>-1.6958600000000001E-2</v>
      </c>
      <c r="AJ109" s="22">
        <v>99</v>
      </c>
      <c r="AK109" s="22">
        <v>0.39773599999999998</v>
      </c>
      <c r="AL109">
        <f t="shared" si="18"/>
        <v>16.958600000000001</v>
      </c>
      <c r="AM109">
        <f t="shared" si="19"/>
        <v>6.7590196160000007</v>
      </c>
      <c r="AP109" s="9"/>
      <c r="AQ109" s="22">
        <v>1.30142</v>
      </c>
      <c r="AR109" s="22">
        <v>413.42700000000002</v>
      </c>
      <c r="AS109" s="22">
        <v>-1.63879E-2</v>
      </c>
      <c r="AT109" s="22">
        <v>99</v>
      </c>
      <c r="AU109" s="22">
        <v>1.3003499999999999</v>
      </c>
      <c r="AV109">
        <f t="shared" si="20"/>
        <v>16.387900000000002</v>
      </c>
      <c r="AW109">
        <f t="shared" si="21"/>
        <v>21.327540818000003</v>
      </c>
      <c r="AX109" s="9"/>
      <c r="AY109" s="22">
        <v>0.39856000000000003</v>
      </c>
      <c r="AZ109" s="22">
        <v>474.26</v>
      </c>
      <c r="BA109" s="22">
        <v>-1.6940299999999998E-2</v>
      </c>
      <c r="BB109" s="22">
        <v>99</v>
      </c>
      <c r="BC109" s="22">
        <v>0.39779700000000001</v>
      </c>
      <c r="BD109">
        <f t="shared" si="22"/>
        <v>16.940299999999997</v>
      </c>
      <c r="BE109">
        <f t="shared" si="23"/>
        <v>6.7517259679999988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37.591200000000001</v>
      </c>
      <c r="I110" s="22">
        <v>4.9868799999999998E-2</v>
      </c>
      <c r="J110" s="22">
        <v>100</v>
      </c>
      <c r="K110" s="22">
        <v>7.9437300000000002E-2</v>
      </c>
      <c r="L110">
        <f t="shared" si="12"/>
        <v>-49.8688</v>
      </c>
      <c r="M110">
        <f t="shared" si="13"/>
        <v>-64.649413631999991</v>
      </c>
      <c r="N110" s="9"/>
      <c r="O110" s="22">
        <v>0.40359499999999998</v>
      </c>
      <c r="P110" s="22">
        <v>148.518</v>
      </c>
      <c r="Q110" s="22">
        <v>-1.6992199999999999E-2</v>
      </c>
      <c r="R110" s="22">
        <v>100</v>
      </c>
      <c r="S110" s="22">
        <v>0.40286300000000003</v>
      </c>
      <c r="T110">
        <f t="shared" si="14"/>
        <v>16.9922</v>
      </c>
      <c r="U110">
        <f t="shared" si="15"/>
        <v>6.8579669589999996</v>
      </c>
      <c r="X110" s="9"/>
      <c r="Y110" s="22">
        <v>1.2963899999999999</v>
      </c>
      <c r="Z110" s="22">
        <v>212.10400000000001</v>
      </c>
      <c r="AA110" s="22">
        <v>-1.6427600000000001E-2</v>
      </c>
      <c r="AB110" s="22">
        <v>100</v>
      </c>
      <c r="AC110" s="22">
        <v>1.2954699999999999</v>
      </c>
      <c r="AD110">
        <f t="shared" si="16"/>
        <v>16.427600000000002</v>
      </c>
      <c r="AE110">
        <f t="shared" si="17"/>
        <v>21.296576364</v>
      </c>
      <c r="AF110" s="9"/>
      <c r="AG110" s="22">
        <v>0.40359499999999998</v>
      </c>
      <c r="AH110" s="22">
        <v>344.43700000000001</v>
      </c>
      <c r="AI110" s="22">
        <v>-1.69617E-2</v>
      </c>
      <c r="AJ110" s="22">
        <v>100</v>
      </c>
      <c r="AK110" s="22">
        <v>0.40283200000000002</v>
      </c>
      <c r="AL110">
        <f t="shared" si="18"/>
        <v>16.9617</v>
      </c>
      <c r="AM110">
        <f t="shared" si="19"/>
        <v>6.8456573115000001</v>
      </c>
      <c r="AP110" s="9"/>
      <c r="AQ110" s="22">
        <v>1.2963899999999999</v>
      </c>
      <c r="AR110" s="22">
        <v>413.52699999999999</v>
      </c>
      <c r="AS110" s="22">
        <v>-1.6397100000000001E-2</v>
      </c>
      <c r="AT110" s="22">
        <v>100</v>
      </c>
      <c r="AU110" s="22">
        <v>1.2957799999999999</v>
      </c>
      <c r="AV110">
        <f t="shared" si="20"/>
        <v>16.397100000000002</v>
      </c>
      <c r="AW110">
        <f t="shared" si="21"/>
        <v>21.257036469000003</v>
      </c>
      <c r="AX110" s="9"/>
      <c r="AY110" s="22">
        <v>0.40359499999999998</v>
      </c>
      <c r="AZ110" s="22">
        <v>474.36</v>
      </c>
      <c r="BA110" s="22">
        <v>-1.6937299999999999E-2</v>
      </c>
      <c r="BB110" s="22">
        <v>100</v>
      </c>
      <c r="BC110" s="22">
        <v>0.40283200000000002</v>
      </c>
      <c r="BD110">
        <f t="shared" si="22"/>
        <v>16.9373</v>
      </c>
      <c r="BE110">
        <f t="shared" si="23"/>
        <v>6.8358095934999996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37.691899999999997</v>
      </c>
      <c r="I111" s="22">
        <v>4.9844399999999997E-2</v>
      </c>
      <c r="J111" s="22">
        <v>101</v>
      </c>
      <c r="K111" s="22">
        <v>7.9376199999999994E-2</v>
      </c>
      <c r="L111">
        <f t="shared" si="12"/>
        <v>-49.8444</v>
      </c>
      <c r="M111">
        <f t="shared" si="13"/>
        <v>-64.366565940000001</v>
      </c>
      <c r="N111" s="9"/>
      <c r="O111" s="22">
        <v>0.40862999999999999</v>
      </c>
      <c r="P111" s="22">
        <v>148.619</v>
      </c>
      <c r="Q111" s="22">
        <v>-1.6998300000000001E-2</v>
      </c>
      <c r="R111" s="22">
        <v>101</v>
      </c>
      <c r="S111" s="22">
        <v>0.407806</v>
      </c>
      <c r="T111">
        <f t="shared" si="14"/>
        <v>16.9983</v>
      </c>
      <c r="U111">
        <f t="shared" si="15"/>
        <v>6.9460153289999997</v>
      </c>
      <c r="X111" s="9"/>
      <c r="Y111" s="22">
        <v>1.29135</v>
      </c>
      <c r="Z111" s="22">
        <v>212.20500000000001</v>
      </c>
      <c r="AA111" s="22">
        <v>-1.6427600000000001E-2</v>
      </c>
      <c r="AB111" s="22">
        <v>101</v>
      </c>
      <c r="AC111" s="22">
        <v>1.2902800000000001</v>
      </c>
      <c r="AD111">
        <f t="shared" si="16"/>
        <v>16.427600000000002</v>
      </c>
      <c r="AE111">
        <f t="shared" si="17"/>
        <v>21.213781260000001</v>
      </c>
      <c r="AF111" s="9"/>
      <c r="AG111" s="22">
        <v>0.40862999999999999</v>
      </c>
      <c r="AH111" s="22">
        <v>344.53800000000001</v>
      </c>
      <c r="AI111" s="22">
        <v>-1.69617E-2</v>
      </c>
      <c r="AJ111" s="22">
        <v>101</v>
      </c>
      <c r="AK111" s="22">
        <v>0.40786699999999998</v>
      </c>
      <c r="AL111">
        <f t="shared" si="18"/>
        <v>16.9617</v>
      </c>
      <c r="AM111">
        <f t="shared" si="19"/>
        <v>6.9310594710000002</v>
      </c>
      <c r="AP111" s="9"/>
      <c r="AQ111" s="22">
        <v>1.29135</v>
      </c>
      <c r="AR111" s="22">
        <v>413.62799999999999</v>
      </c>
      <c r="AS111" s="22">
        <v>-1.64032E-2</v>
      </c>
      <c r="AT111" s="22">
        <v>101</v>
      </c>
      <c r="AU111" s="22">
        <v>1.2902800000000001</v>
      </c>
      <c r="AV111">
        <f t="shared" si="20"/>
        <v>16.403199999999998</v>
      </c>
      <c r="AW111">
        <f t="shared" si="21"/>
        <v>21.182272319999999</v>
      </c>
      <c r="AX111" s="9"/>
      <c r="AY111" s="22">
        <v>0.40862999999999999</v>
      </c>
      <c r="AZ111" s="22">
        <v>474.46100000000001</v>
      </c>
      <c r="BA111" s="22">
        <v>-1.6937299999999999E-2</v>
      </c>
      <c r="BB111" s="22">
        <v>101</v>
      </c>
      <c r="BC111" s="22">
        <v>0.40808100000000003</v>
      </c>
      <c r="BD111">
        <f t="shared" si="22"/>
        <v>16.9373</v>
      </c>
      <c r="BE111">
        <f t="shared" si="23"/>
        <v>6.9210888989999999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37.7926</v>
      </c>
      <c r="I112" s="22">
        <v>4.9883999999999998E-2</v>
      </c>
      <c r="J112" s="22">
        <v>102</v>
      </c>
      <c r="K112" s="22">
        <v>7.9406699999999997E-2</v>
      </c>
      <c r="L112">
        <f t="shared" si="12"/>
        <v>-49.884</v>
      </c>
      <c r="M112">
        <f t="shared" si="13"/>
        <v>-64.166786879999989</v>
      </c>
      <c r="N112" s="9"/>
      <c r="O112" s="22">
        <v>0.41366599999999998</v>
      </c>
      <c r="P112" s="22">
        <v>148.71899999999999</v>
      </c>
      <c r="Q112" s="22">
        <v>-1.6992199999999999E-2</v>
      </c>
      <c r="R112" s="22">
        <v>102</v>
      </c>
      <c r="S112" s="22">
        <v>0.41299400000000003</v>
      </c>
      <c r="T112">
        <f t="shared" si="14"/>
        <v>16.9922</v>
      </c>
      <c r="U112">
        <f t="shared" si="15"/>
        <v>7.0290954051999996</v>
      </c>
      <c r="X112" s="9"/>
      <c r="Y112" s="22">
        <v>1.2863199999999999</v>
      </c>
      <c r="Z112" s="22">
        <v>212.30500000000001</v>
      </c>
      <c r="AA112" s="22">
        <v>-1.6436800000000001E-2</v>
      </c>
      <c r="AB112" s="22">
        <v>102</v>
      </c>
      <c r="AC112" s="22">
        <v>1.2854000000000001</v>
      </c>
      <c r="AD112">
        <f t="shared" si="16"/>
        <v>16.436800000000002</v>
      </c>
      <c r="AE112">
        <f t="shared" si="17"/>
        <v>21.142984576</v>
      </c>
      <c r="AF112" s="9"/>
      <c r="AG112" s="22">
        <v>0.41366599999999998</v>
      </c>
      <c r="AH112" s="22">
        <v>344.63900000000001</v>
      </c>
      <c r="AI112" s="22">
        <v>-1.6955600000000001E-2</v>
      </c>
      <c r="AJ112" s="22">
        <v>102</v>
      </c>
      <c r="AK112" s="22">
        <v>0.412964</v>
      </c>
      <c r="AL112">
        <f t="shared" si="18"/>
        <v>16.9556</v>
      </c>
      <c r="AM112">
        <f t="shared" si="19"/>
        <v>7.0139552295999996</v>
      </c>
      <c r="AP112" s="9"/>
      <c r="AQ112" s="22">
        <v>1.2863199999999999</v>
      </c>
      <c r="AR112" s="22">
        <v>413.72899999999998</v>
      </c>
      <c r="AS112" s="22">
        <v>-1.6397100000000001E-2</v>
      </c>
      <c r="AT112" s="22">
        <v>102</v>
      </c>
      <c r="AU112" s="22">
        <v>1.2854000000000001</v>
      </c>
      <c r="AV112">
        <f t="shared" si="20"/>
        <v>16.397100000000002</v>
      </c>
      <c r="AW112">
        <f t="shared" si="21"/>
        <v>21.091917672000001</v>
      </c>
      <c r="AX112" s="9"/>
      <c r="AY112" s="22">
        <v>0.41366599999999998</v>
      </c>
      <c r="AZ112" s="22">
        <v>474.56200000000001</v>
      </c>
      <c r="BA112" s="22">
        <v>-1.69342E-2</v>
      </c>
      <c r="BB112" s="22">
        <v>102</v>
      </c>
      <c r="BC112" s="22">
        <v>0.41271999999999998</v>
      </c>
      <c r="BD112">
        <f t="shared" si="22"/>
        <v>16.934200000000001</v>
      </c>
      <c r="BE112">
        <f t="shared" si="23"/>
        <v>7.0051027772000003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37.893300000000004</v>
      </c>
      <c r="I113" s="22">
        <v>4.9777200000000001E-2</v>
      </c>
      <c r="J113" s="22">
        <v>103</v>
      </c>
      <c r="K113" s="22">
        <v>7.9376199999999994E-2</v>
      </c>
      <c r="L113">
        <f t="shared" si="12"/>
        <v>-49.777200000000001</v>
      </c>
      <c r="M113">
        <f t="shared" si="13"/>
        <v>-63.778530816</v>
      </c>
      <c r="N113" s="9"/>
      <c r="O113" s="22">
        <v>0.41870099999999999</v>
      </c>
      <c r="P113" s="22">
        <v>148.82</v>
      </c>
      <c r="Q113" s="22">
        <v>-1.6983000000000002E-2</v>
      </c>
      <c r="R113" s="22">
        <v>103</v>
      </c>
      <c r="S113" s="22">
        <v>0.417908</v>
      </c>
      <c r="T113">
        <f t="shared" si="14"/>
        <v>16.983000000000001</v>
      </c>
      <c r="U113">
        <f t="shared" si="15"/>
        <v>7.1107990829999999</v>
      </c>
      <c r="X113" s="9"/>
      <c r="Y113" s="22">
        <v>1.28128</v>
      </c>
      <c r="Z113" s="22">
        <v>212.40600000000001</v>
      </c>
      <c r="AA113" s="22">
        <v>-1.64429E-2</v>
      </c>
      <c r="AB113" s="22">
        <v>103</v>
      </c>
      <c r="AC113" s="22">
        <v>1.2808200000000001</v>
      </c>
      <c r="AD113">
        <f t="shared" si="16"/>
        <v>16.442900000000002</v>
      </c>
      <c r="AE113">
        <f t="shared" si="17"/>
        <v>21.067958912000002</v>
      </c>
      <c r="AF113" s="9"/>
      <c r="AG113" s="22">
        <v>0.41870099999999999</v>
      </c>
      <c r="AH113" s="22">
        <v>344.73899999999998</v>
      </c>
      <c r="AI113" s="22">
        <v>-1.6955600000000001E-2</v>
      </c>
      <c r="AJ113" s="22">
        <v>103</v>
      </c>
      <c r="AK113" s="22">
        <v>0.41796899999999998</v>
      </c>
      <c r="AL113">
        <f t="shared" si="18"/>
        <v>16.9556</v>
      </c>
      <c r="AM113">
        <f t="shared" si="19"/>
        <v>7.0993266756000004</v>
      </c>
      <c r="AP113" s="9"/>
      <c r="AQ113" s="22">
        <v>1.28128</v>
      </c>
      <c r="AR113" s="22">
        <v>413.83</v>
      </c>
      <c r="AS113" s="22">
        <v>-1.6409300000000002E-2</v>
      </c>
      <c r="AT113" s="22">
        <v>103</v>
      </c>
      <c r="AU113" s="22">
        <v>1.2799100000000001</v>
      </c>
      <c r="AV113">
        <f t="shared" si="20"/>
        <v>16.409300000000002</v>
      </c>
      <c r="AW113">
        <f t="shared" si="21"/>
        <v>21.024907904000003</v>
      </c>
      <c r="AX113" s="9"/>
      <c r="AY113" s="22">
        <v>0.41870099999999999</v>
      </c>
      <c r="AZ113" s="22">
        <v>474.66300000000001</v>
      </c>
      <c r="BA113" s="22">
        <v>-1.6928100000000001E-2</v>
      </c>
      <c r="BB113" s="22">
        <v>103</v>
      </c>
      <c r="BC113" s="22">
        <v>0.41799900000000001</v>
      </c>
      <c r="BD113">
        <f t="shared" si="22"/>
        <v>16.928100000000001</v>
      </c>
      <c r="BE113">
        <f t="shared" si="23"/>
        <v>7.0878123980999996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37.994</v>
      </c>
      <c r="I114" s="22">
        <v>4.9865699999999999E-2</v>
      </c>
      <c r="J114" s="22">
        <v>104</v>
      </c>
      <c r="K114" s="22">
        <v>7.9406699999999997E-2</v>
      </c>
      <c r="L114">
        <f t="shared" si="12"/>
        <v>-49.865699999999997</v>
      </c>
      <c r="M114">
        <f t="shared" si="13"/>
        <v>-63.641099625000003</v>
      </c>
      <c r="N114" s="9"/>
      <c r="O114" s="22">
        <v>0.42373699999999997</v>
      </c>
      <c r="P114" s="22">
        <v>148.92099999999999</v>
      </c>
      <c r="Q114" s="22">
        <v>-1.69891E-2</v>
      </c>
      <c r="R114" s="22">
        <v>104</v>
      </c>
      <c r="S114" s="22">
        <v>0.42291299999999998</v>
      </c>
      <c r="T114">
        <f t="shared" si="14"/>
        <v>16.989100000000001</v>
      </c>
      <c r="U114">
        <f t="shared" si="15"/>
        <v>7.1989102666999996</v>
      </c>
      <c r="X114" s="9"/>
      <c r="Y114" s="22">
        <v>1.2762500000000001</v>
      </c>
      <c r="Z114" s="22">
        <v>212.50700000000001</v>
      </c>
      <c r="AA114" s="22">
        <v>-1.64429E-2</v>
      </c>
      <c r="AB114" s="22">
        <v>104</v>
      </c>
      <c r="AC114" s="22">
        <v>1.2753300000000001</v>
      </c>
      <c r="AD114">
        <f t="shared" si="16"/>
        <v>16.442900000000002</v>
      </c>
      <c r="AE114">
        <f t="shared" si="17"/>
        <v>20.985251125000005</v>
      </c>
      <c r="AF114" s="9"/>
      <c r="AG114" s="22">
        <v>0.42373699999999997</v>
      </c>
      <c r="AH114" s="22">
        <v>344.84</v>
      </c>
      <c r="AI114" s="22">
        <v>-1.69464E-2</v>
      </c>
      <c r="AJ114" s="22">
        <v>104</v>
      </c>
      <c r="AK114" s="22">
        <v>0.42269899999999999</v>
      </c>
      <c r="AL114">
        <f t="shared" si="18"/>
        <v>16.946400000000001</v>
      </c>
      <c r="AM114">
        <f t="shared" si="19"/>
        <v>7.1808166968</v>
      </c>
      <c r="AP114" s="9"/>
      <c r="AQ114" s="22">
        <v>1.2762500000000001</v>
      </c>
      <c r="AR114" s="22">
        <v>413.93</v>
      </c>
      <c r="AS114" s="22">
        <v>-1.6412400000000001E-2</v>
      </c>
      <c r="AT114" s="22">
        <v>104</v>
      </c>
      <c r="AU114" s="22">
        <v>1.27563</v>
      </c>
      <c r="AV114">
        <f t="shared" si="20"/>
        <v>16.412400000000002</v>
      </c>
      <c r="AW114">
        <f t="shared" si="21"/>
        <v>20.946325500000004</v>
      </c>
      <c r="AX114" s="9"/>
      <c r="AY114" s="22">
        <v>0.42373699999999997</v>
      </c>
      <c r="AZ114" s="22">
        <v>474.76299999999998</v>
      </c>
      <c r="BA114" s="22">
        <v>-1.6922E-2</v>
      </c>
      <c r="BB114" s="22">
        <v>104</v>
      </c>
      <c r="BC114" s="22">
        <v>0.42303499999999999</v>
      </c>
      <c r="BD114">
        <f t="shared" si="22"/>
        <v>16.922000000000001</v>
      </c>
      <c r="BE114">
        <f t="shared" si="23"/>
        <v>7.1704775139999999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38.094700000000003</v>
      </c>
      <c r="I115" s="22">
        <v>4.9813799999999998E-2</v>
      </c>
      <c r="J115" s="22">
        <v>105</v>
      </c>
      <c r="K115" s="22">
        <v>7.9376199999999994E-2</v>
      </c>
      <c r="L115">
        <f t="shared" si="12"/>
        <v>-49.813800000000001</v>
      </c>
      <c r="M115">
        <f t="shared" si="13"/>
        <v>-63.323800697999999</v>
      </c>
      <c r="N115" s="9"/>
      <c r="O115" s="22">
        <v>0.42877199999999999</v>
      </c>
      <c r="P115" s="22">
        <v>149.02199999999999</v>
      </c>
      <c r="Q115" s="22">
        <v>-1.6986100000000001E-2</v>
      </c>
      <c r="R115" s="22">
        <v>105</v>
      </c>
      <c r="S115" s="22">
        <v>0.42800899999999997</v>
      </c>
      <c r="T115">
        <f t="shared" si="14"/>
        <v>16.9861</v>
      </c>
      <c r="U115">
        <f t="shared" si="15"/>
        <v>7.2831640691999997</v>
      </c>
      <c r="X115" s="9"/>
      <c r="Y115" s="22">
        <v>1.27121</v>
      </c>
      <c r="Z115" s="22">
        <v>212.608</v>
      </c>
      <c r="AA115" s="22">
        <v>-1.6445899999999999E-2</v>
      </c>
      <c r="AB115" s="22">
        <v>105</v>
      </c>
      <c r="AC115" s="22">
        <v>1.2704500000000001</v>
      </c>
      <c r="AD115">
        <f t="shared" si="16"/>
        <v>16.445899999999998</v>
      </c>
      <c r="AE115">
        <f t="shared" si="17"/>
        <v>20.906192538999996</v>
      </c>
      <c r="AF115" s="9"/>
      <c r="AG115" s="22">
        <v>0.42877199999999999</v>
      </c>
      <c r="AH115" s="22">
        <v>344.94099999999997</v>
      </c>
      <c r="AI115" s="22">
        <v>-1.6943400000000001E-2</v>
      </c>
      <c r="AJ115" s="22">
        <v>105</v>
      </c>
      <c r="AK115" s="22">
        <v>0.42813099999999998</v>
      </c>
      <c r="AL115">
        <f t="shared" si="18"/>
        <v>16.9434</v>
      </c>
      <c r="AM115">
        <f t="shared" si="19"/>
        <v>7.2648555047999999</v>
      </c>
      <c r="AP115" s="9"/>
      <c r="AQ115" s="22">
        <v>1.27121</v>
      </c>
      <c r="AR115" s="22">
        <v>414.03100000000001</v>
      </c>
      <c r="AS115" s="22">
        <v>-1.6412400000000001E-2</v>
      </c>
      <c r="AT115" s="22">
        <v>105</v>
      </c>
      <c r="AU115" s="22">
        <v>1.2704500000000001</v>
      </c>
      <c r="AV115">
        <f t="shared" si="20"/>
        <v>16.412400000000002</v>
      </c>
      <c r="AW115">
        <f t="shared" si="21"/>
        <v>20.863607004000002</v>
      </c>
      <c r="AX115" s="9"/>
      <c r="AY115" s="22">
        <v>0.42877199999999999</v>
      </c>
      <c r="AZ115" s="22">
        <v>474.86399999999998</v>
      </c>
      <c r="BA115" s="22">
        <v>-1.6918900000000001E-2</v>
      </c>
      <c r="BB115" s="22">
        <v>105</v>
      </c>
      <c r="BC115" s="22">
        <v>0.42822300000000002</v>
      </c>
      <c r="BD115">
        <f t="shared" si="22"/>
        <v>16.918900000000001</v>
      </c>
      <c r="BE115">
        <f t="shared" si="23"/>
        <v>7.2543505907999997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38.195399999999999</v>
      </c>
      <c r="I116" s="22">
        <v>4.9777200000000001E-2</v>
      </c>
      <c r="J116" s="22">
        <v>106</v>
      </c>
      <c r="K116" s="22">
        <v>7.9437300000000002E-2</v>
      </c>
      <c r="L116">
        <f t="shared" si="12"/>
        <v>-49.777200000000001</v>
      </c>
      <c r="M116">
        <f t="shared" si="13"/>
        <v>-63.026397324000001</v>
      </c>
      <c r="N116" s="9"/>
      <c r="O116" s="22">
        <v>0.433807</v>
      </c>
      <c r="P116" s="22">
        <v>149.12200000000001</v>
      </c>
      <c r="Q116" s="22">
        <v>-1.69769E-2</v>
      </c>
      <c r="R116" s="22">
        <v>106</v>
      </c>
      <c r="S116" s="22">
        <v>0.43316700000000002</v>
      </c>
      <c r="T116">
        <f t="shared" si="14"/>
        <v>16.976900000000001</v>
      </c>
      <c r="U116">
        <f t="shared" si="15"/>
        <v>7.3646980583000001</v>
      </c>
      <c r="X116" s="9"/>
      <c r="Y116" s="22">
        <v>1.26617</v>
      </c>
      <c r="Z116" s="22">
        <v>212.708</v>
      </c>
      <c r="AA116" s="22">
        <v>-1.64581E-2</v>
      </c>
      <c r="AB116" s="22">
        <v>106</v>
      </c>
      <c r="AC116" s="22">
        <v>1.26495</v>
      </c>
      <c r="AD116">
        <f t="shared" si="16"/>
        <v>16.458099999999998</v>
      </c>
      <c r="AE116">
        <f t="shared" si="17"/>
        <v>20.838752476999996</v>
      </c>
      <c r="AF116" s="9"/>
      <c r="AG116" s="22">
        <v>0.433807</v>
      </c>
      <c r="AH116" s="22">
        <v>345.04199999999997</v>
      </c>
      <c r="AI116" s="22">
        <v>-1.6940299999999998E-2</v>
      </c>
      <c r="AJ116" s="22">
        <v>106</v>
      </c>
      <c r="AK116" s="22">
        <v>0.43316700000000002</v>
      </c>
      <c r="AL116">
        <f t="shared" si="18"/>
        <v>16.940299999999997</v>
      </c>
      <c r="AM116">
        <f t="shared" si="19"/>
        <v>7.3488207220999984</v>
      </c>
      <c r="AP116" s="9"/>
      <c r="AQ116" s="22">
        <v>1.26617</v>
      </c>
      <c r="AR116" s="22">
        <v>414.13200000000001</v>
      </c>
      <c r="AS116" s="22">
        <v>-1.64154E-2</v>
      </c>
      <c r="AT116" s="22">
        <v>106</v>
      </c>
      <c r="AU116" s="22">
        <v>1.26556</v>
      </c>
      <c r="AV116">
        <f t="shared" si="20"/>
        <v>16.415400000000002</v>
      </c>
      <c r="AW116">
        <f t="shared" si="21"/>
        <v>20.784687018000003</v>
      </c>
      <c r="AX116" s="9"/>
      <c r="AY116" s="22">
        <v>0.433807</v>
      </c>
      <c r="AZ116" s="22">
        <v>474.96499999999997</v>
      </c>
      <c r="BA116" s="22">
        <v>-1.6915900000000001E-2</v>
      </c>
      <c r="BB116" s="22">
        <v>106</v>
      </c>
      <c r="BC116" s="22">
        <v>0.43316700000000002</v>
      </c>
      <c r="BD116">
        <f t="shared" si="22"/>
        <v>16.915900000000001</v>
      </c>
      <c r="BE116">
        <f t="shared" si="23"/>
        <v>7.3382358313000005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38.296100000000003</v>
      </c>
      <c r="I117" s="22">
        <v>8.5549899999999998E-2</v>
      </c>
      <c r="J117" s="22">
        <v>107</v>
      </c>
      <c r="K117" s="22">
        <v>7.9742400000000005E-2</v>
      </c>
      <c r="L117">
        <f t="shared" si="12"/>
        <v>-85.549899999999994</v>
      </c>
      <c r="M117">
        <f t="shared" si="13"/>
        <v>-107.89040088599998</v>
      </c>
      <c r="N117" s="9"/>
      <c r="O117" s="22">
        <v>0.43884299999999998</v>
      </c>
      <c r="P117" s="22">
        <v>149.22300000000001</v>
      </c>
      <c r="Q117" s="22">
        <v>-1.69769E-2</v>
      </c>
      <c r="R117" s="22">
        <v>107</v>
      </c>
      <c r="S117" s="22">
        <v>0.43795800000000001</v>
      </c>
      <c r="T117">
        <f t="shared" si="14"/>
        <v>16.976900000000001</v>
      </c>
      <c r="U117">
        <f t="shared" si="15"/>
        <v>7.4501937267000002</v>
      </c>
      <c r="X117" s="9"/>
      <c r="Y117" s="22">
        <v>1.2611399999999999</v>
      </c>
      <c r="Z117" s="22">
        <v>212.809</v>
      </c>
      <c r="AA117" s="22">
        <v>-1.64581E-2</v>
      </c>
      <c r="AB117" s="22">
        <v>107</v>
      </c>
      <c r="AC117" s="22">
        <v>1.26068</v>
      </c>
      <c r="AD117">
        <f t="shared" si="16"/>
        <v>16.458099999999998</v>
      </c>
      <c r="AE117">
        <f t="shared" si="17"/>
        <v>20.755968233999997</v>
      </c>
      <c r="AF117" s="9"/>
      <c r="AG117" s="22">
        <v>0.43884299999999998</v>
      </c>
      <c r="AH117" s="22">
        <v>345.142</v>
      </c>
      <c r="AI117" s="22">
        <v>-1.6937299999999999E-2</v>
      </c>
      <c r="AJ117" s="22">
        <v>107</v>
      </c>
      <c r="AK117" s="22">
        <v>0.43808000000000002</v>
      </c>
      <c r="AL117">
        <f t="shared" si="18"/>
        <v>16.9373</v>
      </c>
      <c r="AM117">
        <f t="shared" si="19"/>
        <v>7.4328155439000003</v>
      </c>
      <c r="AP117" s="9"/>
      <c r="AQ117" s="22">
        <v>1.2611399999999999</v>
      </c>
      <c r="AR117" s="22">
        <v>414.23200000000003</v>
      </c>
      <c r="AS117" s="22">
        <v>-1.6412400000000001E-2</v>
      </c>
      <c r="AT117" s="22">
        <v>107</v>
      </c>
      <c r="AU117" s="22">
        <v>1.2603800000000001</v>
      </c>
      <c r="AV117">
        <f t="shared" si="20"/>
        <v>16.412400000000002</v>
      </c>
      <c r="AW117">
        <f t="shared" si="21"/>
        <v>20.698334136</v>
      </c>
      <c r="AX117" s="9"/>
      <c r="AY117" s="22">
        <v>0.43884299999999998</v>
      </c>
      <c r="AZ117" s="22">
        <v>475.065</v>
      </c>
      <c r="BA117" s="22">
        <v>-1.6922E-2</v>
      </c>
      <c r="BB117" s="22">
        <v>107</v>
      </c>
      <c r="BC117" s="22">
        <v>0.438141</v>
      </c>
      <c r="BD117">
        <f t="shared" si="22"/>
        <v>16.922000000000001</v>
      </c>
      <c r="BE117">
        <f t="shared" si="23"/>
        <v>7.426101246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38.396799999999999</v>
      </c>
      <c r="I118" s="22">
        <v>8.2247899999999999E-2</v>
      </c>
      <c r="J118" s="22">
        <v>108</v>
      </c>
      <c r="K118" s="22">
        <v>7.9711900000000002E-2</v>
      </c>
      <c r="L118">
        <f t="shared" si="12"/>
        <v>-82.247900000000001</v>
      </c>
      <c r="M118">
        <f t="shared" si="13"/>
        <v>-103.31158719</v>
      </c>
      <c r="N118" s="9"/>
      <c r="O118" s="22">
        <v>0.44387799999999999</v>
      </c>
      <c r="P118" s="22">
        <v>149.32400000000001</v>
      </c>
      <c r="Q118" s="22">
        <v>-1.69739E-2</v>
      </c>
      <c r="R118" s="22">
        <v>108</v>
      </c>
      <c r="S118" s="22">
        <v>0.44323699999999999</v>
      </c>
      <c r="T118">
        <f t="shared" si="14"/>
        <v>16.9739</v>
      </c>
      <c r="U118">
        <f t="shared" si="15"/>
        <v>7.5343407842000003</v>
      </c>
      <c r="X118" s="9"/>
      <c r="Y118" s="22">
        <v>1.2561</v>
      </c>
      <c r="Z118" s="22">
        <v>212.91</v>
      </c>
      <c r="AA118" s="22">
        <v>-1.6461199999999999E-2</v>
      </c>
      <c r="AB118" s="22">
        <v>108</v>
      </c>
      <c r="AC118" s="22">
        <v>1.25488</v>
      </c>
      <c r="AD118">
        <f t="shared" si="16"/>
        <v>16.461199999999998</v>
      </c>
      <c r="AE118">
        <f t="shared" si="17"/>
        <v>20.676913319999997</v>
      </c>
      <c r="AF118" s="9"/>
      <c r="AG118" s="22">
        <v>0.44387799999999999</v>
      </c>
      <c r="AH118" s="22">
        <v>345.24299999999999</v>
      </c>
      <c r="AI118" s="22">
        <v>-1.69342E-2</v>
      </c>
      <c r="AJ118" s="22">
        <v>108</v>
      </c>
      <c r="AK118" s="22">
        <v>0.44317600000000001</v>
      </c>
      <c r="AL118">
        <f t="shared" si="18"/>
        <v>16.934200000000001</v>
      </c>
      <c r="AM118">
        <f t="shared" si="19"/>
        <v>7.5167188276000001</v>
      </c>
      <c r="AP118" s="9"/>
      <c r="AQ118" s="22">
        <v>1.2561</v>
      </c>
      <c r="AR118" s="22">
        <v>414.33300000000003</v>
      </c>
      <c r="AS118" s="22">
        <v>-1.6424600000000001E-2</v>
      </c>
      <c r="AT118" s="22">
        <v>108</v>
      </c>
      <c r="AU118" s="22">
        <v>1.25549</v>
      </c>
      <c r="AV118">
        <f t="shared" si="20"/>
        <v>16.424600000000002</v>
      </c>
      <c r="AW118">
        <f t="shared" si="21"/>
        <v>20.63094006</v>
      </c>
      <c r="AX118" s="9"/>
      <c r="AY118" s="22">
        <v>0.44387799999999999</v>
      </c>
      <c r="AZ118" s="22">
        <v>475.166</v>
      </c>
      <c r="BA118" s="22">
        <v>-1.6915900000000001E-2</v>
      </c>
      <c r="BB118" s="22">
        <v>108</v>
      </c>
      <c r="BC118" s="22">
        <v>0.44311499999999998</v>
      </c>
      <c r="BD118">
        <f t="shared" si="22"/>
        <v>16.915900000000001</v>
      </c>
      <c r="BE118">
        <f t="shared" si="23"/>
        <v>7.5085958601999998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38.497500000000002</v>
      </c>
      <c r="I119" s="22">
        <v>8.1051600000000001E-2</v>
      </c>
      <c r="J119" s="22">
        <v>109</v>
      </c>
      <c r="K119" s="22">
        <v>7.9742400000000005E-2</v>
      </c>
      <c r="L119">
        <f t="shared" si="12"/>
        <v>-81.051600000000008</v>
      </c>
      <c r="M119">
        <f t="shared" si="13"/>
        <v>-101.401225212</v>
      </c>
      <c r="N119" s="9"/>
      <c r="O119" s="22">
        <v>0.44891399999999998</v>
      </c>
      <c r="P119" s="22">
        <v>149.42400000000001</v>
      </c>
      <c r="Q119" s="22">
        <v>-1.69739E-2</v>
      </c>
      <c r="R119" s="22">
        <v>109</v>
      </c>
      <c r="S119" s="22">
        <v>0.44812000000000002</v>
      </c>
      <c r="T119">
        <f t="shared" si="14"/>
        <v>16.9739</v>
      </c>
      <c r="U119">
        <f t="shared" si="15"/>
        <v>7.6198213446</v>
      </c>
      <c r="X119" s="9"/>
      <c r="Y119" s="22">
        <v>1.2510699999999999</v>
      </c>
      <c r="Z119" s="22">
        <v>213.01</v>
      </c>
      <c r="AA119" s="22">
        <v>-1.6467300000000001E-2</v>
      </c>
      <c r="AB119" s="22">
        <v>109</v>
      </c>
      <c r="AC119" s="22">
        <v>1.25</v>
      </c>
      <c r="AD119">
        <f t="shared" si="16"/>
        <v>16.467300000000002</v>
      </c>
      <c r="AE119">
        <f t="shared" si="17"/>
        <v>20.601745011000002</v>
      </c>
      <c r="AF119" s="9"/>
      <c r="AG119" s="22">
        <v>0.44891399999999998</v>
      </c>
      <c r="AH119" s="22">
        <v>345.34399999999999</v>
      </c>
      <c r="AI119" s="22">
        <v>-1.69342E-2</v>
      </c>
      <c r="AJ119" s="22">
        <v>109</v>
      </c>
      <c r="AK119" s="22">
        <v>0.448212</v>
      </c>
      <c r="AL119">
        <f t="shared" si="18"/>
        <v>16.934200000000001</v>
      </c>
      <c r="AM119">
        <f t="shared" si="19"/>
        <v>7.6019994587999999</v>
      </c>
      <c r="AP119" s="9"/>
      <c r="AQ119" s="22">
        <v>1.2510699999999999</v>
      </c>
      <c r="AR119" s="22">
        <v>414.43400000000003</v>
      </c>
      <c r="AS119" s="22">
        <v>-1.6424600000000001E-2</v>
      </c>
      <c r="AT119" s="22">
        <v>109</v>
      </c>
      <c r="AU119" s="22">
        <v>1.24969</v>
      </c>
      <c r="AV119">
        <f t="shared" si="20"/>
        <v>16.424600000000002</v>
      </c>
      <c r="AW119">
        <f t="shared" si="21"/>
        <v>20.548324321999999</v>
      </c>
      <c r="AX119" s="9"/>
      <c r="AY119" s="22">
        <v>0.44891399999999998</v>
      </c>
      <c r="AZ119" s="22">
        <v>475.267</v>
      </c>
      <c r="BA119" s="22">
        <v>-1.6912799999999999E-2</v>
      </c>
      <c r="BB119" s="22">
        <v>109</v>
      </c>
      <c r="BC119" s="22">
        <v>0.44808999999999999</v>
      </c>
      <c r="BD119">
        <f t="shared" si="22"/>
        <v>16.912799999999997</v>
      </c>
      <c r="BE119">
        <f t="shared" si="23"/>
        <v>7.5923926991999986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38.598300000000002</v>
      </c>
      <c r="I120" s="22">
        <v>8.07861E-2</v>
      </c>
      <c r="J120" s="22">
        <v>110</v>
      </c>
      <c r="K120" s="22">
        <v>7.9742400000000005E-2</v>
      </c>
      <c r="L120">
        <f t="shared" si="12"/>
        <v>-80.786100000000005</v>
      </c>
      <c r="M120">
        <f t="shared" si="13"/>
        <v>-100.661904183</v>
      </c>
      <c r="N120" s="9"/>
      <c r="O120" s="22">
        <v>0.45394899999999999</v>
      </c>
      <c r="P120" s="22">
        <v>149.52500000000001</v>
      </c>
      <c r="Q120" s="22">
        <v>-1.6970800000000001E-2</v>
      </c>
      <c r="R120" s="22">
        <v>110</v>
      </c>
      <c r="S120" s="22">
        <v>0.453125</v>
      </c>
      <c r="T120">
        <f t="shared" si="14"/>
        <v>16.970800000000001</v>
      </c>
      <c r="U120">
        <f t="shared" si="15"/>
        <v>7.7038776892000005</v>
      </c>
      <c r="X120" s="9"/>
      <c r="Y120" s="22">
        <v>1.24603</v>
      </c>
      <c r="Z120" s="22">
        <v>213.11099999999999</v>
      </c>
      <c r="AA120" s="22">
        <v>-1.6467300000000001E-2</v>
      </c>
      <c r="AB120" s="22">
        <v>110</v>
      </c>
      <c r="AC120" s="22">
        <v>1.24573</v>
      </c>
      <c r="AD120">
        <f t="shared" si="16"/>
        <v>16.467300000000002</v>
      </c>
      <c r="AE120">
        <f t="shared" si="17"/>
        <v>20.518749819</v>
      </c>
      <c r="AF120" s="9"/>
      <c r="AG120" s="22">
        <v>0.45394899999999999</v>
      </c>
      <c r="AH120" s="22">
        <v>345.44400000000002</v>
      </c>
      <c r="AI120" s="22">
        <v>-1.69342E-2</v>
      </c>
      <c r="AJ120" s="22">
        <v>110</v>
      </c>
      <c r="AK120" s="22">
        <v>0.453125</v>
      </c>
      <c r="AL120">
        <f t="shared" si="18"/>
        <v>16.934200000000001</v>
      </c>
      <c r="AM120">
        <f t="shared" si="19"/>
        <v>7.6872631558000002</v>
      </c>
      <c r="AP120" s="9"/>
      <c r="AQ120" s="22">
        <v>1.24603</v>
      </c>
      <c r="AR120" s="22">
        <v>414.53500000000003</v>
      </c>
      <c r="AS120" s="22">
        <v>-1.6430699999999999E-2</v>
      </c>
      <c r="AT120" s="22">
        <v>110</v>
      </c>
      <c r="AU120" s="22">
        <v>1.24542</v>
      </c>
      <c r="AV120">
        <f t="shared" si="20"/>
        <v>16.430699999999998</v>
      </c>
      <c r="AW120">
        <f t="shared" si="21"/>
        <v>20.473145120999998</v>
      </c>
      <c r="AX120" s="9"/>
      <c r="AY120" s="22">
        <v>0.45394899999999999</v>
      </c>
      <c r="AZ120" s="22">
        <v>475.36700000000002</v>
      </c>
      <c r="BA120" s="22">
        <v>-1.6909799999999999E-2</v>
      </c>
      <c r="BB120" s="22">
        <v>110</v>
      </c>
      <c r="BC120" s="22">
        <v>0.453094</v>
      </c>
      <c r="BD120">
        <f t="shared" si="22"/>
        <v>16.909800000000001</v>
      </c>
      <c r="BE120">
        <f t="shared" si="23"/>
        <v>7.6761868002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38.698999999999998</v>
      </c>
      <c r="I121" s="22">
        <v>8.0499299999999996E-2</v>
      </c>
      <c r="J121" s="22">
        <v>111</v>
      </c>
      <c r="K121" s="22">
        <v>7.9742400000000005E-2</v>
      </c>
      <c r="L121">
        <f t="shared" si="12"/>
        <v>-80.499299999999991</v>
      </c>
      <c r="M121">
        <f t="shared" si="13"/>
        <v>-99.899631299999996</v>
      </c>
      <c r="N121" s="9"/>
      <c r="O121" s="22">
        <v>0.458984</v>
      </c>
      <c r="P121" s="22">
        <v>149.626</v>
      </c>
      <c r="Q121" s="22">
        <v>-1.6970800000000001E-2</v>
      </c>
      <c r="R121" s="22">
        <v>111</v>
      </c>
      <c r="S121" s="22">
        <v>0.45825199999999999</v>
      </c>
      <c r="T121">
        <f t="shared" si="14"/>
        <v>16.970800000000001</v>
      </c>
      <c r="U121">
        <f t="shared" si="15"/>
        <v>7.7893256672</v>
      </c>
      <c r="X121" s="9"/>
      <c r="Y121" s="22">
        <v>1.2410000000000001</v>
      </c>
      <c r="Z121" s="22">
        <v>213.21199999999999</v>
      </c>
      <c r="AA121" s="22">
        <v>-1.6476399999999999E-2</v>
      </c>
      <c r="AB121" s="22">
        <v>111</v>
      </c>
      <c r="AC121" s="22">
        <v>1.23993</v>
      </c>
      <c r="AD121">
        <f t="shared" si="16"/>
        <v>16.476399999999998</v>
      </c>
      <c r="AE121">
        <f t="shared" si="17"/>
        <v>20.447212399999998</v>
      </c>
      <c r="AF121" s="9"/>
      <c r="AG121" s="22">
        <v>0.458984</v>
      </c>
      <c r="AH121" s="22">
        <v>345.54500000000002</v>
      </c>
      <c r="AI121" s="22">
        <v>-1.69312E-2</v>
      </c>
      <c r="AJ121" s="22">
        <v>111</v>
      </c>
      <c r="AK121" s="22">
        <v>0.45822099999999999</v>
      </c>
      <c r="AL121">
        <f t="shared" si="18"/>
        <v>16.9312</v>
      </c>
      <c r="AM121">
        <f t="shared" si="19"/>
        <v>7.7711499008000002</v>
      </c>
      <c r="AP121" s="9"/>
      <c r="AQ121" s="22">
        <v>1.2410000000000001</v>
      </c>
      <c r="AR121" s="22">
        <v>414.63499999999999</v>
      </c>
      <c r="AS121" s="22">
        <v>-1.6427600000000001E-2</v>
      </c>
      <c r="AT121" s="22">
        <v>111</v>
      </c>
      <c r="AU121" s="22">
        <v>1.2396199999999999</v>
      </c>
      <c r="AV121">
        <f t="shared" si="20"/>
        <v>16.427600000000002</v>
      </c>
      <c r="AW121">
        <f t="shared" si="21"/>
        <v>20.386651600000004</v>
      </c>
      <c r="AX121" s="9"/>
      <c r="AY121" s="22">
        <v>0.458984</v>
      </c>
      <c r="AZ121" s="22">
        <v>475.46800000000002</v>
      </c>
      <c r="BA121" s="22">
        <v>-1.69067E-2</v>
      </c>
      <c r="BB121" s="22">
        <v>111</v>
      </c>
      <c r="BC121" s="22">
        <v>0.45825199999999999</v>
      </c>
      <c r="BD121">
        <f t="shared" si="22"/>
        <v>16.906700000000001</v>
      </c>
      <c r="BE121">
        <f t="shared" si="23"/>
        <v>7.7599047928000005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38.799700000000001</v>
      </c>
      <c r="I122" s="22">
        <v>8.0111699999999994E-2</v>
      </c>
      <c r="J122" s="22">
        <v>112</v>
      </c>
      <c r="K122" s="22">
        <v>7.9742400000000005E-2</v>
      </c>
      <c r="L122">
        <f t="shared" si="12"/>
        <v>-80.111699999999999</v>
      </c>
      <c r="M122">
        <f t="shared" si="13"/>
        <v>-99.014856731999998</v>
      </c>
      <c r="N122" s="9"/>
      <c r="O122" s="22">
        <v>0.46401999999999999</v>
      </c>
      <c r="P122" s="22">
        <v>149.727</v>
      </c>
      <c r="Q122" s="22">
        <v>-1.69617E-2</v>
      </c>
      <c r="R122" s="22">
        <v>112</v>
      </c>
      <c r="S122" s="22">
        <v>0.46331800000000001</v>
      </c>
      <c r="T122">
        <f t="shared" si="14"/>
        <v>16.9617</v>
      </c>
      <c r="U122">
        <f t="shared" si="15"/>
        <v>7.8705680339999997</v>
      </c>
      <c r="X122" s="9"/>
      <c r="Y122" s="22">
        <v>1.2359599999999999</v>
      </c>
      <c r="Z122" s="22">
        <v>213.31299999999999</v>
      </c>
      <c r="AA122" s="22">
        <v>-1.6473399999999999E-2</v>
      </c>
      <c r="AB122" s="22">
        <v>112</v>
      </c>
      <c r="AC122" s="22">
        <v>1.23505</v>
      </c>
      <c r="AD122">
        <f t="shared" si="16"/>
        <v>16.473399999999998</v>
      </c>
      <c r="AE122">
        <f t="shared" si="17"/>
        <v>20.360463463999995</v>
      </c>
      <c r="AF122" s="9"/>
      <c r="AG122" s="22">
        <v>0.46401999999999999</v>
      </c>
      <c r="AH122" s="22">
        <v>345.64600000000002</v>
      </c>
      <c r="AI122" s="22">
        <v>-1.6922E-2</v>
      </c>
      <c r="AJ122" s="22">
        <v>112</v>
      </c>
      <c r="AK122" s="22">
        <v>0.46313500000000002</v>
      </c>
      <c r="AL122">
        <f t="shared" si="18"/>
        <v>16.922000000000001</v>
      </c>
      <c r="AM122">
        <f t="shared" si="19"/>
        <v>7.8521464400000003</v>
      </c>
      <c r="AP122" s="9"/>
      <c r="AQ122" s="22">
        <v>1.2359599999999999</v>
      </c>
      <c r="AR122" s="22">
        <v>414.73599999999999</v>
      </c>
      <c r="AS122" s="22">
        <v>-1.6436800000000001E-2</v>
      </c>
      <c r="AT122" s="22">
        <v>112</v>
      </c>
      <c r="AU122" s="22">
        <v>1.23505</v>
      </c>
      <c r="AV122">
        <f t="shared" si="20"/>
        <v>16.436800000000002</v>
      </c>
      <c r="AW122">
        <f t="shared" si="21"/>
        <v>20.315227328000002</v>
      </c>
      <c r="AX122" s="9"/>
      <c r="AY122" s="22">
        <v>0.46401999999999999</v>
      </c>
      <c r="AZ122" s="22">
        <v>475.56900000000002</v>
      </c>
      <c r="BA122" s="22">
        <v>-1.69067E-2</v>
      </c>
      <c r="BB122" s="22">
        <v>112</v>
      </c>
      <c r="BC122" s="22">
        <v>0.46334799999999998</v>
      </c>
      <c r="BD122">
        <f t="shared" si="22"/>
        <v>16.906700000000001</v>
      </c>
      <c r="BE122">
        <f t="shared" si="23"/>
        <v>7.845046934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38.900399999999998</v>
      </c>
      <c r="I123" s="22">
        <v>7.99377E-2</v>
      </c>
      <c r="J123" s="22">
        <v>113</v>
      </c>
      <c r="K123" s="22">
        <v>7.9772899999999994E-2</v>
      </c>
      <c r="L123">
        <f t="shared" si="12"/>
        <v>-79.937700000000007</v>
      </c>
      <c r="M123">
        <f t="shared" si="13"/>
        <v>-98.397713061000019</v>
      </c>
      <c r="N123" s="9"/>
      <c r="O123" s="22">
        <v>0.469055</v>
      </c>
      <c r="P123" s="22">
        <v>149.827</v>
      </c>
      <c r="Q123" s="22">
        <v>-1.69617E-2</v>
      </c>
      <c r="R123" s="22">
        <v>113</v>
      </c>
      <c r="S123" s="22">
        <v>0.46826200000000001</v>
      </c>
      <c r="T123">
        <f t="shared" si="14"/>
        <v>16.9617</v>
      </c>
      <c r="U123">
        <f t="shared" si="15"/>
        <v>7.9559701934999998</v>
      </c>
      <c r="X123" s="9"/>
      <c r="Y123" s="22">
        <v>1.2309300000000001</v>
      </c>
      <c r="Z123" s="22">
        <v>213.41300000000001</v>
      </c>
      <c r="AA123" s="22">
        <v>-1.6479500000000001E-2</v>
      </c>
      <c r="AB123" s="22">
        <v>113</v>
      </c>
      <c r="AC123" s="22">
        <v>1.22986</v>
      </c>
      <c r="AD123">
        <f t="shared" si="16"/>
        <v>16.479500000000002</v>
      </c>
      <c r="AE123">
        <f t="shared" si="17"/>
        <v>20.285110935000002</v>
      </c>
      <c r="AF123" s="9"/>
      <c r="AG123" s="22">
        <v>0.469055</v>
      </c>
      <c r="AH123" s="22">
        <v>345.74700000000001</v>
      </c>
      <c r="AI123" s="22">
        <v>-1.69312E-2</v>
      </c>
      <c r="AJ123" s="22">
        <v>113</v>
      </c>
      <c r="AK123" s="22">
        <v>0.46832299999999999</v>
      </c>
      <c r="AL123">
        <f t="shared" si="18"/>
        <v>16.9312</v>
      </c>
      <c r="AM123">
        <f t="shared" si="19"/>
        <v>7.9416640159999998</v>
      </c>
      <c r="AP123" s="9"/>
      <c r="AQ123" s="22">
        <v>1.2309300000000001</v>
      </c>
      <c r="AR123" s="22">
        <v>414.83699999999999</v>
      </c>
      <c r="AS123" s="22">
        <v>-1.6439800000000001E-2</v>
      </c>
      <c r="AT123" s="22">
        <v>113</v>
      </c>
      <c r="AU123" s="22">
        <v>1.2301599999999999</v>
      </c>
      <c r="AV123">
        <f t="shared" si="20"/>
        <v>16.439800000000002</v>
      </c>
      <c r="AW123">
        <f t="shared" si="21"/>
        <v>20.236243014000003</v>
      </c>
      <c r="AX123" s="9"/>
      <c r="AY123" s="22">
        <v>0.469055</v>
      </c>
      <c r="AZ123" s="22">
        <v>475.67</v>
      </c>
      <c r="BA123" s="22">
        <v>-1.69067E-2</v>
      </c>
      <c r="BB123" s="22">
        <v>113</v>
      </c>
      <c r="BC123" s="22">
        <v>0.46835300000000002</v>
      </c>
      <c r="BD123">
        <f t="shared" si="22"/>
        <v>16.906700000000001</v>
      </c>
      <c r="BE123">
        <f t="shared" si="23"/>
        <v>7.9301721685000004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39.001100000000001</v>
      </c>
      <c r="I124" s="22">
        <v>8.0810499999999993E-2</v>
      </c>
      <c r="J124" s="22">
        <v>114</v>
      </c>
      <c r="K124" s="22">
        <v>7.9803499999999999E-2</v>
      </c>
      <c r="L124">
        <f t="shared" si="12"/>
        <v>-80.81049999999999</v>
      </c>
      <c r="M124">
        <f t="shared" si="13"/>
        <v>-99.06478384499998</v>
      </c>
      <c r="N124" s="9"/>
      <c r="O124" s="22">
        <v>0.47409099999999998</v>
      </c>
      <c r="P124" s="22">
        <v>149.928</v>
      </c>
      <c r="Q124" s="22">
        <v>-1.69617E-2</v>
      </c>
      <c r="R124" s="22">
        <v>114</v>
      </c>
      <c r="S124" s="22">
        <v>0.47332800000000003</v>
      </c>
      <c r="T124">
        <f t="shared" si="14"/>
        <v>16.9617</v>
      </c>
      <c r="U124">
        <f t="shared" si="15"/>
        <v>8.0413893147</v>
      </c>
      <c r="X124" s="9"/>
      <c r="Y124" s="22">
        <v>1.2258899999999999</v>
      </c>
      <c r="Z124" s="22">
        <v>213.51400000000001</v>
      </c>
      <c r="AA124" s="22">
        <v>-1.6482500000000001E-2</v>
      </c>
      <c r="AB124" s="22">
        <v>114</v>
      </c>
      <c r="AC124" s="22">
        <v>1.2252799999999999</v>
      </c>
      <c r="AD124">
        <f t="shared" si="16"/>
        <v>16.482500000000002</v>
      </c>
      <c r="AE124">
        <f t="shared" si="17"/>
        <v>20.205731925000002</v>
      </c>
      <c r="AF124" s="9"/>
      <c r="AG124" s="22">
        <v>0.47409099999999998</v>
      </c>
      <c r="AH124" s="22">
        <v>345.84699999999998</v>
      </c>
      <c r="AI124" s="22">
        <v>-1.6922E-2</v>
      </c>
      <c r="AJ124" s="22">
        <v>114</v>
      </c>
      <c r="AK124" s="22">
        <v>0.47332800000000003</v>
      </c>
      <c r="AL124">
        <f t="shared" si="18"/>
        <v>16.922000000000001</v>
      </c>
      <c r="AM124">
        <f t="shared" si="19"/>
        <v>8.0225679020000005</v>
      </c>
      <c r="AP124" s="9"/>
      <c r="AQ124" s="22">
        <v>1.2258899999999999</v>
      </c>
      <c r="AR124" s="22">
        <v>414.93700000000001</v>
      </c>
      <c r="AS124" s="22">
        <v>-1.6448999999999998E-2</v>
      </c>
      <c r="AT124" s="22">
        <v>114</v>
      </c>
      <c r="AU124" s="22">
        <v>1.22498</v>
      </c>
      <c r="AV124">
        <f t="shared" si="20"/>
        <v>16.448999999999998</v>
      </c>
      <c r="AW124">
        <f t="shared" si="21"/>
        <v>20.164664609999996</v>
      </c>
      <c r="AX124" s="9"/>
      <c r="AY124" s="22">
        <v>0.47409099999999998</v>
      </c>
      <c r="AZ124" s="22">
        <v>475.77</v>
      </c>
      <c r="BA124" s="22">
        <v>-1.6903700000000001E-2</v>
      </c>
      <c r="BB124" s="22">
        <v>114</v>
      </c>
      <c r="BC124" s="22">
        <v>0.47332800000000003</v>
      </c>
      <c r="BD124">
        <f t="shared" si="22"/>
        <v>16.903700000000001</v>
      </c>
      <c r="BE124">
        <f t="shared" si="23"/>
        <v>8.0138920366999997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39.101799999999997</v>
      </c>
      <c r="I125" s="22">
        <v>7.9321299999999997E-2</v>
      </c>
      <c r="J125" s="22">
        <v>115</v>
      </c>
      <c r="K125" s="22">
        <v>7.9803499999999999E-2</v>
      </c>
      <c r="L125">
        <f t="shared" si="12"/>
        <v>-79.321299999999994</v>
      </c>
      <c r="M125">
        <f t="shared" si="13"/>
        <v>-96.840202317999996</v>
      </c>
      <c r="N125" s="9"/>
      <c r="O125" s="22">
        <v>0.479126</v>
      </c>
      <c r="P125" s="22">
        <v>150.029</v>
      </c>
      <c r="Q125" s="22">
        <v>-1.6955600000000001E-2</v>
      </c>
      <c r="R125" s="22">
        <v>115</v>
      </c>
      <c r="S125" s="22">
        <v>0.47839399999999999</v>
      </c>
      <c r="T125">
        <f t="shared" si="14"/>
        <v>16.9556</v>
      </c>
      <c r="U125">
        <f t="shared" si="15"/>
        <v>8.1238688056000008</v>
      </c>
      <c r="X125" s="9"/>
      <c r="Y125" s="22">
        <v>1.2208600000000001</v>
      </c>
      <c r="Z125" s="22">
        <v>213.61500000000001</v>
      </c>
      <c r="AA125" s="22">
        <v>-1.6479500000000001E-2</v>
      </c>
      <c r="AB125" s="22">
        <v>115</v>
      </c>
      <c r="AC125" s="22">
        <v>1.2194799999999999</v>
      </c>
      <c r="AD125">
        <f t="shared" si="16"/>
        <v>16.479500000000002</v>
      </c>
      <c r="AE125">
        <f t="shared" si="17"/>
        <v>20.119162370000002</v>
      </c>
      <c r="AF125" s="9"/>
      <c r="AG125" s="22">
        <v>0.479126</v>
      </c>
      <c r="AH125" s="22">
        <v>345.94799999999998</v>
      </c>
      <c r="AI125" s="22">
        <v>-1.6922E-2</v>
      </c>
      <c r="AJ125" s="22">
        <v>115</v>
      </c>
      <c r="AK125" s="22">
        <v>0.47848499999999999</v>
      </c>
      <c r="AL125">
        <f t="shared" si="18"/>
        <v>16.922000000000001</v>
      </c>
      <c r="AM125">
        <f t="shared" si="19"/>
        <v>8.1077701720000004</v>
      </c>
      <c r="AP125" s="9"/>
      <c r="AQ125" s="22">
        <v>1.2208600000000001</v>
      </c>
      <c r="AR125" s="22">
        <v>415.03800000000001</v>
      </c>
      <c r="AS125" s="22">
        <v>-1.6445899999999999E-2</v>
      </c>
      <c r="AT125" s="22">
        <v>115</v>
      </c>
      <c r="AU125" s="22">
        <v>1.2200899999999999</v>
      </c>
      <c r="AV125">
        <f t="shared" si="20"/>
        <v>16.445899999999998</v>
      </c>
      <c r="AW125">
        <f t="shared" si="21"/>
        <v>20.078141473999999</v>
      </c>
      <c r="AX125" s="9"/>
      <c r="AY125" s="22">
        <v>0.479126</v>
      </c>
      <c r="AZ125" s="22">
        <v>475.87099999999998</v>
      </c>
      <c r="BA125" s="22">
        <v>-1.6897599999999999E-2</v>
      </c>
      <c r="BB125" s="22">
        <v>115</v>
      </c>
      <c r="BC125" s="22">
        <v>0.47814899999999999</v>
      </c>
      <c r="BD125">
        <f t="shared" si="22"/>
        <v>16.897599999999997</v>
      </c>
      <c r="BE125">
        <f t="shared" si="23"/>
        <v>8.0960794975999981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39.202500000000001</v>
      </c>
      <c r="I126" s="22">
        <v>7.8674300000000003E-2</v>
      </c>
      <c r="J126" s="22">
        <v>116</v>
      </c>
      <c r="K126" s="22">
        <v>7.9772899999999994E-2</v>
      </c>
      <c r="L126">
        <f t="shared" si="12"/>
        <v>-78.674300000000002</v>
      </c>
      <c r="M126">
        <f t="shared" si="13"/>
        <v>-95.653787425999994</v>
      </c>
      <c r="N126" s="9"/>
      <c r="O126" s="22">
        <v>0.48416100000000001</v>
      </c>
      <c r="P126" s="22">
        <v>150.12899999999999</v>
      </c>
      <c r="Q126" s="22">
        <v>-1.6952499999999999E-2</v>
      </c>
      <c r="R126" s="22">
        <v>116</v>
      </c>
      <c r="S126" s="22">
        <v>0.48333700000000002</v>
      </c>
      <c r="T126">
        <f t="shared" si="14"/>
        <v>16.952500000000001</v>
      </c>
      <c r="U126">
        <f t="shared" si="15"/>
        <v>8.2077393525000009</v>
      </c>
      <c r="X126" s="9"/>
      <c r="Y126" s="22">
        <v>1.2158199999999999</v>
      </c>
      <c r="Z126" s="22">
        <v>213.715</v>
      </c>
      <c r="AA126" s="22">
        <v>-1.6488599999999999E-2</v>
      </c>
      <c r="AB126" s="22">
        <v>116</v>
      </c>
      <c r="AC126" s="22">
        <v>1.2145999999999999</v>
      </c>
      <c r="AD126">
        <f t="shared" si="16"/>
        <v>16.488599999999998</v>
      </c>
      <c r="AE126">
        <f t="shared" si="17"/>
        <v>20.047169651999997</v>
      </c>
      <c r="AF126" s="9"/>
      <c r="AG126" s="22">
        <v>0.48416100000000001</v>
      </c>
      <c r="AH126" s="22">
        <v>346.04899999999998</v>
      </c>
      <c r="AI126" s="22">
        <v>-1.6915900000000001E-2</v>
      </c>
      <c r="AJ126" s="22">
        <v>116</v>
      </c>
      <c r="AK126" s="22">
        <v>0.483429</v>
      </c>
      <c r="AL126">
        <f t="shared" si="18"/>
        <v>16.915900000000001</v>
      </c>
      <c r="AM126">
        <f t="shared" si="19"/>
        <v>8.1900190599000009</v>
      </c>
      <c r="AP126" s="9"/>
      <c r="AQ126" s="22">
        <v>1.2158199999999999</v>
      </c>
      <c r="AR126" s="22">
        <v>415.13900000000001</v>
      </c>
      <c r="AS126" s="22">
        <v>-1.64551E-2</v>
      </c>
      <c r="AT126" s="22">
        <v>116</v>
      </c>
      <c r="AU126" s="22">
        <v>1.2142900000000001</v>
      </c>
      <c r="AV126">
        <f t="shared" si="20"/>
        <v>16.455100000000002</v>
      </c>
      <c r="AW126">
        <f t="shared" si="21"/>
        <v>20.006439682</v>
      </c>
      <c r="AX126" s="9"/>
      <c r="AY126" s="22">
        <v>0.48416100000000001</v>
      </c>
      <c r="AZ126" s="22">
        <v>475.97199999999998</v>
      </c>
      <c r="BA126" s="22">
        <v>-1.6897599999999999E-2</v>
      </c>
      <c r="BB126" s="22">
        <v>116</v>
      </c>
      <c r="BC126" s="22">
        <v>0.48333700000000002</v>
      </c>
      <c r="BD126">
        <f t="shared" si="22"/>
        <v>16.897599999999997</v>
      </c>
      <c r="BE126">
        <f t="shared" si="23"/>
        <v>8.1811589135999991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39.303199999999997</v>
      </c>
      <c r="I127" s="22">
        <v>7.8381300000000001E-2</v>
      </c>
      <c r="J127" s="22">
        <v>117</v>
      </c>
      <c r="K127" s="22">
        <v>7.9864500000000005E-2</v>
      </c>
      <c r="L127">
        <f t="shared" si="12"/>
        <v>-78.381299999999996</v>
      </c>
      <c r="M127">
        <f t="shared" si="13"/>
        <v>-94.902510413999991</v>
      </c>
      <c r="N127" s="9"/>
      <c r="O127" s="22">
        <v>0.48919699999999999</v>
      </c>
      <c r="P127" s="22">
        <v>150.22999999999999</v>
      </c>
      <c r="Q127" s="22">
        <v>-1.6949499999999999E-2</v>
      </c>
      <c r="R127" s="22">
        <v>117</v>
      </c>
      <c r="S127" s="22">
        <v>0.48840299999999998</v>
      </c>
      <c r="T127">
        <f t="shared" si="14"/>
        <v>16.9495</v>
      </c>
      <c r="U127">
        <f t="shared" si="15"/>
        <v>8.2916445514999992</v>
      </c>
      <c r="X127" s="9"/>
      <c r="Y127" s="22">
        <v>1.21078</v>
      </c>
      <c r="Z127" s="22">
        <v>213.816</v>
      </c>
      <c r="AA127" s="22">
        <v>-1.6491700000000001E-2</v>
      </c>
      <c r="AB127" s="22">
        <v>117</v>
      </c>
      <c r="AC127" s="22">
        <v>1.2100200000000001</v>
      </c>
      <c r="AD127">
        <f t="shared" si="16"/>
        <v>16.491700000000002</v>
      </c>
      <c r="AE127">
        <f t="shared" si="17"/>
        <v>19.967820526000001</v>
      </c>
      <c r="AF127" s="9"/>
      <c r="AG127" s="22">
        <v>0.48919699999999999</v>
      </c>
      <c r="AH127" s="22">
        <v>346.149</v>
      </c>
      <c r="AI127" s="22">
        <v>-1.69067E-2</v>
      </c>
      <c r="AJ127" s="22">
        <v>117</v>
      </c>
      <c r="AK127" s="22">
        <v>0.48846400000000001</v>
      </c>
      <c r="AL127">
        <f t="shared" si="18"/>
        <v>16.906700000000001</v>
      </c>
      <c r="AM127">
        <f t="shared" si="19"/>
        <v>8.2707069199000003</v>
      </c>
      <c r="AP127" s="9"/>
      <c r="AQ127" s="22">
        <v>1.21078</v>
      </c>
      <c r="AR127" s="22">
        <v>415.23899999999998</v>
      </c>
      <c r="AS127" s="22">
        <v>-1.64551E-2</v>
      </c>
      <c r="AT127" s="22">
        <v>117</v>
      </c>
      <c r="AU127" s="22">
        <v>1.2103299999999999</v>
      </c>
      <c r="AV127">
        <f t="shared" si="20"/>
        <v>16.455100000000002</v>
      </c>
      <c r="AW127">
        <f t="shared" si="21"/>
        <v>19.923505978000001</v>
      </c>
      <c r="AX127" s="9"/>
      <c r="AY127" s="22">
        <v>0.48919699999999999</v>
      </c>
      <c r="AZ127" s="22">
        <v>476.072</v>
      </c>
      <c r="BA127" s="22">
        <v>-1.6888400000000001E-2</v>
      </c>
      <c r="BB127" s="22">
        <v>117</v>
      </c>
      <c r="BC127" s="22">
        <v>0.48831200000000002</v>
      </c>
      <c r="BD127">
        <f t="shared" si="22"/>
        <v>16.888400000000001</v>
      </c>
      <c r="BE127">
        <f t="shared" si="23"/>
        <v>8.261754614800001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39.4039</v>
      </c>
      <c r="I128" s="22">
        <v>7.9019199999999998E-2</v>
      </c>
      <c r="J128" s="22">
        <v>118</v>
      </c>
      <c r="K128" s="22">
        <v>7.9834000000000002E-2</v>
      </c>
      <c r="L128">
        <f t="shared" si="12"/>
        <v>-79.019199999999998</v>
      </c>
      <c r="M128">
        <f t="shared" si="13"/>
        <v>-95.277400400000005</v>
      </c>
      <c r="N128" s="9"/>
      <c r="O128" s="22">
        <v>0.494232</v>
      </c>
      <c r="P128" s="22">
        <v>150.33099999999999</v>
      </c>
      <c r="Q128" s="22">
        <v>-1.69464E-2</v>
      </c>
      <c r="R128" s="22">
        <v>118</v>
      </c>
      <c r="S128" s="22">
        <v>0.49346899999999999</v>
      </c>
      <c r="T128">
        <f t="shared" si="14"/>
        <v>16.946400000000001</v>
      </c>
      <c r="U128">
        <f t="shared" si="15"/>
        <v>8.3754531647999997</v>
      </c>
      <c r="X128" s="9"/>
      <c r="Y128" s="22">
        <v>1.2057500000000001</v>
      </c>
      <c r="Z128" s="22">
        <v>213.917</v>
      </c>
      <c r="AA128" s="22">
        <v>-1.64978E-2</v>
      </c>
      <c r="AB128" s="22">
        <v>118</v>
      </c>
      <c r="AC128" s="22">
        <v>1.2048300000000001</v>
      </c>
      <c r="AD128">
        <f t="shared" si="16"/>
        <v>16.497800000000002</v>
      </c>
      <c r="AE128">
        <f t="shared" si="17"/>
        <v>19.892222350000004</v>
      </c>
      <c r="AF128" s="9"/>
      <c r="AG128" s="22">
        <v>0.494232</v>
      </c>
      <c r="AH128" s="22">
        <v>346.25</v>
      </c>
      <c r="AI128" s="22">
        <v>-1.6912799999999999E-2</v>
      </c>
      <c r="AJ128" s="22">
        <v>118</v>
      </c>
      <c r="AK128" s="22">
        <v>0.49343900000000002</v>
      </c>
      <c r="AL128">
        <f t="shared" si="18"/>
        <v>16.912799999999997</v>
      </c>
      <c r="AM128">
        <f t="shared" si="19"/>
        <v>8.3588469695999983</v>
      </c>
      <c r="AP128" s="9"/>
      <c r="AQ128" s="22">
        <v>1.2057500000000001</v>
      </c>
      <c r="AR128" s="22">
        <v>415.34</v>
      </c>
      <c r="AS128" s="22">
        <v>-1.6461199999999999E-2</v>
      </c>
      <c r="AT128" s="22">
        <v>118</v>
      </c>
      <c r="AU128" s="22">
        <v>1.2048300000000001</v>
      </c>
      <c r="AV128">
        <f t="shared" si="20"/>
        <v>16.461199999999998</v>
      </c>
      <c r="AW128">
        <f t="shared" si="21"/>
        <v>19.8480919</v>
      </c>
      <c r="AX128" s="9"/>
      <c r="AY128" s="22">
        <v>0.494232</v>
      </c>
      <c r="AZ128" s="22">
        <v>476.173</v>
      </c>
      <c r="BA128" s="22">
        <v>-1.68915E-2</v>
      </c>
      <c r="BB128" s="22">
        <v>118</v>
      </c>
      <c r="BC128" s="22">
        <v>0.49349999999999999</v>
      </c>
      <c r="BD128">
        <f t="shared" si="22"/>
        <v>16.891500000000001</v>
      </c>
      <c r="BE128">
        <f t="shared" si="23"/>
        <v>8.3483198280000011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39.504600000000003</v>
      </c>
      <c r="I129" s="22">
        <v>4.95605E-2</v>
      </c>
      <c r="J129" s="22">
        <v>119</v>
      </c>
      <c r="K129" s="22">
        <v>7.9467800000000005E-2</v>
      </c>
      <c r="L129">
        <f t="shared" si="12"/>
        <v>-49.560499999999998</v>
      </c>
      <c r="M129">
        <f t="shared" si="13"/>
        <v>-59.507787954999998</v>
      </c>
      <c r="N129" s="9"/>
      <c r="O129" s="22">
        <v>0.49926799999999999</v>
      </c>
      <c r="P129" s="22">
        <v>150.43199999999999</v>
      </c>
      <c r="Q129" s="22">
        <v>-1.69464E-2</v>
      </c>
      <c r="R129" s="22">
        <v>119</v>
      </c>
      <c r="S129" s="22">
        <v>0.49850499999999998</v>
      </c>
      <c r="T129">
        <f t="shared" si="14"/>
        <v>16.946400000000001</v>
      </c>
      <c r="U129">
        <f t="shared" si="15"/>
        <v>8.4607952352000009</v>
      </c>
      <c r="X129" s="9"/>
      <c r="Y129" s="22">
        <v>1.2007099999999999</v>
      </c>
      <c r="Z129" s="22">
        <v>214.017</v>
      </c>
      <c r="AA129" s="22">
        <v>-1.6507000000000001E-2</v>
      </c>
      <c r="AB129" s="22">
        <v>119</v>
      </c>
      <c r="AC129" s="22">
        <v>1.1993400000000001</v>
      </c>
      <c r="AD129">
        <f t="shared" si="16"/>
        <v>16.507000000000001</v>
      </c>
      <c r="AE129">
        <f t="shared" si="17"/>
        <v>19.82011997</v>
      </c>
      <c r="AF129" s="9"/>
      <c r="AG129" s="22">
        <v>0.49926799999999999</v>
      </c>
      <c r="AH129" s="22">
        <v>346.351</v>
      </c>
      <c r="AI129" s="22">
        <v>-1.6909799999999999E-2</v>
      </c>
      <c r="AJ129" s="22">
        <v>119</v>
      </c>
      <c r="AK129" s="22">
        <v>0.49847399999999997</v>
      </c>
      <c r="AL129">
        <f t="shared" si="18"/>
        <v>16.909800000000001</v>
      </c>
      <c r="AM129">
        <f t="shared" si="19"/>
        <v>8.4425220264000007</v>
      </c>
      <c r="AP129" s="9"/>
      <c r="AQ129" s="22">
        <v>1.2007099999999999</v>
      </c>
      <c r="AR129" s="22">
        <v>415.44099999999997</v>
      </c>
      <c r="AS129" s="22">
        <v>-1.6467300000000001E-2</v>
      </c>
      <c r="AT129" s="22">
        <v>119</v>
      </c>
      <c r="AU129" s="22">
        <v>1.1993400000000001</v>
      </c>
      <c r="AV129">
        <f t="shared" si="20"/>
        <v>16.467300000000002</v>
      </c>
      <c r="AW129">
        <f t="shared" si="21"/>
        <v>19.772451783000001</v>
      </c>
      <c r="AX129" s="9"/>
      <c r="AY129" s="22">
        <v>0.49926799999999999</v>
      </c>
      <c r="AZ129" s="22">
        <v>476.274</v>
      </c>
      <c r="BA129" s="22">
        <v>-1.6888400000000001E-2</v>
      </c>
      <c r="BB129" s="22">
        <v>119</v>
      </c>
      <c r="BC129" s="22">
        <v>0.49850499999999998</v>
      </c>
      <c r="BD129">
        <f t="shared" si="22"/>
        <v>16.888400000000001</v>
      </c>
      <c r="BE129">
        <f t="shared" si="23"/>
        <v>8.4318376912000002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39.6053</v>
      </c>
      <c r="I130" s="22">
        <v>4.9578900000000002E-2</v>
      </c>
      <c r="J130" s="22">
        <v>120</v>
      </c>
      <c r="K130" s="22">
        <v>7.9498299999999994E-2</v>
      </c>
      <c r="L130">
        <f t="shared" si="12"/>
        <v>-49.578900000000004</v>
      </c>
      <c r="M130">
        <f t="shared" si="13"/>
        <v>-59.280499152000012</v>
      </c>
      <c r="N130" s="9"/>
      <c r="O130" s="22">
        <v>0.50430299999999995</v>
      </c>
      <c r="P130" s="22">
        <v>150.53200000000001</v>
      </c>
      <c r="Q130" s="22">
        <v>-1.6940299999999998E-2</v>
      </c>
      <c r="R130" s="22">
        <v>120</v>
      </c>
      <c r="S130" s="22">
        <v>0.50351000000000001</v>
      </c>
      <c r="T130">
        <f t="shared" si="14"/>
        <v>16.940299999999997</v>
      </c>
      <c r="U130">
        <f t="shared" si="15"/>
        <v>8.5430441108999968</v>
      </c>
      <c r="X130" s="9"/>
      <c r="Y130" s="22">
        <v>1.1956800000000001</v>
      </c>
      <c r="Z130" s="22">
        <v>214.11799999999999</v>
      </c>
      <c r="AA130" s="22">
        <v>-1.651E-2</v>
      </c>
      <c r="AB130" s="22">
        <v>120</v>
      </c>
      <c r="AC130" s="22">
        <v>1.1944600000000001</v>
      </c>
      <c r="AD130">
        <f t="shared" si="16"/>
        <v>16.510000000000002</v>
      </c>
      <c r="AE130">
        <f t="shared" si="17"/>
        <v>19.740676800000003</v>
      </c>
      <c r="AF130" s="9"/>
      <c r="AG130" s="22">
        <v>0.50430299999999995</v>
      </c>
      <c r="AH130" s="22">
        <v>346.45100000000002</v>
      </c>
      <c r="AI130" s="22">
        <v>-1.6903700000000001E-2</v>
      </c>
      <c r="AJ130" s="22">
        <v>120</v>
      </c>
      <c r="AK130" s="22">
        <v>0.50335700000000005</v>
      </c>
      <c r="AL130">
        <f t="shared" si="18"/>
        <v>16.903700000000001</v>
      </c>
      <c r="AM130">
        <f t="shared" si="19"/>
        <v>8.5245866210999992</v>
      </c>
      <c r="AP130" s="9"/>
      <c r="AQ130" s="22">
        <v>1.1956800000000001</v>
      </c>
      <c r="AR130" s="22">
        <v>415.54199999999997</v>
      </c>
      <c r="AS130" s="22">
        <v>-1.64703E-2</v>
      </c>
      <c r="AT130" s="22">
        <v>120</v>
      </c>
      <c r="AU130" s="22">
        <v>1.1944600000000001</v>
      </c>
      <c r="AV130">
        <f t="shared" si="20"/>
        <v>16.470300000000002</v>
      </c>
      <c r="AW130">
        <f t="shared" si="21"/>
        <v>19.693208304000002</v>
      </c>
      <c r="AX130" s="9"/>
      <c r="AY130" s="22">
        <v>0.50430299999999995</v>
      </c>
      <c r="AZ130" s="22">
        <v>476.375</v>
      </c>
      <c r="BA130" s="22">
        <v>-1.6882299999999999E-2</v>
      </c>
      <c r="BB130" s="22">
        <v>120</v>
      </c>
      <c r="BC130" s="22">
        <v>0.50363199999999997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39.706000000000003</v>
      </c>
      <c r="I131" s="22">
        <v>4.9584999999999997E-2</v>
      </c>
      <c r="J131" s="22">
        <v>121</v>
      </c>
      <c r="K131" s="22">
        <v>7.9559299999999999E-2</v>
      </c>
      <c r="L131">
        <f t="shared" si="12"/>
        <v>-49.584999999999994</v>
      </c>
      <c r="M131">
        <f t="shared" si="13"/>
        <v>-59.037884399999989</v>
      </c>
      <c r="N131" s="9"/>
      <c r="O131" s="22">
        <v>0.50933799999999996</v>
      </c>
      <c r="P131" s="22">
        <v>150.63300000000001</v>
      </c>
      <c r="Q131" s="22">
        <v>-1.6937299999999999E-2</v>
      </c>
      <c r="R131" s="22">
        <v>121</v>
      </c>
      <c r="S131" s="22">
        <v>0.50848400000000005</v>
      </c>
      <c r="T131">
        <f t="shared" si="14"/>
        <v>16.9373</v>
      </c>
      <c r="U131">
        <f t="shared" si="15"/>
        <v>8.6268105074000001</v>
      </c>
      <c r="X131" s="9"/>
      <c r="Y131" s="22">
        <v>1.1906399999999999</v>
      </c>
      <c r="Z131" s="22">
        <v>214.21899999999999</v>
      </c>
      <c r="AA131" s="22">
        <v>-1.651E-2</v>
      </c>
      <c r="AB131" s="22">
        <v>121</v>
      </c>
      <c r="AC131" s="22">
        <v>1.18988</v>
      </c>
      <c r="AD131">
        <f t="shared" si="16"/>
        <v>16.510000000000002</v>
      </c>
      <c r="AE131">
        <f t="shared" si="17"/>
        <v>19.657466400000001</v>
      </c>
      <c r="AF131" s="9"/>
      <c r="AG131" s="22">
        <v>0.50933799999999996</v>
      </c>
      <c r="AH131" s="22">
        <v>346.55200000000002</v>
      </c>
      <c r="AI131" s="22">
        <v>-1.6897599999999999E-2</v>
      </c>
      <c r="AJ131" s="22">
        <v>121</v>
      </c>
      <c r="AK131" s="22">
        <v>0.50866699999999998</v>
      </c>
      <c r="AL131">
        <f t="shared" si="18"/>
        <v>16.897599999999997</v>
      </c>
      <c r="AM131">
        <f t="shared" si="19"/>
        <v>8.6065897887999974</v>
      </c>
      <c r="AP131" s="9"/>
      <c r="AQ131" s="22">
        <v>1.1906399999999999</v>
      </c>
      <c r="AR131" s="22">
        <v>415.642</v>
      </c>
      <c r="AS131" s="22">
        <v>-1.64703E-2</v>
      </c>
      <c r="AT131" s="22">
        <v>121</v>
      </c>
      <c r="AU131" s="22">
        <v>1.18988</v>
      </c>
      <c r="AV131">
        <f t="shared" si="20"/>
        <v>16.470300000000002</v>
      </c>
      <c r="AW131">
        <f t="shared" si="21"/>
        <v>19.610197992</v>
      </c>
      <c r="AX131" s="9"/>
      <c r="AY131" s="22">
        <v>0.50933799999999996</v>
      </c>
      <c r="AZ131" s="22">
        <v>476.47500000000002</v>
      </c>
      <c r="BA131" s="22">
        <v>-1.68793E-2</v>
      </c>
      <c r="BB131" s="22">
        <v>121</v>
      </c>
      <c r="BC131" s="22">
        <v>0.50854500000000002</v>
      </c>
      <c r="BD131">
        <f t="shared" si="22"/>
        <v>16.879300000000001</v>
      </c>
      <c r="BE131">
        <f t="shared" si="23"/>
        <v>8.5972689033999998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39.806699999999999</v>
      </c>
      <c r="I132" s="22">
        <v>4.95453E-2</v>
      </c>
      <c r="J132" s="22">
        <v>122</v>
      </c>
      <c r="K132" s="22">
        <v>7.9498299999999994E-2</v>
      </c>
      <c r="L132">
        <f t="shared" si="12"/>
        <v>-49.545299999999997</v>
      </c>
      <c r="M132">
        <f t="shared" si="13"/>
        <v>-58.741403132999999</v>
      </c>
      <c r="N132" s="9"/>
      <c r="O132" s="22">
        <v>0.514374</v>
      </c>
      <c r="P132" s="22">
        <v>150.73400000000001</v>
      </c>
      <c r="Q132" s="22">
        <v>-1.69342E-2</v>
      </c>
      <c r="R132" s="22">
        <v>122</v>
      </c>
      <c r="S132" s="22">
        <v>0.51348899999999997</v>
      </c>
      <c r="T132">
        <f t="shared" si="14"/>
        <v>16.934200000000001</v>
      </c>
      <c r="U132">
        <f t="shared" si="15"/>
        <v>8.7105121907999994</v>
      </c>
      <c r="X132" s="9"/>
      <c r="Y132" s="22">
        <v>1.1856100000000001</v>
      </c>
      <c r="Z132" s="22">
        <v>214.32</v>
      </c>
      <c r="AA132" s="22">
        <v>-1.6513099999999999E-2</v>
      </c>
      <c r="AB132" s="22">
        <v>122</v>
      </c>
      <c r="AC132" s="22">
        <v>1.1850000000000001</v>
      </c>
      <c r="AD132">
        <f t="shared" si="16"/>
        <v>16.513099999999998</v>
      </c>
      <c r="AE132">
        <f t="shared" si="17"/>
        <v>19.578096490999997</v>
      </c>
      <c r="AF132" s="9"/>
      <c r="AG132" s="22">
        <v>0.514374</v>
      </c>
      <c r="AH132" s="22">
        <v>346.65300000000002</v>
      </c>
      <c r="AI132" s="22">
        <v>-1.6897599999999999E-2</v>
      </c>
      <c r="AJ132" s="22">
        <v>122</v>
      </c>
      <c r="AK132" s="22">
        <v>0.51367200000000002</v>
      </c>
      <c r="AL132">
        <f t="shared" si="18"/>
        <v>16.897599999999997</v>
      </c>
      <c r="AM132">
        <f t="shared" si="19"/>
        <v>8.6916861023999985</v>
      </c>
      <c r="AP132" s="9"/>
      <c r="AQ132" s="22">
        <v>1.1856100000000001</v>
      </c>
      <c r="AR132" s="22">
        <v>415.74299999999999</v>
      </c>
      <c r="AS132" s="22">
        <v>-1.6473399999999999E-2</v>
      </c>
      <c r="AT132" s="22">
        <v>122</v>
      </c>
      <c r="AU132" s="22">
        <v>1.18469</v>
      </c>
      <c r="AV132">
        <f t="shared" si="20"/>
        <v>16.473399999999998</v>
      </c>
      <c r="AW132">
        <f t="shared" si="21"/>
        <v>19.531027773999998</v>
      </c>
      <c r="AX132" s="9"/>
      <c r="AY132" s="22">
        <v>0.514374</v>
      </c>
      <c r="AZ132" s="22">
        <v>476.57600000000002</v>
      </c>
      <c r="BA132" s="22">
        <v>-1.6882299999999999E-2</v>
      </c>
      <c r="BB132" s="22">
        <v>122</v>
      </c>
      <c r="BC132" s="22">
        <v>0.51358000000000004</v>
      </c>
      <c r="BD132">
        <f t="shared" si="22"/>
        <v>16.882300000000001</v>
      </c>
      <c r="BE132">
        <f t="shared" si="23"/>
        <v>8.6838161802000009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39.907499999999999</v>
      </c>
      <c r="I133" s="22">
        <v>4.9557499999999997E-2</v>
      </c>
      <c r="J133" s="22">
        <v>123</v>
      </c>
      <c r="K133" s="22">
        <v>7.9559299999999999E-2</v>
      </c>
      <c r="L133">
        <f t="shared" si="12"/>
        <v>-49.557499999999997</v>
      </c>
      <c r="M133">
        <f t="shared" si="13"/>
        <v>-58.506097774999994</v>
      </c>
      <c r="N133" s="9"/>
      <c r="O133" s="22">
        <v>0.51940900000000001</v>
      </c>
      <c r="P133" s="22">
        <v>150.834</v>
      </c>
      <c r="Q133" s="22">
        <v>-1.69312E-2</v>
      </c>
      <c r="R133" s="22">
        <v>123</v>
      </c>
      <c r="S133" s="22">
        <v>0.51867700000000005</v>
      </c>
      <c r="T133">
        <f t="shared" si="14"/>
        <v>16.9312</v>
      </c>
      <c r="U133">
        <f t="shared" si="15"/>
        <v>8.7942176608000011</v>
      </c>
      <c r="X133" s="9"/>
      <c r="Y133" s="22">
        <v>1.1805699999999999</v>
      </c>
      <c r="Z133" s="22">
        <v>214.42</v>
      </c>
      <c r="AA133" s="22">
        <v>-1.6513099999999999E-2</v>
      </c>
      <c r="AB133" s="22">
        <v>123</v>
      </c>
      <c r="AC133" s="22">
        <v>1.1795</v>
      </c>
      <c r="AD133">
        <f t="shared" si="16"/>
        <v>16.513099999999998</v>
      </c>
      <c r="AE133">
        <f t="shared" si="17"/>
        <v>19.494870466999995</v>
      </c>
      <c r="AF133" s="9"/>
      <c r="AG133" s="22">
        <v>0.51940900000000001</v>
      </c>
      <c r="AH133" s="22">
        <v>346.75400000000002</v>
      </c>
      <c r="AI133" s="22">
        <v>-1.6897599999999999E-2</v>
      </c>
      <c r="AJ133" s="22">
        <v>123</v>
      </c>
      <c r="AK133" s="22">
        <v>0.51827999999999996</v>
      </c>
      <c r="AL133">
        <f t="shared" si="18"/>
        <v>16.897599999999997</v>
      </c>
      <c r="AM133">
        <f t="shared" si="19"/>
        <v>8.7767655183999995</v>
      </c>
      <c r="AP133" s="9"/>
      <c r="AQ133" s="22">
        <v>1.1805699999999999</v>
      </c>
      <c r="AR133" s="22">
        <v>415.84399999999999</v>
      </c>
      <c r="AS133" s="22">
        <v>-1.64856E-2</v>
      </c>
      <c r="AT133" s="22">
        <v>123</v>
      </c>
      <c r="AU133" s="22">
        <v>1.1795</v>
      </c>
      <c r="AV133">
        <f t="shared" si="20"/>
        <v>16.485599999999998</v>
      </c>
      <c r="AW133">
        <f t="shared" si="21"/>
        <v>19.462404791999997</v>
      </c>
      <c r="AX133" s="9"/>
      <c r="AY133" s="22">
        <v>0.51940900000000001</v>
      </c>
      <c r="AZ133" s="22">
        <v>476.67700000000002</v>
      </c>
      <c r="BA133" s="22">
        <v>-1.6882299999999999E-2</v>
      </c>
      <c r="BB133" s="22">
        <v>123</v>
      </c>
      <c r="BC133" s="22">
        <v>0.51864600000000005</v>
      </c>
      <c r="BD133">
        <f t="shared" si="22"/>
        <v>16.882300000000001</v>
      </c>
      <c r="BE133">
        <f t="shared" si="23"/>
        <v>8.7688185606999998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40.008200000000002</v>
      </c>
      <c r="I134" s="22">
        <v>4.9542200000000002E-2</v>
      </c>
      <c r="J134" s="22">
        <v>124</v>
      </c>
      <c r="K134" s="22">
        <v>7.9528799999999997E-2</v>
      </c>
      <c r="L134">
        <f t="shared" si="12"/>
        <v>-49.542200000000001</v>
      </c>
      <c r="M134">
        <f t="shared" si="13"/>
        <v>-58.238837788000005</v>
      </c>
      <c r="N134" s="9"/>
      <c r="O134" s="22">
        <v>0.52444500000000005</v>
      </c>
      <c r="P134" s="22">
        <v>150.935</v>
      </c>
      <c r="Q134" s="22">
        <v>-1.6928100000000001E-2</v>
      </c>
      <c r="R134" s="22">
        <v>124</v>
      </c>
      <c r="S134" s="22">
        <v>0.52368199999999998</v>
      </c>
      <c r="T134">
        <f t="shared" si="14"/>
        <v>16.928100000000001</v>
      </c>
      <c r="U134">
        <f t="shared" si="15"/>
        <v>8.8778574045000003</v>
      </c>
      <c r="X134" s="9"/>
      <c r="Y134" s="22">
        <v>1.17554</v>
      </c>
      <c r="Z134" s="22">
        <v>214.52099999999999</v>
      </c>
      <c r="AA134" s="22">
        <v>-1.6522200000000001E-2</v>
      </c>
      <c r="AB134" s="22">
        <v>124</v>
      </c>
      <c r="AC134" s="22">
        <v>1.17432</v>
      </c>
      <c r="AD134">
        <f t="shared" si="16"/>
        <v>16.522200000000002</v>
      </c>
      <c r="AE134">
        <f t="shared" si="17"/>
        <v>19.422506988000002</v>
      </c>
      <c r="AF134" s="9"/>
      <c r="AG134" s="22">
        <v>0.52444500000000005</v>
      </c>
      <c r="AH134" s="22">
        <v>346.85399999999998</v>
      </c>
      <c r="AI134" s="22">
        <v>-1.6900600000000002E-2</v>
      </c>
      <c r="AJ134" s="22">
        <v>124</v>
      </c>
      <c r="AK134" s="22">
        <v>0.52359</v>
      </c>
      <c r="AL134">
        <f t="shared" si="18"/>
        <v>16.900600000000001</v>
      </c>
      <c r="AM134">
        <f t="shared" si="19"/>
        <v>8.8634351670000004</v>
      </c>
      <c r="AP134" s="9"/>
      <c r="AQ134" s="22">
        <v>1.17554</v>
      </c>
      <c r="AR134" s="22">
        <v>415.94400000000002</v>
      </c>
      <c r="AS134" s="22">
        <v>-1.6488599999999999E-2</v>
      </c>
      <c r="AT134" s="22">
        <v>124</v>
      </c>
      <c r="AU134" s="22">
        <v>1.17432</v>
      </c>
      <c r="AV134">
        <f t="shared" si="20"/>
        <v>16.488599999999998</v>
      </c>
      <c r="AW134">
        <f t="shared" si="21"/>
        <v>19.383008843999999</v>
      </c>
      <c r="AX134" s="9"/>
      <c r="AY134" s="22">
        <v>0.52444500000000005</v>
      </c>
      <c r="AZ134" s="22">
        <v>476.77699999999999</v>
      </c>
      <c r="BA134" s="22">
        <v>-1.68793E-2</v>
      </c>
      <c r="BB134" s="22">
        <v>124</v>
      </c>
      <c r="BC134" s="22">
        <v>0.52371199999999996</v>
      </c>
      <c r="BD134">
        <f t="shared" si="22"/>
        <v>16.879300000000001</v>
      </c>
      <c r="BE134">
        <f t="shared" si="23"/>
        <v>8.8522644885000012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40.108899999999998</v>
      </c>
      <c r="I135" s="22">
        <v>4.9548300000000003E-2</v>
      </c>
      <c r="J135" s="22">
        <v>125</v>
      </c>
      <c r="K135" s="22">
        <v>7.9498299999999994E-2</v>
      </c>
      <c r="L135">
        <f t="shared" si="12"/>
        <v>-49.548300000000005</v>
      </c>
      <c r="M135">
        <f t="shared" si="13"/>
        <v>-57.996285150000013</v>
      </c>
      <c r="N135" s="9"/>
      <c r="O135" s="22">
        <v>0.52947999999999995</v>
      </c>
      <c r="P135" s="22">
        <v>151.036</v>
      </c>
      <c r="Q135" s="22">
        <v>-1.69312E-2</v>
      </c>
      <c r="R135" s="22">
        <v>125</v>
      </c>
      <c r="S135" s="22">
        <v>0.52865600000000001</v>
      </c>
      <c r="T135">
        <f t="shared" si="14"/>
        <v>16.9312</v>
      </c>
      <c r="U135">
        <f t="shared" si="15"/>
        <v>8.9647317759999989</v>
      </c>
      <c r="X135" s="9"/>
      <c r="Y135" s="22">
        <v>1.1705000000000001</v>
      </c>
      <c r="Z135" s="22">
        <v>214.62200000000001</v>
      </c>
      <c r="AA135" s="22">
        <v>-1.6522200000000001E-2</v>
      </c>
      <c r="AB135" s="22">
        <v>125</v>
      </c>
      <c r="AC135" s="22">
        <v>1.16974</v>
      </c>
      <c r="AD135">
        <f t="shared" si="16"/>
        <v>16.522200000000002</v>
      </c>
      <c r="AE135">
        <f t="shared" si="17"/>
        <v>19.339235100000003</v>
      </c>
      <c r="AF135" s="9"/>
      <c r="AG135" s="22">
        <v>0.52947999999999995</v>
      </c>
      <c r="AH135" s="22">
        <v>346.95499999999998</v>
      </c>
      <c r="AI135" s="22">
        <v>-1.6897599999999999E-2</v>
      </c>
      <c r="AJ135" s="22">
        <v>125</v>
      </c>
      <c r="AK135" s="22">
        <v>0.52862500000000001</v>
      </c>
      <c r="AL135">
        <f t="shared" si="18"/>
        <v>16.897599999999997</v>
      </c>
      <c r="AM135">
        <f t="shared" si="19"/>
        <v>8.9469412479999981</v>
      </c>
      <c r="AP135" s="9"/>
      <c r="AQ135" s="22">
        <v>1.1705000000000001</v>
      </c>
      <c r="AR135" s="22">
        <v>416.04500000000002</v>
      </c>
      <c r="AS135" s="22">
        <v>-1.6482500000000001E-2</v>
      </c>
      <c r="AT135" s="22">
        <v>125</v>
      </c>
      <c r="AU135" s="22">
        <v>1.16913</v>
      </c>
      <c r="AV135">
        <f t="shared" si="20"/>
        <v>16.482500000000002</v>
      </c>
      <c r="AW135">
        <f t="shared" si="21"/>
        <v>19.292766250000003</v>
      </c>
      <c r="AX135" s="9"/>
      <c r="AY135" s="22">
        <v>0.52947999999999995</v>
      </c>
      <c r="AZ135" s="22">
        <v>476.87799999999999</v>
      </c>
      <c r="BA135" s="22">
        <v>-1.6867099999999999E-2</v>
      </c>
      <c r="BB135" s="22">
        <v>125</v>
      </c>
      <c r="BC135" s="22">
        <v>0.52868700000000002</v>
      </c>
      <c r="BD135">
        <f t="shared" si="22"/>
        <v>16.867100000000001</v>
      </c>
      <c r="BE135">
        <f t="shared" si="23"/>
        <v>8.9307921080000003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40.209600000000002</v>
      </c>
      <c r="I136" s="22">
        <v>4.9533099999999997E-2</v>
      </c>
      <c r="J136" s="22">
        <v>126</v>
      </c>
      <c r="K136" s="22">
        <v>7.9559299999999999E-2</v>
      </c>
      <c r="L136">
        <f t="shared" si="12"/>
        <v>-49.533099999999997</v>
      </c>
      <c r="M136">
        <f t="shared" si="13"/>
        <v>-57.729342056999997</v>
      </c>
      <c r="N136" s="9"/>
      <c r="O136" s="22">
        <v>0.53451499999999996</v>
      </c>
      <c r="P136" s="22">
        <v>151.136</v>
      </c>
      <c r="Q136" s="22">
        <v>-1.6924999999999999E-2</v>
      </c>
      <c r="R136" s="22">
        <v>126</v>
      </c>
      <c r="S136" s="22">
        <v>0.53369100000000003</v>
      </c>
      <c r="T136">
        <f t="shared" si="14"/>
        <v>16.925000000000001</v>
      </c>
      <c r="U136">
        <f t="shared" si="15"/>
        <v>9.0466663749999991</v>
      </c>
      <c r="X136" s="9"/>
      <c r="Y136" s="22">
        <v>1.16547</v>
      </c>
      <c r="Z136" s="22">
        <v>214.72200000000001</v>
      </c>
      <c r="AA136" s="22">
        <v>-1.65253E-2</v>
      </c>
      <c r="AB136" s="22">
        <v>126</v>
      </c>
      <c r="AC136" s="22">
        <v>1.16425</v>
      </c>
      <c r="AD136">
        <f t="shared" si="16"/>
        <v>16.525300000000001</v>
      </c>
      <c r="AE136">
        <f t="shared" si="17"/>
        <v>19.259741391000002</v>
      </c>
      <c r="AF136" s="9"/>
      <c r="AG136" s="22">
        <v>0.53451499999999996</v>
      </c>
      <c r="AH136" s="22">
        <v>347.05599999999998</v>
      </c>
      <c r="AI136" s="22">
        <v>-1.68945E-2</v>
      </c>
      <c r="AJ136" s="22">
        <v>126</v>
      </c>
      <c r="AK136" s="22">
        <v>0.53369100000000003</v>
      </c>
      <c r="AL136">
        <f t="shared" si="18"/>
        <v>16.894500000000001</v>
      </c>
      <c r="AM136">
        <f t="shared" si="19"/>
        <v>9.0303636674999996</v>
      </c>
      <c r="AP136" s="9"/>
      <c r="AQ136" s="22">
        <v>1.16547</v>
      </c>
      <c r="AR136" s="22">
        <v>416.14600000000002</v>
      </c>
      <c r="AS136" s="22">
        <v>-1.64856E-2</v>
      </c>
      <c r="AT136" s="22">
        <v>126</v>
      </c>
      <c r="AU136" s="22">
        <v>1.16425</v>
      </c>
      <c r="AV136">
        <f t="shared" si="20"/>
        <v>16.485599999999998</v>
      </c>
      <c r="AW136">
        <f t="shared" si="21"/>
        <v>19.213472231999997</v>
      </c>
      <c r="AX136" s="9"/>
      <c r="AY136" s="22">
        <v>0.53451499999999996</v>
      </c>
      <c r="AZ136" s="22">
        <v>476.97899999999998</v>
      </c>
      <c r="BA136" s="22">
        <v>-1.6867099999999999E-2</v>
      </c>
      <c r="BB136" s="22">
        <v>126</v>
      </c>
      <c r="BC136" s="22">
        <v>0.53369100000000003</v>
      </c>
      <c r="BD136">
        <f t="shared" si="22"/>
        <v>16.867100000000001</v>
      </c>
      <c r="BE136">
        <f t="shared" si="23"/>
        <v>9.0157179564999996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40.310299999999998</v>
      </c>
      <c r="I137" s="22">
        <v>4.9551400000000002E-2</v>
      </c>
      <c r="J137" s="22">
        <v>127</v>
      </c>
      <c r="K137" s="22">
        <v>7.9559299999999999E-2</v>
      </c>
      <c r="L137">
        <f t="shared" si="12"/>
        <v>-49.551400000000001</v>
      </c>
      <c r="M137">
        <f t="shared" si="13"/>
        <v>-57.500931102000003</v>
      </c>
      <c r="N137" s="9"/>
      <c r="O137" s="22">
        <v>0.539551</v>
      </c>
      <c r="P137" s="22">
        <v>151.23699999999999</v>
      </c>
      <c r="Q137" s="22">
        <v>-1.6922E-2</v>
      </c>
      <c r="R137" s="22">
        <v>127</v>
      </c>
      <c r="S137" s="22">
        <v>0.53881800000000002</v>
      </c>
      <c r="T137">
        <f t="shared" si="14"/>
        <v>16.922000000000001</v>
      </c>
      <c r="U137">
        <f t="shared" si="15"/>
        <v>9.1302820220000012</v>
      </c>
      <c r="X137" s="9"/>
      <c r="Y137" s="22">
        <v>1.1604300000000001</v>
      </c>
      <c r="Z137" s="22">
        <v>214.82300000000001</v>
      </c>
      <c r="AA137" s="22">
        <v>-1.6534400000000001E-2</v>
      </c>
      <c r="AB137" s="22">
        <v>127</v>
      </c>
      <c r="AC137" s="22">
        <v>1.1593599999999999</v>
      </c>
      <c r="AD137">
        <f t="shared" si="16"/>
        <v>16.534400000000002</v>
      </c>
      <c r="AE137">
        <f t="shared" si="17"/>
        <v>19.187013792000002</v>
      </c>
      <c r="AF137" s="9"/>
      <c r="AG137" s="22">
        <v>0.539551</v>
      </c>
      <c r="AH137" s="22">
        <v>347.15600000000001</v>
      </c>
      <c r="AI137" s="22">
        <v>-1.6882299999999999E-2</v>
      </c>
      <c r="AJ137" s="22">
        <v>127</v>
      </c>
      <c r="AK137" s="22">
        <v>0.53875700000000004</v>
      </c>
      <c r="AL137">
        <f t="shared" si="18"/>
        <v>16.882300000000001</v>
      </c>
      <c r="AM137">
        <f t="shared" si="19"/>
        <v>9.1088618473</v>
      </c>
      <c r="AP137" s="9"/>
      <c r="AQ137" s="22">
        <v>1.1604300000000001</v>
      </c>
      <c r="AR137" s="22">
        <v>416.24700000000001</v>
      </c>
      <c r="AS137" s="22">
        <v>-1.6488599999999999E-2</v>
      </c>
      <c r="AT137" s="22">
        <v>127</v>
      </c>
      <c r="AU137" s="22">
        <v>1.15906</v>
      </c>
      <c r="AV137">
        <f t="shared" si="20"/>
        <v>16.488599999999998</v>
      </c>
      <c r="AW137">
        <f t="shared" si="21"/>
        <v>19.133866097999999</v>
      </c>
      <c r="AX137" s="9"/>
      <c r="AY137" s="22">
        <v>0.539551</v>
      </c>
      <c r="AZ137" s="22">
        <v>477.08</v>
      </c>
      <c r="BA137" s="22">
        <v>-1.6861000000000001E-2</v>
      </c>
      <c r="BB137" s="22">
        <v>127</v>
      </c>
      <c r="BC137" s="22">
        <v>0.53869599999999995</v>
      </c>
      <c r="BD137">
        <f t="shared" si="22"/>
        <v>16.861000000000001</v>
      </c>
      <c r="BE137">
        <f t="shared" si="23"/>
        <v>9.0973694110000007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40.411000000000001</v>
      </c>
      <c r="I138" s="22">
        <v>4.9557499999999997E-2</v>
      </c>
      <c r="J138" s="22">
        <v>128</v>
      </c>
      <c r="K138" s="22">
        <v>7.9528799999999997E-2</v>
      </c>
      <c r="L138">
        <f t="shared" si="12"/>
        <v>-49.557499999999997</v>
      </c>
      <c r="M138">
        <f t="shared" si="13"/>
        <v>-57.258735499999993</v>
      </c>
      <c r="N138" s="9"/>
      <c r="O138" s="22">
        <v>0.54458600000000001</v>
      </c>
      <c r="P138" s="22">
        <v>151.33799999999999</v>
      </c>
      <c r="Q138" s="22">
        <v>-1.6918900000000001E-2</v>
      </c>
      <c r="R138" s="22">
        <v>128</v>
      </c>
      <c r="S138" s="22">
        <v>0.54373199999999999</v>
      </c>
      <c r="T138">
        <f t="shared" si="14"/>
        <v>16.918900000000001</v>
      </c>
      <c r="U138">
        <f t="shared" si="15"/>
        <v>9.2137960754000012</v>
      </c>
      <c r="X138" s="9"/>
      <c r="Y138" s="22">
        <v>1.1554</v>
      </c>
      <c r="Z138" s="22">
        <v>214.92400000000001</v>
      </c>
      <c r="AA138" s="22">
        <v>-1.65405E-2</v>
      </c>
      <c r="AB138" s="22">
        <v>128</v>
      </c>
      <c r="AC138" s="22">
        <v>1.15387</v>
      </c>
      <c r="AD138">
        <f t="shared" si="16"/>
        <v>16.540499999999998</v>
      </c>
      <c r="AE138">
        <f t="shared" si="17"/>
        <v>19.110893699999998</v>
      </c>
      <c r="AF138" s="9"/>
      <c r="AG138" s="22">
        <v>0.54458600000000001</v>
      </c>
      <c r="AH138" s="22">
        <v>347.25700000000001</v>
      </c>
      <c r="AI138" s="22">
        <v>-1.6888400000000001E-2</v>
      </c>
      <c r="AJ138" s="22">
        <v>128</v>
      </c>
      <c r="AK138" s="22">
        <v>0.54379299999999997</v>
      </c>
      <c r="AL138">
        <f t="shared" si="18"/>
        <v>16.888400000000001</v>
      </c>
      <c r="AM138">
        <f t="shared" si="19"/>
        <v>9.1971862024000011</v>
      </c>
      <c r="AP138" s="9"/>
      <c r="AQ138" s="22">
        <v>1.1554</v>
      </c>
      <c r="AR138" s="22">
        <v>416.34699999999998</v>
      </c>
      <c r="AS138" s="22">
        <v>-1.64978E-2</v>
      </c>
      <c r="AT138" s="22">
        <v>128</v>
      </c>
      <c r="AU138" s="22">
        <v>1.1541699999999999</v>
      </c>
      <c r="AV138">
        <f t="shared" si="20"/>
        <v>16.497800000000002</v>
      </c>
      <c r="AW138">
        <f t="shared" si="21"/>
        <v>19.061558120000001</v>
      </c>
      <c r="AX138" s="9"/>
      <c r="AY138" s="22">
        <v>0.54458600000000001</v>
      </c>
      <c r="AZ138" s="22">
        <v>477.18</v>
      </c>
      <c r="BA138" s="22">
        <v>-1.6864000000000001E-2</v>
      </c>
      <c r="BB138" s="22">
        <v>128</v>
      </c>
      <c r="BC138" s="22">
        <v>0.54379299999999997</v>
      </c>
      <c r="BD138">
        <f t="shared" si="22"/>
        <v>16.864000000000001</v>
      </c>
      <c r="BE138">
        <f t="shared" si="23"/>
        <v>9.1838983040000013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40.511699999999998</v>
      </c>
      <c r="I139" s="22">
        <v>4.9612400000000001E-2</v>
      </c>
      <c r="J139" s="22">
        <v>129</v>
      </c>
      <c r="K139" s="22">
        <v>7.9589800000000002E-2</v>
      </c>
      <c r="L139">
        <f t="shared" si="12"/>
        <v>-49.612400000000001</v>
      </c>
      <c r="M139">
        <f t="shared" si="13"/>
        <v>-57.072120464000001</v>
      </c>
      <c r="N139" s="9"/>
      <c r="O139" s="22">
        <v>0.54962200000000005</v>
      </c>
      <c r="P139" s="22">
        <v>151.43899999999999</v>
      </c>
      <c r="Q139" s="22">
        <v>-1.6912799999999999E-2</v>
      </c>
      <c r="R139" s="22">
        <v>129</v>
      </c>
      <c r="S139" s="22">
        <v>0.54879800000000001</v>
      </c>
      <c r="T139">
        <f t="shared" si="14"/>
        <v>16.912799999999997</v>
      </c>
      <c r="U139">
        <f t="shared" si="15"/>
        <v>9.2956469615999993</v>
      </c>
      <c r="X139" s="9"/>
      <c r="Y139" s="22">
        <v>1.15036</v>
      </c>
      <c r="Z139" s="22">
        <v>215.02500000000001</v>
      </c>
      <c r="AA139" s="22">
        <v>-1.6534400000000001E-2</v>
      </c>
      <c r="AB139" s="22">
        <v>129</v>
      </c>
      <c r="AC139" s="22">
        <v>1.1498999999999999</v>
      </c>
      <c r="AD139">
        <f t="shared" si="16"/>
        <v>16.534400000000002</v>
      </c>
      <c r="AE139">
        <f t="shared" si="17"/>
        <v>19.020512384000003</v>
      </c>
      <c r="AF139" s="9"/>
      <c r="AG139" s="22">
        <v>0.54962200000000005</v>
      </c>
      <c r="AH139" s="22">
        <v>347.358</v>
      </c>
      <c r="AI139" s="22">
        <v>-1.6882299999999999E-2</v>
      </c>
      <c r="AJ139" s="22">
        <v>129</v>
      </c>
      <c r="AK139" s="22">
        <v>0.548767</v>
      </c>
      <c r="AL139">
        <f t="shared" si="18"/>
        <v>16.882300000000001</v>
      </c>
      <c r="AM139">
        <f t="shared" si="19"/>
        <v>9.2788834906000019</v>
      </c>
      <c r="AP139" s="9"/>
      <c r="AQ139" s="22">
        <v>1.15036</v>
      </c>
      <c r="AR139" s="22">
        <v>416.44799999999998</v>
      </c>
      <c r="AS139" s="22">
        <v>-1.6503899999999998E-2</v>
      </c>
      <c r="AT139" s="22">
        <v>129</v>
      </c>
      <c r="AU139" s="22">
        <v>1.14899</v>
      </c>
      <c r="AV139">
        <f t="shared" si="20"/>
        <v>16.503899999999998</v>
      </c>
      <c r="AW139">
        <f t="shared" si="21"/>
        <v>18.985426403999998</v>
      </c>
      <c r="AX139" s="9"/>
      <c r="AY139" s="22">
        <v>0.54962200000000005</v>
      </c>
      <c r="AZ139" s="22">
        <v>477.28100000000001</v>
      </c>
      <c r="BA139" s="22">
        <v>-1.6861000000000001E-2</v>
      </c>
      <c r="BB139" s="22">
        <v>129</v>
      </c>
      <c r="BC139" s="22">
        <v>0.54891999999999996</v>
      </c>
      <c r="BD139">
        <f t="shared" si="22"/>
        <v>16.861000000000001</v>
      </c>
      <c r="BE139">
        <f t="shared" si="23"/>
        <v>9.2671765420000014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40.612400000000001</v>
      </c>
      <c r="I140" s="22">
        <v>4.9731400000000002E-2</v>
      </c>
      <c r="J140" s="22">
        <v>130</v>
      </c>
      <c r="K140" s="22">
        <v>7.9620399999999994E-2</v>
      </c>
      <c r="L140">
        <f t="shared" ref="L140:L203" si="24">-I140/$F$2*1000</f>
        <v>-49.731400000000001</v>
      </c>
      <c r="M140">
        <f t="shared" ref="M140:M203" si="25">L140*G140</f>
        <v>-56.958367047999992</v>
      </c>
      <c r="N140" s="9"/>
      <c r="O140" s="22">
        <v>0.55465699999999996</v>
      </c>
      <c r="P140" s="22">
        <v>151.53899999999999</v>
      </c>
      <c r="Q140" s="22">
        <v>-1.69067E-2</v>
      </c>
      <c r="R140" s="22">
        <v>130</v>
      </c>
      <c r="S140" s="22">
        <v>0.55395499999999998</v>
      </c>
      <c r="T140">
        <f t="shared" ref="T140:T203" si="26">-Q140/$F$2*1000</f>
        <v>16.906700000000001</v>
      </c>
      <c r="U140">
        <f t="shared" ref="U140:U203" si="27">T140*O140</f>
        <v>9.3774195019000004</v>
      </c>
      <c r="X140" s="9"/>
      <c r="Y140" s="22">
        <v>1.1453199999999999</v>
      </c>
      <c r="Z140" s="22">
        <v>215.125</v>
      </c>
      <c r="AA140" s="22">
        <v>-1.65375E-2</v>
      </c>
      <c r="AB140" s="22">
        <v>130</v>
      </c>
      <c r="AC140" s="22">
        <v>1.1444099999999999</v>
      </c>
      <c r="AD140">
        <f t="shared" ref="AD140:AD203" si="28">-AA140/$F$2*1000</f>
        <v>16.537500000000001</v>
      </c>
      <c r="AE140">
        <f t="shared" ref="AE140:AE203" si="29">AD140*Y140</f>
        <v>18.9407295</v>
      </c>
      <c r="AF140" s="9"/>
      <c r="AG140" s="22">
        <v>0.55465699999999996</v>
      </c>
      <c r="AH140" s="22">
        <v>347.459</v>
      </c>
      <c r="AI140" s="22">
        <v>-1.6876200000000001E-2</v>
      </c>
      <c r="AJ140" s="22">
        <v>130</v>
      </c>
      <c r="AK140" s="22">
        <v>0.553894</v>
      </c>
      <c r="AL140">
        <f t="shared" ref="AL140:AL203" si="30">-AI140/$F$2*1000</f>
        <v>16.876200000000001</v>
      </c>
      <c r="AM140">
        <f t="shared" ref="AM140:AM203" si="31">AL140*AG140</f>
        <v>9.3605024633999996</v>
      </c>
      <c r="AP140" s="9"/>
      <c r="AQ140" s="22">
        <v>1.1453199999999999</v>
      </c>
      <c r="AR140" s="22">
        <v>416.54899999999998</v>
      </c>
      <c r="AS140" s="22">
        <v>-1.6507000000000001E-2</v>
      </c>
      <c r="AT140" s="22">
        <v>130</v>
      </c>
      <c r="AU140" s="22">
        <v>1.1444099999999999</v>
      </c>
      <c r="AV140">
        <f t="shared" ref="AV140:AV203" si="32">-AS140/$F$2*1000</f>
        <v>16.507000000000001</v>
      </c>
      <c r="AW140">
        <f t="shared" ref="AW140:AW203" si="33">AV140*AQ140</f>
        <v>18.905797239999998</v>
      </c>
      <c r="AX140" s="9"/>
      <c r="AY140" s="22">
        <v>0.55465699999999996</v>
      </c>
      <c r="AZ140" s="22">
        <v>477.38200000000001</v>
      </c>
      <c r="BA140" s="22">
        <v>-1.6857899999999999E-2</v>
      </c>
      <c r="BB140" s="22">
        <v>130</v>
      </c>
      <c r="BC140" s="22">
        <v>0.55383300000000002</v>
      </c>
      <c r="BD140">
        <f t="shared" ref="BD140:BD203" si="34">-BA140/$F$2*1000</f>
        <v>16.857899999999997</v>
      </c>
      <c r="BE140">
        <f t="shared" ref="BE140:BE203" si="35">BD140*AY140</f>
        <v>9.3503522402999977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40.713099999999997</v>
      </c>
      <c r="I141" s="22">
        <v>4.9777200000000001E-2</v>
      </c>
      <c r="J141" s="22">
        <v>131</v>
      </c>
      <c r="K141" s="22">
        <v>7.9650899999999997E-2</v>
      </c>
      <c r="L141">
        <f t="shared" si="24"/>
        <v>-49.777200000000001</v>
      </c>
      <c r="M141">
        <f t="shared" si="25"/>
        <v>-56.760443387999999</v>
      </c>
      <c r="N141" s="9"/>
      <c r="O141" s="22">
        <v>0.55969199999999997</v>
      </c>
      <c r="P141" s="22">
        <v>151.63999999999999</v>
      </c>
      <c r="Q141" s="22">
        <v>-1.6915900000000001E-2</v>
      </c>
      <c r="R141" s="22">
        <v>131</v>
      </c>
      <c r="S141" s="22">
        <v>0.55896000000000001</v>
      </c>
      <c r="T141">
        <f t="shared" si="26"/>
        <v>16.915900000000001</v>
      </c>
      <c r="U141">
        <f t="shared" si="27"/>
        <v>9.4676939028000007</v>
      </c>
      <c r="X141" s="9"/>
      <c r="Y141" s="22">
        <v>1.14029</v>
      </c>
      <c r="Z141" s="22">
        <v>215.226</v>
      </c>
      <c r="AA141" s="22">
        <v>-1.65405E-2</v>
      </c>
      <c r="AB141" s="22">
        <v>131</v>
      </c>
      <c r="AC141" s="22">
        <v>1.1392199999999999</v>
      </c>
      <c r="AD141">
        <f t="shared" si="28"/>
        <v>16.540499999999998</v>
      </c>
      <c r="AE141">
        <f t="shared" si="29"/>
        <v>18.860966744999999</v>
      </c>
      <c r="AF141" s="9"/>
      <c r="AG141" s="22">
        <v>0.55969199999999997</v>
      </c>
      <c r="AH141" s="22">
        <v>347.55900000000003</v>
      </c>
      <c r="AI141" s="22">
        <v>-1.6873200000000001E-2</v>
      </c>
      <c r="AJ141" s="22">
        <v>131</v>
      </c>
      <c r="AK141" s="22">
        <v>0.55896000000000001</v>
      </c>
      <c r="AL141">
        <f t="shared" si="30"/>
        <v>16.873200000000001</v>
      </c>
      <c r="AM141">
        <f t="shared" si="31"/>
        <v>9.4437950544000007</v>
      </c>
      <c r="AP141" s="9"/>
      <c r="AQ141" s="22">
        <v>1.14029</v>
      </c>
      <c r="AR141" s="22">
        <v>416.649</v>
      </c>
      <c r="AS141" s="22">
        <v>-1.6503899999999998E-2</v>
      </c>
      <c r="AT141" s="22">
        <v>131</v>
      </c>
      <c r="AU141" s="22">
        <v>1.1389199999999999</v>
      </c>
      <c r="AV141">
        <f t="shared" si="32"/>
        <v>16.503899999999998</v>
      </c>
      <c r="AW141">
        <f t="shared" si="33"/>
        <v>18.819232131</v>
      </c>
      <c r="AX141" s="9"/>
      <c r="AY141" s="22">
        <v>0.55969199999999997</v>
      </c>
      <c r="AZ141" s="22">
        <v>477.48200000000003</v>
      </c>
      <c r="BA141" s="22">
        <v>-1.6848800000000001E-2</v>
      </c>
      <c r="BB141" s="22">
        <v>131</v>
      </c>
      <c r="BC141" s="22">
        <v>0.55886800000000003</v>
      </c>
      <c r="BD141">
        <f t="shared" si="34"/>
        <v>16.848800000000001</v>
      </c>
      <c r="BE141">
        <f t="shared" si="35"/>
        <v>9.4301385696000004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40.813800000000001</v>
      </c>
      <c r="I142" s="22">
        <v>4.9838300000000002E-2</v>
      </c>
      <c r="J142" s="22">
        <v>132</v>
      </c>
      <c r="K142" s="22">
        <v>7.9650899999999997E-2</v>
      </c>
      <c r="L142">
        <f t="shared" si="24"/>
        <v>-49.838300000000004</v>
      </c>
      <c r="M142">
        <f t="shared" si="25"/>
        <v>-56.578930075000009</v>
      </c>
      <c r="N142" s="9"/>
      <c r="O142" s="22">
        <v>0.56472800000000001</v>
      </c>
      <c r="P142" s="22">
        <v>151.74100000000001</v>
      </c>
      <c r="Q142" s="22">
        <v>-1.69067E-2</v>
      </c>
      <c r="R142" s="22">
        <v>132</v>
      </c>
      <c r="S142" s="22">
        <v>0.56387299999999996</v>
      </c>
      <c r="T142">
        <f t="shared" si="26"/>
        <v>16.906700000000001</v>
      </c>
      <c r="U142">
        <f t="shared" si="27"/>
        <v>9.5476868776000003</v>
      </c>
      <c r="X142" s="9"/>
      <c r="Y142" s="22">
        <v>1.1352500000000001</v>
      </c>
      <c r="Z142" s="22">
        <v>215.327</v>
      </c>
      <c r="AA142" s="22">
        <v>-1.6549700000000001E-2</v>
      </c>
      <c r="AB142" s="22">
        <v>132</v>
      </c>
      <c r="AC142" s="22">
        <v>1.1334200000000001</v>
      </c>
      <c r="AD142">
        <f t="shared" si="28"/>
        <v>16.549700000000001</v>
      </c>
      <c r="AE142">
        <f t="shared" si="29"/>
        <v>18.788046925000003</v>
      </c>
      <c r="AF142" s="9"/>
      <c r="AG142" s="22">
        <v>0.56472800000000001</v>
      </c>
      <c r="AH142" s="22">
        <v>347.66</v>
      </c>
      <c r="AI142" s="22">
        <v>-1.6867099999999999E-2</v>
      </c>
      <c r="AJ142" s="22">
        <v>132</v>
      </c>
      <c r="AK142" s="22">
        <v>0.56387299999999996</v>
      </c>
      <c r="AL142">
        <f t="shared" si="30"/>
        <v>16.867100000000001</v>
      </c>
      <c r="AM142">
        <f t="shared" si="31"/>
        <v>9.5253236488000006</v>
      </c>
      <c r="AP142" s="9"/>
      <c r="AQ142" s="22">
        <v>1.1352500000000001</v>
      </c>
      <c r="AR142" s="22">
        <v>416.75</v>
      </c>
      <c r="AS142" s="22">
        <v>-1.6503899999999998E-2</v>
      </c>
      <c r="AT142" s="22">
        <v>132</v>
      </c>
      <c r="AU142" s="22">
        <v>1.1343399999999999</v>
      </c>
      <c r="AV142">
        <f t="shared" si="32"/>
        <v>16.503899999999998</v>
      </c>
      <c r="AW142">
        <f t="shared" si="33"/>
        <v>18.736052475000001</v>
      </c>
      <c r="AX142" s="9"/>
      <c r="AY142" s="22">
        <v>0.56472800000000001</v>
      </c>
      <c r="AZ142" s="22">
        <v>477.58300000000003</v>
      </c>
      <c r="BA142" s="22">
        <v>-1.6845700000000002E-2</v>
      </c>
      <c r="BB142" s="22">
        <v>132</v>
      </c>
      <c r="BC142" s="22">
        <v>0.56387299999999996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40.914499999999997</v>
      </c>
      <c r="I143" s="22">
        <v>4.9798599999999998E-2</v>
      </c>
      <c r="J143" s="22">
        <v>133</v>
      </c>
      <c r="K143" s="22">
        <v>7.9528799999999997E-2</v>
      </c>
      <c r="L143">
        <f t="shared" si="24"/>
        <v>-49.7986</v>
      </c>
      <c r="M143">
        <f t="shared" si="25"/>
        <v>-56.283373691999998</v>
      </c>
      <c r="N143" s="9"/>
      <c r="O143" s="22">
        <v>0.56976300000000002</v>
      </c>
      <c r="P143" s="22">
        <v>151.84100000000001</v>
      </c>
      <c r="Q143" s="22">
        <v>-1.6903700000000001E-2</v>
      </c>
      <c r="R143" s="22">
        <v>133</v>
      </c>
      <c r="S143" s="22">
        <v>0.56896999999999998</v>
      </c>
      <c r="T143">
        <f t="shared" si="26"/>
        <v>16.903700000000001</v>
      </c>
      <c r="U143">
        <f t="shared" si="27"/>
        <v>9.6311028231000009</v>
      </c>
      <c r="X143" s="9"/>
      <c r="Y143" s="22">
        <v>1.13022</v>
      </c>
      <c r="Z143" s="22">
        <v>215.42699999999999</v>
      </c>
      <c r="AA143" s="22">
        <v>-1.6546600000000002E-2</v>
      </c>
      <c r="AB143" s="22">
        <v>133</v>
      </c>
      <c r="AC143" s="22">
        <v>1.1288499999999999</v>
      </c>
      <c r="AD143">
        <f t="shared" si="28"/>
        <v>16.546600000000002</v>
      </c>
      <c r="AE143">
        <f t="shared" si="29"/>
        <v>18.701298252000001</v>
      </c>
      <c r="AF143" s="9"/>
      <c r="AG143" s="22">
        <v>0.56976300000000002</v>
      </c>
      <c r="AH143" s="22">
        <v>347.76100000000002</v>
      </c>
      <c r="AI143" s="22">
        <v>-1.6867099999999999E-2</v>
      </c>
      <c r="AJ143" s="22">
        <v>133</v>
      </c>
      <c r="AK143" s="22">
        <v>0.56887799999999999</v>
      </c>
      <c r="AL143">
        <f t="shared" si="30"/>
        <v>16.867100000000001</v>
      </c>
      <c r="AM143">
        <f t="shared" si="31"/>
        <v>9.6102494972999999</v>
      </c>
      <c r="AP143" s="9"/>
      <c r="AQ143" s="22">
        <v>1.13022</v>
      </c>
      <c r="AR143" s="22">
        <v>416.851</v>
      </c>
      <c r="AS143" s="22">
        <v>-1.651E-2</v>
      </c>
      <c r="AT143" s="22">
        <v>133</v>
      </c>
      <c r="AU143" s="22">
        <v>1.1294599999999999</v>
      </c>
      <c r="AV143">
        <f t="shared" si="32"/>
        <v>16.510000000000002</v>
      </c>
      <c r="AW143">
        <f t="shared" si="33"/>
        <v>18.6599322</v>
      </c>
      <c r="AX143" s="9"/>
      <c r="AY143" s="22">
        <v>0.56976300000000002</v>
      </c>
      <c r="AZ143" s="22">
        <v>477.68400000000003</v>
      </c>
      <c r="BA143" s="22">
        <v>-1.68518E-2</v>
      </c>
      <c r="BB143" s="22">
        <v>133</v>
      </c>
      <c r="BC143" s="22">
        <v>0.56884800000000002</v>
      </c>
      <c r="BD143">
        <f t="shared" si="34"/>
        <v>16.851800000000001</v>
      </c>
      <c r="BE143">
        <f t="shared" si="35"/>
        <v>9.6015321234000002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41.0152</v>
      </c>
      <c r="I144" s="22">
        <v>4.9700899999999999E-2</v>
      </c>
      <c r="J144" s="22">
        <v>134</v>
      </c>
      <c r="K144" s="22">
        <v>7.9589800000000002E-2</v>
      </c>
      <c r="L144">
        <f t="shared" si="24"/>
        <v>-49.700899999999997</v>
      </c>
      <c r="M144">
        <f t="shared" si="25"/>
        <v>-55.922458661999997</v>
      </c>
      <c r="N144" s="9"/>
      <c r="O144" s="22">
        <v>0.57479899999999995</v>
      </c>
      <c r="P144" s="22">
        <v>151.94200000000001</v>
      </c>
      <c r="Q144" s="22">
        <v>-1.6909799999999999E-2</v>
      </c>
      <c r="R144" s="22">
        <v>134</v>
      </c>
      <c r="S144" s="22">
        <v>0.57397500000000001</v>
      </c>
      <c r="T144">
        <f t="shared" si="26"/>
        <v>16.909800000000001</v>
      </c>
      <c r="U144">
        <f t="shared" si="27"/>
        <v>9.7197361301999994</v>
      </c>
      <c r="X144" s="9"/>
      <c r="Y144" s="22">
        <v>1.1251800000000001</v>
      </c>
      <c r="Z144" s="22">
        <v>215.52799999999999</v>
      </c>
      <c r="AA144" s="22">
        <v>-1.6555799999999999E-2</v>
      </c>
      <c r="AB144" s="22">
        <v>134</v>
      </c>
      <c r="AC144" s="22">
        <v>1.1239600000000001</v>
      </c>
      <c r="AD144">
        <f t="shared" si="28"/>
        <v>16.555799999999998</v>
      </c>
      <c r="AE144">
        <f t="shared" si="29"/>
        <v>18.628255043999999</v>
      </c>
      <c r="AF144" s="9"/>
      <c r="AG144" s="22">
        <v>0.57479899999999995</v>
      </c>
      <c r="AH144" s="22">
        <v>347.86099999999999</v>
      </c>
      <c r="AI144" s="22">
        <v>-1.6867099999999999E-2</v>
      </c>
      <c r="AJ144" s="22">
        <v>134</v>
      </c>
      <c r="AK144" s="22">
        <v>0.57397500000000001</v>
      </c>
      <c r="AL144">
        <f t="shared" si="30"/>
        <v>16.867100000000001</v>
      </c>
      <c r="AM144">
        <f t="shared" si="31"/>
        <v>9.6951922129000003</v>
      </c>
      <c r="AP144" s="9"/>
      <c r="AQ144" s="22">
        <v>1.1251800000000001</v>
      </c>
      <c r="AR144" s="22">
        <v>416.95100000000002</v>
      </c>
      <c r="AS144" s="22">
        <v>-1.6516099999999999E-2</v>
      </c>
      <c r="AT144" s="22">
        <v>134</v>
      </c>
      <c r="AU144" s="22">
        <v>1.1245700000000001</v>
      </c>
      <c r="AV144">
        <f t="shared" si="32"/>
        <v>16.516099999999998</v>
      </c>
      <c r="AW144">
        <f t="shared" si="33"/>
        <v>18.583585398</v>
      </c>
      <c r="AX144" s="9"/>
      <c r="AY144" s="22">
        <v>0.57479899999999995</v>
      </c>
      <c r="AZ144" s="22">
        <v>477.78399999999999</v>
      </c>
      <c r="BA144" s="22">
        <v>-1.6842699999999999E-2</v>
      </c>
      <c r="BB144" s="22">
        <v>134</v>
      </c>
      <c r="BC144" s="22">
        <v>0.57394400000000001</v>
      </c>
      <c r="BD144">
        <f t="shared" si="34"/>
        <v>16.842699999999997</v>
      </c>
      <c r="BE144">
        <f t="shared" si="35"/>
        <v>9.6811671172999976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41.116</v>
      </c>
      <c r="I145" s="22">
        <v>4.9755899999999999E-2</v>
      </c>
      <c r="J145" s="22">
        <v>135</v>
      </c>
      <c r="K145" s="22">
        <v>7.9620399999999994E-2</v>
      </c>
      <c r="L145">
        <f t="shared" si="24"/>
        <v>-49.755899999999997</v>
      </c>
      <c r="M145">
        <f t="shared" si="25"/>
        <v>-55.734071384999993</v>
      </c>
      <c r="N145" s="9"/>
      <c r="O145" s="22">
        <v>0.57983399999999996</v>
      </c>
      <c r="P145" s="22">
        <v>152.04300000000001</v>
      </c>
      <c r="Q145" s="22">
        <v>-1.68945E-2</v>
      </c>
      <c r="R145" s="22">
        <v>135</v>
      </c>
      <c r="S145" s="22">
        <v>0.57901000000000002</v>
      </c>
      <c r="T145">
        <f t="shared" si="26"/>
        <v>16.894500000000001</v>
      </c>
      <c r="U145">
        <f t="shared" si="27"/>
        <v>9.796005512999999</v>
      </c>
      <c r="X145" s="9"/>
      <c r="Y145" s="22">
        <v>1.12015</v>
      </c>
      <c r="Z145" s="22">
        <v>215.62899999999999</v>
      </c>
      <c r="AA145" s="22">
        <v>-1.65527E-2</v>
      </c>
      <c r="AB145" s="22">
        <v>135</v>
      </c>
      <c r="AC145" s="22">
        <v>1.1190800000000001</v>
      </c>
      <c r="AD145">
        <f t="shared" si="28"/>
        <v>16.552700000000002</v>
      </c>
      <c r="AE145">
        <f t="shared" si="29"/>
        <v>18.541506905000002</v>
      </c>
      <c r="AF145" s="9"/>
      <c r="AG145" s="22">
        <v>0.57983399999999996</v>
      </c>
      <c r="AH145" s="22">
        <v>347.96199999999999</v>
      </c>
      <c r="AI145" s="22">
        <v>-1.6864000000000001E-2</v>
      </c>
      <c r="AJ145" s="22">
        <v>135</v>
      </c>
      <c r="AK145" s="22">
        <v>0.57888799999999996</v>
      </c>
      <c r="AL145">
        <f t="shared" si="30"/>
        <v>16.864000000000001</v>
      </c>
      <c r="AM145">
        <f t="shared" si="31"/>
        <v>9.7783205760000005</v>
      </c>
      <c r="AP145" s="9"/>
      <c r="AQ145" s="22">
        <v>1.12015</v>
      </c>
      <c r="AR145" s="22">
        <v>417.05200000000002</v>
      </c>
      <c r="AS145" s="22">
        <v>-1.6516099999999999E-2</v>
      </c>
      <c r="AT145" s="22">
        <v>135</v>
      </c>
      <c r="AU145" s="22">
        <v>1.11938</v>
      </c>
      <c r="AV145">
        <f t="shared" si="32"/>
        <v>16.516099999999998</v>
      </c>
      <c r="AW145">
        <f t="shared" si="33"/>
        <v>18.500509414999996</v>
      </c>
      <c r="AX145" s="9"/>
      <c r="AY145" s="22">
        <v>0.57983399999999996</v>
      </c>
      <c r="AZ145" s="22">
        <v>477.88499999999999</v>
      </c>
      <c r="BA145" s="22">
        <v>-1.68396E-2</v>
      </c>
      <c r="BB145" s="22">
        <v>135</v>
      </c>
      <c r="BC145" s="22">
        <v>0.57891800000000004</v>
      </c>
      <c r="BD145">
        <f t="shared" si="34"/>
        <v>16.839600000000001</v>
      </c>
      <c r="BE145">
        <f t="shared" si="35"/>
        <v>9.7641726264000006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41.216700000000003</v>
      </c>
      <c r="I146" s="22">
        <v>4.9740600000000003E-2</v>
      </c>
      <c r="J146" s="22">
        <v>136</v>
      </c>
      <c r="K146" s="22">
        <v>7.9650899999999997E-2</v>
      </c>
      <c r="L146">
        <f t="shared" si="24"/>
        <v>-49.740600000000001</v>
      </c>
      <c r="M146">
        <f t="shared" si="25"/>
        <v>-55.466240466000002</v>
      </c>
      <c r="N146" s="9"/>
      <c r="O146" s="22">
        <v>0.58486899999999997</v>
      </c>
      <c r="P146" s="22">
        <v>152.14400000000001</v>
      </c>
      <c r="Q146" s="22">
        <v>-1.68945E-2</v>
      </c>
      <c r="R146" s="22">
        <v>136</v>
      </c>
      <c r="S146" s="22">
        <v>0.58404500000000004</v>
      </c>
      <c r="T146">
        <f t="shared" si="26"/>
        <v>16.894500000000001</v>
      </c>
      <c r="U146">
        <f t="shared" si="27"/>
        <v>9.8810693205</v>
      </c>
      <c r="X146" s="9"/>
      <c r="Y146" s="22">
        <v>1.11511</v>
      </c>
      <c r="Z146" s="22">
        <v>215.73</v>
      </c>
      <c r="AA146" s="22">
        <v>-1.6561900000000001E-2</v>
      </c>
      <c r="AB146" s="22">
        <v>136</v>
      </c>
      <c r="AC146" s="22">
        <v>1.1142000000000001</v>
      </c>
      <c r="AD146">
        <f t="shared" si="28"/>
        <v>16.561900000000001</v>
      </c>
      <c r="AE146">
        <f t="shared" si="29"/>
        <v>18.468340309000002</v>
      </c>
      <c r="AF146" s="9"/>
      <c r="AG146" s="22">
        <v>0.58486899999999997</v>
      </c>
      <c r="AH146" s="22">
        <v>348.06299999999999</v>
      </c>
      <c r="AI146" s="22">
        <v>-1.6861000000000001E-2</v>
      </c>
      <c r="AJ146" s="22">
        <v>136</v>
      </c>
      <c r="AK146" s="22">
        <v>0.58401499999999995</v>
      </c>
      <c r="AL146">
        <f t="shared" si="30"/>
        <v>16.861000000000001</v>
      </c>
      <c r="AM146">
        <f t="shared" si="31"/>
        <v>9.8614762089999992</v>
      </c>
      <c r="AP146" s="9"/>
      <c r="AQ146" s="22">
        <v>1.11511</v>
      </c>
      <c r="AR146" s="22">
        <v>417.15300000000002</v>
      </c>
      <c r="AS146" s="22">
        <v>-1.6519200000000001E-2</v>
      </c>
      <c r="AT146" s="22">
        <v>136</v>
      </c>
      <c r="AU146" s="22">
        <v>1.11389</v>
      </c>
      <c r="AV146">
        <f t="shared" si="32"/>
        <v>16.519200000000001</v>
      </c>
      <c r="AW146">
        <f t="shared" si="33"/>
        <v>18.420725112000003</v>
      </c>
      <c r="AX146" s="9"/>
      <c r="AY146" s="22">
        <v>0.58486899999999997</v>
      </c>
      <c r="AZ146" s="22">
        <v>477.98599999999999</v>
      </c>
      <c r="BA146" s="22">
        <v>-1.68396E-2</v>
      </c>
      <c r="BB146" s="22">
        <v>136</v>
      </c>
      <c r="BC146" s="22">
        <v>0.58398399999999995</v>
      </c>
      <c r="BD146">
        <f t="shared" si="34"/>
        <v>16.839600000000001</v>
      </c>
      <c r="BE146">
        <f t="shared" si="35"/>
        <v>9.8489600123999992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41.317399999999999</v>
      </c>
      <c r="I147" s="22">
        <v>4.9813799999999998E-2</v>
      </c>
      <c r="J147" s="22">
        <v>137</v>
      </c>
      <c r="K147" s="22">
        <v>7.9711900000000002E-2</v>
      </c>
      <c r="L147">
        <f t="shared" si="24"/>
        <v>-49.813800000000001</v>
      </c>
      <c r="M147">
        <f t="shared" si="25"/>
        <v>-55.297303104000001</v>
      </c>
      <c r="N147" s="9"/>
      <c r="O147" s="22">
        <v>0.58990500000000001</v>
      </c>
      <c r="P147" s="22">
        <v>152.244</v>
      </c>
      <c r="Q147" s="22">
        <v>-1.6897599999999999E-2</v>
      </c>
      <c r="R147" s="22">
        <v>137</v>
      </c>
      <c r="S147" s="22">
        <v>0.58920300000000003</v>
      </c>
      <c r="T147">
        <f t="shared" si="26"/>
        <v>16.897599999999997</v>
      </c>
      <c r="U147">
        <f t="shared" si="27"/>
        <v>9.9679787279999985</v>
      </c>
      <c r="X147" s="9"/>
      <c r="Y147" s="22">
        <v>1.11008</v>
      </c>
      <c r="Z147" s="22">
        <v>215.83</v>
      </c>
      <c r="AA147" s="22">
        <v>-1.6561900000000001E-2</v>
      </c>
      <c r="AB147" s="22">
        <v>137</v>
      </c>
      <c r="AC147" s="22">
        <v>1.1087</v>
      </c>
      <c r="AD147">
        <f t="shared" si="28"/>
        <v>16.561900000000001</v>
      </c>
      <c r="AE147">
        <f t="shared" si="29"/>
        <v>18.385033952000001</v>
      </c>
      <c r="AF147" s="9"/>
      <c r="AG147" s="22">
        <v>0.58990500000000001</v>
      </c>
      <c r="AH147" s="22">
        <v>348.16399999999999</v>
      </c>
      <c r="AI147" s="22">
        <v>-1.6857899999999999E-2</v>
      </c>
      <c r="AJ147" s="22">
        <v>137</v>
      </c>
      <c r="AK147" s="22">
        <v>0.58911100000000005</v>
      </c>
      <c r="AL147">
        <f t="shared" si="30"/>
        <v>16.857899999999997</v>
      </c>
      <c r="AM147">
        <f t="shared" si="31"/>
        <v>9.9445594994999986</v>
      </c>
      <c r="AP147" s="9"/>
      <c r="AQ147" s="22">
        <v>1.11008</v>
      </c>
      <c r="AR147" s="22">
        <v>417.25400000000002</v>
      </c>
      <c r="AS147" s="22">
        <v>-1.65253E-2</v>
      </c>
      <c r="AT147" s="22">
        <v>137</v>
      </c>
      <c r="AU147" s="22">
        <v>1.10931</v>
      </c>
      <c r="AV147">
        <f t="shared" si="32"/>
        <v>16.525300000000001</v>
      </c>
      <c r="AW147">
        <f t="shared" si="33"/>
        <v>18.344405024</v>
      </c>
      <c r="AX147" s="9"/>
      <c r="AY147" s="22">
        <v>0.58990500000000001</v>
      </c>
      <c r="AZ147" s="22">
        <v>478.08699999999999</v>
      </c>
      <c r="BA147" s="22">
        <v>-1.6836500000000001E-2</v>
      </c>
      <c r="BB147" s="22">
        <v>137</v>
      </c>
      <c r="BC147" s="22">
        <v>0.58904999999999996</v>
      </c>
      <c r="BD147">
        <f t="shared" si="34"/>
        <v>16.836500000000001</v>
      </c>
      <c r="BE147">
        <f t="shared" si="35"/>
        <v>9.9319355325000007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41.418100000000003</v>
      </c>
      <c r="I148" s="22">
        <v>4.9764999999999997E-2</v>
      </c>
      <c r="J148" s="22">
        <v>138</v>
      </c>
      <c r="K148" s="22">
        <v>7.9681399999999999E-2</v>
      </c>
      <c r="L148">
        <f t="shared" si="24"/>
        <v>-49.764999999999993</v>
      </c>
      <c r="M148">
        <f t="shared" si="25"/>
        <v>-54.992315599999991</v>
      </c>
      <c r="N148" s="9"/>
      <c r="O148" s="22">
        <v>0.59494000000000002</v>
      </c>
      <c r="P148" s="22">
        <v>152.345</v>
      </c>
      <c r="Q148" s="22">
        <v>-1.6897599999999999E-2</v>
      </c>
      <c r="R148" s="22">
        <v>138</v>
      </c>
      <c r="S148" s="22">
        <v>0.59402500000000003</v>
      </c>
      <c r="T148">
        <f t="shared" si="26"/>
        <v>16.897599999999997</v>
      </c>
      <c r="U148">
        <f t="shared" si="27"/>
        <v>10.053058144</v>
      </c>
      <c r="X148" s="9"/>
      <c r="Y148" s="22">
        <v>1.10504</v>
      </c>
      <c r="Z148" s="22">
        <v>215.93100000000001</v>
      </c>
      <c r="AA148" s="22">
        <v>-1.65649E-2</v>
      </c>
      <c r="AB148" s="22">
        <v>138</v>
      </c>
      <c r="AC148" s="22">
        <v>1.10443</v>
      </c>
      <c r="AD148">
        <f t="shared" si="28"/>
        <v>16.564900000000002</v>
      </c>
      <c r="AE148">
        <f t="shared" si="29"/>
        <v>18.304877096000002</v>
      </c>
      <c r="AF148" s="9"/>
      <c r="AG148" s="22">
        <v>0.59494000000000002</v>
      </c>
      <c r="AH148" s="22">
        <v>348.26400000000001</v>
      </c>
      <c r="AI148" s="22">
        <v>-1.6861000000000001E-2</v>
      </c>
      <c r="AJ148" s="22">
        <v>138</v>
      </c>
      <c r="AK148" s="22">
        <v>0.59420799999999996</v>
      </c>
      <c r="AL148">
        <f t="shared" si="30"/>
        <v>16.861000000000001</v>
      </c>
      <c r="AM148">
        <f t="shared" si="31"/>
        <v>10.031283340000002</v>
      </c>
      <c r="AP148" s="9"/>
      <c r="AQ148" s="22">
        <v>1.10504</v>
      </c>
      <c r="AR148" s="22">
        <v>417.35399999999998</v>
      </c>
      <c r="AS148" s="22">
        <v>-1.6522200000000001E-2</v>
      </c>
      <c r="AT148" s="22">
        <v>138</v>
      </c>
      <c r="AU148" s="22">
        <v>1.10382</v>
      </c>
      <c r="AV148">
        <f t="shared" si="32"/>
        <v>16.522200000000002</v>
      </c>
      <c r="AW148">
        <f t="shared" si="33"/>
        <v>18.257691888000004</v>
      </c>
      <c r="AX148" s="9"/>
      <c r="AY148" s="22">
        <v>0.59494000000000002</v>
      </c>
      <c r="AZ148" s="22">
        <v>478.18700000000001</v>
      </c>
      <c r="BA148" s="22">
        <v>-1.6833500000000001E-2</v>
      </c>
      <c r="BB148" s="22">
        <v>138</v>
      </c>
      <c r="BC148" s="22">
        <v>0.59420799999999996</v>
      </c>
      <c r="BD148">
        <f t="shared" si="34"/>
        <v>16.833500000000001</v>
      </c>
      <c r="BE148">
        <f t="shared" si="35"/>
        <v>10.01492249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41.518799999999999</v>
      </c>
      <c r="I149" s="22">
        <v>7.98431E-2</v>
      </c>
      <c r="J149" s="22">
        <v>139</v>
      </c>
      <c r="K149" s="22">
        <v>7.9986600000000005E-2</v>
      </c>
      <c r="L149">
        <f t="shared" si="24"/>
        <v>-79.843100000000007</v>
      </c>
      <c r="M149">
        <f t="shared" si="25"/>
        <v>-87.828208431000007</v>
      </c>
      <c r="N149" s="9"/>
      <c r="O149" s="22">
        <v>0.59997599999999995</v>
      </c>
      <c r="P149" s="22">
        <v>152.446</v>
      </c>
      <c r="Q149" s="22">
        <v>-1.68945E-2</v>
      </c>
      <c r="R149" s="22">
        <v>139</v>
      </c>
      <c r="S149" s="22">
        <v>0.59902999999999995</v>
      </c>
      <c r="T149">
        <f t="shared" si="26"/>
        <v>16.894500000000001</v>
      </c>
      <c r="U149">
        <f t="shared" si="27"/>
        <v>10.136294531999999</v>
      </c>
      <c r="X149" s="9"/>
      <c r="Y149" s="22">
        <v>1.1000099999999999</v>
      </c>
      <c r="Z149" s="22">
        <v>216.03200000000001</v>
      </c>
      <c r="AA149" s="22">
        <v>-1.6570999999999999E-2</v>
      </c>
      <c r="AB149" s="22">
        <v>139</v>
      </c>
      <c r="AC149" s="22">
        <v>1.09924</v>
      </c>
      <c r="AD149">
        <f t="shared" si="28"/>
        <v>16.570999999999998</v>
      </c>
      <c r="AE149">
        <f t="shared" si="29"/>
        <v>18.228265709999995</v>
      </c>
      <c r="AF149" s="9"/>
      <c r="AG149" s="22">
        <v>0.59997599999999995</v>
      </c>
      <c r="AH149" s="22">
        <v>348.36500000000001</v>
      </c>
      <c r="AI149" s="22">
        <v>-1.6857899999999999E-2</v>
      </c>
      <c r="AJ149" s="22">
        <v>139</v>
      </c>
      <c r="AK149" s="22">
        <v>0.59924299999999997</v>
      </c>
      <c r="AL149">
        <f t="shared" si="30"/>
        <v>16.857899999999997</v>
      </c>
      <c r="AM149">
        <f t="shared" si="31"/>
        <v>10.114335410399997</v>
      </c>
      <c r="AP149" s="9"/>
      <c r="AQ149" s="22">
        <v>1.1000099999999999</v>
      </c>
      <c r="AR149" s="22">
        <v>417.45499999999998</v>
      </c>
      <c r="AS149" s="22">
        <v>-1.6534400000000001E-2</v>
      </c>
      <c r="AT149" s="22">
        <v>139</v>
      </c>
      <c r="AU149" s="22">
        <v>1.09894</v>
      </c>
      <c r="AV149">
        <f t="shared" si="32"/>
        <v>16.534400000000002</v>
      </c>
      <c r="AW149">
        <f t="shared" si="33"/>
        <v>18.188005344</v>
      </c>
      <c r="AX149" s="9"/>
      <c r="AY149" s="22">
        <v>0.59997599999999995</v>
      </c>
      <c r="AZ149" s="22">
        <v>478.28800000000001</v>
      </c>
      <c r="BA149" s="22">
        <v>-1.6830399999999999E-2</v>
      </c>
      <c r="BB149" s="22">
        <v>139</v>
      </c>
      <c r="BC149" s="22">
        <v>0.599213</v>
      </c>
      <c r="BD149">
        <f t="shared" si="34"/>
        <v>16.830399999999997</v>
      </c>
      <c r="BE149">
        <f t="shared" si="35"/>
        <v>10.097836070399998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41.619500000000002</v>
      </c>
      <c r="I150" s="22">
        <v>7.9019199999999998E-2</v>
      </c>
      <c r="J150" s="22">
        <v>140</v>
      </c>
      <c r="K150" s="22">
        <v>7.9986600000000005E-2</v>
      </c>
      <c r="L150">
        <f t="shared" si="24"/>
        <v>-79.019199999999998</v>
      </c>
      <c r="M150">
        <f t="shared" si="25"/>
        <v>-86.523653424000003</v>
      </c>
      <c r="N150" s="9"/>
      <c r="O150" s="22">
        <v>0.60501099999999997</v>
      </c>
      <c r="P150" s="22">
        <v>152.54599999999999</v>
      </c>
      <c r="Q150" s="22">
        <v>-1.68915E-2</v>
      </c>
      <c r="R150" s="22">
        <v>140</v>
      </c>
      <c r="S150" s="22">
        <v>0.60421800000000003</v>
      </c>
      <c r="T150">
        <f t="shared" si="26"/>
        <v>16.891500000000001</v>
      </c>
      <c r="U150">
        <f t="shared" si="27"/>
        <v>10.2195433065</v>
      </c>
      <c r="X150" s="9"/>
      <c r="Y150" s="22">
        <v>1.09497</v>
      </c>
      <c r="Z150" s="22">
        <v>216.13200000000001</v>
      </c>
      <c r="AA150" s="22">
        <v>-1.6574100000000001E-2</v>
      </c>
      <c r="AB150" s="22">
        <v>140</v>
      </c>
      <c r="AC150" s="22">
        <v>1.09467</v>
      </c>
      <c r="AD150">
        <f t="shared" si="28"/>
        <v>16.574100000000001</v>
      </c>
      <c r="AE150">
        <f t="shared" si="29"/>
        <v>18.148142277000002</v>
      </c>
      <c r="AF150" s="9"/>
      <c r="AG150" s="22">
        <v>0.60501099999999997</v>
      </c>
      <c r="AH150" s="22">
        <v>348.46600000000001</v>
      </c>
      <c r="AI150" s="22">
        <v>-1.6854899999999999E-2</v>
      </c>
      <c r="AJ150" s="22">
        <v>140</v>
      </c>
      <c r="AK150" s="22">
        <v>0.60421800000000003</v>
      </c>
      <c r="AL150">
        <f t="shared" si="30"/>
        <v>16.854900000000001</v>
      </c>
      <c r="AM150">
        <f t="shared" si="31"/>
        <v>10.197399903899999</v>
      </c>
      <c r="AP150" s="9"/>
      <c r="AQ150" s="22">
        <v>1.09497</v>
      </c>
      <c r="AR150" s="22">
        <v>417.55599999999998</v>
      </c>
      <c r="AS150" s="22">
        <v>-1.6534400000000001E-2</v>
      </c>
      <c r="AT150" s="22">
        <v>140</v>
      </c>
      <c r="AU150" s="22">
        <v>1.09406</v>
      </c>
      <c r="AV150">
        <f t="shared" si="32"/>
        <v>16.534400000000002</v>
      </c>
      <c r="AW150">
        <f t="shared" si="33"/>
        <v>18.104671968000002</v>
      </c>
      <c r="AX150" s="9"/>
      <c r="AY150" s="22">
        <v>0.60501099999999997</v>
      </c>
      <c r="AZ150" s="22">
        <v>478.38900000000001</v>
      </c>
      <c r="BA150" s="22">
        <v>-1.6827399999999999E-2</v>
      </c>
      <c r="BB150" s="22">
        <v>140</v>
      </c>
      <c r="BC150" s="22">
        <v>0.60406499999999996</v>
      </c>
      <c r="BD150">
        <f t="shared" si="34"/>
        <v>16.827400000000001</v>
      </c>
      <c r="BE150">
        <f t="shared" si="35"/>
        <v>10.180762101399999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41.720199999999998</v>
      </c>
      <c r="I151" s="22">
        <v>7.8689599999999998E-2</v>
      </c>
      <c r="J151" s="22">
        <v>141</v>
      </c>
      <c r="K151" s="22">
        <v>7.9956100000000002E-2</v>
      </c>
      <c r="L151">
        <f t="shared" si="24"/>
        <v>-78.689599999999999</v>
      </c>
      <c r="M151">
        <f t="shared" si="25"/>
        <v>-85.766942623999995</v>
      </c>
      <c r="N151" s="9"/>
      <c r="O151" s="22">
        <v>0.61004599999999998</v>
      </c>
      <c r="P151" s="22">
        <v>152.64699999999999</v>
      </c>
      <c r="Q151" s="22">
        <v>-1.6885399999999998E-2</v>
      </c>
      <c r="R151" s="22">
        <v>141</v>
      </c>
      <c r="S151" s="22">
        <v>0.609375</v>
      </c>
      <c r="T151">
        <f t="shared" si="26"/>
        <v>16.885399999999997</v>
      </c>
      <c r="U151">
        <f t="shared" si="27"/>
        <v>10.300870728399998</v>
      </c>
      <c r="X151" s="9"/>
      <c r="Y151" s="22">
        <v>1.0899399999999999</v>
      </c>
      <c r="Z151" s="22">
        <v>216.233</v>
      </c>
      <c r="AA151" s="22">
        <v>-1.65802E-2</v>
      </c>
      <c r="AB151" s="22">
        <v>141</v>
      </c>
      <c r="AC151" s="22">
        <v>1.08887</v>
      </c>
      <c r="AD151">
        <f t="shared" si="28"/>
        <v>16.580200000000001</v>
      </c>
      <c r="AE151">
        <f t="shared" si="29"/>
        <v>18.071423188000001</v>
      </c>
      <c r="AF151" s="9"/>
      <c r="AG151" s="22">
        <v>0.61004599999999998</v>
      </c>
      <c r="AH151" s="22">
        <v>348.56599999999997</v>
      </c>
      <c r="AI151" s="22">
        <v>-1.68518E-2</v>
      </c>
      <c r="AJ151" s="22">
        <v>141</v>
      </c>
      <c r="AK151" s="22">
        <v>0.60928300000000002</v>
      </c>
      <c r="AL151">
        <f t="shared" si="30"/>
        <v>16.851800000000001</v>
      </c>
      <c r="AM151">
        <f t="shared" si="31"/>
        <v>10.2803731828</v>
      </c>
      <c r="AP151" s="9"/>
      <c r="AQ151" s="22">
        <v>1.0899399999999999</v>
      </c>
      <c r="AR151" s="22">
        <v>417.65600000000001</v>
      </c>
      <c r="AS151" s="22">
        <v>-1.65405E-2</v>
      </c>
      <c r="AT151" s="22">
        <v>141</v>
      </c>
      <c r="AU151" s="22">
        <v>1.08917</v>
      </c>
      <c r="AV151">
        <f t="shared" si="32"/>
        <v>16.540499999999998</v>
      </c>
      <c r="AW151">
        <f t="shared" si="33"/>
        <v>18.028152569999996</v>
      </c>
      <c r="AX151" s="9"/>
      <c r="AY151" s="22">
        <v>0.61004599999999998</v>
      </c>
      <c r="AZ151" s="22">
        <v>478.48899999999998</v>
      </c>
      <c r="BA151" s="22">
        <v>-1.6821300000000001E-2</v>
      </c>
      <c r="BB151" s="22">
        <v>141</v>
      </c>
      <c r="BC151" s="22">
        <v>0.609344</v>
      </c>
      <c r="BD151">
        <f t="shared" si="34"/>
        <v>16.821300000000001</v>
      </c>
      <c r="BE151">
        <f t="shared" si="35"/>
        <v>10.2617667798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41.820900000000002</v>
      </c>
      <c r="I152" s="22">
        <v>7.8539999999999999E-2</v>
      </c>
      <c r="J152" s="22">
        <v>142</v>
      </c>
      <c r="K152" s="22">
        <v>8.0047599999999997E-2</v>
      </c>
      <c r="L152">
        <f t="shared" si="24"/>
        <v>-78.539999999999992</v>
      </c>
      <c r="M152">
        <f t="shared" si="25"/>
        <v>-85.208045999999996</v>
      </c>
      <c r="N152" s="9"/>
      <c r="O152" s="22">
        <v>0.61508200000000002</v>
      </c>
      <c r="P152" s="22">
        <v>152.74799999999999</v>
      </c>
      <c r="Q152" s="22">
        <v>-1.6882299999999999E-2</v>
      </c>
      <c r="R152" s="22">
        <v>142</v>
      </c>
      <c r="S152" s="22">
        <v>0.61428799999999995</v>
      </c>
      <c r="T152">
        <f t="shared" si="26"/>
        <v>16.882300000000001</v>
      </c>
      <c r="U152">
        <f t="shared" si="27"/>
        <v>10.383998848600001</v>
      </c>
      <c r="X152" s="9"/>
      <c r="Y152" s="22">
        <v>1.0849</v>
      </c>
      <c r="Z152" s="22">
        <v>216.334</v>
      </c>
      <c r="AA152" s="22">
        <v>-1.65802E-2</v>
      </c>
      <c r="AB152" s="22">
        <v>142</v>
      </c>
      <c r="AC152" s="22">
        <v>1.08429</v>
      </c>
      <c r="AD152">
        <f t="shared" si="28"/>
        <v>16.580200000000001</v>
      </c>
      <c r="AE152">
        <f t="shared" si="29"/>
        <v>17.987858980000002</v>
      </c>
      <c r="AF152" s="9"/>
      <c r="AG152" s="22">
        <v>0.61508200000000002</v>
      </c>
      <c r="AH152" s="22">
        <v>348.66699999999997</v>
      </c>
      <c r="AI152" s="22">
        <v>-1.6845700000000002E-2</v>
      </c>
      <c r="AJ152" s="22">
        <v>142</v>
      </c>
      <c r="AK152" s="22">
        <v>0.61431899999999995</v>
      </c>
      <c r="AL152">
        <f t="shared" si="30"/>
        <v>16.845700000000001</v>
      </c>
      <c r="AM152">
        <f t="shared" si="31"/>
        <v>10.3614868474</v>
      </c>
      <c r="AP152" s="9"/>
      <c r="AQ152" s="22">
        <v>1.0849</v>
      </c>
      <c r="AR152" s="22">
        <v>417.75700000000001</v>
      </c>
      <c r="AS152" s="22">
        <v>-1.6549700000000001E-2</v>
      </c>
      <c r="AT152" s="22">
        <v>142</v>
      </c>
      <c r="AU152" s="22">
        <v>1.08368</v>
      </c>
      <c r="AV152">
        <f t="shared" si="32"/>
        <v>16.549700000000001</v>
      </c>
      <c r="AW152">
        <f t="shared" si="33"/>
        <v>17.95476953</v>
      </c>
      <c r="AX152" s="9"/>
      <c r="AY152" s="22">
        <v>0.61508200000000002</v>
      </c>
      <c r="AZ152" s="22">
        <v>478.59</v>
      </c>
      <c r="BA152" s="22">
        <v>-1.68243E-2</v>
      </c>
      <c r="BB152" s="22">
        <v>142</v>
      </c>
      <c r="BC152" s="22">
        <v>0.61428799999999995</v>
      </c>
      <c r="BD152">
        <f t="shared" si="34"/>
        <v>16.824300000000001</v>
      </c>
      <c r="BE152">
        <f t="shared" si="35"/>
        <v>10.3483240926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41.921599999999998</v>
      </c>
      <c r="I153" s="22">
        <v>7.8308100000000005E-2</v>
      </c>
      <c r="J153" s="22">
        <v>143</v>
      </c>
      <c r="K153" s="22">
        <v>8.0047599999999997E-2</v>
      </c>
      <c r="L153">
        <f t="shared" si="24"/>
        <v>-78.30810000000001</v>
      </c>
      <c r="M153">
        <f t="shared" si="25"/>
        <v>-84.561784866000011</v>
      </c>
      <c r="N153" s="9"/>
      <c r="O153" s="22">
        <v>0.62011700000000003</v>
      </c>
      <c r="P153" s="22">
        <v>152.84800000000001</v>
      </c>
      <c r="Q153" s="22">
        <v>-1.68793E-2</v>
      </c>
      <c r="R153" s="22">
        <v>143</v>
      </c>
      <c r="S153" s="22">
        <v>0.61935399999999996</v>
      </c>
      <c r="T153">
        <f t="shared" si="26"/>
        <v>16.879300000000001</v>
      </c>
      <c r="U153">
        <f t="shared" si="27"/>
        <v>10.4671408781</v>
      </c>
      <c r="X153" s="9"/>
      <c r="Y153" s="22">
        <v>1.07986</v>
      </c>
      <c r="Z153" s="22">
        <v>216.434</v>
      </c>
      <c r="AA153" s="22">
        <v>-1.6577100000000001E-2</v>
      </c>
      <c r="AB153" s="22">
        <v>143</v>
      </c>
      <c r="AC153" s="22">
        <v>1.0790999999999999</v>
      </c>
      <c r="AD153">
        <f t="shared" si="28"/>
        <v>16.577100000000002</v>
      </c>
      <c r="AE153">
        <f t="shared" si="29"/>
        <v>17.900947206000001</v>
      </c>
      <c r="AF153" s="9"/>
      <c r="AG153" s="22">
        <v>0.62011700000000003</v>
      </c>
      <c r="AH153" s="22">
        <v>348.76799999999997</v>
      </c>
      <c r="AI153" s="22">
        <v>-1.6845700000000002E-2</v>
      </c>
      <c r="AJ153" s="22">
        <v>143</v>
      </c>
      <c r="AK153" s="22">
        <v>0.619232</v>
      </c>
      <c r="AL153">
        <f t="shared" si="30"/>
        <v>16.845700000000001</v>
      </c>
      <c r="AM153">
        <f t="shared" si="31"/>
        <v>10.446304946900002</v>
      </c>
      <c r="AP153" s="9"/>
      <c r="AQ153" s="22">
        <v>1.07986</v>
      </c>
      <c r="AR153" s="22">
        <v>417.858</v>
      </c>
      <c r="AS153" s="22">
        <v>-1.6543599999999999E-2</v>
      </c>
      <c r="AT153" s="22">
        <v>143</v>
      </c>
      <c r="AU153" s="22">
        <v>1.0788</v>
      </c>
      <c r="AV153">
        <f t="shared" si="32"/>
        <v>16.543599999999998</v>
      </c>
      <c r="AW153">
        <f t="shared" si="33"/>
        <v>17.864771895999997</v>
      </c>
      <c r="AX153" s="9"/>
      <c r="AY153" s="22">
        <v>0.62011700000000003</v>
      </c>
      <c r="AZ153" s="22">
        <v>478.69099999999997</v>
      </c>
      <c r="BA153" s="22">
        <v>-1.6821300000000001E-2</v>
      </c>
      <c r="BB153" s="22">
        <v>143</v>
      </c>
      <c r="BC153" s="22">
        <v>0.61959799999999998</v>
      </c>
      <c r="BD153">
        <f t="shared" si="34"/>
        <v>16.821300000000001</v>
      </c>
      <c r="BE153">
        <f t="shared" si="35"/>
        <v>10.431174092100001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42.022300000000001</v>
      </c>
      <c r="I154" s="22">
        <v>7.8091400000000005E-2</v>
      </c>
      <c r="J154" s="22">
        <v>144</v>
      </c>
      <c r="K154" s="22">
        <v>8.0017099999999994E-2</v>
      </c>
      <c r="L154">
        <f t="shared" si="24"/>
        <v>-78.091400000000007</v>
      </c>
      <c r="M154">
        <f t="shared" si="25"/>
        <v>-83.934979462000001</v>
      </c>
      <c r="N154" s="9"/>
      <c r="O154" s="22">
        <v>0.62515299999999996</v>
      </c>
      <c r="P154" s="22">
        <v>152.94900000000001</v>
      </c>
      <c r="Q154" s="22">
        <v>-1.6876200000000001E-2</v>
      </c>
      <c r="R154" s="22">
        <v>144</v>
      </c>
      <c r="S154" s="22">
        <v>0.62439</v>
      </c>
      <c r="T154">
        <f t="shared" si="26"/>
        <v>16.876200000000001</v>
      </c>
      <c r="U154">
        <f t="shared" si="27"/>
        <v>10.5502070586</v>
      </c>
      <c r="X154" s="9"/>
      <c r="Y154" s="22">
        <v>1.07483</v>
      </c>
      <c r="Z154" s="22">
        <v>216.535</v>
      </c>
      <c r="AA154" s="22">
        <v>-1.6589400000000001E-2</v>
      </c>
      <c r="AB154" s="22">
        <v>144</v>
      </c>
      <c r="AC154" s="22">
        <v>1.07361</v>
      </c>
      <c r="AD154">
        <f t="shared" si="28"/>
        <v>16.589400000000001</v>
      </c>
      <c r="AE154">
        <f t="shared" si="29"/>
        <v>17.830784802</v>
      </c>
      <c r="AF154" s="9"/>
      <c r="AG154" s="22">
        <v>0.62515299999999996</v>
      </c>
      <c r="AH154" s="22">
        <v>348.86799999999999</v>
      </c>
      <c r="AI154" s="22">
        <v>-1.6836500000000001E-2</v>
      </c>
      <c r="AJ154" s="22">
        <v>144</v>
      </c>
      <c r="AK154" s="22">
        <v>0.62432900000000002</v>
      </c>
      <c r="AL154">
        <f t="shared" si="30"/>
        <v>16.836500000000001</v>
      </c>
      <c r="AM154">
        <f t="shared" si="31"/>
        <v>10.525388484500001</v>
      </c>
      <c r="AP154" s="9"/>
      <c r="AQ154" s="22">
        <v>1.07483</v>
      </c>
      <c r="AR154" s="22">
        <v>417.959</v>
      </c>
      <c r="AS154" s="22">
        <v>-1.65527E-2</v>
      </c>
      <c r="AT154" s="22">
        <v>144</v>
      </c>
      <c r="AU154" s="22">
        <v>1.0732999999999999</v>
      </c>
      <c r="AV154">
        <f t="shared" si="32"/>
        <v>16.552700000000002</v>
      </c>
      <c r="AW154">
        <f t="shared" si="33"/>
        <v>17.791338541000002</v>
      </c>
      <c r="AX154" s="9"/>
      <c r="AY154" s="22">
        <v>0.62515299999999996</v>
      </c>
      <c r="AZ154" s="22">
        <v>478.79199999999997</v>
      </c>
      <c r="BA154" s="22">
        <v>-1.6815199999999999E-2</v>
      </c>
      <c r="BB154" s="22">
        <v>144</v>
      </c>
      <c r="BC154" s="22">
        <v>0.62439</v>
      </c>
      <c r="BD154">
        <f t="shared" si="34"/>
        <v>16.815199999999997</v>
      </c>
      <c r="BE154">
        <f t="shared" si="35"/>
        <v>10.512072725599998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42.122999999999998</v>
      </c>
      <c r="I155" s="22">
        <v>7.7902200000000005E-2</v>
      </c>
      <c r="J155" s="22">
        <v>145</v>
      </c>
      <c r="K155" s="22">
        <v>8.0047599999999997E-2</v>
      </c>
      <c r="L155">
        <f t="shared" si="24"/>
        <v>-77.902200000000008</v>
      </c>
      <c r="M155">
        <f t="shared" si="25"/>
        <v>-83.338994538000009</v>
      </c>
      <c r="N155" s="9"/>
      <c r="O155" s="22">
        <v>0.63018799999999997</v>
      </c>
      <c r="P155" s="22">
        <v>153.05000000000001</v>
      </c>
      <c r="Q155" s="22">
        <v>-1.6873200000000001E-2</v>
      </c>
      <c r="R155" s="22">
        <v>145</v>
      </c>
      <c r="S155" s="22">
        <v>0.62936400000000003</v>
      </c>
      <c r="T155">
        <f t="shared" si="26"/>
        <v>16.873200000000001</v>
      </c>
      <c r="U155">
        <f t="shared" si="27"/>
        <v>10.633288161599999</v>
      </c>
      <c r="X155" s="9"/>
      <c r="Y155" s="22">
        <v>1.06979</v>
      </c>
      <c r="Z155" s="22">
        <v>216.636</v>
      </c>
      <c r="AA155" s="22">
        <v>-1.6589400000000001E-2</v>
      </c>
      <c r="AB155" s="22">
        <v>145</v>
      </c>
      <c r="AC155" s="22">
        <v>1.06873</v>
      </c>
      <c r="AD155">
        <f t="shared" si="28"/>
        <v>16.589400000000001</v>
      </c>
      <c r="AE155">
        <f t="shared" si="29"/>
        <v>17.747174226000002</v>
      </c>
      <c r="AF155" s="9"/>
      <c r="AG155" s="22">
        <v>0.63018799999999997</v>
      </c>
      <c r="AH155" s="22">
        <v>348.96899999999999</v>
      </c>
      <c r="AI155" s="22">
        <v>-1.6842699999999999E-2</v>
      </c>
      <c r="AJ155" s="22">
        <v>145</v>
      </c>
      <c r="AK155" s="22">
        <v>0.62933300000000003</v>
      </c>
      <c r="AL155">
        <f t="shared" si="30"/>
        <v>16.842699999999997</v>
      </c>
      <c r="AM155">
        <f t="shared" si="31"/>
        <v>10.614067427599998</v>
      </c>
      <c r="AP155" s="9"/>
      <c r="AQ155" s="22">
        <v>1.06979</v>
      </c>
      <c r="AR155" s="22">
        <v>418.05900000000003</v>
      </c>
      <c r="AS155" s="22">
        <v>-1.6549700000000001E-2</v>
      </c>
      <c r="AT155" s="22">
        <v>145</v>
      </c>
      <c r="AU155" s="22">
        <v>1.06934</v>
      </c>
      <c r="AV155">
        <f t="shared" si="32"/>
        <v>16.549700000000001</v>
      </c>
      <c r="AW155">
        <f t="shared" si="33"/>
        <v>17.704703563000002</v>
      </c>
      <c r="AX155" s="9"/>
      <c r="AY155" s="22">
        <v>0.63018799999999997</v>
      </c>
      <c r="AZ155" s="22">
        <v>478.892</v>
      </c>
      <c r="BA155" s="22">
        <v>-1.6815199999999999E-2</v>
      </c>
      <c r="BB155" s="22">
        <v>145</v>
      </c>
      <c r="BC155" s="22">
        <v>0.62927200000000005</v>
      </c>
      <c r="BD155">
        <f t="shared" si="34"/>
        <v>16.815199999999997</v>
      </c>
      <c r="BE155">
        <f t="shared" si="35"/>
        <v>10.596737257599997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42.223700000000001</v>
      </c>
      <c r="I156" s="22">
        <v>7.7697799999999997E-2</v>
      </c>
      <c r="J156" s="22">
        <v>146</v>
      </c>
      <c r="K156" s="22">
        <v>8.0047599999999997E-2</v>
      </c>
      <c r="L156">
        <f t="shared" si="24"/>
        <v>-77.697800000000001</v>
      </c>
      <c r="M156">
        <f t="shared" si="25"/>
        <v>-82.729509527999994</v>
      </c>
      <c r="N156" s="9"/>
      <c r="O156" s="22">
        <v>0.63522299999999998</v>
      </c>
      <c r="P156" s="22">
        <v>153.15100000000001</v>
      </c>
      <c r="Q156" s="22">
        <v>-1.6867099999999999E-2</v>
      </c>
      <c r="R156" s="22">
        <v>146</v>
      </c>
      <c r="S156" s="22">
        <v>0.63443000000000005</v>
      </c>
      <c r="T156">
        <f t="shared" si="26"/>
        <v>16.867100000000001</v>
      </c>
      <c r="U156">
        <f t="shared" si="27"/>
        <v>10.7143698633</v>
      </c>
      <c r="X156" s="9"/>
      <c r="Y156" s="22">
        <v>1.0647599999999999</v>
      </c>
      <c r="Z156" s="22">
        <v>216.73699999999999</v>
      </c>
      <c r="AA156" s="22">
        <v>-1.6586299999999998E-2</v>
      </c>
      <c r="AB156" s="22">
        <v>146</v>
      </c>
      <c r="AC156" s="22">
        <v>1.0638399999999999</v>
      </c>
      <c r="AD156">
        <f t="shared" si="28"/>
        <v>16.586299999999998</v>
      </c>
      <c r="AE156">
        <f t="shared" si="29"/>
        <v>17.660428787999997</v>
      </c>
      <c r="AF156" s="9"/>
      <c r="AG156" s="22">
        <v>0.63522299999999998</v>
      </c>
      <c r="AH156" s="22">
        <v>349.07</v>
      </c>
      <c r="AI156" s="22">
        <v>-1.6833500000000001E-2</v>
      </c>
      <c r="AJ156" s="22">
        <v>146</v>
      </c>
      <c r="AK156" s="22">
        <v>0.63470499999999996</v>
      </c>
      <c r="AL156">
        <f t="shared" si="30"/>
        <v>16.833500000000001</v>
      </c>
      <c r="AM156">
        <f t="shared" si="31"/>
        <v>10.6930263705</v>
      </c>
      <c r="AP156" s="9"/>
      <c r="AQ156" s="22">
        <v>1.0647599999999999</v>
      </c>
      <c r="AR156" s="22">
        <v>418.16</v>
      </c>
      <c r="AS156" s="22">
        <v>-1.6555799999999999E-2</v>
      </c>
      <c r="AT156" s="22">
        <v>146</v>
      </c>
      <c r="AU156" s="22">
        <v>1.0641499999999999</v>
      </c>
      <c r="AV156">
        <f t="shared" si="32"/>
        <v>16.555799999999998</v>
      </c>
      <c r="AW156">
        <f t="shared" si="33"/>
        <v>17.627953607999995</v>
      </c>
      <c r="AX156" s="9"/>
      <c r="AY156" s="22">
        <v>0.63522299999999998</v>
      </c>
      <c r="AZ156" s="22">
        <v>478.99299999999999</v>
      </c>
      <c r="BA156" s="22">
        <v>-1.68091E-2</v>
      </c>
      <c r="BB156" s="22">
        <v>146</v>
      </c>
      <c r="BC156" s="22">
        <v>0.634552</v>
      </c>
      <c r="BD156">
        <f t="shared" si="34"/>
        <v>16.809100000000001</v>
      </c>
      <c r="BE156">
        <f t="shared" si="35"/>
        <v>10.677526929300001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42.324399999999997</v>
      </c>
      <c r="I157" s="22">
        <v>7.7535999999999994E-2</v>
      </c>
      <c r="J157" s="22">
        <v>147</v>
      </c>
      <c r="K157" s="22">
        <v>7.9956100000000002E-2</v>
      </c>
      <c r="L157">
        <f t="shared" si="24"/>
        <v>-77.535999999999987</v>
      </c>
      <c r="M157">
        <f t="shared" si="25"/>
        <v>-82.166449919999991</v>
      </c>
      <c r="N157" s="9"/>
      <c r="O157" s="22">
        <v>0.64025900000000002</v>
      </c>
      <c r="P157" s="22">
        <v>153.251</v>
      </c>
      <c r="Q157" s="22">
        <v>-1.6867099999999999E-2</v>
      </c>
      <c r="R157" s="22">
        <v>147</v>
      </c>
      <c r="S157" s="22">
        <v>0.639679</v>
      </c>
      <c r="T157">
        <f t="shared" si="26"/>
        <v>16.867100000000001</v>
      </c>
      <c r="U157">
        <f t="shared" si="27"/>
        <v>10.7993125789</v>
      </c>
      <c r="X157" s="9"/>
      <c r="Y157" s="22">
        <v>1.05972</v>
      </c>
      <c r="Z157" s="22">
        <v>216.83699999999999</v>
      </c>
      <c r="AA157" s="22">
        <v>-1.65924E-2</v>
      </c>
      <c r="AB157" s="22">
        <v>147</v>
      </c>
      <c r="AC157" s="22">
        <v>1.0586500000000001</v>
      </c>
      <c r="AD157">
        <f t="shared" si="28"/>
        <v>16.592400000000001</v>
      </c>
      <c r="AE157">
        <f t="shared" si="29"/>
        <v>17.583298128000003</v>
      </c>
      <c r="AF157" s="9"/>
      <c r="AG157" s="22">
        <v>0.64025900000000002</v>
      </c>
      <c r="AH157" s="22">
        <v>349.17099999999999</v>
      </c>
      <c r="AI157" s="22">
        <v>-1.68243E-2</v>
      </c>
      <c r="AJ157" s="22">
        <v>147</v>
      </c>
      <c r="AK157" s="22">
        <v>0.63943499999999998</v>
      </c>
      <c r="AL157">
        <f t="shared" si="30"/>
        <v>16.824300000000001</v>
      </c>
      <c r="AM157">
        <f t="shared" si="31"/>
        <v>10.771909493700001</v>
      </c>
      <c r="AP157" s="9"/>
      <c r="AQ157" s="22">
        <v>1.05972</v>
      </c>
      <c r="AR157" s="22">
        <v>418.26100000000002</v>
      </c>
      <c r="AS157" s="22">
        <v>-1.6558799999999999E-2</v>
      </c>
      <c r="AT157" s="22">
        <v>147</v>
      </c>
      <c r="AU157" s="22">
        <v>1.0586500000000001</v>
      </c>
      <c r="AV157">
        <f t="shared" si="32"/>
        <v>16.558799999999998</v>
      </c>
      <c r="AW157">
        <f t="shared" si="33"/>
        <v>17.547691535999999</v>
      </c>
      <c r="AX157" s="9"/>
      <c r="AY157" s="22">
        <v>0.64025900000000002</v>
      </c>
      <c r="AZ157" s="22">
        <v>479.09399999999999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42.425199999999997</v>
      </c>
      <c r="I158" s="22">
        <v>7.7368199999999998E-2</v>
      </c>
      <c r="J158" s="22">
        <v>148</v>
      </c>
      <c r="K158" s="22">
        <v>8.0047599999999997E-2</v>
      </c>
      <c r="L158">
        <f t="shared" si="24"/>
        <v>-77.368200000000002</v>
      </c>
      <c r="M158">
        <f t="shared" si="25"/>
        <v>-81.599466858</v>
      </c>
      <c r="N158" s="9"/>
      <c r="O158" s="22">
        <v>0.64529400000000003</v>
      </c>
      <c r="P158" s="22">
        <v>153.352</v>
      </c>
      <c r="Q158" s="22">
        <v>-1.6864000000000001E-2</v>
      </c>
      <c r="R158" s="22">
        <v>148</v>
      </c>
      <c r="S158" s="22">
        <v>0.64437900000000004</v>
      </c>
      <c r="T158">
        <f t="shared" si="26"/>
        <v>16.864000000000001</v>
      </c>
      <c r="U158">
        <f t="shared" si="27"/>
        <v>10.882238016000001</v>
      </c>
      <c r="X158" s="9"/>
      <c r="Y158" s="22">
        <v>1.0546899999999999</v>
      </c>
      <c r="Z158" s="22">
        <v>216.93799999999999</v>
      </c>
      <c r="AA158" s="22">
        <v>-1.65924E-2</v>
      </c>
      <c r="AB158" s="22">
        <v>148</v>
      </c>
      <c r="AC158" s="22">
        <v>1.0531600000000001</v>
      </c>
      <c r="AD158">
        <f t="shared" si="28"/>
        <v>16.592400000000001</v>
      </c>
      <c r="AE158">
        <f t="shared" si="29"/>
        <v>17.499838356000001</v>
      </c>
      <c r="AF158" s="9"/>
      <c r="AG158" s="22">
        <v>0.64529400000000003</v>
      </c>
      <c r="AH158" s="22">
        <v>349.27100000000002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1.0546899999999999</v>
      </c>
      <c r="AR158" s="22">
        <v>418.36099999999999</v>
      </c>
      <c r="AS158" s="22">
        <v>-1.6558799999999999E-2</v>
      </c>
      <c r="AT158" s="22">
        <v>148</v>
      </c>
      <c r="AU158" s="22">
        <v>1.0537700000000001</v>
      </c>
      <c r="AV158">
        <f t="shared" si="32"/>
        <v>16.558799999999998</v>
      </c>
      <c r="AW158">
        <f t="shared" si="33"/>
        <v>17.464400771999998</v>
      </c>
      <c r="AX158" s="9"/>
      <c r="AY158" s="22">
        <v>0.64529400000000003</v>
      </c>
      <c r="AZ158" s="22">
        <v>479.19400000000002</v>
      </c>
      <c r="BA158" s="22">
        <v>-1.67999E-2</v>
      </c>
      <c r="BB158" s="22">
        <v>148</v>
      </c>
      <c r="BC158" s="22">
        <v>0.64446999999999999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42.5259</v>
      </c>
      <c r="I159" s="22">
        <v>7.7175900000000006E-2</v>
      </c>
      <c r="J159" s="22">
        <v>149</v>
      </c>
      <c r="K159" s="22">
        <v>8.0047599999999997E-2</v>
      </c>
      <c r="L159">
        <f t="shared" si="24"/>
        <v>-77.175899999999999</v>
      </c>
      <c r="M159">
        <f t="shared" si="25"/>
        <v>-81.00768343499999</v>
      </c>
      <c r="N159" s="9"/>
      <c r="O159" s="22">
        <v>0.65032999999999996</v>
      </c>
      <c r="P159" s="22">
        <v>153.453</v>
      </c>
      <c r="Q159" s="22">
        <v>-1.6854899999999999E-2</v>
      </c>
      <c r="R159" s="22">
        <v>149</v>
      </c>
      <c r="S159" s="22">
        <v>0.64956700000000001</v>
      </c>
      <c r="T159">
        <f t="shared" si="26"/>
        <v>16.854900000000001</v>
      </c>
      <c r="U159">
        <f t="shared" si="27"/>
        <v>10.961247116999999</v>
      </c>
      <c r="X159" s="9"/>
      <c r="Y159" s="22">
        <v>1.04965</v>
      </c>
      <c r="Z159" s="22">
        <v>217.03899999999999</v>
      </c>
      <c r="AA159" s="22">
        <v>-1.66077E-2</v>
      </c>
      <c r="AB159" s="22">
        <v>149</v>
      </c>
      <c r="AC159" s="22">
        <v>1.0482800000000001</v>
      </c>
      <c r="AD159">
        <f t="shared" si="28"/>
        <v>16.607700000000001</v>
      </c>
      <c r="AE159">
        <f t="shared" si="29"/>
        <v>17.432272305000001</v>
      </c>
      <c r="AF159" s="9"/>
      <c r="AG159" s="22">
        <v>0.65032999999999996</v>
      </c>
      <c r="AH159" s="22">
        <v>349.37200000000001</v>
      </c>
      <c r="AI159" s="22">
        <v>-1.6821300000000001E-2</v>
      </c>
      <c r="AJ159" s="22">
        <v>149</v>
      </c>
      <c r="AK159" s="22">
        <v>0.64950600000000003</v>
      </c>
      <c r="AL159">
        <f t="shared" si="30"/>
        <v>16.821300000000001</v>
      </c>
      <c r="AM159">
        <f t="shared" si="31"/>
        <v>10.939396028999999</v>
      </c>
      <c r="AP159" s="9"/>
      <c r="AQ159" s="22">
        <v>1.04965</v>
      </c>
      <c r="AR159" s="22">
        <v>418.46199999999999</v>
      </c>
      <c r="AS159" s="22">
        <v>-1.6561900000000001E-2</v>
      </c>
      <c r="AT159" s="22">
        <v>149</v>
      </c>
      <c r="AU159" s="22">
        <v>1.0488900000000001</v>
      </c>
      <c r="AV159">
        <f t="shared" si="32"/>
        <v>16.561900000000001</v>
      </c>
      <c r="AW159">
        <f t="shared" si="33"/>
        <v>17.384198335000001</v>
      </c>
      <c r="AX159" s="9"/>
      <c r="AY159" s="22">
        <v>0.65032999999999996</v>
      </c>
      <c r="AZ159" s="22">
        <v>479.29500000000002</v>
      </c>
      <c r="BA159" s="22">
        <v>-1.6802999999999998E-2</v>
      </c>
      <c r="BB159" s="22">
        <v>149</v>
      </c>
      <c r="BC159" s="22">
        <v>0.64962799999999998</v>
      </c>
      <c r="BD159">
        <f t="shared" si="34"/>
        <v>16.802999999999997</v>
      </c>
      <c r="BE159">
        <f t="shared" si="35"/>
        <v>10.927494989999998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42.626600000000003</v>
      </c>
      <c r="I160" s="22">
        <v>7.6931799999999995E-2</v>
      </c>
      <c r="J160" s="22">
        <v>150</v>
      </c>
      <c r="K160" s="22">
        <v>8.0078099999999999E-2</v>
      </c>
      <c r="L160">
        <f t="shared" si="24"/>
        <v>-76.931799999999996</v>
      </c>
      <c r="M160">
        <f t="shared" si="25"/>
        <v>-80.364496916000007</v>
      </c>
      <c r="N160" s="9"/>
      <c r="O160" s="22">
        <v>0.65536499999999998</v>
      </c>
      <c r="P160" s="22">
        <v>153.553</v>
      </c>
      <c r="Q160" s="22">
        <v>-1.6857899999999999E-2</v>
      </c>
      <c r="R160" s="22">
        <v>150</v>
      </c>
      <c r="S160" s="22">
        <v>0.65460200000000002</v>
      </c>
      <c r="T160">
        <f t="shared" si="26"/>
        <v>16.857899999999997</v>
      </c>
      <c r="U160">
        <f t="shared" si="27"/>
        <v>11.048077633499998</v>
      </c>
      <c r="X160" s="9"/>
      <c r="Y160" s="22">
        <v>1.0446200000000001</v>
      </c>
      <c r="Z160" s="22">
        <v>217.13900000000001</v>
      </c>
      <c r="AA160" s="22">
        <v>-1.66077E-2</v>
      </c>
      <c r="AB160" s="22">
        <v>150</v>
      </c>
      <c r="AC160" s="22">
        <v>1.0437000000000001</v>
      </c>
      <c r="AD160">
        <f t="shared" si="28"/>
        <v>16.607700000000001</v>
      </c>
      <c r="AE160">
        <f t="shared" si="29"/>
        <v>17.348735574000003</v>
      </c>
      <c r="AF160" s="9"/>
      <c r="AG160" s="22">
        <v>0.65536499999999998</v>
      </c>
      <c r="AH160" s="22">
        <v>349.47300000000001</v>
      </c>
      <c r="AI160" s="22">
        <v>-1.68243E-2</v>
      </c>
      <c r="AJ160" s="22">
        <v>150</v>
      </c>
      <c r="AK160" s="22">
        <v>0.65447999999999995</v>
      </c>
      <c r="AL160">
        <f t="shared" si="30"/>
        <v>16.824300000000001</v>
      </c>
      <c r="AM160">
        <f t="shared" si="31"/>
        <v>11.0260573695</v>
      </c>
      <c r="AP160" s="9"/>
      <c r="AQ160" s="22">
        <v>1.0446200000000001</v>
      </c>
      <c r="AR160" s="22">
        <v>418.56299999999999</v>
      </c>
      <c r="AS160" s="22">
        <v>-1.6558799999999999E-2</v>
      </c>
      <c r="AT160" s="22">
        <v>150</v>
      </c>
      <c r="AU160" s="22">
        <v>1.0427900000000001</v>
      </c>
      <c r="AV160">
        <f t="shared" si="32"/>
        <v>16.558799999999998</v>
      </c>
      <c r="AW160">
        <f t="shared" si="33"/>
        <v>17.297653655999998</v>
      </c>
      <c r="AX160" s="9"/>
      <c r="AY160" s="22">
        <v>0.65536499999999998</v>
      </c>
      <c r="AZ160" s="22">
        <v>479.39600000000002</v>
      </c>
      <c r="BA160" s="22">
        <v>-1.6790800000000002E-2</v>
      </c>
      <c r="BB160" s="22">
        <v>150</v>
      </c>
      <c r="BC160" s="22">
        <v>0.65457200000000004</v>
      </c>
      <c r="BD160">
        <f t="shared" si="34"/>
        <v>16.790800000000001</v>
      </c>
      <c r="BE160">
        <f t="shared" si="35"/>
        <v>11.004102641999999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42.7273</v>
      </c>
      <c r="I161" s="22">
        <v>7.6849399999999998E-2</v>
      </c>
      <c r="J161" s="22">
        <v>151</v>
      </c>
      <c r="K161" s="22">
        <v>7.9986600000000005E-2</v>
      </c>
      <c r="L161">
        <f t="shared" si="24"/>
        <v>-76.849400000000003</v>
      </c>
      <c r="M161">
        <f t="shared" si="25"/>
        <v>-79.891099252000004</v>
      </c>
      <c r="N161" s="9"/>
      <c r="O161" s="22">
        <v>0.66039999999999999</v>
      </c>
      <c r="P161" s="22">
        <v>153.654</v>
      </c>
      <c r="Q161" s="22">
        <v>-1.6848800000000001E-2</v>
      </c>
      <c r="R161" s="22">
        <v>151</v>
      </c>
      <c r="S161" s="22">
        <v>0.65948499999999999</v>
      </c>
      <c r="T161">
        <f t="shared" si="26"/>
        <v>16.848800000000001</v>
      </c>
      <c r="U161">
        <f t="shared" si="27"/>
        <v>11.12694752</v>
      </c>
      <c r="X161" s="9"/>
      <c r="Y161" s="22">
        <v>1.0395799999999999</v>
      </c>
      <c r="Z161" s="22">
        <v>217.24</v>
      </c>
      <c r="AA161" s="22">
        <v>-1.6610699999999999E-2</v>
      </c>
      <c r="AB161" s="22">
        <v>151</v>
      </c>
      <c r="AC161" s="22">
        <v>1.03851</v>
      </c>
      <c r="AD161">
        <f t="shared" si="28"/>
        <v>16.610699999999998</v>
      </c>
      <c r="AE161">
        <f t="shared" si="29"/>
        <v>17.268151505999995</v>
      </c>
      <c r="AF161" s="9"/>
      <c r="AG161" s="22">
        <v>0.66039999999999999</v>
      </c>
      <c r="AH161" s="22">
        <v>349.57299999999998</v>
      </c>
      <c r="AI161" s="22">
        <v>-1.6818199999999998E-2</v>
      </c>
      <c r="AJ161" s="22">
        <v>151</v>
      </c>
      <c r="AK161" s="22">
        <v>0.65954599999999997</v>
      </c>
      <c r="AL161">
        <f t="shared" si="30"/>
        <v>16.818199999999997</v>
      </c>
      <c r="AM161">
        <f t="shared" si="31"/>
        <v>11.106739279999998</v>
      </c>
      <c r="AP161" s="9"/>
      <c r="AQ161" s="22">
        <v>1.0395799999999999</v>
      </c>
      <c r="AR161" s="22">
        <v>418.66399999999999</v>
      </c>
      <c r="AS161" s="22">
        <v>-1.6574100000000001E-2</v>
      </c>
      <c r="AT161" s="22">
        <v>151</v>
      </c>
      <c r="AU161" s="22">
        <v>1.0376000000000001</v>
      </c>
      <c r="AV161">
        <f t="shared" si="32"/>
        <v>16.574100000000001</v>
      </c>
      <c r="AW161">
        <f t="shared" si="33"/>
        <v>17.230102878</v>
      </c>
      <c r="AX161" s="9"/>
      <c r="AY161" s="22">
        <v>0.66039999999999999</v>
      </c>
      <c r="AZ161" s="22">
        <v>479.49599999999998</v>
      </c>
      <c r="BA161" s="22">
        <v>-1.6790800000000002E-2</v>
      </c>
      <c r="BB161" s="22">
        <v>151</v>
      </c>
      <c r="BC161" s="22">
        <v>0.65954599999999997</v>
      </c>
      <c r="BD161">
        <f t="shared" si="34"/>
        <v>16.790800000000001</v>
      </c>
      <c r="BE161">
        <f t="shared" si="35"/>
        <v>11.08864432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42.828000000000003</v>
      </c>
      <c r="I162" s="22">
        <v>7.6867699999999997E-2</v>
      </c>
      <c r="J162" s="22">
        <v>152</v>
      </c>
      <c r="K162" s="22">
        <v>8.0017099999999994E-2</v>
      </c>
      <c r="L162">
        <f t="shared" si="24"/>
        <v>-76.867699999999999</v>
      </c>
      <c r="M162">
        <f t="shared" si="25"/>
        <v>-79.523479035000008</v>
      </c>
      <c r="N162" s="9"/>
      <c r="O162" s="22">
        <v>0.66543600000000003</v>
      </c>
      <c r="P162" s="22">
        <v>153.755</v>
      </c>
      <c r="Q162" s="22">
        <v>-1.68518E-2</v>
      </c>
      <c r="R162" s="22">
        <v>152</v>
      </c>
      <c r="S162" s="22">
        <v>0.66461199999999998</v>
      </c>
      <c r="T162">
        <f t="shared" si="26"/>
        <v>16.851800000000001</v>
      </c>
      <c r="U162">
        <f t="shared" si="27"/>
        <v>11.213794384800002</v>
      </c>
      <c r="X162" s="9"/>
      <c r="Y162" s="22">
        <v>1.0345500000000001</v>
      </c>
      <c r="Z162" s="22">
        <v>217.34100000000001</v>
      </c>
      <c r="AA162" s="22">
        <v>-1.6622899999999999E-2</v>
      </c>
      <c r="AB162" s="22">
        <v>152</v>
      </c>
      <c r="AC162" s="22">
        <v>1.0339400000000001</v>
      </c>
      <c r="AD162">
        <f t="shared" si="28"/>
        <v>16.622899999999998</v>
      </c>
      <c r="AE162">
        <f t="shared" si="29"/>
        <v>17.197221194999997</v>
      </c>
      <c r="AF162" s="9"/>
      <c r="AG162" s="22">
        <v>0.66543600000000003</v>
      </c>
      <c r="AH162" s="22">
        <v>349.67399999999998</v>
      </c>
      <c r="AI162" s="22">
        <v>-1.6815199999999999E-2</v>
      </c>
      <c r="AJ162" s="22">
        <v>152</v>
      </c>
      <c r="AK162" s="22">
        <v>0.66464199999999996</v>
      </c>
      <c r="AL162">
        <f t="shared" si="30"/>
        <v>16.815199999999997</v>
      </c>
      <c r="AM162">
        <f t="shared" si="31"/>
        <v>11.189439427199998</v>
      </c>
      <c r="AP162" s="9"/>
      <c r="AQ162" s="22">
        <v>1.0345500000000001</v>
      </c>
      <c r="AR162" s="22">
        <v>418.76400000000001</v>
      </c>
      <c r="AS162" s="22">
        <v>-1.6574100000000001E-2</v>
      </c>
      <c r="AT162" s="22">
        <v>152</v>
      </c>
      <c r="AU162" s="22">
        <v>1.03363</v>
      </c>
      <c r="AV162">
        <f t="shared" si="32"/>
        <v>16.574100000000001</v>
      </c>
      <c r="AW162">
        <f t="shared" si="33"/>
        <v>17.146735155000002</v>
      </c>
      <c r="AX162" s="9"/>
      <c r="AY162" s="22">
        <v>0.66543600000000003</v>
      </c>
      <c r="AZ162" s="22">
        <v>479.59699999999998</v>
      </c>
      <c r="BA162" s="22">
        <v>-1.6787699999999999E-2</v>
      </c>
      <c r="BB162" s="22">
        <v>152</v>
      </c>
      <c r="BC162" s="22">
        <v>0.66458099999999998</v>
      </c>
      <c r="BD162">
        <f t="shared" si="34"/>
        <v>16.787699999999997</v>
      </c>
      <c r="BE162">
        <f t="shared" si="35"/>
        <v>11.1711399372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42.928699999999999</v>
      </c>
      <c r="I163" s="22">
        <v>7.6934799999999998E-2</v>
      </c>
      <c r="J163" s="22">
        <v>153</v>
      </c>
      <c r="K163" s="22">
        <v>8.0047599999999997E-2</v>
      </c>
      <c r="L163">
        <f t="shared" si="24"/>
        <v>-76.934799999999996</v>
      </c>
      <c r="M163">
        <f t="shared" si="25"/>
        <v>-79.205145947999995</v>
      </c>
      <c r="N163" s="9"/>
      <c r="O163" s="22">
        <v>0.67047100000000004</v>
      </c>
      <c r="P163" s="22">
        <v>153.85599999999999</v>
      </c>
      <c r="Q163" s="22">
        <v>-1.6848800000000001E-2</v>
      </c>
      <c r="R163" s="22">
        <v>153</v>
      </c>
      <c r="S163" s="22">
        <v>0.66970799999999997</v>
      </c>
      <c r="T163">
        <f t="shared" si="26"/>
        <v>16.848800000000001</v>
      </c>
      <c r="U163">
        <f t="shared" si="27"/>
        <v>11.296631784800001</v>
      </c>
      <c r="X163" s="9"/>
      <c r="Y163" s="22">
        <v>1.0295099999999999</v>
      </c>
      <c r="Z163" s="22">
        <v>217.44200000000001</v>
      </c>
      <c r="AA163" s="22">
        <v>-1.66199E-2</v>
      </c>
      <c r="AB163" s="22">
        <v>153</v>
      </c>
      <c r="AC163" s="22">
        <v>1.0281400000000001</v>
      </c>
      <c r="AD163">
        <f t="shared" si="28"/>
        <v>16.619900000000001</v>
      </c>
      <c r="AE163">
        <f t="shared" si="29"/>
        <v>17.110353248999999</v>
      </c>
      <c r="AF163" s="9"/>
      <c r="AG163" s="22">
        <v>0.67047100000000004</v>
      </c>
      <c r="AH163" s="22">
        <v>349.77499999999998</v>
      </c>
      <c r="AI163" s="22">
        <v>-1.68121E-2</v>
      </c>
      <c r="AJ163" s="22">
        <v>153</v>
      </c>
      <c r="AK163" s="22">
        <v>0.66970799999999997</v>
      </c>
      <c r="AL163">
        <f t="shared" si="30"/>
        <v>16.812100000000001</v>
      </c>
      <c r="AM163">
        <f t="shared" si="31"/>
        <v>11.272025499100002</v>
      </c>
      <c r="AP163" s="9"/>
      <c r="AQ163" s="22">
        <v>1.0295099999999999</v>
      </c>
      <c r="AR163" s="22">
        <v>418.86500000000001</v>
      </c>
      <c r="AS163" s="22">
        <v>-1.6583299999999999E-2</v>
      </c>
      <c r="AT163" s="22">
        <v>153</v>
      </c>
      <c r="AU163" s="22">
        <v>1.0287500000000001</v>
      </c>
      <c r="AV163">
        <f t="shared" si="32"/>
        <v>16.583299999999998</v>
      </c>
      <c r="AW163">
        <f t="shared" si="33"/>
        <v>17.072673182999996</v>
      </c>
      <c r="AX163" s="9"/>
      <c r="AY163" s="22">
        <v>0.67047100000000004</v>
      </c>
      <c r="AZ163" s="22">
        <v>479.69799999999998</v>
      </c>
      <c r="BA163" s="22">
        <v>-1.67847E-2</v>
      </c>
      <c r="BB163" s="22">
        <v>153</v>
      </c>
      <c r="BC163" s="22">
        <v>0.66976899999999995</v>
      </c>
      <c r="BD163">
        <f t="shared" si="34"/>
        <v>16.784700000000001</v>
      </c>
      <c r="BE163">
        <f t="shared" si="35"/>
        <v>11.253654593700002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43.029400000000003</v>
      </c>
      <c r="I164" s="22">
        <v>7.6614399999999999E-2</v>
      </c>
      <c r="J164" s="22">
        <v>154</v>
      </c>
      <c r="K164" s="22">
        <v>7.9956100000000002E-2</v>
      </c>
      <c r="L164">
        <f t="shared" si="24"/>
        <v>-76.614400000000003</v>
      </c>
      <c r="M164">
        <f t="shared" si="25"/>
        <v>-78.489920512000012</v>
      </c>
      <c r="N164" s="9"/>
      <c r="O164" s="22">
        <v>0.67550699999999997</v>
      </c>
      <c r="P164" s="22">
        <v>153.95599999999999</v>
      </c>
      <c r="Q164" s="22">
        <v>-1.6845700000000002E-2</v>
      </c>
      <c r="R164" s="22">
        <v>154</v>
      </c>
      <c r="S164" s="22">
        <v>0.67462200000000005</v>
      </c>
      <c r="T164">
        <f t="shared" si="26"/>
        <v>16.845700000000001</v>
      </c>
      <c r="U164">
        <f t="shared" si="27"/>
        <v>11.3793882699</v>
      </c>
      <c r="X164" s="9"/>
      <c r="Y164" s="22">
        <v>1.0244800000000001</v>
      </c>
      <c r="Z164" s="22">
        <v>217.542</v>
      </c>
      <c r="AA164" s="22">
        <v>-1.66199E-2</v>
      </c>
      <c r="AB164" s="22">
        <v>154</v>
      </c>
      <c r="AC164" s="22">
        <v>1.02295</v>
      </c>
      <c r="AD164">
        <f t="shared" si="28"/>
        <v>16.619900000000001</v>
      </c>
      <c r="AE164">
        <f t="shared" si="29"/>
        <v>17.026755152000003</v>
      </c>
      <c r="AF164" s="9"/>
      <c r="AG164" s="22">
        <v>0.67550699999999997</v>
      </c>
      <c r="AH164" s="22">
        <v>349.87599999999998</v>
      </c>
      <c r="AI164" s="22">
        <v>-1.68091E-2</v>
      </c>
      <c r="AJ164" s="22">
        <v>154</v>
      </c>
      <c r="AK164" s="22">
        <v>0.67465200000000003</v>
      </c>
      <c r="AL164">
        <f t="shared" si="30"/>
        <v>16.809100000000001</v>
      </c>
      <c r="AM164">
        <f t="shared" si="31"/>
        <v>11.3546647137</v>
      </c>
      <c r="AP164" s="9"/>
      <c r="AQ164" s="22">
        <v>1.0244800000000001</v>
      </c>
      <c r="AR164" s="22">
        <v>418.96600000000001</v>
      </c>
      <c r="AS164" s="22">
        <v>-1.6586299999999998E-2</v>
      </c>
      <c r="AT164" s="22">
        <v>154</v>
      </c>
      <c r="AU164" s="22">
        <v>1.02295</v>
      </c>
      <c r="AV164">
        <f t="shared" si="32"/>
        <v>16.586299999999998</v>
      </c>
      <c r="AW164">
        <f t="shared" si="33"/>
        <v>16.992332623999999</v>
      </c>
      <c r="AX164" s="9"/>
      <c r="AY164" s="22">
        <v>0.67550699999999997</v>
      </c>
      <c r="AZ164" s="22">
        <v>479.79899999999998</v>
      </c>
      <c r="BA164" s="22">
        <v>-1.6781600000000001E-2</v>
      </c>
      <c r="BB164" s="22">
        <v>154</v>
      </c>
      <c r="BC164" s="22">
        <v>0.67477399999999998</v>
      </c>
      <c r="BD164">
        <f t="shared" si="34"/>
        <v>16.781600000000001</v>
      </c>
      <c r="BE164">
        <f t="shared" si="35"/>
        <v>11.3360882712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43.130099999999999</v>
      </c>
      <c r="I165" s="22">
        <v>7.6583899999999996E-2</v>
      </c>
      <c r="J165" s="22">
        <v>155</v>
      </c>
      <c r="K165" s="22">
        <v>8.0047599999999997E-2</v>
      </c>
      <c r="L165">
        <f t="shared" si="24"/>
        <v>-76.5839</v>
      </c>
      <c r="M165">
        <f t="shared" si="25"/>
        <v>-78.072691015999993</v>
      </c>
      <c r="N165" s="9"/>
      <c r="O165" s="22">
        <v>0.68054199999999998</v>
      </c>
      <c r="P165" s="22">
        <v>154.05699999999999</v>
      </c>
      <c r="Q165" s="22">
        <v>-1.6842699999999999E-2</v>
      </c>
      <c r="R165" s="22">
        <v>155</v>
      </c>
      <c r="S165" s="22">
        <v>0.67968799999999996</v>
      </c>
      <c r="T165">
        <f t="shared" si="26"/>
        <v>16.842699999999997</v>
      </c>
      <c r="U165">
        <f t="shared" si="27"/>
        <v>11.462164743399997</v>
      </c>
      <c r="X165" s="9"/>
      <c r="Y165" s="22">
        <v>1.0194399999999999</v>
      </c>
      <c r="Z165" s="22">
        <v>217.643</v>
      </c>
      <c r="AA165" s="22">
        <v>-1.6625999999999998E-2</v>
      </c>
      <c r="AB165" s="22">
        <v>155</v>
      </c>
      <c r="AC165" s="22">
        <v>1.01868</v>
      </c>
      <c r="AD165">
        <f t="shared" si="28"/>
        <v>16.625999999999998</v>
      </c>
      <c r="AE165">
        <f t="shared" si="29"/>
        <v>16.949209439999997</v>
      </c>
      <c r="AF165" s="9"/>
      <c r="AG165" s="22">
        <v>0.68054199999999998</v>
      </c>
      <c r="AH165" s="22">
        <v>349.976</v>
      </c>
      <c r="AI165" s="22">
        <v>-1.68121E-2</v>
      </c>
      <c r="AJ165" s="22">
        <v>155</v>
      </c>
      <c r="AK165" s="22">
        <v>0.67959599999999998</v>
      </c>
      <c r="AL165">
        <f t="shared" si="30"/>
        <v>16.812100000000001</v>
      </c>
      <c r="AM165">
        <f t="shared" si="31"/>
        <v>11.441340158200001</v>
      </c>
      <c r="AP165" s="9"/>
      <c r="AQ165" s="22">
        <v>1.0194399999999999</v>
      </c>
      <c r="AR165" s="22">
        <v>419.06599999999997</v>
      </c>
      <c r="AS165" s="22">
        <v>-1.6583299999999999E-2</v>
      </c>
      <c r="AT165" s="22">
        <v>155</v>
      </c>
      <c r="AU165" s="22">
        <v>1.01837</v>
      </c>
      <c r="AV165">
        <f t="shared" si="32"/>
        <v>16.583299999999998</v>
      </c>
      <c r="AW165">
        <f t="shared" si="33"/>
        <v>16.905679351999996</v>
      </c>
      <c r="AX165" s="9"/>
      <c r="AY165" s="22">
        <v>0.68054199999999998</v>
      </c>
      <c r="AZ165" s="22">
        <v>479.899</v>
      </c>
      <c r="BA165" s="22">
        <v>-1.6781600000000001E-2</v>
      </c>
      <c r="BB165" s="22">
        <v>155</v>
      </c>
      <c r="BC165" s="22">
        <v>0.67984</v>
      </c>
      <c r="BD165">
        <f t="shared" si="34"/>
        <v>16.781600000000001</v>
      </c>
      <c r="BE165">
        <f t="shared" si="35"/>
        <v>11.420583627200001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43.230800000000002</v>
      </c>
      <c r="I166" s="22">
        <v>7.6580800000000004E-2</v>
      </c>
      <c r="J166" s="22">
        <v>156</v>
      </c>
      <c r="K166" s="22">
        <v>8.0017099999999994E-2</v>
      </c>
      <c r="L166">
        <f t="shared" si="24"/>
        <v>-76.580800000000011</v>
      </c>
      <c r="M166">
        <f t="shared" si="25"/>
        <v>-77.683563520000007</v>
      </c>
      <c r="N166" s="9"/>
      <c r="O166" s="22">
        <v>0.68557699999999999</v>
      </c>
      <c r="P166" s="22">
        <v>154.15799999999999</v>
      </c>
      <c r="Q166" s="22">
        <v>-1.68396E-2</v>
      </c>
      <c r="R166" s="22">
        <v>156</v>
      </c>
      <c r="S166" s="22">
        <v>0.68475299999999995</v>
      </c>
      <c r="T166">
        <f t="shared" si="26"/>
        <v>16.839600000000001</v>
      </c>
      <c r="U166">
        <f t="shared" si="27"/>
        <v>11.544842449200001</v>
      </c>
      <c r="X166" s="9"/>
      <c r="Y166" s="22">
        <v>1.0144</v>
      </c>
      <c r="Z166" s="22">
        <v>217.744</v>
      </c>
      <c r="AA166" s="22">
        <v>-1.6622899999999999E-2</v>
      </c>
      <c r="AB166" s="22">
        <v>156</v>
      </c>
      <c r="AC166" s="22">
        <v>1.01349</v>
      </c>
      <c r="AD166">
        <f t="shared" si="28"/>
        <v>16.622899999999998</v>
      </c>
      <c r="AE166">
        <f t="shared" si="29"/>
        <v>16.862269759999997</v>
      </c>
      <c r="AF166" s="9"/>
      <c r="AG166" s="22">
        <v>0.68557699999999999</v>
      </c>
      <c r="AH166" s="22">
        <v>350.077</v>
      </c>
      <c r="AI166" s="22">
        <v>-1.67999E-2</v>
      </c>
      <c r="AJ166" s="22">
        <v>156</v>
      </c>
      <c r="AK166" s="22">
        <v>0.68475299999999995</v>
      </c>
      <c r="AL166">
        <f t="shared" si="30"/>
        <v>16.799900000000001</v>
      </c>
      <c r="AM166">
        <f t="shared" si="31"/>
        <v>11.517625042300001</v>
      </c>
      <c r="AP166" s="9"/>
      <c r="AQ166" s="22">
        <v>1.0144</v>
      </c>
      <c r="AR166" s="22">
        <v>419.16699999999997</v>
      </c>
      <c r="AS166" s="22">
        <v>-1.65924E-2</v>
      </c>
      <c r="AT166" s="22">
        <v>156</v>
      </c>
      <c r="AU166" s="22">
        <v>1.01318</v>
      </c>
      <c r="AV166">
        <f t="shared" si="32"/>
        <v>16.592400000000001</v>
      </c>
      <c r="AW166">
        <f t="shared" si="33"/>
        <v>16.831330560000001</v>
      </c>
      <c r="AX166" s="9"/>
      <c r="AY166" s="22">
        <v>0.68557699999999999</v>
      </c>
      <c r="AZ166" s="22">
        <v>480</v>
      </c>
      <c r="BA166" s="22">
        <v>-1.6778600000000001E-2</v>
      </c>
      <c r="BB166" s="22">
        <v>156</v>
      </c>
      <c r="BC166" s="22">
        <v>0.68481400000000003</v>
      </c>
      <c r="BD166">
        <f t="shared" si="34"/>
        <v>16.778600000000001</v>
      </c>
      <c r="BE166">
        <f t="shared" si="35"/>
        <v>11.503022252200001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43.331499999999998</v>
      </c>
      <c r="I167" s="22">
        <v>7.6602199999999995E-2</v>
      </c>
      <c r="J167" s="22">
        <v>157</v>
      </c>
      <c r="K167" s="22">
        <v>8.0017099999999994E-2</v>
      </c>
      <c r="L167">
        <f t="shared" si="24"/>
        <v>-76.602199999999996</v>
      </c>
      <c r="M167">
        <f t="shared" si="25"/>
        <v>-77.319962614000005</v>
      </c>
      <c r="N167" s="9"/>
      <c r="O167" s="22">
        <v>0.69061300000000003</v>
      </c>
      <c r="P167" s="22">
        <v>154.25800000000001</v>
      </c>
      <c r="Q167" s="22">
        <v>-1.68396E-2</v>
      </c>
      <c r="R167" s="22">
        <v>157</v>
      </c>
      <c r="S167" s="22">
        <v>0.68978899999999999</v>
      </c>
      <c r="T167">
        <f t="shared" si="26"/>
        <v>16.839600000000001</v>
      </c>
      <c r="U167">
        <f t="shared" si="27"/>
        <v>11.629646674800002</v>
      </c>
      <c r="X167" s="9"/>
      <c r="Y167" s="22">
        <v>1.0093700000000001</v>
      </c>
      <c r="Z167" s="22">
        <v>217.84399999999999</v>
      </c>
      <c r="AA167" s="22">
        <v>-1.6629000000000001E-2</v>
      </c>
      <c r="AB167" s="22">
        <v>157</v>
      </c>
      <c r="AC167" s="22">
        <v>1.0083</v>
      </c>
      <c r="AD167">
        <f t="shared" si="28"/>
        <v>16.629000000000001</v>
      </c>
      <c r="AE167">
        <f t="shared" si="29"/>
        <v>16.784813730000003</v>
      </c>
      <c r="AF167" s="9"/>
      <c r="AG167" s="22">
        <v>0.69061300000000003</v>
      </c>
      <c r="AH167" s="22">
        <v>350.178</v>
      </c>
      <c r="AI167" s="22">
        <v>-1.67969E-2</v>
      </c>
      <c r="AJ167" s="22">
        <v>157</v>
      </c>
      <c r="AK167" s="22">
        <v>0.68988000000000005</v>
      </c>
      <c r="AL167">
        <f t="shared" si="30"/>
        <v>16.796900000000001</v>
      </c>
      <c r="AM167">
        <f t="shared" si="31"/>
        <v>11.600157499700002</v>
      </c>
      <c r="AP167" s="9"/>
      <c r="AQ167" s="22">
        <v>1.0093700000000001</v>
      </c>
      <c r="AR167" s="22">
        <v>419.26799999999997</v>
      </c>
      <c r="AS167" s="22">
        <v>-1.6595499999999999E-2</v>
      </c>
      <c r="AT167" s="22">
        <v>157</v>
      </c>
      <c r="AU167" s="22">
        <v>1.008</v>
      </c>
      <c r="AV167">
        <f t="shared" si="32"/>
        <v>16.595499999999998</v>
      </c>
      <c r="AW167">
        <f t="shared" si="33"/>
        <v>16.750999834999998</v>
      </c>
      <c r="AX167" s="9"/>
      <c r="AY167" s="22">
        <v>0.69061300000000003</v>
      </c>
      <c r="AZ167" s="22">
        <v>480.101</v>
      </c>
      <c r="BA167" s="22">
        <v>-1.6772499999999999E-2</v>
      </c>
      <c r="BB167" s="22">
        <v>157</v>
      </c>
      <c r="BC167" s="22">
        <v>0.68972800000000001</v>
      </c>
      <c r="BD167">
        <f t="shared" si="34"/>
        <v>16.772500000000001</v>
      </c>
      <c r="BE167">
        <f t="shared" si="35"/>
        <v>11.583306542500001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43.432200000000002</v>
      </c>
      <c r="I168" s="22">
        <v>7.6745599999999997E-2</v>
      </c>
      <c r="J168" s="22">
        <v>158</v>
      </c>
      <c r="K168" s="22">
        <v>8.0017099999999994E-2</v>
      </c>
      <c r="L168">
        <f t="shared" si="24"/>
        <v>-76.745599999999996</v>
      </c>
      <c r="M168">
        <f t="shared" si="25"/>
        <v>-77.077908447999988</v>
      </c>
      <c r="N168" s="9"/>
      <c r="O168" s="22">
        <v>0.69564800000000004</v>
      </c>
      <c r="P168" s="22">
        <v>154.35900000000001</v>
      </c>
      <c r="Q168" s="22">
        <v>-1.6827399999999999E-2</v>
      </c>
      <c r="R168" s="22">
        <v>158</v>
      </c>
      <c r="S168" s="22">
        <v>0.69488499999999997</v>
      </c>
      <c r="T168">
        <f t="shared" si="26"/>
        <v>16.827400000000001</v>
      </c>
      <c r="U168">
        <f t="shared" si="27"/>
        <v>11.705947155200001</v>
      </c>
      <c r="X168" s="9"/>
      <c r="Y168" s="22">
        <v>1.0043299999999999</v>
      </c>
      <c r="Z168" s="22">
        <v>217.94499999999999</v>
      </c>
      <c r="AA168" s="22">
        <v>-1.6629000000000001E-2</v>
      </c>
      <c r="AB168" s="22">
        <v>158</v>
      </c>
      <c r="AC168" s="22">
        <v>1.0031099999999999</v>
      </c>
      <c r="AD168">
        <f t="shared" si="28"/>
        <v>16.629000000000001</v>
      </c>
      <c r="AE168">
        <f t="shared" si="29"/>
        <v>16.701003570000001</v>
      </c>
      <c r="AF168" s="9"/>
      <c r="AG168" s="22">
        <v>0.69564800000000004</v>
      </c>
      <c r="AH168" s="22">
        <v>350.27800000000002</v>
      </c>
      <c r="AI168" s="22">
        <v>-1.6790800000000002E-2</v>
      </c>
      <c r="AJ168" s="22">
        <v>158</v>
      </c>
      <c r="AK168" s="22">
        <v>0.69488499999999997</v>
      </c>
      <c r="AL168">
        <f t="shared" si="30"/>
        <v>16.790800000000001</v>
      </c>
      <c r="AM168">
        <f t="shared" si="31"/>
        <v>11.680486438400001</v>
      </c>
      <c r="AP168" s="9"/>
      <c r="AQ168" s="22">
        <v>1.0043299999999999</v>
      </c>
      <c r="AR168" s="22">
        <v>419.36799999999999</v>
      </c>
      <c r="AS168" s="22">
        <v>-1.6595499999999999E-2</v>
      </c>
      <c r="AT168" s="22">
        <v>158</v>
      </c>
      <c r="AU168" s="22">
        <v>1.0031099999999999</v>
      </c>
      <c r="AV168">
        <f t="shared" si="32"/>
        <v>16.595499999999998</v>
      </c>
      <c r="AW168">
        <f t="shared" si="33"/>
        <v>16.667358514999997</v>
      </c>
      <c r="AX168" s="9"/>
      <c r="AY168" s="22">
        <v>0.69564800000000004</v>
      </c>
      <c r="AZ168" s="22">
        <v>480.20100000000002</v>
      </c>
      <c r="BA168" s="22">
        <v>-1.6772499999999999E-2</v>
      </c>
      <c r="BB168" s="22">
        <v>158</v>
      </c>
      <c r="BC168" s="22">
        <v>0.69476300000000002</v>
      </c>
      <c r="BD168">
        <f t="shared" si="34"/>
        <v>16.772500000000001</v>
      </c>
      <c r="BE168">
        <f t="shared" si="35"/>
        <v>11.667756080000002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43.532899999999998</v>
      </c>
      <c r="I169" s="22">
        <v>7.6562500000000006E-2</v>
      </c>
      <c r="J169" s="22">
        <v>159</v>
      </c>
      <c r="K169" s="22">
        <v>7.9986600000000005E-2</v>
      </c>
      <c r="L169">
        <f t="shared" si="24"/>
        <v>-76.5625</v>
      </c>
      <c r="M169">
        <f t="shared" si="25"/>
        <v>-76.508753124999998</v>
      </c>
      <c r="N169" s="9"/>
      <c r="O169" s="22">
        <v>0.70068399999999997</v>
      </c>
      <c r="P169" s="22">
        <v>154.46</v>
      </c>
      <c r="Q169" s="22">
        <v>-1.6827399999999999E-2</v>
      </c>
      <c r="R169" s="22">
        <v>159</v>
      </c>
      <c r="S169" s="22">
        <v>0.69976799999999995</v>
      </c>
      <c r="T169">
        <f t="shared" si="26"/>
        <v>16.827400000000001</v>
      </c>
      <c r="U169">
        <f t="shared" si="27"/>
        <v>11.7906899416</v>
      </c>
      <c r="X169" s="9"/>
      <c r="Y169" s="22">
        <v>0.99929800000000002</v>
      </c>
      <c r="Z169" s="22">
        <v>218.04599999999999</v>
      </c>
      <c r="AA169" s="22">
        <v>-1.6638199999999999E-2</v>
      </c>
      <c r="AB169" s="22">
        <v>159</v>
      </c>
      <c r="AC169" s="22">
        <v>0.99822999999999995</v>
      </c>
      <c r="AD169">
        <f t="shared" si="28"/>
        <v>16.638199999999998</v>
      </c>
      <c r="AE169">
        <f t="shared" si="29"/>
        <v>16.626519983599998</v>
      </c>
      <c r="AF169" s="9"/>
      <c r="AG169" s="22">
        <v>0.70068399999999997</v>
      </c>
      <c r="AH169" s="22">
        <v>350.37900000000002</v>
      </c>
      <c r="AI169" s="22">
        <v>-1.6793800000000001E-2</v>
      </c>
      <c r="AJ169" s="22">
        <v>159</v>
      </c>
      <c r="AK169" s="22">
        <v>0.69992100000000002</v>
      </c>
      <c r="AL169">
        <f t="shared" si="30"/>
        <v>16.793800000000001</v>
      </c>
      <c r="AM169">
        <f t="shared" si="31"/>
        <v>11.7671469592</v>
      </c>
      <c r="AP169" s="9"/>
      <c r="AQ169" s="22">
        <v>0.99929800000000002</v>
      </c>
      <c r="AR169" s="22">
        <v>419.46899999999999</v>
      </c>
      <c r="AS169" s="22">
        <v>-1.6604600000000001E-2</v>
      </c>
      <c r="AT169" s="22">
        <v>159</v>
      </c>
      <c r="AU169" s="22">
        <v>0.99853499999999995</v>
      </c>
      <c r="AV169">
        <f t="shared" si="32"/>
        <v>16.604600000000001</v>
      </c>
      <c r="AW169">
        <f t="shared" si="33"/>
        <v>16.592943570800003</v>
      </c>
      <c r="AX169" s="9"/>
      <c r="AY169" s="22">
        <v>0.70068399999999997</v>
      </c>
      <c r="AZ169" s="22">
        <v>480.30200000000002</v>
      </c>
      <c r="BA169" s="22">
        <v>-1.6775499999999999E-2</v>
      </c>
      <c r="BB169" s="22">
        <v>159</v>
      </c>
      <c r="BC169" s="22">
        <v>0.69992100000000002</v>
      </c>
      <c r="BD169">
        <f t="shared" si="34"/>
        <v>16.775499999999997</v>
      </c>
      <c r="BE169">
        <f t="shared" si="35"/>
        <v>11.754324441999998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43.633699999999997</v>
      </c>
      <c r="I170" s="22">
        <v>7.6388499999999998E-2</v>
      </c>
      <c r="J170" s="22">
        <v>160</v>
      </c>
      <c r="K170" s="22">
        <v>7.9986600000000005E-2</v>
      </c>
      <c r="L170">
        <f t="shared" si="24"/>
        <v>-76.388499999999993</v>
      </c>
      <c r="M170">
        <f t="shared" si="25"/>
        <v>-75.950259175499994</v>
      </c>
      <c r="N170" s="9"/>
      <c r="O170" s="22">
        <v>0.70571899999999999</v>
      </c>
      <c r="P170" s="22">
        <v>154.56100000000001</v>
      </c>
      <c r="Q170" s="22">
        <v>-1.6821300000000001E-2</v>
      </c>
      <c r="R170" s="22">
        <v>160</v>
      </c>
      <c r="S170" s="22">
        <v>0.70495600000000003</v>
      </c>
      <c r="T170">
        <f t="shared" si="26"/>
        <v>16.821300000000001</v>
      </c>
      <c r="U170">
        <f t="shared" si="27"/>
        <v>11.8711110147</v>
      </c>
      <c r="X170" s="9"/>
      <c r="Y170" s="22">
        <v>0.99426300000000001</v>
      </c>
      <c r="Z170" s="22">
        <v>218.14699999999999</v>
      </c>
      <c r="AA170" s="22">
        <v>-1.6644300000000001E-2</v>
      </c>
      <c r="AB170" s="22">
        <v>160</v>
      </c>
      <c r="AC170" s="22">
        <v>0.99334699999999998</v>
      </c>
      <c r="AD170">
        <f t="shared" si="28"/>
        <v>16.644300000000001</v>
      </c>
      <c r="AE170">
        <f t="shared" si="29"/>
        <v>16.548811650900003</v>
      </c>
      <c r="AF170" s="9"/>
      <c r="AG170" s="22">
        <v>0.70571899999999999</v>
      </c>
      <c r="AH170" s="22">
        <v>350.48</v>
      </c>
      <c r="AI170" s="22">
        <v>-1.6787699999999999E-2</v>
      </c>
      <c r="AJ170" s="22">
        <v>160</v>
      </c>
      <c r="AK170" s="22">
        <v>0.70483399999999996</v>
      </c>
      <c r="AL170">
        <f t="shared" si="30"/>
        <v>16.787699999999997</v>
      </c>
      <c r="AM170">
        <f t="shared" si="31"/>
        <v>11.847398856299998</v>
      </c>
      <c r="AP170" s="9"/>
      <c r="AQ170" s="22">
        <v>0.99426300000000001</v>
      </c>
      <c r="AR170" s="22">
        <v>419.57</v>
      </c>
      <c r="AS170" s="22">
        <v>-1.6604600000000001E-2</v>
      </c>
      <c r="AT170" s="22">
        <v>160</v>
      </c>
      <c r="AU170" s="22">
        <v>0.99273699999999998</v>
      </c>
      <c r="AV170">
        <f t="shared" si="32"/>
        <v>16.604600000000001</v>
      </c>
      <c r="AW170">
        <f t="shared" si="33"/>
        <v>16.509339409800003</v>
      </c>
      <c r="AX170" s="9"/>
      <c r="AY170" s="22">
        <v>0.70571899999999999</v>
      </c>
      <c r="AZ170" s="22">
        <v>480.40300000000002</v>
      </c>
      <c r="BA170" s="22">
        <v>-1.67694E-2</v>
      </c>
      <c r="BB170" s="22">
        <v>160</v>
      </c>
      <c r="BC170" s="22">
        <v>0.70489500000000005</v>
      </c>
      <c r="BD170">
        <f t="shared" si="34"/>
        <v>16.769400000000001</v>
      </c>
      <c r="BE170">
        <f t="shared" si="35"/>
        <v>11.8344841986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43.734400000000001</v>
      </c>
      <c r="I171" s="22">
        <v>7.6666300000000007E-2</v>
      </c>
      <c r="J171" s="22">
        <v>161</v>
      </c>
      <c r="K171" s="22">
        <v>8.0017099999999994E-2</v>
      </c>
      <c r="L171">
        <f t="shared" si="24"/>
        <v>-76.666300000000007</v>
      </c>
      <c r="M171">
        <f t="shared" si="25"/>
        <v>-75.840373950100002</v>
      </c>
      <c r="N171" s="9"/>
      <c r="O171" s="22">
        <v>0.710754</v>
      </c>
      <c r="P171" s="22">
        <v>154.661</v>
      </c>
      <c r="Q171" s="22">
        <v>-1.68243E-2</v>
      </c>
      <c r="R171" s="22">
        <v>161</v>
      </c>
      <c r="S171" s="22">
        <v>0.709839</v>
      </c>
      <c r="T171">
        <f t="shared" si="26"/>
        <v>16.824300000000001</v>
      </c>
      <c r="U171">
        <f t="shared" si="27"/>
        <v>11.957938522200001</v>
      </c>
      <c r="X171" s="9"/>
      <c r="Y171" s="22">
        <v>0.98922699999999997</v>
      </c>
      <c r="Z171" s="22">
        <v>218.24700000000001</v>
      </c>
      <c r="AA171" s="22">
        <v>-1.6644300000000001E-2</v>
      </c>
      <c r="AB171" s="22">
        <v>161</v>
      </c>
      <c r="AC171" s="22">
        <v>0.98815900000000001</v>
      </c>
      <c r="AD171">
        <f t="shared" si="28"/>
        <v>16.644300000000001</v>
      </c>
      <c r="AE171">
        <f t="shared" si="29"/>
        <v>16.464990956099999</v>
      </c>
      <c r="AF171" s="9"/>
      <c r="AG171" s="22">
        <v>0.710754</v>
      </c>
      <c r="AH171" s="22">
        <v>350.58100000000002</v>
      </c>
      <c r="AI171" s="22">
        <v>-1.6790800000000002E-2</v>
      </c>
      <c r="AJ171" s="22">
        <v>161</v>
      </c>
      <c r="AK171" s="22">
        <v>0.70986899999999997</v>
      </c>
      <c r="AL171">
        <f t="shared" si="30"/>
        <v>16.790800000000001</v>
      </c>
      <c r="AM171">
        <f t="shared" si="31"/>
        <v>11.9341282632</v>
      </c>
      <c r="AP171" s="9"/>
      <c r="AQ171" s="22">
        <v>0.98922699999999997</v>
      </c>
      <c r="AR171" s="22">
        <v>419.67099999999999</v>
      </c>
      <c r="AS171" s="22">
        <v>-1.6604600000000001E-2</v>
      </c>
      <c r="AT171" s="22">
        <v>161</v>
      </c>
      <c r="AU171" s="22">
        <v>0.98846400000000001</v>
      </c>
      <c r="AV171">
        <f t="shared" si="32"/>
        <v>16.604600000000001</v>
      </c>
      <c r="AW171">
        <f t="shared" si="33"/>
        <v>16.4257186442</v>
      </c>
      <c r="AX171" s="9"/>
      <c r="AY171" s="22">
        <v>0.710754</v>
      </c>
      <c r="AZ171" s="22">
        <v>480.50400000000002</v>
      </c>
      <c r="BA171" s="22">
        <v>-1.6766400000000001E-2</v>
      </c>
      <c r="BB171" s="22">
        <v>161</v>
      </c>
      <c r="BC171" s="22">
        <v>0.70999100000000004</v>
      </c>
      <c r="BD171">
        <f t="shared" si="34"/>
        <v>16.766400000000001</v>
      </c>
      <c r="BE171">
        <f t="shared" si="35"/>
        <v>11.916785865600001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43.835099999999997</v>
      </c>
      <c r="I172" s="22">
        <v>7.6550300000000002E-2</v>
      </c>
      <c r="J172" s="22">
        <v>162</v>
      </c>
      <c r="K172" s="22">
        <v>8.0078099999999999E-2</v>
      </c>
      <c r="L172">
        <f t="shared" si="24"/>
        <v>-76.550300000000007</v>
      </c>
      <c r="M172">
        <f t="shared" si="25"/>
        <v>-75.340192857600002</v>
      </c>
      <c r="N172" s="9"/>
      <c r="O172" s="22">
        <v>0.71579000000000004</v>
      </c>
      <c r="P172" s="22">
        <v>154.762</v>
      </c>
      <c r="Q172" s="22">
        <v>-1.6821300000000001E-2</v>
      </c>
      <c r="R172" s="22">
        <v>162</v>
      </c>
      <c r="S172" s="22">
        <v>0.71505700000000005</v>
      </c>
      <c r="T172">
        <f t="shared" si="26"/>
        <v>16.821300000000001</v>
      </c>
      <c r="U172">
        <f t="shared" si="27"/>
        <v>12.040518327000001</v>
      </c>
      <c r="X172" s="9"/>
      <c r="Y172" s="22">
        <v>0.98419199999999996</v>
      </c>
      <c r="Z172" s="22">
        <v>218.34800000000001</v>
      </c>
      <c r="AA172" s="22">
        <v>-1.66473E-2</v>
      </c>
      <c r="AB172" s="22">
        <v>162</v>
      </c>
      <c r="AC172" s="22">
        <v>0.98327600000000004</v>
      </c>
      <c r="AD172">
        <f t="shared" si="28"/>
        <v>16.647300000000001</v>
      </c>
      <c r="AE172">
        <f t="shared" si="29"/>
        <v>16.384139481600002</v>
      </c>
      <c r="AF172" s="9"/>
      <c r="AG172" s="22">
        <v>0.71579000000000004</v>
      </c>
      <c r="AH172" s="22">
        <v>350.68099999999998</v>
      </c>
      <c r="AI172" s="22">
        <v>-1.6787699999999999E-2</v>
      </c>
      <c r="AJ172" s="22">
        <v>162</v>
      </c>
      <c r="AK172" s="22">
        <v>0.71505700000000005</v>
      </c>
      <c r="AL172">
        <f t="shared" si="30"/>
        <v>16.787699999999997</v>
      </c>
      <c r="AM172">
        <f t="shared" si="31"/>
        <v>12.016467783</v>
      </c>
      <c r="AP172" s="9"/>
      <c r="AQ172" s="22">
        <v>0.98419199999999996</v>
      </c>
      <c r="AR172" s="22">
        <v>419.77100000000002</v>
      </c>
      <c r="AS172" s="22">
        <v>-1.6604600000000001E-2</v>
      </c>
      <c r="AT172" s="22">
        <v>162</v>
      </c>
      <c r="AU172" s="22">
        <v>0.98327600000000004</v>
      </c>
      <c r="AV172">
        <f t="shared" si="32"/>
        <v>16.604600000000001</v>
      </c>
      <c r="AW172">
        <f t="shared" si="33"/>
        <v>16.3421144832</v>
      </c>
      <c r="AX172" s="9"/>
      <c r="AY172" s="22">
        <v>0.71579000000000004</v>
      </c>
      <c r="AZ172" s="22">
        <v>480.60399999999998</v>
      </c>
      <c r="BA172" s="22">
        <v>-1.6766400000000001E-2</v>
      </c>
      <c r="BB172" s="22">
        <v>162</v>
      </c>
      <c r="BC172" s="22">
        <v>0.71499599999999996</v>
      </c>
      <c r="BD172">
        <f t="shared" si="34"/>
        <v>16.766400000000001</v>
      </c>
      <c r="BE172">
        <f t="shared" si="35"/>
        <v>12.001221456000001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43.9358</v>
      </c>
      <c r="I173" s="22">
        <v>7.6275599999999999E-2</v>
      </c>
      <c r="J173" s="22">
        <v>163</v>
      </c>
      <c r="K173" s="22">
        <v>7.9956100000000002E-2</v>
      </c>
      <c r="L173">
        <f t="shared" si="24"/>
        <v>-76.275599999999997</v>
      </c>
      <c r="M173">
        <f t="shared" si="25"/>
        <v>-74.685711393600002</v>
      </c>
      <c r="N173" s="9"/>
      <c r="O173" s="22">
        <v>0.72082500000000005</v>
      </c>
      <c r="P173" s="22">
        <v>154.863</v>
      </c>
      <c r="Q173" s="22">
        <v>-1.6815199999999999E-2</v>
      </c>
      <c r="R173" s="22">
        <v>163</v>
      </c>
      <c r="S173" s="22">
        <v>0.720001</v>
      </c>
      <c r="T173">
        <f t="shared" si="26"/>
        <v>16.815199999999997</v>
      </c>
      <c r="U173">
        <f t="shared" si="27"/>
        <v>12.120816539999998</v>
      </c>
      <c r="X173" s="9"/>
      <c r="Y173" s="22">
        <v>0.97915600000000003</v>
      </c>
      <c r="Z173" s="22">
        <v>218.44900000000001</v>
      </c>
      <c r="AA173" s="22">
        <v>-1.6644300000000001E-2</v>
      </c>
      <c r="AB173" s="22">
        <v>163</v>
      </c>
      <c r="AC173" s="22">
        <v>0.97778299999999996</v>
      </c>
      <c r="AD173">
        <f t="shared" si="28"/>
        <v>16.644300000000001</v>
      </c>
      <c r="AE173">
        <f t="shared" si="29"/>
        <v>16.2973662108</v>
      </c>
      <c r="AF173" s="9"/>
      <c r="AG173" s="22">
        <v>0.72082500000000005</v>
      </c>
      <c r="AH173" s="22">
        <v>350.78199999999998</v>
      </c>
      <c r="AI173" s="22">
        <v>-1.6781600000000001E-2</v>
      </c>
      <c r="AJ173" s="22">
        <v>163</v>
      </c>
      <c r="AK173" s="22">
        <v>0.72003200000000001</v>
      </c>
      <c r="AL173">
        <f t="shared" si="30"/>
        <v>16.781600000000001</v>
      </c>
      <c r="AM173">
        <f t="shared" si="31"/>
        <v>12.096596820000002</v>
      </c>
      <c r="AP173" s="9"/>
      <c r="AQ173" s="22">
        <v>0.97915600000000003</v>
      </c>
      <c r="AR173" s="22">
        <v>419.87200000000001</v>
      </c>
      <c r="AS173" s="22">
        <v>-1.6613800000000001E-2</v>
      </c>
      <c r="AT173" s="22">
        <v>163</v>
      </c>
      <c r="AU173" s="22">
        <v>0.97747799999999996</v>
      </c>
      <c r="AV173">
        <f t="shared" si="32"/>
        <v>16.613800000000001</v>
      </c>
      <c r="AW173">
        <f t="shared" si="33"/>
        <v>16.2675019528</v>
      </c>
      <c r="AX173" s="9"/>
      <c r="AY173" s="22">
        <v>0.72082500000000005</v>
      </c>
      <c r="AZ173" s="22">
        <v>480.70499999999998</v>
      </c>
      <c r="BA173" s="22">
        <v>-1.67542E-2</v>
      </c>
      <c r="BB173" s="22">
        <v>163</v>
      </c>
      <c r="BC173" s="22">
        <v>0.72003200000000001</v>
      </c>
      <c r="BD173">
        <f t="shared" si="34"/>
        <v>16.754200000000001</v>
      </c>
      <c r="BE173">
        <f t="shared" si="35"/>
        <v>12.076846215000002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44.036499999999997</v>
      </c>
      <c r="I174" s="22">
        <v>7.6507599999999995E-2</v>
      </c>
      <c r="J174" s="22">
        <v>164</v>
      </c>
      <c r="K174" s="22">
        <v>7.9956100000000002E-2</v>
      </c>
      <c r="L174">
        <f t="shared" si="24"/>
        <v>-76.507599999999996</v>
      </c>
      <c r="M174">
        <f t="shared" si="25"/>
        <v>-74.527659819600004</v>
      </c>
      <c r="N174" s="9"/>
      <c r="O174" s="22">
        <v>0.72586099999999998</v>
      </c>
      <c r="P174" s="22">
        <v>154.96299999999999</v>
      </c>
      <c r="Q174" s="22">
        <v>-1.68091E-2</v>
      </c>
      <c r="R174" s="22">
        <v>164</v>
      </c>
      <c r="S174" s="22">
        <v>0.72521999999999998</v>
      </c>
      <c r="T174">
        <f t="shared" si="26"/>
        <v>16.809100000000001</v>
      </c>
      <c r="U174">
        <f t="shared" si="27"/>
        <v>12.2010701351</v>
      </c>
      <c r="X174" s="9"/>
      <c r="Y174" s="22">
        <v>0.97412100000000001</v>
      </c>
      <c r="Z174" s="22">
        <v>218.54900000000001</v>
      </c>
      <c r="AA174" s="22">
        <v>-1.6653399999999999E-2</v>
      </c>
      <c r="AB174" s="22">
        <v>164</v>
      </c>
      <c r="AC174" s="22">
        <v>0.97289999999999999</v>
      </c>
      <c r="AD174">
        <f t="shared" si="28"/>
        <v>16.653399999999998</v>
      </c>
      <c r="AE174">
        <f t="shared" si="29"/>
        <v>16.222426661399997</v>
      </c>
      <c r="AF174" s="9"/>
      <c r="AG174" s="22">
        <v>0.72586099999999998</v>
      </c>
      <c r="AH174" s="22">
        <v>350.88299999999998</v>
      </c>
      <c r="AI174" s="22">
        <v>-1.6781600000000001E-2</v>
      </c>
      <c r="AJ174" s="22">
        <v>164</v>
      </c>
      <c r="AK174" s="22">
        <v>0.72503700000000004</v>
      </c>
      <c r="AL174">
        <f t="shared" si="30"/>
        <v>16.781600000000001</v>
      </c>
      <c r="AM174">
        <f t="shared" si="31"/>
        <v>12.181108957600001</v>
      </c>
      <c r="AP174" s="9"/>
      <c r="AQ174" s="22">
        <v>0.97412100000000001</v>
      </c>
      <c r="AR174" s="22">
        <v>419.97300000000001</v>
      </c>
      <c r="AS174" s="22">
        <v>-1.6616800000000001E-2</v>
      </c>
      <c r="AT174" s="22">
        <v>164</v>
      </c>
      <c r="AU174" s="22">
        <v>0.97320600000000002</v>
      </c>
      <c r="AV174">
        <f t="shared" si="32"/>
        <v>16.616800000000001</v>
      </c>
      <c r="AW174">
        <f t="shared" si="33"/>
        <v>16.1867738328</v>
      </c>
      <c r="AX174" s="9"/>
      <c r="AY174" s="22">
        <v>0.72586099999999998</v>
      </c>
      <c r="AZ174" s="22">
        <v>480.80599999999998</v>
      </c>
      <c r="BA174" s="22">
        <v>-1.67572E-2</v>
      </c>
      <c r="BB174" s="22">
        <v>164</v>
      </c>
      <c r="BC174" s="22">
        <v>0.725159</v>
      </c>
      <c r="BD174">
        <f t="shared" si="34"/>
        <v>16.757200000000001</v>
      </c>
      <c r="BE174">
        <f t="shared" si="35"/>
        <v>12.1633979492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44.1372</v>
      </c>
      <c r="I175" s="22">
        <v>7.6452599999999996E-2</v>
      </c>
      <c r="J175" s="22">
        <v>165</v>
      </c>
      <c r="K175" s="22">
        <v>7.9956100000000002E-2</v>
      </c>
      <c r="L175">
        <f t="shared" si="24"/>
        <v>-76.45259999999999</v>
      </c>
      <c r="M175">
        <f t="shared" si="25"/>
        <v>-74.089144323599996</v>
      </c>
      <c r="N175" s="9"/>
      <c r="O175" s="22">
        <v>0.73089599999999999</v>
      </c>
      <c r="P175" s="22">
        <v>155.06399999999999</v>
      </c>
      <c r="Q175" s="22">
        <v>-1.68091E-2</v>
      </c>
      <c r="R175" s="22">
        <v>165</v>
      </c>
      <c r="S175" s="22">
        <v>0.73019400000000001</v>
      </c>
      <c r="T175">
        <f t="shared" si="26"/>
        <v>16.809100000000001</v>
      </c>
      <c r="U175">
        <f t="shared" si="27"/>
        <v>12.285703953600001</v>
      </c>
      <c r="X175" s="9"/>
      <c r="Y175" s="22">
        <v>0.969086</v>
      </c>
      <c r="Z175" s="22">
        <v>218.65</v>
      </c>
      <c r="AA175" s="22">
        <v>-1.6653399999999999E-2</v>
      </c>
      <c r="AB175" s="22">
        <v>165</v>
      </c>
      <c r="AC175" s="22">
        <v>0.96771200000000002</v>
      </c>
      <c r="AD175">
        <f t="shared" si="28"/>
        <v>16.653399999999998</v>
      </c>
      <c r="AE175">
        <f t="shared" si="29"/>
        <v>16.138576792399999</v>
      </c>
      <c r="AF175" s="9"/>
      <c r="AG175" s="22">
        <v>0.73089599999999999</v>
      </c>
      <c r="AH175" s="22">
        <v>350.983</v>
      </c>
      <c r="AI175" s="22">
        <v>-1.6778600000000001E-2</v>
      </c>
      <c r="AJ175" s="22">
        <v>165</v>
      </c>
      <c r="AK175" s="22">
        <v>0.73007200000000005</v>
      </c>
      <c r="AL175">
        <f t="shared" si="30"/>
        <v>16.778600000000001</v>
      </c>
      <c r="AM175">
        <f t="shared" si="31"/>
        <v>12.2634116256</v>
      </c>
      <c r="AP175" s="9"/>
      <c r="AQ175" s="22">
        <v>0.969086</v>
      </c>
      <c r="AR175" s="22">
        <v>420.07299999999998</v>
      </c>
      <c r="AS175" s="22">
        <v>-1.66199E-2</v>
      </c>
      <c r="AT175" s="22">
        <v>165</v>
      </c>
      <c r="AU175" s="22">
        <v>0.96801800000000005</v>
      </c>
      <c r="AV175">
        <f t="shared" si="32"/>
        <v>16.619900000000001</v>
      </c>
      <c r="AW175">
        <f t="shared" si="33"/>
        <v>16.106112411400002</v>
      </c>
      <c r="AX175" s="9"/>
      <c r="AY175" s="22">
        <v>0.73089599999999999</v>
      </c>
      <c r="AZ175" s="22">
        <v>480.90600000000001</v>
      </c>
      <c r="BA175" s="22">
        <v>-1.67572E-2</v>
      </c>
      <c r="BB175" s="22">
        <v>165</v>
      </c>
      <c r="BC175" s="22">
        <v>0.73007200000000005</v>
      </c>
      <c r="BD175">
        <f t="shared" si="34"/>
        <v>16.757200000000001</v>
      </c>
      <c r="BE175">
        <f t="shared" si="35"/>
        <v>12.247770451200001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44.237900000000003</v>
      </c>
      <c r="I176" s="22">
        <v>7.6806600000000003E-2</v>
      </c>
      <c r="J176" s="22">
        <v>166</v>
      </c>
      <c r="K176" s="22">
        <v>7.9864500000000005E-2</v>
      </c>
      <c r="L176">
        <f t="shared" si="24"/>
        <v>-76.806600000000003</v>
      </c>
      <c r="M176">
        <f t="shared" si="25"/>
        <v>-74.045402730000006</v>
      </c>
      <c r="N176" s="9"/>
      <c r="O176" s="22">
        <v>0.735931</v>
      </c>
      <c r="P176" s="22">
        <v>155.16499999999999</v>
      </c>
      <c r="Q176" s="22">
        <v>-1.68121E-2</v>
      </c>
      <c r="R176" s="22">
        <v>166</v>
      </c>
      <c r="S176" s="22">
        <v>0.73495500000000002</v>
      </c>
      <c r="T176">
        <f t="shared" si="26"/>
        <v>16.812100000000001</v>
      </c>
      <c r="U176">
        <f t="shared" si="27"/>
        <v>12.372545565100001</v>
      </c>
      <c r="X176" s="9"/>
      <c r="Y176" s="22">
        <v>0.96404999999999996</v>
      </c>
      <c r="Z176" s="22">
        <v>218.751</v>
      </c>
      <c r="AA176" s="22">
        <v>-1.6656500000000001E-2</v>
      </c>
      <c r="AB176" s="22">
        <v>166</v>
      </c>
      <c r="AC176" s="22">
        <v>0.96313499999999996</v>
      </c>
      <c r="AD176">
        <f t="shared" si="28"/>
        <v>16.656500000000001</v>
      </c>
      <c r="AE176">
        <f t="shared" si="29"/>
        <v>16.057698824999999</v>
      </c>
      <c r="AF176" s="9"/>
      <c r="AG176" s="22">
        <v>0.735931</v>
      </c>
      <c r="AH176" s="22">
        <v>351.084</v>
      </c>
      <c r="AI176" s="22">
        <v>-1.6775499999999999E-2</v>
      </c>
      <c r="AJ176" s="22">
        <v>166</v>
      </c>
      <c r="AK176" s="22">
        <v>0.73510699999999995</v>
      </c>
      <c r="AL176">
        <f t="shared" si="30"/>
        <v>16.775499999999997</v>
      </c>
      <c r="AM176">
        <f t="shared" si="31"/>
        <v>12.345610490499999</v>
      </c>
      <c r="AP176" s="9"/>
      <c r="AQ176" s="22">
        <v>0.96404999999999996</v>
      </c>
      <c r="AR176" s="22">
        <v>420.17399999999998</v>
      </c>
      <c r="AS176" s="22">
        <v>-1.6622899999999999E-2</v>
      </c>
      <c r="AT176" s="22">
        <v>166</v>
      </c>
      <c r="AU176" s="22">
        <v>0.96252400000000005</v>
      </c>
      <c r="AV176">
        <f t="shared" si="32"/>
        <v>16.622899999999998</v>
      </c>
      <c r="AW176">
        <f t="shared" si="33"/>
        <v>16.025306744999998</v>
      </c>
      <c r="AX176" s="9"/>
      <c r="AY176" s="22">
        <v>0.735931</v>
      </c>
      <c r="AZ176" s="22">
        <v>481.00700000000001</v>
      </c>
      <c r="BA176" s="22">
        <v>-1.6741900000000001E-2</v>
      </c>
      <c r="BB176" s="22">
        <v>166</v>
      </c>
      <c r="BC176" s="22">
        <v>0.734985</v>
      </c>
      <c r="BD176">
        <f t="shared" si="34"/>
        <v>16.741900000000001</v>
      </c>
      <c r="BE176">
        <f t="shared" si="35"/>
        <v>12.320883208900002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44.3386</v>
      </c>
      <c r="I177" s="22">
        <v>7.6483200000000001E-2</v>
      </c>
      <c r="J177" s="22">
        <v>167</v>
      </c>
      <c r="K177" s="22">
        <v>7.9894999999999994E-2</v>
      </c>
      <c r="L177">
        <f t="shared" si="24"/>
        <v>-76.483199999999997</v>
      </c>
      <c r="M177">
        <f t="shared" si="25"/>
        <v>-73.348536048</v>
      </c>
      <c r="N177" s="9"/>
      <c r="O177" s="22">
        <v>0.74096700000000004</v>
      </c>
      <c r="P177" s="22">
        <v>155.26499999999999</v>
      </c>
      <c r="Q177" s="22">
        <v>-1.68121E-2</v>
      </c>
      <c r="R177" s="22">
        <v>167</v>
      </c>
      <c r="S177" s="22">
        <v>0.740143</v>
      </c>
      <c r="T177">
        <f t="shared" si="26"/>
        <v>16.812100000000001</v>
      </c>
      <c r="U177">
        <f t="shared" si="27"/>
        <v>12.457211300700001</v>
      </c>
      <c r="X177" s="9"/>
      <c r="Y177" s="22">
        <v>0.95901499999999995</v>
      </c>
      <c r="Z177" s="22">
        <v>218.851</v>
      </c>
      <c r="AA177" s="22">
        <v>-1.6656500000000001E-2</v>
      </c>
      <c r="AB177" s="22">
        <v>167</v>
      </c>
      <c r="AC177" s="22">
        <v>0.95794699999999999</v>
      </c>
      <c r="AD177">
        <f t="shared" si="28"/>
        <v>16.656500000000001</v>
      </c>
      <c r="AE177">
        <f t="shared" si="29"/>
        <v>15.973833347500001</v>
      </c>
      <c r="AF177" s="9"/>
      <c r="AG177" s="22">
        <v>0.74096700000000004</v>
      </c>
      <c r="AH177" s="22">
        <v>351.185</v>
      </c>
      <c r="AI177" s="22">
        <v>-1.6775499999999999E-2</v>
      </c>
      <c r="AJ177" s="22">
        <v>167</v>
      </c>
      <c r="AK177" s="22">
        <v>0.740143</v>
      </c>
      <c r="AL177">
        <f t="shared" si="30"/>
        <v>16.775499999999997</v>
      </c>
      <c r="AM177">
        <f t="shared" si="31"/>
        <v>12.4300919085</v>
      </c>
      <c r="AP177" s="9"/>
      <c r="AQ177" s="22">
        <v>0.95901499999999995</v>
      </c>
      <c r="AR177" s="22">
        <v>420.27499999999998</v>
      </c>
      <c r="AS177" s="22">
        <v>-1.6629000000000001E-2</v>
      </c>
      <c r="AT177" s="22">
        <v>167</v>
      </c>
      <c r="AU177" s="22">
        <v>0.95794699999999999</v>
      </c>
      <c r="AV177">
        <f t="shared" si="32"/>
        <v>16.629000000000001</v>
      </c>
      <c r="AW177">
        <f t="shared" si="33"/>
        <v>15.947460435</v>
      </c>
      <c r="AX177" s="9"/>
      <c r="AY177" s="22">
        <v>0.74096700000000004</v>
      </c>
      <c r="AZ177" s="22">
        <v>481.108</v>
      </c>
      <c r="BA177" s="22">
        <v>-1.6747999999999999E-2</v>
      </c>
      <c r="BB177" s="22">
        <v>167</v>
      </c>
      <c r="BC177" s="22">
        <v>0.74020399999999997</v>
      </c>
      <c r="BD177">
        <f t="shared" si="34"/>
        <v>16.747999999999998</v>
      </c>
      <c r="BE177">
        <f t="shared" si="35"/>
        <v>12.409715316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44.439300000000003</v>
      </c>
      <c r="I178" s="22">
        <v>7.6849399999999998E-2</v>
      </c>
      <c r="J178" s="22">
        <v>168</v>
      </c>
      <c r="K178" s="22">
        <v>7.9956100000000002E-2</v>
      </c>
      <c r="L178">
        <f t="shared" si="24"/>
        <v>-76.849400000000003</v>
      </c>
      <c r="M178">
        <f t="shared" si="25"/>
        <v>-73.312713762599998</v>
      </c>
      <c r="N178" s="9"/>
      <c r="O178" s="22">
        <v>0.74600200000000005</v>
      </c>
      <c r="P178" s="22">
        <v>155.36600000000001</v>
      </c>
      <c r="Q178" s="22">
        <v>-1.6806000000000001E-2</v>
      </c>
      <c r="R178" s="22">
        <v>168</v>
      </c>
      <c r="S178" s="22">
        <v>0.74508700000000005</v>
      </c>
      <c r="T178">
        <f t="shared" si="26"/>
        <v>16.806000000000001</v>
      </c>
      <c r="U178">
        <f t="shared" si="27"/>
        <v>12.537309612000001</v>
      </c>
      <c r="X178" s="9"/>
      <c r="Y178" s="22">
        <v>0.95397900000000002</v>
      </c>
      <c r="Z178" s="22">
        <v>218.952</v>
      </c>
      <c r="AA178" s="22">
        <v>-1.66626E-2</v>
      </c>
      <c r="AB178" s="22">
        <v>168</v>
      </c>
      <c r="AC178" s="22">
        <v>0.95336900000000002</v>
      </c>
      <c r="AD178">
        <f t="shared" si="28"/>
        <v>16.662600000000001</v>
      </c>
      <c r="AE178">
        <f t="shared" si="29"/>
        <v>15.895770485400002</v>
      </c>
      <c r="AF178" s="9"/>
      <c r="AG178" s="22">
        <v>0.74600200000000005</v>
      </c>
      <c r="AH178" s="22">
        <v>351.28500000000003</v>
      </c>
      <c r="AI178" s="22">
        <v>-1.6772499999999999E-2</v>
      </c>
      <c r="AJ178" s="22">
        <v>168</v>
      </c>
      <c r="AK178" s="22">
        <v>0.74517800000000001</v>
      </c>
      <c r="AL178">
        <f t="shared" si="30"/>
        <v>16.772500000000001</v>
      </c>
      <c r="AM178">
        <f t="shared" si="31"/>
        <v>12.512318545000001</v>
      </c>
      <c r="AP178" s="9"/>
      <c r="AQ178" s="22">
        <v>0.95397900000000002</v>
      </c>
      <c r="AR178" s="22">
        <v>420.37599999999998</v>
      </c>
      <c r="AS178" s="22">
        <v>-1.6629000000000001E-2</v>
      </c>
      <c r="AT178" s="22">
        <v>168</v>
      </c>
      <c r="AU178" s="22">
        <v>0.95306400000000002</v>
      </c>
      <c r="AV178">
        <f t="shared" si="32"/>
        <v>16.629000000000001</v>
      </c>
      <c r="AW178">
        <f t="shared" si="33"/>
        <v>15.863716791000002</v>
      </c>
      <c r="AX178" s="9"/>
      <c r="AY178" s="22">
        <v>0.74600200000000005</v>
      </c>
      <c r="AZ178" s="22">
        <v>481.209</v>
      </c>
      <c r="BA178" s="22">
        <v>-1.6741900000000001E-2</v>
      </c>
      <c r="BB178" s="22">
        <v>168</v>
      </c>
      <c r="BC178" s="22">
        <v>0.74511700000000003</v>
      </c>
      <c r="BD178">
        <f t="shared" si="34"/>
        <v>16.741900000000001</v>
      </c>
      <c r="BE178">
        <f t="shared" si="35"/>
        <v>12.489490883800002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44.54</v>
      </c>
      <c r="I179" s="22">
        <v>7.6470899999999994E-2</v>
      </c>
      <c r="J179" s="22">
        <v>169</v>
      </c>
      <c r="K179" s="22">
        <v>7.9956100000000002E-2</v>
      </c>
      <c r="L179">
        <f t="shared" si="24"/>
        <v>-76.4709</v>
      </c>
      <c r="M179">
        <f t="shared" si="25"/>
        <v>-72.566601729599995</v>
      </c>
      <c r="N179" s="9"/>
      <c r="O179" s="22">
        <v>0.75103799999999998</v>
      </c>
      <c r="P179" s="22">
        <v>155.46700000000001</v>
      </c>
      <c r="Q179" s="22">
        <v>-1.67999E-2</v>
      </c>
      <c r="R179" s="22">
        <v>169</v>
      </c>
      <c r="S179" s="22">
        <v>0.75027500000000003</v>
      </c>
      <c r="T179">
        <f t="shared" si="26"/>
        <v>16.799900000000001</v>
      </c>
      <c r="U179">
        <f t="shared" si="27"/>
        <v>12.617363296200001</v>
      </c>
      <c r="X179" s="9"/>
      <c r="Y179" s="22">
        <v>0.94894400000000001</v>
      </c>
      <c r="Z179" s="22">
        <v>219.053</v>
      </c>
      <c r="AA179" s="22">
        <v>-1.6665599999999999E-2</v>
      </c>
      <c r="AB179" s="22">
        <v>169</v>
      </c>
      <c r="AC179" s="22">
        <v>0.94757100000000005</v>
      </c>
      <c r="AD179">
        <f t="shared" si="28"/>
        <v>16.665599999999998</v>
      </c>
      <c r="AE179">
        <f t="shared" si="29"/>
        <v>15.814721126399998</v>
      </c>
      <c r="AF179" s="9"/>
      <c r="AG179" s="22">
        <v>0.75103799999999998</v>
      </c>
      <c r="AH179" s="22">
        <v>351.38600000000002</v>
      </c>
      <c r="AI179" s="22">
        <v>-1.67694E-2</v>
      </c>
      <c r="AJ179" s="22">
        <v>169</v>
      </c>
      <c r="AK179" s="22">
        <v>0.75021400000000005</v>
      </c>
      <c r="AL179">
        <f t="shared" si="30"/>
        <v>16.769400000000001</v>
      </c>
      <c r="AM179">
        <f t="shared" si="31"/>
        <v>12.5944566372</v>
      </c>
      <c r="AP179" s="9"/>
      <c r="AQ179" s="22">
        <v>0.94894400000000001</v>
      </c>
      <c r="AR179" s="22">
        <v>420.476</v>
      </c>
      <c r="AS179" s="22">
        <v>-1.6638199999999999E-2</v>
      </c>
      <c r="AT179" s="22">
        <v>169</v>
      </c>
      <c r="AU179" s="22">
        <v>0.94726600000000005</v>
      </c>
      <c r="AV179">
        <f t="shared" si="32"/>
        <v>16.638199999999998</v>
      </c>
      <c r="AW179">
        <f t="shared" si="33"/>
        <v>15.788720060799998</v>
      </c>
      <c r="AX179" s="9"/>
      <c r="AY179" s="22">
        <v>0.75103799999999998</v>
      </c>
      <c r="AZ179" s="22">
        <v>481.30900000000003</v>
      </c>
      <c r="BA179" s="22">
        <v>-1.6738900000000001E-2</v>
      </c>
      <c r="BB179" s="22">
        <v>169</v>
      </c>
      <c r="BC179" s="22">
        <v>0.75024400000000002</v>
      </c>
      <c r="BD179">
        <f t="shared" si="34"/>
        <v>16.738900000000001</v>
      </c>
      <c r="BE179">
        <f t="shared" si="35"/>
        <v>12.5715499782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44.640700000000002</v>
      </c>
      <c r="I180" s="22">
        <v>7.6214599999999993E-2</v>
      </c>
      <c r="J180" s="22">
        <v>170</v>
      </c>
      <c r="K180" s="22">
        <v>7.9956100000000002E-2</v>
      </c>
      <c r="L180">
        <f t="shared" si="24"/>
        <v>-76.21459999999999</v>
      </c>
      <c r="M180">
        <f t="shared" si="25"/>
        <v>-71.939646871399987</v>
      </c>
      <c r="N180" s="9"/>
      <c r="O180" s="22">
        <v>0.756073</v>
      </c>
      <c r="P180" s="22">
        <v>155.56800000000001</v>
      </c>
      <c r="Q180" s="22">
        <v>-1.6793800000000001E-2</v>
      </c>
      <c r="R180" s="22">
        <v>170</v>
      </c>
      <c r="S180" s="22">
        <v>0.75561500000000004</v>
      </c>
      <c r="T180">
        <f t="shared" si="26"/>
        <v>16.793800000000001</v>
      </c>
      <c r="U180">
        <f t="shared" si="27"/>
        <v>12.6973387474</v>
      </c>
      <c r="X180" s="9"/>
      <c r="Y180" s="22">
        <v>0.943909</v>
      </c>
      <c r="Z180" s="22">
        <v>219.154</v>
      </c>
      <c r="AA180" s="22">
        <v>-1.6671800000000001E-2</v>
      </c>
      <c r="AB180" s="22">
        <v>170</v>
      </c>
      <c r="AC180" s="22">
        <v>0.94299299999999997</v>
      </c>
      <c r="AD180">
        <f t="shared" si="28"/>
        <v>16.671800000000001</v>
      </c>
      <c r="AE180">
        <f t="shared" si="29"/>
        <v>15.736662066200001</v>
      </c>
      <c r="AF180" s="9"/>
      <c r="AG180" s="22">
        <v>0.756073</v>
      </c>
      <c r="AH180" s="22">
        <v>351.48700000000002</v>
      </c>
      <c r="AI180" s="22">
        <v>-1.67694E-2</v>
      </c>
      <c r="AJ180" s="22">
        <v>170</v>
      </c>
      <c r="AK180" s="22">
        <v>0.75470000000000004</v>
      </c>
      <c r="AL180">
        <f t="shared" si="30"/>
        <v>16.769400000000001</v>
      </c>
      <c r="AM180">
        <f t="shared" si="31"/>
        <v>12.6788905662</v>
      </c>
      <c r="AP180" s="9"/>
      <c r="AQ180" s="22">
        <v>0.943909</v>
      </c>
      <c r="AR180" s="22">
        <v>420.577</v>
      </c>
      <c r="AS180" s="22">
        <v>-1.66321E-2</v>
      </c>
      <c r="AT180" s="22">
        <v>170</v>
      </c>
      <c r="AU180" s="22">
        <v>0.94329799999999997</v>
      </c>
      <c r="AV180">
        <f t="shared" si="32"/>
        <v>16.632100000000001</v>
      </c>
      <c r="AW180">
        <f t="shared" si="33"/>
        <v>15.699188878900001</v>
      </c>
      <c r="AX180" s="9"/>
      <c r="AY180" s="22">
        <v>0.756073</v>
      </c>
      <c r="AZ180" s="22">
        <v>481.41</v>
      </c>
      <c r="BA180" s="22">
        <v>-1.6735799999999999E-2</v>
      </c>
      <c r="BB180" s="22">
        <v>170</v>
      </c>
      <c r="BC180" s="22">
        <v>0.75531000000000004</v>
      </c>
      <c r="BD180">
        <f t="shared" si="34"/>
        <v>16.735799999999998</v>
      </c>
      <c r="BE180">
        <f t="shared" si="35"/>
        <v>12.653486513399997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44.741399999999999</v>
      </c>
      <c r="I181" s="22">
        <v>7.6156600000000005E-2</v>
      </c>
      <c r="J181" s="22">
        <v>171</v>
      </c>
      <c r="K181" s="22">
        <v>7.9986600000000005E-2</v>
      </c>
      <c r="L181">
        <f t="shared" si="24"/>
        <v>-76.156600000000012</v>
      </c>
      <c r="M181">
        <f t="shared" si="25"/>
        <v>-71.501375511800006</v>
      </c>
      <c r="N181" s="9"/>
      <c r="O181" s="22">
        <v>0.76110800000000001</v>
      </c>
      <c r="P181" s="22">
        <v>155.66800000000001</v>
      </c>
      <c r="Q181" s="22">
        <v>-1.6790800000000002E-2</v>
      </c>
      <c r="R181" s="22">
        <v>171</v>
      </c>
      <c r="S181" s="22">
        <v>0.76049800000000001</v>
      </c>
      <c r="T181">
        <f t="shared" si="26"/>
        <v>16.790800000000001</v>
      </c>
      <c r="U181">
        <f t="shared" si="27"/>
        <v>12.779612206400001</v>
      </c>
      <c r="X181" s="9"/>
      <c r="Y181" s="22">
        <v>0.93887299999999996</v>
      </c>
      <c r="Z181" s="22">
        <v>219.25399999999999</v>
      </c>
      <c r="AA181" s="22">
        <v>-1.6677899999999999E-2</v>
      </c>
      <c r="AB181" s="22">
        <v>171</v>
      </c>
      <c r="AC181" s="22">
        <v>0.9375</v>
      </c>
      <c r="AD181">
        <f t="shared" si="28"/>
        <v>16.677899999999998</v>
      </c>
      <c r="AE181">
        <f t="shared" si="29"/>
        <v>15.658430006699996</v>
      </c>
      <c r="AF181" s="9"/>
      <c r="AG181" s="22">
        <v>0.76110800000000001</v>
      </c>
      <c r="AH181" s="22">
        <v>351.58800000000002</v>
      </c>
      <c r="AI181" s="22">
        <v>-1.6763299999999998E-2</v>
      </c>
      <c r="AJ181" s="22">
        <v>171</v>
      </c>
      <c r="AK181" s="22">
        <v>0.75988800000000001</v>
      </c>
      <c r="AL181">
        <f t="shared" si="30"/>
        <v>16.763299999999997</v>
      </c>
      <c r="AM181">
        <f t="shared" si="31"/>
        <v>12.758681736399998</v>
      </c>
      <c r="AP181" s="9"/>
      <c r="AQ181" s="22">
        <v>0.93887299999999996</v>
      </c>
      <c r="AR181" s="22">
        <v>420.678</v>
      </c>
      <c r="AS181" s="22">
        <v>-1.6638199999999999E-2</v>
      </c>
      <c r="AT181" s="22">
        <v>171</v>
      </c>
      <c r="AU181" s="22">
        <v>0.93841600000000003</v>
      </c>
      <c r="AV181">
        <f t="shared" si="32"/>
        <v>16.638199999999998</v>
      </c>
      <c r="AW181">
        <f t="shared" si="33"/>
        <v>15.621156748599997</v>
      </c>
      <c r="AX181" s="9"/>
      <c r="AY181" s="22">
        <v>0.76110800000000001</v>
      </c>
      <c r="AZ181" s="22">
        <v>481.51100000000002</v>
      </c>
      <c r="BA181" s="22">
        <v>-1.6735799999999999E-2</v>
      </c>
      <c r="BB181" s="22">
        <v>171</v>
      </c>
      <c r="BC181" s="22">
        <v>0.76019300000000001</v>
      </c>
      <c r="BD181">
        <f t="shared" si="34"/>
        <v>16.735799999999998</v>
      </c>
      <c r="BE181">
        <f t="shared" si="35"/>
        <v>12.737751266399998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44.842100000000002</v>
      </c>
      <c r="I182" s="22">
        <v>7.6357999999999995E-2</v>
      </c>
      <c r="J182" s="22">
        <v>172</v>
      </c>
      <c r="K182" s="22">
        <v>7.9986600000000005E-2</v>
      </c>
      <c r="L182">
        <f t="shared" si="24"/>
        <v>-76.35799999999999</v>
      </c>
      <c r="M182">
        <f t="shared" si="25"/>
        <v>-71.306002003999993</v>
      </c>
      <c r="N182" s="9"/>
      <c r="O182" s="22">
        <v>0.76614400000000005</v>
      </c>
      <c r="P182" s="22">
        <v>155.76900000000001</v>
      </c>
      <c r="Q182" s="22">
        <v>-1.6790800000000002E-2</v>
      </c>
      <c r="R182" s="22">
        <v>172</v>
      </c>
      <c r="S182" s="22">
        <v>0.76568599999999998</v>
      </c>
      <c r="T182">
        <f t="shared" si="26"/>
        <v>16.790800000000001</v>
      </c>
      <c r="U182">
        <f t="shared" si="27"/>
        <v>12.864170675200002</v>
      </c>
      <c r="X182" s="9"/>
      <c r="Y182" s="22">
        <v>0.93383799999999995</v>
      </c>
      <c r="Z182" s="22">
        <v>219.35499999999999</v>
      </c>
      <c r="AA182" s="22">
        <v>-1.6677899999999999E-2</v>
      </c>
      <c r="AB182" s="22">
        <v>172</v>
      </c>
      <c r="AC182" s="22">
        <v>0.93322799999999995</v>
      </c>
      <c r="AD182">
        <f t="shared" si="28"/>
        <v>16.677899999999998</v>
      </c>
      <c r="AE182">
        <f t="shared" si="29"/>
        <v>15.574456780199997</v>
      </c>
      <c r="AF182" s="9"/>
      <c r="AG182" s="22">
        <v>0.76614400000000005</v>
      </c>
      <c r="AH182" s="22">
        <v>351.68799999999999</v>
      </c>
      <c r="AI182" s="22">
        <v>-1.6760299999999999E-2</v>
      </c>
      <c r="AJ182" s="22">
        <v>172</v>
      </c>
      <c r="AK182" s="22">
        <v>0.76477099999999998</v>
      </c>
      <c r="AL182">
        <f t="shared" si="30"/>
        <v>16.760299999999997</v>
      </c>
      <c r="AM182">
        <f t="shared" si="31"/>
        <v>12.840803283199998</v>
      </c>
      <c r="AP182" s="9"/>
      <c r="AQ182" s="22">
        <v>0.93383799999999995</v>
      </c>
      <c r="AR182" s="22">
        <v>420.77800000000002</v>
      </c>
      <c r="AS182" s="22">
        <v>-1.66473E-2</v>
      </c>
      <c r="AT182" s="22">
        <v>172</v>
      </c>
      <c r="AU182" s="22">
        <v>0.93261700000000003</v>
      </c>
      <c r="AV182">
        <f t="shared" si="32"/>
        <v>16.647300000000001</v>
      </c>
      <c r="AW182">
        <f t="shared" si="33"/>
        <v>15.545881337400001</v>
      </c>
      <c r="AX182" s="9"/>
      <c r="AY182" s="22">
        <v>0.76614400000000005</v>
      </c>
      <c r="AZ182" s="22">
        <v>481.61099999999999</v>
      </c>
      <c r="BA182" s="22">
        <v>-1.67297E-2</v>
      </c>
      <c r="BB182" s="22">
        <v>172</v>
      </c>
      <c r="BC182" s="22">
        <v>0.76538099999999998</v>
      </c>
      <c r="BD182">
        <f t="shared" si="34"/>
        <v>16.729700000000001</v>
      </c>
      <c r="BE182">
        <f t="shared" si="35"/>
        <v>12.817359276800001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44.942900000000002</v>
      </c>
      <c r="I183" s="22">
        <v>7.6315300000000003E-2</v>
      </c>
      <c r="J183" s="22">
        <v>173</v>
      </c>
      <c r="K183" s="22">
        <v>7.9925499999999997E-2</v>
      </c>
      <c r="L183">
        <f t="shared" si="24"/>
        <v>-76.315300000000008</v>
      </c>
      <c r="M183">
        <f t="shared" si="25"/>
        <v>-70.881803270600003</v>
      </c>
      <c r="N183" s="9"/>
      <c r="O183" s="22">
        <v>0.77117899999999995</v>
      </c>
      <c r="P183" s="22">
        <v>155.87</v>
      </c>
      <c r="Q183" s="22">
        <v>-1.6787699999999999E-2</v>
      </c>
      <c r="R183" s="22">
        <v>173</v>
      </c>
      <c r="S183" s="22">
        <v>0.76995800000000003</v>
      </c>
      <c r="T183">
        <f t="shared" si="26"/>
        <v>16.787699999999997</v>
      </c>
      <c r="U183">
        <f t="shared" si="27"/>
        <v>12.946321698299997</v>
      </c>
      <c r="X183" s="9"/>
      <c r="Y183" s="22">
        <v>0.92880200000000002</v>
      </c>
      <c r="Z183" s="22">
        <v>219.45599999999999</v>
      </c>
      <c r="AA183" s="22">
        <v>-1.6677899999999999E-2</v>
      </c>
      <c r="AB183" s="22">
        <v>173</v>
      </c>
      <c r="AC183" s="22">
        <v>0.92773399999999995</v>
      </c>
      <c r="AD183">
        <f t="shared" si="28"/>
        <v>16.677899999999998</v>
      </c>
      <c r="AE183">
        <f t="shared" si="29"/>
        <v>15.490466875799997</v>
      </c>
      <c r="AF183" s="9"/>
      <c r="AG183" s="22">
        <v>0.77117899999999995</v>
      </c>
      <c r="AH183" s="22">
        <v>351.78899999999999</v>
      </c>
      <c r="AI183" s="22">
        <v>-1.6751100000000001E-2</v>
      </c>
      <c r="AJ183" s="22">
        <v>173</v>
      </c>
      <c r="AK183" s="22">
        <v>0.77026399999999995</v>
      </c>
      <c r="AL183">
        <f t="shared" si="30"/>
        <v>16.751100000000001</v>
      </c>
      <c r="AM183">
        <f t="shared" si="31"/>
        <v>12.918096546899999</v>
      </c>
      <c r="AP183" s="9"/>
      <c r="AQ183" s="22">
        <v>0.92880200000000002</v>
      </c>
      <c r="AR183" s="22">
        <v>420.87900000000002</v>
      </c>
      <c r="AS183" s="22">
        <v>-1.6650399999999999E-2</v>
      </c>
      <c r="AT183" s="22">
        <v>173</v>
      </c>
      <c r="AU183" s="22">
        <v>0.92803999999999998</v>
      </c>
      <c r="AV183">
        <f t="shared" si="32"/>
        <v>16.650399999999998</v>
      </c>
      <c r="AW183">
        <f t="shared" si="33"/>
        <v>15.464924820799999</v>
      </c>
      <c r="AX183" s="9"/>
      <c r="AY183" s="22">
        <v>0.77117899999999995</v>
      </c>
      <c r="AZ183" s="22">
        <v>481.71199999999999</v>
      </c>
      <c r="BA183" s="22">
        <v>-1.6732799999999999E-2</v>
      </c>
      <c r="BB183" s="22">
        <v>173</v>
      </c>
      <c r="BC183" s="22">
        <v>0.77026399999999995</v>
      </c>
      <c r="BD183">
        <f t="shared" si="34"/>
        <v>16.732799999999997</v>
      </c>
      <c r="BE183">
        <f t="shared" si="35"/>
        <v>12.903983971199997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45.043599999999998</v>
      </c>
      <c r="I184" s="22">
        <v>7.6434299999999997E-2</v>
      </c>
      <c r="J184" s="22">
        <v>174</v>
      </c>
      <c r="K184" s="22">
        <v>7.9986600000000005E-2</v>
      </c>
      <c r="L184">
        <f t="shared" si="24"/>
        <v>-76.434299999999993</v>
      </c>
      <c r="M184">
        <f t="shared" si="25"/>
        <v>-70.607484008099988</v>
      </c>
      <c r="N184" s="9"/>
      <c r="O184" s="22">
        <v>0.77621499999999999</v>
      </c>
      <c r="P184" s="22">
        <v>155.97</v>
      </c>
      <c r="Q184" s="22">
        <v>-1.67847E-2</v>
      </c>
      <c r="R184" s="22">
        <v>174</v>
      </c>
      <c r="S184" s="22">
        <v>0.774841</v>
      </c>
      <c r="T184">
        <f t="shared" si="26"/>
        <v>16.784700000000001</v>
      </c>
      <c r="U184">
        <f t="shared" si="27"/>
        <v>13.0285359105</v>
      </c>
      <c r="X184" s="9"/>
      <c r="Y184" s="22">
        <v>0.923767</v>
      </c>
      <c r="Z184" s="22">
        <v>219.55600000000001</v>
      </c>
      <c r="AA184" s="22">
        <v>-1.6677899999999999E-2</v>
      </c>
      <c r="AB184" s="22">
        <v>174</v>
      </c>
      <c r="AC184" s="22">
        <v>0.92315700000000001</v>
      </c>
      <c r="AD184">
        <f t="shared" si="28"/>
        <v>16.677899999999998</v>
      </c>
      <c r="AE184">
        <f t="shared" si="29"/>
        <v>15.406493649299998</v>
      </c>
      <c r="AF184" s="9"/>
      <c r="AG184" s="22">
        <v>0.77621499999999999</v>
      </c>
      <c r="AH184" s="22">
        <v>351.89</v>
      </c>
      <c r="AI184" s="22">
        <v>-1.6751100000000001E-2</v>
      </c>
      <c r="AJ184" s="22">
        <v>174</v>
      </c>
      <c r="AK184" s="22">
        <v>0.774841</v>
      </c>
      <c r="AL184">
        <f t="shared" si="30"/>
        <v>16.751100000000001</v>
      </c>
      <c r="AM184">
        <f t="shared" si="31"/>
        <v>13.002455086500001</v>
      </c>
      <c r="AP184" s="9"/>
      <c r="AQ184" s="22">
        <v>0.923767</v>
      </c>
      <c r="AR184" s="22">
        <v>420.98</v>
      </c>
      <c r="AS184" s="22">
        <v>-1.6653399999999999E-2</v>
      </c>
      <c r="AT184" s="22">
        <v>174</v>
      </c>
      <c r="AU184" s="22">
        <v>0.92254599999999998</v>
      </c>
      <c r="AV184">
        <f t="shared" si="32"/>
        <v>16.653399999999998</v>
      </c>
      <c r="AW184">
        <f t="shared" si="33"/>
        <v>15.383861357799997</v>
      </c>
      <c r="AX184" s="9"/>
      <c r="AY184" s="22">
        <v>0.77621499999999999</v>
      </c>
      <c r="AZ184" s="22">
        <v>481.81299999999999</v>
      </c>
      <c r="BA184" s="22">
        <v>-1.67297E-2</v>
      </c>
      <c r="BB184" s="22">
        <v>174</v>
      </c>
      <c r="BC184" s="22">
        <v>0.77545200000000003</v>
      </c>
      <c r="BD184">
        <f t="shared" si="34"/>
        <v>16.729700000000001</v>
      </c>
      <c r="BE184">
        <f t="shared" si="35"/>
        <v>12.9858440855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45.144300000000001</v>
      </c>
      <c r="I185" s="22">
        <v>7.6300000000000007E-2</v>
      </c>
      <c r="J185" s="22">
        <v>175</v>
      </c>
      <c r="K185" s="22">
        <v>7.9986600000000005E-2</v>
      </c>
      <c r="L185">
        <f t="shared" si="24"/>
        <v>-76.300000000000011</v>
      </c>
      <c r="M185">
        <f t="shared" si="25"/>
        <v>-70.099251600000017</v>
      </c>
      <c r="N185" s="9"/>
      <c r="O185" s="22">
        <v>0.78125</v>
      </c>
      <c r="P185" s="22">
        <v>156.071</v>
      </c>
      <c r="Q185" s="22">
        <v>-1.6778600000000001E-2</v>
      </c>
      <c r="R185" s="22">
        <v>175</v>
      </c>
      <c r="S185" s="22">
        <v>0.78033399999999997</v>
      </c>
      <c r="T185">
        <f t="shared" si="26"/>
        <v>16.778600000000001</v>
      </c>
      <c r="U185">
        <f t="shared" si="27"/>
        <v>13.108281250000001</v>
      </c>
      <c r="X185" s="9"/>
      <c r="Y185" s="22">
        <v>0.91873199999999999</v>
      </c>
      <c r="Z185" s="22">
        <v>219.65700000000001</v>
      </c>
      <c r="AA185" s="22">
        <v>-1.6684000000000001E-2</v>
      </c>
      <c r="AB185" s="22">
        <v>175</v>
      </c>
      <c r="AC185" s="22">
        <v>0.91766400000000004</v>
      </c>
      <c r="AD185">
        <f t="shared" si="28"/>
        <v>16.684000000000001</v>
      </c>
      <c r="AE185">
        <f t="shared" si="29"/>
        <v>15.328124688000001</v>
      </c>
      <c r="AF185" s="9"/>
      <c r="AG185" s="22">
        <v>0.78125</v>
      </c>
      <c r="AH185" s="22">
        <v>351.99</v>
      </c>
      <c r="AI185" s="22">
        <v>-1.67542E-2</v>
      </c>
      <c r="AJ185" s="22">
        <v>175</v>
      </c>
      <c r="AK185" s="22">
        <v>0.78033399999999997</v>
      </c>
      <c r="AL185">
        <f t="shared" si="30"/>
        <v>16.754200000000001</v>
      </c>
      <c r="AM185">
        <f t="shared" si="31"/>
        <v>13.089218750000001</v>
      </c>
      <c r="AP185" s="9"/>
      <c r="AQ185" s="22">
        <v>0.91873199999999999</v>
      </c>
      <c r="AR185" s="22">
        <v>421.08100000000002</v>
      </c>
      <c r="AS185" s="22">
        <v>-1.6653399999999999E-2</v>
      </c>
      <c r="AT185" s="22">
        <v>175</v>
      </c>
      <c r="AU185" s="22">
        <v>0.91796900000000003</v>
      </c>
      <c r="AV185">
        <f t="shared" si="32"/>
        <v>16.653399999999998</v>
      </c>
      <c r="AW185">
        <f t="shared" si="33"/>
        <v>15.300011488799997</v>
      </c>
      <c r="AX185" s="9"/>
      <c r="AY185" s="22">
        <v>0.78125</v>
      </c>
      <c r="AZ185" s="22">
        <v>481.91300000000001</v>
      </c>
      <c r="BA185" s="22">
        <v>-1.67297E-2</v>
      </c>
      <c r="BB185" s="22">
        <v>175</v>
      </c>
      <c r="BC185" s="22">
        <v>0.78064</v>
      </c>
      <c r="BD185">
        <f t="shared" si="34"/>
        <v>16.729700000000001</v>
      </c>
      <c r="BE185">
        <f t="shared" si="35"/>
        <v>13.070078125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45.244999999999997</v>
      </c>
      <c r="I186" s="22">
        <v>7.6119999999999993E-2</v>
      </c>
      <c r="J186" s="22">
        <v>176</v>
      </c>
      <c r="K186" s="22">
        <v>7.9986600000000005E-2</v>
      </c>
      <c r="L186">
        <f t="shared" si="24"/>
        <v>-76.11999999999999</v>
      </c>
      <c r="M186">
        <f t="shared" si="25"/>
        <v>-69.550539519999987</v>
      </c>
      <c r="N186" s="9"/>
      <c r="O186" s="22">
        <v>0.78628500000000001</v>
      </c>
      <c r="P186" s="22">
        <v>156.172</v>
      </c>
      <c r="Q186" s="22">
        <v>-1.6775499999999999E-2</v>
      </c>
      <c r="R186" s="22">
        <v>176</v>
      </c>
      <c r="S186" s="22">
        <v>0.78552200000000005</v>
      </c>
      <c r="T186">
        <f t="shared" si="26"/>
        <v>16.775499999999997</v>
      </c>
      <c r="U186">
        <f t="shared" si="27"/>
        <v>13.190324017499998</v>
      </c>
      <c r="X186" s="9"/>
      <c r="Y186" s="22">
        <v>0.91369599999999995</v>
      </c>
      <c r="Z186" s="22">
        <v>219.75800000000001</v>
      </c>
      <c r="AA186" s="22">
        <v>-1.6680899999999999E-2</v>
      </c>
      <c r="AB186" s="22">
        <v>176</v>
      </c>
      <c r="AC186" s="22">
        <v>0.91217000000000004</v>
      </c>
      <c r="AD186">
        <f t="shared" si="28"/>
        <v>16.680899999999998</v>
      </c>
      <c r="AE186">
        <f t="shared" si="29"/>
        <v>15.241271606399996</v>
      </c>
      <c r="AF186" s="9"/>
      <c r="AG186" s="22">
        <v>0.78628500000000001</v>
      </c>
      <c r="AH186" s="22">
        <v>352.09100000000001</v>
      </c>
      <c r="AI186" s="22">
        <v>-1.6744999999999999E-2</v>
      </c>
      <c r="AJ186" s="22">
        <v>176</v>
      </c>
      <c r="AK186" s="22">
        <v>0.78552200000000005</v>
      </c>
      <c r="AL186">
        <f t="shared" si="30"/>
        <v>16.745000000000001</v>
      </c>
      <c r="AM186">
        <f t="shared" si="31"/>
        <v>13.166342325</v>
      </c>
      <c r="AP186" s="9"/>
      <c r="AQ186" s="22">
        <v>0.91369599999999995</v>
      </c>
      <c r="AR186" s="22">
        <v>421.18099999999998</v>
      </c>
      <c r="AS186" s="22">
        <v>-1.6656500000000001E-2</v>
      </c>
      <c r="AT186" s="22">
        <v>176</v>
      </c>
      <c r="AU186" s="22">
        <v>0.91278099999999995</v>
      </c>
      <c r="AV186">
        <f t="shared" si="32"/>
        <v>16.656500000000001</v>
      </c>
      <c r="AW186">
        <f t="shared" si="33"/>
        <v>15.218977424</v>
      </c>
      <c r="AX186" s="9"/>
      <c r="AY186" s="22">
        <v>0.78628500000000001</v>
      </c>
      <c r="AZ186" s="22">
        <v>482.01400000000001</v>
      </c>
      <c r="BA186" s="22">
        <v>-1.6720599999999999E-2</v>
      </c>
      <c r="BB186" s="22">
        <v>176</v>
      </c>
      <c r="BC186" s="22">
        <v>0.78552200000000005</v>
      </c>
      <c r="BD186">
        <f t="shared" si="34"/>
        <v>16.720599999999997</v>
      </c>
      <c r="BE186">
        <f t="shared" si="35"/>
        <v>13.147156970999998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45.345700000000001</v>
      </c>
      <c r="I187" s="22">
        <v>7.6092499999999993E-2</v>
      </c>
      <c r="J187" s="22">
        <v>177</v>
      </c>
      <c r="K187" s="22">
        <v>7.9894999999999994E-2</v>
      </c>
      <c r="L187">
        <f t="shared" si="24"/>
        <v>-76.092499999999987</v>
      </c>
      <c r="M187">
        <f t="shared" si="25"/>
        <v>-69.142287142499995</v>
      </c>
      <c r="N187" s="9"/>
      <c r="O187" s="22">
        <v>0.79132100000000005</v>
      </c>
      <c r="P187" s="22">
        <v>156.273</v>
      </c>
      <c r="Q187" s="22">
        <v>-1.6778600000000001E-2</v>
      </c>
      <c r="R187" s="22">
        <v>177</v>
      </c>
      <c r="S187" s="22">
        <v>0.79040500000000002</v>
      </c>
      <c r="T187">
        <f t="shared" si="26"/>
        <v>16.778600000000001</v>
      </c>
      <c r="U187">
        <f t="shared" si="27"/>
        <v>13.277258530600001</v>
      </c>
      <c r="X187" s="9"/>
      <c r="Y187" s="22">
        <v>0.90866100000000005</v>
      </c>
      <c r="Z187" s="22">
        <v>219.85900000000001</v>
      </c>
      <c r="AA187" s="22">
        <v>-1.6693099999999999E-2</v>
      </c>
      <c r="AB187" s="22">
        <v>177</v>
      </c>
      <c r="AC187" s="22">
        <v>0.90820299999999998</v>
      </c>
      <c r="AD187">
        <f t="shared" si="28"/>
        <v>16.693099999999998</v>
      </c>
      <c r="AE187">
        <f t="shared" si="29"/>
        <v>15.168368939099999</v>
      </c>
      <c r="AF187" s="9"/>
      <c r="AG187" s="22">
        <v>0.79132100000000005</v>
      </c>
      <c r="AH187" s="22">
        <v>352.19200000000001</v>
      </c>
      <c r="AI187" s="22">
        <v>-1.6744999999999999E-2</v>
      </c>
      <c r="AJ187" s="22">
        <v>177</v>
      </c>
      <c r="AK187" s="22">
        <v>0.79101600000000005</v>
      </c>
      <c r="AL187">
        <f t="shared" si="30"/>
        <v>16.745000000000001</v>
      </c>
      <c r="AM187">
        <f t="shared" si="31"/>
        <v>13.250670145000001</v>
      </c>
      <c r="AP187" s="9"/>
      <c r="AQ187" s="22">
        <v>0.90866100000000005</v>
      </c>
      <c r="AR187" s="22">
        <v>421.28199999999998</v>
      </c>
      <c r="AS187" s="22">
        <v>-1.6656500000000001E-2</v>
      </c>
      <c r="AT187" s="22">
        <v>177</v>
      </c>
      <c r="AU187" s="22">
        <v>0.90759299999999998</v>
      </c>
      <c r="AV187">
        <f t="shared" si="32"/>
        <v>16.656500000000001</v>
      </c>
      <c r="AW187">
        <f t="shared" si="33"/>
        <v>15.135111946500002</v>
      </c>
      <c r="AX187" s="9"/>
      <c r="AY187" s="22">
        <v>0.79132100000000005</v>
      </c>
      <c r="AZ187" s="22">
        <v>482.11500000000001</v>
      </c>
      <c r="BA187" s="22">
        <v>-1.67145E-2</v>
      </c>
      <c r="BB187" s="22">
        <v>177</v>
      </c>
      <c r="BC187" s="22">
        <v>0.79040500000000002</v>
      </c>
      <c r="BD187">
        <f t="shared" si="34"/>
        <v>16.714500000000001</v>
      </c>
      <c r="BE187">
        <f t="shared" si="35"/>
        <v>13.226534854500002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45.446399999999997</v>
      </c>
      <c r="I188" s="22">
        <v>7.6049800000000001E-2</v>
      </c>
      <c r="J188" s="22">
        <v>178</v>
      </c>
      <c r="K188" s="22">
        <v>7.9986600000000005E-2</v>
      </c>
      <c r="L188">
        <f t="shared" si="24"/>
        <v>-76.049800000000005</v>
      </c>
      <c r="M188">
        <f t="shared" si="25"/>
        <v>-68.720500525000006</v>
      </c>
      <c r="N188" s="9"/>
      <c r="O188" s="22">
        <v>0.79635599999999995</v>
      </c>
      <c r="P188" s="22">
        <v>156.37299999999999</v>
      </c>
      <c r="Q188" s="22">
        <v>-1.6775499999999999E-2</v>
      </c>
      <c r="R188" s="22">
        <v>178</v>
      </c>
      <c r="S188" s="22">
        <v>0.794983</v>
      </c>
      <c r="T188">
        <f t="shared" si="26"/>
        <v>16.775499999999997</v>
      </c>
      <c r="U188">
        <f t="shared" si="27"/>
        <v>13.359270077999998</v>
      </c>
      <c r="X188" s="9"/>
      <c r="Y188" s="22">
        <v>0.90362500000000001</v>
      </c>
      <c r="Z188" s="22">
        <v>219.959</v>
      </c>
      <c r="AA188" s="22">
        <v>-1.67023E-2</v>
      </c>
      <c r="AB188" s="22">
        <v>178</v>
      </c>
      <c r="AC188" s="22">
        <v>0.90271000000000001</v>
      </c>
      <c r="AD188">
        <f t="shared" si="28"/>
        <v>16.702300000000001</v>
      </c>
      <c r="AE188">
        <f t="shared" si="29"/>
        <v>15.0926158375</v>
      </c>
      <c r="AF188" s="9"/>
      <c r="AG188" s="22">
        <v>0.79635599999999995</v>
      </c>
      <c r="AH188" s="22">
        <v>352.29300000000001</v>
      </c>
      <c r="AI188" s="22">
        <v>-1.6741900000000001E-2</v>
      </c>
      <c r="AJ188" s="22">
        <v>178</v>
      </c>
      <c r="AK188" s="22">
        <v>0.79528799999999999</v>
      </c>
      <c r="AL188">
        <f t="shared" si="30"/>
        <v>16.741900000000001</v>
      </c>
      <c r="AM188">
        <f t="shared" si="31"/>
        <v>13.3325125164</v>
      </c>
      <c r="AP188" s="9"/>
      <c r="AQ188" s="22">
        <v>0.90362500000000001</v>
      </c>
      <c r="AR188" s="22">
        <v>421.38299999999998</v>
      </c>
      <c r="AS188" s="22">
        <v>-1.66626E-2</v>
      </c>
      <c r="AT188" s="22">
        <v>178</v>
      </c>
      <c r="AU188" s="22">
        <v>0.90271000000000001</v>
      </c>
      <c r="AV188">
        <f t="shared" si="32"/>
        <v>16.662600000000001</v>
      </c>
      <c r="AW188">
        <f t="shared" si="33"/>
        <v>15.056741925000001</v>
      </c>
      <c r="AX188" s="9"/>
      <c r="AY188" s="22">
        <v>0.79635599999999995</v>
      </c>
      <c r="AZ188" s="22">
        <v>482.21600000000001</v>
      </c>
      <c r="BA188" s="22">
        <v>-1.67145E-2</v>
      </c>
      <c r="BB188" s="22">
        <v>178</v>
      </c>
      <c r="BC188" s="22">
        <v>0.79528799999999999</v>
      </c>
      <c r="BD188">
        <f t="shared" si="34"/>
        <v>16.714500000000001</v>
      </c>
      <c r="BE188">
        <f t="shared" si="35"/>
        <v>13.310692361999999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45.5471</v>
      </c>
      <c r="I189" s="22">
        <v>7.5991799999999998E-2</v>
      </c>
      <c r="J189" s="22">
        <v>179</v>
      </c>
      <c r="K189" s="22">
        <v>8.0017099999999994E-2</v>
      </c>
      <c r="L189">
        <f t="shared" si="24"/>
        <v>-75.991799999999998</v>
      </c>
      <c r="M189">
        <f t="shared" si="25"/>
        <v>-68.285471561999998</v>
      </c>
      <c r="N189" s="9"/>
      <c r="O189" s="22">
        <v>0.80139199999999999</v>
      </c>
      <c r="P189" s="22">
        <v>156.47399999999999</v>
      </c>
      <c r="Q189" s="22">
        <v>-1.6766400000000001E-2</v>
      </c>
      <c r="R189" s="22">
        <v>179</v>
      </c>
      <c r="S189" s="22">
        <v>0.80017099999999997</v>
      </c>
      <c r="T189">
        <f t="shared" si="26"/>
        <v>16.766400000000001</v>
      </c>
      <c r="U189">
        <f t="shared" si="27"/>
        <v>13.436458828800001</v>
      </c>
      <c r="X189" s="9"/>
      <c r="Y189" s="22">
        <v>0.89859</v>
      </c>
      <c r="Z189" s="22">
        <v>220.06</v>
      </c>
      <c r="AA189" s="22">
        <v>-1.67023E-2</v>
      </c>
      <c r="AB189" s="22">
        <v>179</v>
      </c>
      <c r="AC189" s="22">
        <v>0.89752200000000004</v>
      </c>
      <c r="AD189">
        <f t="shared" si="28"/>
        <v>16.702300000000001</v>
      </c>
      <c r="AE189">
        <f t="shared" si="29"/>
        <v>15.008519757</v>
      </c>
      <c r="AF189" s="9"/>
      <c r="AG189" s="22">
        <v>0.80139199999999999</v>
      </c>
      <c r="AH189" s="22">
        <v>352.39299999999997</v>
      </c>
      <c r="AI189" s="22">
        <v>-1.6735799999999999E-2</v>
      </c>
      <c r="AJ189" s="22">
        <v>179</v>
      </c>
      <c r="AK189" s="22">
        <v>0.79986599999999997</v>
      </c>
      <c r="AL189">
        <f t="shared" si="30"/>
        <v>16.735799999999998</v>
      </c>
      <c r="AM189">
        <f t="shared" si="31"/>
        <v>13.411936233599999</v>
      </c>
      <c r="AP189" s="9"/>
      <c r="AQ189" s="22">
        <v>0.89859</v>
      </c>
      <c r="AR189" s="22">
        <v>421.483</v>
      </c>
      <c r="AS189" s="22">
        <v>-1.6665599999999999E-2</v>
      </c>
      <c r="AT189" s="22">
        <v>179</v>
      </c>
      <c r="AU189" s="22">
        <v>0.89752200000000004</v>
      </c>
      <c r="AV189">
        <f t="shared" si="32"/>
        <v>16.665599999999998</v>
      </c>
      <c r="AW189">
        <f t="shared" si="33"/>
        <v>14.975541503999999</v>
      </c>
      <c r="AX189" s="9"/>
      <c r="AY189" s="22">
        <v>0.80139199999999999</v>
      </c>
      <c r="AZ189" s="22">
        <v>482.31599999999997</v>
      </c>
      <c r="BA189" s="22">
        <v>-1.6711400000000001E-2</v>
      </c>
      <c r="BB189" s="22">
        <v>179</v>
      </c>
      <c r="BC189" s="22">
        <v>0.80047599999999997</v>
      </c>
      <c r="BD189">
        <f t="shared" si="34"/>
        <v>16.711400000000001</v>
      </c>
      <c r="BE189">
        <f t="shared" si="35"/>
        <v>13.3923822688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45.647799999999997</v>
      </c>
      <c r="I190" s="22">
        <v>7.5924699999999998E-2</v>
      </c>
      <c r="J190" s="22">
        <v>180</v>
      </c>
      <c r="K190" s="22">
        <v>7.9986600000000005E-2</v>
      </c>
      <c r="L190">
        <f t="shared" si="24"/>
        <v>-75.924700000000001</v>
      </c>
      <c r="M190">
        <f t="shared" si="25"/>
        <v>-67.842895308500005</v>
      </c>
      <c r="N190" s="9"/>
      <c r="O190" s="22">
        <v>0.806427</v>
      </c>
      <c r="P190" s="22">
        <v>156.57499999999999</v>
      </c>
      <c r="Q190" s="22">
        <v>-1.6763299999999998E-2</v>
      </c>
      <c r="R190" s="22">
        <v>180</v>
      </c>
      <c r="S190" s="22">
        <v>0.80535900000000005</v>
      </c>
      <c r="T190">
        <f t="shared" si="26"/>
        <v>16.763299999999997</v>
      </c>
      <c r="U190">
        <f t="shared" si="27"/>
        <v>13.518377729099997</v>
      </c>
      <c r="X190" s="9"/>
      <c r="Y190" s="22">
        <v>0.89355499999999999</v>
      </c>
      <c r="Z190" s="22">
        <v>220.161</v>
      </c>
      <c r="AA190" s="22">
        <v>-1.6705299999999999E-2</v>
      </c>
      <c r="AB190" s="22">
        <v>180</v>
      </c>
      <c r="AC190" s="22">
        <v>0.89294399999999996</v>
      </c>
      <c r="AD190">
        <f t="shared" si="28"/>
        <v>16.705299999999998</v>
      </c>
      <c r="AE190">
        <f t="shared" si="29"/>
        <v>14.927104341499998</v>
      </c>
      <c r="AF190" s="9"/>
      <c r="AG190" s="22">
        <v>0.806427</v>
      </c>
      <c r="AH190" s="22">
        <v>352.49400000000003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0.89355499999999999</v>
      </c>
      <c r="AR190" s="22">
        <v>421.584</v>
      </c>
      <c r="AS190" s="22">
        <v>-1.6671800000000001E-2</v>
      </c>
      <c r="AT190" s="22">
        <v>180</v>
      </c>
      <c r="AU190" s="22">
        <v>0.89263899999999996</v>
      </c>
      <c r="AV190">
        <f t="shared" si="32"/>
        <v>16.671800000000001</v>
      </c>
      <c r="AW190">
        <f t="shared" si="33"/>
        <v>14.897170249</v>
      </c>
      <c r="AX190" s="9"/>
      <c r="AY190" s="22">
        <v>0.806427</v>
      </c>
      <c r="AZ190" s="22">
        <v>482.41699999999997</v>
      </c>
      <c r="BA190" s="22">
        <v>-1.67023E-2</v>
      </c>
      <c r="BB190" s="22">
        <v>180</v>
      </c>
      <c r="BC190" s="22">
        <v>0.80535900000000005</v>
      </c>
      <c r="BD190">
        <f t="shared" si="34"/>
        <v>16.702300000000001</v>
      </c>
      <c r="BE190">
        <f t="shared" si="35"/>
        <v>13.469185682100001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45.7485</v>
      </c>
      <c r="I191" s="22">
        <v>7.6016200000000006E-2</v>
      </c>
      <c r="J191" s="22">
        <v>181</v>
      </c>
      <c r="K191" s="22">
        <v>8.0047599999999997E-2</v>
      </c>
      <c r="L191">
        <f t="shared" si="24"/>
        <v>-76.016200000000012</v>
      </c>
      <c r="M191">
        <f t="shared" si="25"/>
        <v>-67.54183800780001</v>
      </c>
      <c r="N191" s="9"/>
      <c r="O191" s="22">
        <v>0.81146200000000002</v>
      </c>
      <c r="P191" s="22">
        <v>156.67500000000001</v>
      </c>
      <c r="Q191" s="22">
        <v>-1.67694E-2</v>
      </c>
      <c r="R191" s="22">
        <v>181</v>
      </c>
      <c r="S191" s="22">
        <v>0.81024200000000002</v>
      </c>
      <c r="T191">
        <f t="shared" si="26"/>
        <v>16.769400000000001</v>
      </c>
      <c r="U191">
        <f t="shared" si="27"/>
        <v>13.6077308628</v>
      </c>
      <c r="X191" s="9"/>
      <c r="Y191" s="22">
        <v>0.88851899999999995</v>
      </c>
      <c r="Z191" s="22">
        <v>220.261</v>
      </c>
      <c r="AA191" s="22">
        <v>-1.6699200000000001E-2</v>
      </c>
      <c r="AB191" s="22">
        <v>181</v>
      </c>
      <c r="AC191" s="22">
        <v>0.88775599999999999</v>
      </c>
      <c r="AD191">
        <f t="shared" si="28"/>
        <v>16.699200000000001</v>
      </c>
      <c r="AE191">
        <f t="shared" si="29"/>
        <v>14.8375564848</v>
      </c>
      <c r="AF191" s="9"/>
      <c r="AG191" s="22">
        <v>0.81146200000000002</v>
      </c>
      <c r="AH191" s="22">
        <v>352.59500000000003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0.88851899999999995</v>
      </c>
      <c r="AR191" s="22">
        <v>421.685</v>
      </c>
      <c r="AS191" s="22">
        <v>-1.66748E-2</v>
      </c>
      <c r="AT191" s="22">
        <v>181</v>
      </c>
      <c r="AU191" s="22">
        <v>0.88745099999999999</v>
      </c>
      <c r="AV191">
        <f t="shared" si="32"/>
        <v>16.674800000000001</v>
      </c>
      <c r="AW191">
        <f t="shared" si="33"/>
        <v>14.815876621200001</v>
      </c>
      <c r="AX191" s="9"/>
      <c r="AY191" s="22">
        <v>0.81146200000000002</v>
      </c>
      <c r="AZ191" s="22">
        <v>482.51799999999997</v>
      </c>
      <c r="BA191" s="22">
        <v>-1.67023E-2</v>
      </c>
      <c r="BB191" s="22">
        <v>181</v>
      </c>
      <c r="BC191" s="22">
        <v>0.81085200000000002</v>
      </c>
      <c r="BD191">
        <f t="shared" si="34"/>
        <v>16.702300000000001</v>
      </c>
      <c r="BE191">
        <f t="shared" si="35"/>
        <v>13.553281762600001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45.849200000000003</v>
      </c>
      <c r="I192" s="22">
        <v>7.5936900000000002E-2</v>
      </c>
      <c r="J192" s="22">
        <v>182</v>
      </c>
      <c r="K192" s="22">
        <v>8.0047599999999997E-2</v>
      </c>
      <c r="L192">
        <f t="shared" si="24"/>
        <v>-75.936900000000009</v>
      </c>
      <c r="M192">
        <f t="shared" si="25"/>
        <v>-67.089036159600013</v>
      </c>
      <c r="N192" s="9"/>
      <c r="O192" s="22">
        <v>0.81649799999999995</v>
      </c>
      <c r="P192" s="22">
        <v>156.77600000000001</v>
      </c>
      <c r="Q192" s="22">
        <v>-1.6766400000000001E-2</v>
      </c>
      <c r="R192" s="22">
        <v>182</v>
      </c>
      <c r="S192" s="22">
        <v>0.81542999999999999</v>
      </c>
      <c r="T192">
        <f t="shared" si="26"/>
        <v>16.766400000000001</v>
      </c>
      <c r="U192">
        <f t="shared" si="27"/>
        <v>13.6897320672</v>
      </c>
      <c r="X192" s="9"/>
      <c r="Y192" s="22">
        <v>0.88348400000000005</v>
      </c>
      <c r="Z192" s="22">
        <v>220.36199999999999</v>
      </c>
      <c r="AA192" s="22">
        <v>-1.67023E-2</v>
      </c>
      <c r="AB192" s="22">
        <v>182</v>
      </c>
      <c r="AC192" s="22">
        <v>0.88226300000000002</v>
      </c>
      <c r="AD192">
        <f t="shared" si="28"/>
        <v>16.702300000000001</v>
      </c>
      <c r="AE192">
        <f t="shared" si="29"/>
        <v>14.756214813200002</v>
      </c>
      <c r="AF192" s="9"/>
      <c r="AG192" s="22">
        <v>0.81649799999999995</v>
      </c>
      <c r="AH192" s="22">
        <v>352.69499999999999</v>
      </c>
      <c r="AI192" s="22">
        <v>-1.6726700000000001E-2</v>
      </c>
      <c r="AJ192" s="22">
        <v>182</v>
      </c>
      <c r="AK192" s="22">
        <v>0.81512499999999999</v>
      </c>
      <c r="AL192">
        <f t="shared" si="30"/>
        <v>16.726700000000001</v>
      </c>
      <c r="AM192">
        <f t="shared" si="31"/>
        <v>13.6573170966</v>
      </c>
      <c r="AP192" s="9"/>
      <c r="AQ192" s="22">
        <v>0.88348400000000005</v>
      </c>
      <c r="AR192" s="22">
        <v>421.78500000000003</v>
      </c>
      <c r="AS192" s="22">
        <v>-1.6680899999999999E-2</v>
      </c>
      <c r="AT192" s="22">
        <v>182</v>
      </c>
      <c r="AU192" s="22">
        <v>0.88256800000000002</v>
      </c>
      <c r="AV192">
        <f t="shared" si="32"/>
        <v>16.680899999999998</v>
      </c>
      <c r="AW192">
        <f t="shared" si="33"/>
        <v>14.737308255599999</v>
      </c>
      <c r="AX192" s="9"/>
      <c r="AY192" s="22">
        <v>0.81649799999999995</v>
      </c>
      <c r="AZ192" s="22">
        <v>482.61799999999999</v>
      </c>
      <c r="BA192" s="22">
        <v>-1.6699200000000001E-2</v>
      </c>
      <c r="BB192" s="22">
        <v>182</v>
      </c>
      <c r="BC192" s="22">
        <v>0.81542999999999999</v>
      </c>
      <c r="BD192">
        <f t="shared" si="34"/>
        <v>16.699200000000001</v>
      </c>
      <c r="BE192">
        <f t="shared" si="35"/>
        <v>13.634863401600001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45.9499</v>
      </c>
      <c r="I193" s="22">
        <v>7.6010099999999997E-2</v>
      </c>
      <c r="J193" s="22">
        <v>183</v>
      </c>
      <c r="K193" s="22">
        <v>8.0017099999999994E-2</v>
      </c>
      <c r="L193">
        <f t="shared" si="24"/>
        <v>-76.010099999999994</v>
      </c>
      <c r="M193">
        <f t="shared" si="25"/>
        <v>-66.770920324800002</v>
      </c>
      <c r="N193" s="9"/>
      <c r="O193" s="22">
        <v>0.82153299999999996</v>
      </c>
      <c r="P193" s="22">
        <v>156.87700000000001</v>
      </c>
      <c r="Q193" s="22">
        <v>-1.6763299999999998E-2</v>
      </c>
      <c r="R193" s="22">
        <v>183</v>
      </c>
      <c r="S193" s="22">
        <v>0.82092299999999996</v>
      </c>
      <c r="T193">
        <f t="shared" si="26"/>
        <v>16.763299999999997</v>
      </c>
      <c r="U193">
        <f t="shared" si="27"/>
        <v>13.771604138899997</v>
      </c>
      <c r="X193" s="9"/>
      <c r="Y193" s="22">
        <v>0.87844800000000001</v>
      </c>
      <c r="Z193" s="22">
        <v>220.46299999999999</v>
      </c>
      <c r="AA193" s="22">
        <v>-1.6708400000000002E-2</v>
      </c>
      <c r="AB193" s="22">
        <v>183</v>
      </c>
      <c r="AC193" s="22">
        <v>0.87707500000000005</v>
      </c>
      <c r="AD193">
        <f t="shared" si="28"/>
        <v>16.708400000000001</v>
      </c>
      <c r="AE193">
        <f t="shared" si="29"/>
        <v>14.6774605632</v>
      </c>
      <c r="AF193" s="9"/>
      <c r="AG193" s="22">
        <v>0.82153299999999996</v>
      </c>
      <c r="AH193" s="22">
        <v>352.79599999999999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0.87844800000000001</v>
      </c>
      <c r="AR193" s="22">
        <v>421.88600000000002</v>
      </c>
      <c r="AS193" s="22">
        <v>-1.6687E-2</v>
      </c>
      <c r="AT193" s="22">
        <v>183</v>
      </c>
      <c r="AU193" s="22">
        <v>0.87707500000000005</v>
      </c>
      <c r="AV193">
        <f t="shared" si="32"/>
        <v>16.687000000000001</v>
      </c>
      <c r="AW193">
        <f t="shared" si="33"/>
        <v>14.658661776000001</v>
      </c>
      <c r="AX193" s="9"/>
      <c r="AY193" s="22">
        <v>0.82153299999999996</v>
      </c>
      <c r="AZ193" s="22">
        <v>482.71899999999999</v>
      </c>
      <c r="BA193" s="22">
        <v>-1.6693099999999999E-2</v>
      </c>
      <c r="BB193" s="22">
        <v>183</v>
      </c>
      <c r="BC193" s="22">
        <v>0.82092299999999996</v>
      </c>
      <c r="BD193">
        <f t="shared" si="34"/>
        <v>16.693099999999998</v>
      </c>
      <c r="BE193">
        <f t="shared" si="35"/>
        <v>13.713932522299997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46.050600000000003</v>
      </c>
      <c r="I194" s="22">
        <v>7.6104699999999997E-2</v>
      </c>
      <c r="J194" s="22">
        <v>184</v>
      </c>
      <c r="K194" s="22">
        <v>8.0017099999999994E-2</v>
      </c>
      <c r="L194">
        <f t="shared" si="24"/>
        <v>-76.104699999999994</v>
      </c>
      <c r="M194">
        <f t="shared" si="25"/>
        <v>-66.470834341099987</v>
      </c>
      <c r="N194" s="9"/>
      <c r="O194" s="22">
        <v>0.826569</v>
      </c>
      <c r="P194" s="22">
        <v>156.97800000000001</v>
      </c>
      <c r="Q194" s="22">
        <v>-1.6763299999999998E-2</v>
      </c>
      <c r="R194" s="22">
        <v>184</v>
      </c>
      <c r="S194" s="22">
        <v>0.82580600000000004</v>
      </c>
      <c r="T194">
        <f t="shared" si="26"/>
        <v>16.763299999999997</v>
      </c>
      <c r="U194">
        <f t="shared" si="27"/>
        <v>13.856024117699997</v>
      </c>
      <c r="X194" s="9"/>
      <c r="Y194" s="22">
        <v>0.87341299999999999</v>
      </c>
      <c r="Z194" s="22">
        <v>220.56399999999999</v>
      </c>
      <c r="AA194" s="22">
        <v>-1.6711400000000001E-2</v>
      </c>
      <c r="AB194" s="22">
        <v>184</v>
      </c>
      <c r="AC194" s="22">
        <v>0.87219199999999997</v>
      </c>
      <c r="AD194">
        <f t="shared" si="28"/>
        <v>16.711400000000001</v>
      </c>
      <c r="AE194">
        <f t="shared" si="29"/>
        <v>14.595954008200001</v>
      </c>
      <c r="AF194" s="9"/>
      <c r="AG194" s="22">
        <v>0.826569</v>
      </c>
      <c r="AH194" s="22">
        <v>352.89699999999999</v>
      </c>
      <c r="AI194" s="22">
        <v>-1.67175E-2</v>
      </c>
      <c r="AJ194" s="22">
        <v>184</v>
      </c>
      <c r="AK194" s="22">
        <v>0.82550000000000001</v>
      </c>
      <c r="AL194">
        <f t="shared" si="30"/>
        <v>16.717500000000001</v>
      </c>
      <c r="AM194">
        <f t="shared" si="31"/>
        <v>13.818167257500001</v>
      </c>
      <c r="AP194" s="9"/>
      <c r="AQ194" s="22">
        <v>0.87341299999999999</v>
      </c>
      <c r="AR194" s="22">
        <v>421.98700000000002</v>
      </c>
      <c r="AS194" s="22">
        <v>-1.6684000000000001E-2</v>
      </c>
      <c r="AT194" s="22">
        <v>184</v>
      </c>
      <c r="AU194" s="22">
        <v>0.87188699999999997</v>
      </c>
      <c r="AV194">
        <f t="shared" si="32"/>
        <v>16.684000000000001</v>
      </c>
      <c r="AW194">
        <f t="shared" si="33"/>
        <v>14.572022492</v>
      </c>
      <c r="AX194" s="9"/>
      <c r="AY194" s="22">
        <v>0.826569</v>
      </c>
      <c r="AZ194" s="22">
        <v>482.82</v>
      </c>
      <c r="BA194" s="22">
        <v>-1.6690099999999999E-2</v>
      </c>
      <c r="BB194" s="22">
        <v>184</v>
      </c>
      <c r="BC194" s="22">
        <v>0.82550000000000001</v>
      </c>
      <c r="BD194">
        <f t="shared" si="34"/>
        <v>16.690100000000001</v>
      </c>
      <c r="BE194">
        <f t="shared" si="35"/>
        <v>13.795519266900001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46.151400000000002</v>
      </c>
      <c r="I195" s="22">
        <v>7.6913499999999996E-2</v>
      </c>
      <c r="J195" s="22">
        <v>185</v>
      </c>
      <c r="K195" s="22">
        <v>8.0078099999999999E-2</v>
      </c>
      <c r="L195">
        <f t="shared" si="24"/>
        <v>-76.913499999999999</v>
      </c>
      <c r="M195">
        <f t="shared" si="25"/>
        <v>-66.789991302999994</v>
      </c>
      <c r="N195" s="9"/>
      <c r="O195" s="22">
        <v>0.83160400000000001</v>
      </c>
      <c r="P195" s="22">
        <v>157.078</v>
      </c>
      <c r="Q195" s="22">
        <v>-1.67542E-2</v>
      </c>
      <c r="R195" s="22">
        <v>185</v>
      </c>
      <c r="S195" s="22">
        <v>0.83007799999999998</v>
      </c>
      <c r="T195">
        <f t="shared" si="26"/>
        <v>16.754200000000001</v>
      </c>
      <c r="U195">
        <f t="shared" si="27"/>
        <v>13.932859736800001</v>
      </c>
      <c r="X195" s="9"/>
      <c r="Y195" s="22">
        <v>0.86837799999999998</v>
      </c>
      <c r="Z195" s="22">
        <v>220.66399999999999</v>
      </c>
      <c r="AA195" s="22">
        <v>-1.6711400000000001E-2</v>
      </c>
      <c r="AB195" s="22">
        <v>185</v>
      </c>
      <c r="AC195" s="22">
        <v>0.86731000000000003</v>
      </c>
      <c r="AD195">
        <f t="shared" si="28"/>
        <v>16.711400000000001</v>
      </c>
      <c r="AE195">
        <f t="shared" si="29"/>
        <v>14.511812109200001</v>
      </c>
      <c r="AF195" s="9"/>
      <c r="AG195" s="22">
        <v>0.83160400000000001</v>
      </c>
      <c r="AH195" s="22">
        <v>352.99799999999999</v>
      </c>
      <c r="AI195" s="22">
        <v>-1.67175E-2</v>
      </c>
      <c r="AJ195" s="22">
        <v>185</v>
      </c>
      <c r="AK195" s="22">
        <v>0.83068799999999998</v>
      </c>
      <c r="AL195">
        <f t="shared" si="30"/>
        <v>16.717500000000001</v>
      </c>
      <c r="AM195">
        <f t="shared" si="31"/>
        <v>13.90233987</v>
      </c>
      <c r="AP195" s="9"/>
      <c r="AQ195" s="22">
        <v>0.86837799999999998</v>
      </c>
      <c r="AR195" s="22">
        <v>422.08800000000002</v>
      </c>
      <c r="AS195" s="22">
        <v>-1.6680899999999999E-2</v>
      </c>
      <c r="AT195" s="22">
        <v>185</v>
      </c>
      <c r="AU195" s="22">
        <v>0.867004</v>
      </c>
      <c r="AV195">
        <f t="shared" si="32"/>
        <v>16.680899999999998</v>
      </c>
      <c r="AW195">
        <f t="shared" si="33"/>
        <v>14.485326580199997</v>
      </c>
      <c r="AX195" s="9"/>
      <c r="AY195" s="22">
        <v>0.83160400000000001</v>
      </c>
      <c r="AZ195" s="22">
        <v>482.92099999999999</v>
      </c>
      <c r="BA195" s="22">
        <v>-1.6690099999999999E-2</v>
      </c>
      <c r="BB195" s="22">
        <v>185</v>
      </c>
      <c r="BC195" s="22">
        <v>0.83068799999999998</v>
      </c>
      <c r="BD195">
        <f t="shared" si="34"/>
        <v>16.690100000000001</v>
      </c>
      <c r="BE195">
        <f t="shared" si="35"/>
        <v>13.879553920400001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46.252099999999999</v>
      </c>
      <c r="I196" s="22">
        <v>7.6171900000000001E-2</v>
      </c>
      <c r="J196" s="22">
        <v>186</v>
      </c>
      <c r="K196" s="22">
        <v>8.0047599999999997E-2</v>
      </c>
      <c r="L196">
        <f t="shared" si="24"/>
        <v>-76.171899999999994</v>
      </c>
      <c r="M196">
        <f t="shared" si="25"/>
        <v>-65.762400489800001</v>
      </c>
      <c r="N196" s="9"/>
      <c r="O196" s="22">
        <v>0.83663900000000002</v>
      </c>
      <c r="P196" s="22">
        <v>157.179</v>
      </c>
      <c r="Q196" s="22">
        <v>-1.6751100000000001E-2</v>
      </c>
      <c r="R196" s="22">
        <v>186</v>
      </c>
      <c r="S196" s="22">
        <v>0.83557099999999995</v>
      </c>
      <c r="T196">
        <f t="shared" si="26"/>
        <v>16.751100000000001</v>
      </c>
      <c r="U196">
        <f t="shared" si="27"/>
        <v>14.014623552900002</v>
      </c>
      <c r="X196" s="9"/>
      <c r="Y196" s="22">
        <v>0.86334200000000005</v>
      </c>
      <c r="Z196" s="22">
        <v>220.76499999999999</v>
      </c>
      <c r="AA196" s="22">
        <v>-1.6720599999999999E-2</v>
      </c>
      <c r="AB196" s="22">
        <v>186</v>
      </c>
      <c r="AC196" s="22">
        <v>0.86242700000000005</v>
      </c>
      <c r="AD196">
        <f t="shared" si="28"/>
        <v>16.720599999999997</v>
      </c>
      <c r="AE196">
        <f t="shared" si="29"/>
        <v>14.435596245199999</v>
      </c>
      <c r="AF196" s="9"/>
      <c r="AG196" s="22">
        <v>0.83663900000000002</v>
      </c>
      <c r="AH196" s="22">
        <v>353.09800000000001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0.86334200000000005</v>
      </c>
      <c r="AR196" s="22">
        <v>422.18799999999999</v>
      </c>
      <c r="AS196" s="22">
        <v>-1.6696200000000001E-2</v>
      </c>
      <c r="AT196" s="22">
        <v>186</v>
      </c>
      <c r="AU196" s="22">
        <v>0.86273200000000005</v>
      </c>
      <c r="AV196">
        <f t="shared" si="32"/>
        <v>16.696200000000001</v>
      </c>
      <c r="AW196">
        <f t="shared" si="33"/>
        <v>14.414530700400002</v>
      </c>
      <c r="AX196" s="9"/>
      <c r="AY196" s="22">
        <v>0.83663900000000002</v>
      </c>
      <c r="AZ196" s="22">
        <v>483.02100000000002</v>
      </c>
      <c r="BA196" s="22">
        <v>-1.6687E-2</v>
      </c>
      <c r="BB196" s="22">
        <v>186</v>
      </c>
      <c r="BC196" s="22">
        <v>0.83587599999999995</v>
      </c>
      <c r="BD196">
        <f t="shared" si="34"/>
        <v>16.687000000000001</v>
      </c>
      <c r="BE196">
        <f t="shared" si="35"/>
        <v>13.960994993000002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46.352800000000002</v>
      </c>
      <c r="I197" s="22">
        <v>7.5973499999999999E-2</v>
      </c>
      <c r="J197" s="22">
        <v>187</v>
      </c>
      <c r="K197" s="22">
        <v>7.9986600000000005E-2</v>
      </c>
      <c r="L197">
        <f t="shared" si="24"/>
        <v>-75.973500000000001</v>
      </c>
      <c r="M197">
        <f t="shared" si="25"/>
        <v>-65.208586864500006</v>
      </c>
      <c r="N197" s="9"/>
      <c r="O197" s="22">
        <v>0.84167499999999995</v>
      </c>
      <c r="P197" s="22">
        <v>157.28</v>
      </c>
      <c r="Q197" s="22">
        <v>-1.6744999999999999E-2</v>
      </c>
      <c r="R197" s="22">
        <v>187</v>
      </c>
      <c r="S197" s="22">
        <v>0.84045400000000003</v>
      </c>
      <c r="T197">
        <f t="shared" si="26"/>
        <v>16.745000000000001</v>
      </c>
      <c r="U197">
        <f t="shared" si="27"/>
        <v>14.093847875</v>
      </c>
      <c r="X197" s="9"/>
      <c r="Y197" s="22">
        <v>0.85830700000000004</v>
      </c>
      <c r="Z197" s="22">
        <v>220.86600000000001</v>
      </c>
      <c r="AA197" s="22">
        <v>-1.67175E-2</v>
      </c>
      <c r="AB197" s="22">
        <v>187</v>
      </c>
      <c r="AC197" s="22">
        <v>0.85754399999999997</v>
      </c>
      <c r="AD197">
        <f t="shared" si="28"/>
        <v>16.717500000000001</v>
      </c>
      <c r="AE197">
        <f t="shared" si="29"/>
        <v>14.348747272500002</v>
      </c>
      <c r="AF197" s="9"/>
      <c r="AG197" s="22">
        <v>0.84167499999999995</v>
      </c>
      <c r="AH197" s="22">
        <v>353.19900000000001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0.85830700000000004</v>
      </c>
      <c r="AR197" s="22">
        <v>422.28899999999999</v>
      </c>
      <c r="AS197" s="22">
        <v>-1.6696200000000001E-2</v>
      </c>
      <c r="AT197" s="22">
        <v>187</v>
      </c>
      <c r="AU197" s="22">
        <v>0.85723899999999997</v>
      </c>
      <c r="AV197">
        <f t="shared" si="32"/>
        <v>16.696200000000001</v>
      </c>
      <c r="AW197">
        <f t="shared" si="33"/>
        <v>14.330465333400001</v>
      </c>
      <c r="AX197" s="9"/>
      <c r="AY197" s="22">
        <v>0.84167499999999995</v>
      </c>
      <c r="AZ197" s="22">
        <v>483.12200000000001</v>
      </c>
      <c r="BA197" s="22">
        <v>-1.6693099999999999E-2</v>
      </c>
      <c r="BB197" s="22">
        <v>187</v>
      </c>
      <c r="BC197" s="22">
        <v>0.84075900000000003</v>
      </c>
      <c r="BD197">
        <f t="shared" si="34"/>
        <v>16.693099999999998</v>
      </c>
      <c r="BE197">
        <f t="shared" si="35"/>
        <v>14.050164942499997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46.453499999999998</v>
      </c>
      <c r="I198" s="22">
        <v>7.6306200000000005E-2</v>
      </c>
      <c r="J198" s="22">
        <v>188</v>
      </c>
      <c r="K198" s="22">
        <v>7.9956100000000002E-2</v>
      </c>
      <c r="L198">
        <f t="shared" si="24"/>
        <v>-76.306200000000004</v>
      </c>
      <c r="M198">
        <f t="shared" si="25"/>
        <v>-65.109867580200003</v>
      </c>
      <c r="N198" s="9"/>
      <c r="O198" s="22">
        <v>0.84670999999999996</v>
      </c>
      <c r="P198" s="22">
        <v>157.38</v>
      </c>
      <c r="Q198" s="22">
        <v>-1.6741900000000001E-2</v>
      </c>
      <c r="R198" s="22">
        <v>188</v>
      </c>
      <c r="S198" s="22">
        <v>0.84533700000000001</v>
      </c>
      <c r="T198">
        <f t="shared" si="26"/>
        <v>16.741900000000001</v>
      </c>
      <c r="U198">
        <f t="shared" si="27"/>
        <v>14.175534149000001</v>
      </c>
      <c r="X198" s="9"/>
      <c r="Y198" s="22">
        <v>0.853271</v>
      </c>
      <c r="Z198" s="22">
        <v>220.96600000000001</v>
      </c>
      <c r="AA198" s="22">
        <v>-1.6723600000000002E-2</v>
      </c>
      <c r="AB198" s="22">
        <v>188</v>
      </c>
      <c r="AC198" s="22">
        <v>0.852356</v>
      </c>
      <c r="AD198">
        <f t="shared" si="28"/>
        <v>16.723600000000001</v>
      </c>
      <c r="AE198">
        <f t="shared" si="29"/>
        <v>14.269762895600001</v>
      </c>
      <c r="AF198" s="9"/>
      <c r="AG198" s="22">
        <v>0.84670999999999996</v>
      </c>
      <c r="AH198" s="22">
        <v>353.3</v>
      </c>
      <c r="AI198" s="22">
        <v>-1.67145E-2</v>
      </c>
      <c r="AJ198" s="22">
        <v>188</v>
      </c>
      <c r="AK198" s="22">
        <v>0.845642</v>
      </c>
      <c r="AL198">
        <f t="shared" si="30"/>
        <v>16.714500000000001</v>
      </c>
      <c r="AM198">
        <f t="shared" si="31"/>
        <v>14.152334295000001</v>
      </c>
      <c r="AP198" s="9"/>
      <c r="AQ198" s="22">
        <v>0.853271</v>
      </c>
      <c r="AR198" s="22">
        <v>422.39</v>
      </c>
      <c r="AS198" s="22">
        <v>-1.6699200000000001E-2</v>
      </c>
      <c r="AT198" s="22">
        <v>188</v>
      </c>
      <c r="AU198" s="22">
        <v>0.852661</v>
      </c>
      <c r="AV198">
        <f t="shared" si="32"/>
        <v>16.699200000000001</v>
      </c>
      <c r="AW198">
        <f t="shared" si="33"/>
        <v>14.2489430832</v>
      </c>
      <c r="AX198" s="9"/>
      <c r="AY198" s="22">
        <v>0.84670999999999996</v>
      </c>
      <c r="AZ198" s="22">
        <v>483.22300000000001</v>
      </c>
      <c r="BA198" s="22">
        <v>-1.6684000000000001E-2</v>
      </c>
      <c r="BB198" s="22">
        <v>188</v>
      </c>
      <c r="BC198" s="22">
        <v>0.846252</v>
      </c>
      <c r="BD198">
        <f t="shared" si="34"/>
        <v>16.684000000000001</v>
      </c>
      <c r="BE198">
        <f t="shared" si="35"/>
        <v>14.12650964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46.554200000000002</v>
      </c>
      <c r="I199" s="22">
        <v>7.5949100000000005E-2</v>
      </c>
      <c r="J199" s="22">
        <v>189</v>
      </c>
      <c r="K199" s="22">
        <v>7.9986600000000005E-2</v>
      </c>
      <c r="L199">
        <f t="shared" si="24"/>
        <v>-75.949100000000001</v>
      </c>
      <c r="M199">
        <f t="shared" si="25"/>
        <v>-64.422760787599998</v>
      </c>
      <c r="N199" s="9"/>
      <c r="O199" s="22">
        <v>0.851746</v>
      </c>
      <c r="P199" s="22">
        <v>157.48099999999999</v>
      </c>
      <c r="Q199" s="22">
        <v>-1.6744999999999999E-2</v>
      </c>
      <c r="R199" s="22">
        <v>189</v>
      </c>
      <c r="S199" s="22">
        <v>0.85113499999999997</v>
      </c>
      <c r="T199">
        <f t="shared" si="26"/>
        <v>16.745000000000001</v>
      </c>
      <c r="U199">
        <f t="shared" si="27"/>
        <v>14.262486770000001</v>
      </c>
      <c r="X199" s="9"/>
      <c r="Y199" s="22">
        <v>0.84823599999999999</v>
      </c>
      <c r="Z199" s="22">
        <v>221.06700000000001</v>
      </c>
      <c r="AA199" s="22">
        <v>-1.67297E-2</v>
      </c>
      <c r="AB199" s="22">
        <v>189</v>
      </c>
      <c r="AC199" s="22">
        <v>0.84747300000000003</v>
      </c>
      <c r="AD199">
        <f t="shared" si="28"/>
        <v>16.729700000000001</v>
      </c>
      <c r="AE199">
        <f t="shared" si="29"/>
        <v>14.190733809200001</v>
      </c>
      <c r="AF199" s="9"/>
      <c r="AG199" s="22">
        <v>0.851746</v>
      </c>
      <c r="AH199" s="22">
        <v>353.4</v>
      </c>
      <c r="AI199" s="22">
        <v>-1.6708400000000002E-2</v>
      </c>
      <c r="AJ199" s="22">
        <v>189</v>
      </c>
      <c r="AK199" s="22">
        <v>0.85082999999999998</v>
      </c>
      <c r="AL199">
        <f t="shared" si="30"/>
        <v>16.708400000000001</v>
      </c>
      <c r="AM199">
        <f t="shared" si="31"/>
        <v>14.231312866400001</v>
      </c>
      <c r="AP199" s="9"/>
      <c r="AQ199" s="22">
        <v>0.84823599999999999</v>
      </c>
      <c r="AR199" s="22">
        <v>422.49</v>
      </c>
      <c r="AS199" s="22">
        <v>-1.6699200000000001E-2</v>
      </c>
      <c r="AT199" s="22">
        <v>189</v>
      </c>
      <c r="AU199" s="22">
        <v>0.84777800000000003</v>
      </c>
      <c r="AV199">
        <f t="shared" si="32"/>
        <v>16.699200000000001</v>
      </c>
      <c r="AW199">
        <f t="shared" si="33"/>
        <v>14.1648626112</v>
      </c>
      <c r="AX199" s="9"/>
      <c r="AY199" s="22">
        <v>0.851746</v>
      </c>
      <c r="AZ199" s="22">
        <v>483.32299999999998</v>
      </c>
      <c r="BA199" s="22">
        <v>-1.66748E-2</v>
      </c>
      <c r="BB199" s="22">
        <v>189</v>
      </c>
      <c r="BC199" s="22">
        <v>0.85082999999999998</v>
      </c>
      <c r="BD199">
        <f t="shared" si="34"/>
        <v>16.674800000000001</v>
      </c>
      <c r="BE199">
        <f t="shared" si="35"/>
        <v>14.202694200800002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46.654899999999998</v>
      </c>
      <c r="I200" s="22">
        <v>7.6013200000000003E-2</v>
      </c>
      <c r="J200" s="22">
        <v>190</v>
      </c>
      <c r="K200" s="22">
        <v>7.9956100000000002E-2</v>
      </c>
      <c r="L200">
        <f t="shared" si="24"/>
        <v>-76.013199999999998</v>
      </c>
      <c r="M200">
        <f t="shared" si="25"/>
        <v>-64.094406253199992</v>
      </c>
      <c r="N200" s="9"/>
      <c r="O200" s="22">
        <v>0.85678100000000001</v>
      </c>
      <c r="P200" s="22">
        <v>157.58199999999999</v>
      </c>
      <c r="Q200" s="22">
        <v>-1.6738900000000001E-2</v>
      </c>
      <c r="R200" s="22">
        <v>190</v>
      </c>
      <c r="S200" s="22">
        <v>0.85601799999999995</v>
      </c>
      <c r="T200">
        <f t="shared" si="26"/>
        <v>16.738900000000001</v>
      </c>
      <c r="U200">
        <f t="shared" si="27"/>
        <v>14.341571480900001</v>
      </c>
      <c r="X200" s="9"/>
      <c r="Y200" s="22">
        <v>0.84320099999999998</v>
      </c>
      <c r="Z200" s="22">
        <v>221.16800000000001</v>
      </c>
      <c r="AA200" s="22">
        <v>-1.6726700000000001E-2</v>
      </c>
      <c r="AB200" s="22">
        <v>190</v>
      </c>
      <c r="AC200" s="22">
        <v>0.84228499999999995</v>
      </c>
      <c r="AD200">
        <f t="shared" si="28"/>
        <v>16.726700000000001</v>
      </c>
      <c r="AE200">
        <f t="shared" si="29"/>
        <v>14.1039701667</v>
      </c>
      <c r="AF200" s="9"/>
      <c r="AG200" s="22">
        <v>0.85678100000000001</v>
      </c>
      <c r="AH200" s="22">
        <v>353.50099999999998</v>
      </c>
      <c r="AI200" s="22">
        <v>-1.6699200000000001E-2</v>
      </c>
      <c r="AJ200" s="22">
        <v>190</v>
      </c>
      <c r="AK200" s="22">
        <v>0.85632299999999995</v>
      </c>
      <c r="AL200">
        <f t="shared" si="30"/>
        <v>16.699200000000001</v>
      </c>
      <c r="AM200">
        <f t="shared" si="31"/>
        <v>14.307557275200001</v>
      </c>
      <c r="AP200" s="9"/>
      <c r="AQ200" s="22">
        <v>0.84320099999999998</v>
      </c>
      <c r="AR200" s="22">
        <v>422.59100000000001</v>
      </c>
      <c r="AS200" s="22">
        <v>-1.6705299999999999E-2</v>
      </c>
      <c r="AT200" s="22">
        <v>190</v>
      </c>
      <c r="AU200" s="22">
        <v>0.84197999999999995</v>
      </c>
      <c r="AV200">
        <f t="shared" si="32"/>
        <v>16.705299999999998</v>
      </c>
      <c r="AW200">
        <f t="shared" si="33"/>
        <v>14.085925665299998</v>
      </c>
      <c r="AX200" s="9"/>
      <c r="AY200" s="22">
        <v>0.85678100000000001</v>
      </c>
      <c r="AZ200" s="22">
        <v>483.42399999999998</v>
      </c>
      <c r="BA200" s="22">
        <v>-1.66748E-2</v>
      </c>
      <c r="BB200" s="22">
        <v>190</v>
      </c>
      <c r="BC200" s="22">
        <v>0.85571299999999995</v>
      </c>
      <c r="BD200">
        <f t="shared" si="34"/>
        <v>16.674800000000001</v>
      </c>
      <c r="BE200">
        <f t="shared" si="35"/>
        <v>14.286651818800001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46.755600000000001</v>
      </c>
      <c r="I201" s="22">
        <v>7.5903300000000007E-2</v>
      </c>
      <c r="J201" s="22">
        <v>191</v>
      </c>
      <c r="K201" s="22">
        <v>7.9986600000000005E-2</v>
      </c>
      <c r="L201">
        <f t="shared" si="24"/>
        <v>-75.903300000000002</v>
      </c>
      <c r="M201">
        <f t="shared" si="25"/>
        <v>-63.619489444500005</v>
      </c>
      <c r="N201" s="9"/>
      <c r="O201" s="22">
        <v>0.86181600000000003</v>
      </c>
      <c r="P201" s="22">
        <v>157.68199999999999</v>
      </c>
      <c r="Q201" s="22">
        <v>-1.67297E-2</v>
      </c>
      <c r="R201" s="22">
        <v>191</v>
      </c>
      <c r="S201" s="22">
        <v>0.86090100000000003</v>
      </c>
      <c r="T201">
        <f t="shared" si="26"/>
        <v>16.729700000000001</v>
      </c>
      <c r="U201">
        <f t="shared" si="27"/>
        <v>14.417923135200001</v>
      </c>
      <c r="X201" s="9"/>
      <c r="Y201" s="22">
        <v>0.83816500000000005</v>
      </c>
      <c r="Z201" s="22">
        <v>221.268</v>
      </c>
      <c r="AA201" s="22">
        <v>-1.6738900000000001E-2</v>
      </c>
      <c r="AB201" s="22">
        <v>191</v>
      </c>
      <c r="AC201" s="22">
        <v>0.83709699999999998</v>
      </c>
      <c r="AD201">
        <f t="shared" si="28"/>
        <v>16.738900000000001</v>
      </c>
      <c r="AE201">
        <f t="shared" si="29"/>
        <v>14.029960118500002</v>
      </c>
      <c r="AF201" s="9"/>
      <c r="AG201" s="22">
        <v>0.86181600000000003</v>
      </c>
      <c r="AH201" s="22">
        <v>353.60199999999998</v>
      </c>
      <c r="AI201" s="22">
        <v>-1.6693099999999999E-2</v>
      </c>
      <c r="AJ201" s="22">
        <v>191</v>
      </c>
      <c r="AK201" s="22">
        <v>0.86059600000000003</v>
      </c>
      <c r="AL201">
        <f t="shared" si="30"/>
        <v>16.693099999999998</v>
      </c>
      <c r="AM201">
        <f t="shared" si="31"/>
        <v>14.386380669599998</v>
      </c>
      <c r="AP201" s="9"/>
      <c r="AQ201" s="22">
        <v>0.83816500000000005</v>
      </c>
      <c r="AR201" s="22">
        <v>422.69200000000001</v>
      </c>
      <c r="AS201" s="22">
        <v>-1.6705299999999999E-2</v>
      </c>
      <c r="AT201" s="22">
        <v>191</v>
      </c>
      <c r="AU201" s="22">
        <v>0.83801300000000001</v>
      </c>
      <c r="AV201">
        <f t="shared" si="32"/>
        <v>16.705299999999998</v>
      </c>
      <c r="AW201">
        <f t="shared" si="33"/>
        <v>14.001797774499998</v>
      </c>
      <c r="AX201" s="9"/>
      <c r="AY201" s="22">
        <v>0.86181600000000003</v>
      </c>
      <c r="AZ201" s="22">
        <v>483.52499999999998</v>
      </c>
      <c r="BA201" s="22">
        <v>-1.6665599999999999E-2</v>
      </c>
      <c r="BB201" s="22">
        <v>191</v>
      </c>
      <c r="BC201" s="22">
        <v>0.86120600000000003</v>
      </c>
      <c r="BD201">
        <f t="shared" si="34"/>
        <v>16.665599999999998</v>
      </c>
      <c r="BE201">
        <f t="shared" si="35"/>
        <v>14.362680729599999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46.856299999999997</v>
      </c>
      <c r="I202" s="22">
        <v>7.5537099999999996E-2</v>
      </c>
      <c r="J202" s="22">
        <v>192</v>
      </c>
      <c r="K202" s="22">
        <v>8.0017099999999994E-2</v>
      </c>
      <c r="L202">
        <f t="shared" si="24"/>
        <v>-75.537099999999995</v>
      </c>
      <c r="M202">
        <f t="shared" si="25"/>
        <v>-62.932224122999997</v>
      </c>
      <c r="N202" s="9"/>
      <c r="O202" s="22">
        <v>0.86685199999999996</v>
      </c>
      <c r="P202" s="22">
        <v>157.78299999999999</v>
      </c>
      <c r="Q202" s="22">
        <v>-1.6735799999999999E-2</v>
      </c>
      <c r="R202" s="22">
        <v>192</v>
      </c>
      <c r="S202" s="22">
        <v>0.865784</v>
      </c>
      <c r="T202">
        <f t="shared" si="26"/>
        <v>16.735799999999998</v>
      </c>
      <c r="U202">
        <f t="shared" si="27"/>
        <v>14.507461701599997</v>
      </c>
      <c r="X202" s="9"/>
      <c r="Y202" s="22">
        <v>0.83313000000000004</v>
      </c>
      <c r="Z202" s="22">
        <v>221.369</v>
      </c>
      <c r="AA202" s="22">
        <v>-1.6732799999999999E-2</v>
      </c>
      <c r="AB202" s="22">
        <v>192</v>
      </c>
      <c r="AC202" s="22">
        <v>0.83190900000000001</v>
      </c>
      <c r="AD202">
        <f t="shared" si="28"/>
        <v>16.732799999999997</v>
      </c>
      <c r="AE202">
        <f t="shared" si="29"/>
        <v>13.940597663999998</v>
      </c>
      <c r="AF202" s="9"/>
      <c r="AG202" s="22">
        <v>0.86685199999999996</v>
      </c>
      <c r="AH202" s="22">
        <v>353.702</v>
      </c>
      <c r="AI202" s="22">
        <v>-1.6693099999999999E-2</v>
      </c>
      <c r="AJ202" s="22">
        <v>192</v>
      </c>
      <c r="AK202" s="22">
        <v>0.865784</v>
      </c>
      <c r="AL202">
        <f t="shared" si="30"/>
        <v>16.693099999999998</v>
      </c>
      <c r="AM202">
        <f t="shared" si="31"/>
        <v>14.470447121199998</v>
      </c>
      <c r="AP202" s="9"/>
      <c r="AQ202" s="22">
        <v>0.83313000000000004</v>
      </c>
      <c r="AR202" s="22">
        <v>422.79300000000001</v>
      </c>
      <c r="AS202" s="22">
        <v>-1.67023E-2</v>
      </c>
      <c r="AT202" s="22">
        <v>192</v>
      </c>
      <c r="AU202" s="22">
        <v>0.83221400000000001</v>
      </c>
      <c r="AV202">
        <f t="shared" si="32"/>
        <v>16.702300000000001</v>
      </c>
      <c r="AW202">
        <f t="shared" si="33"/>
        <v>13.915187199000002</v>
      </c>
      <c r="AX202" s="9"/>
      <c r="AY202" s="22">
        <v>0.86685199999999996</v>
      </c>
      <c r="AZ202" s="22">
        <v>483.62599999999998</v>
      </c>
      <c r="BA202" s="22">
        <v>-1.6665599999999999E-2</v>
      </c>
      <c r="BB202" s="22">
        <v>192</v>
      </c>
      <c r="BC202" s="22">
        <v>0.866089</v>
      </c>
      <c r="BD202">
        <f t="shared" si="34"/>
        <v>16.665599999999998</v>
      </c>
      <c r="BE202">
        <f t="shared" si="35"/>
        <v>14.446608691199998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46.957000000000001</v>
      </c>
      <c r="I203" s="22">
        <v>7.5524900000000006E-2</v>
      </c>
      <c r="J203" s="22">
        <v>193</v>
      </c>
      <c r="K203" s="22">
        <v>7.9986600000000005E-2</v>
      </c>
      <c r="L203">
        <f t="shared" si="24"/>
        <v>-75.524900000000002</v>
      </c>
      <c r="M203">
        <f t="shared" si="25"/>
        <v>-62.5417165406</v>
      </c>
      <c r="N203" s="9"/>
      <c r="O203" s="22">
        <v>0.87188699999999997</v>
      </c>
      <c r="P203" s="22">
        <v>157.88399999999999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0.828094</v>
      </c>
      <c r="Z203" s="22">
        <v>221.47</v>
      </c>
      <c r="AA203" s="22">
        <v>-1.6741900000000001E-2</v>
      </c>
      <c r="AB203" s="22">
        <v>193</v>
      </c>
      <c r="AC203" s="22">
        <v>0.82733199999999996</v>
      </c>
      <c r="AD203">
        <f t="shared" si="28"/>
        <v>16.741900000000001</v>
      </c>
      <c r="AE203">
        <f t="shared" si="29"/>
        <v>13.863866938600001</v>
      </c>
      <c r="AF203" s="9"/>
      <c r="AG203" s="22">
        <v>0.87188699999999997</v>
      </c>
      <c r="AH203" s="22">
        <v>353.803</v>
      </c>
      <c r="AI203" s="22">
        <v>-1.6690099999999999E-2</v>
      </c>
      <c r="AJ203" s="22">
        <v>193</v>
      </c>
      <c r="AK203" s="22">
        <v>0.87066699999999997</v>
      </c>
      <c r="AL203">
        <f t="shared" si="30"/>
        <v>16.690100000000001</v>
      </c>
      <c r="AM203">
        <f t="shared" si="31"/>
        <v>14.5518812187</v>
      </c>
      <c r="AP203" s="9"/>
      <c r="AQ203" s="22">
        <v>0.828094</v>
      </c>
      <c r="AR203" s="22">
        <v>422.89299999999997</v>
      </c>
      <c r="AS203" s="22">
        <v>-1.6705299999999999E-2</v>
      </c>
      <c r="AT203" s="22">
        <v>193</v>
      </c>
      <c r="AU203" s="22">
        <v>0.82702600000000004</v>
      </c>
      <c r="AV203">
        <f t="shared" si="32"/>
        <v>16.705299999999998</v>
      </c>
      <c r="AW203">
        <f t="shared" si="33"/>
        <v>13.833558698199997</v>
      </c>
      <c r="AX203" s="9"/>
      <c r="AY203" s="22">
        <v>0.87188699999999997</v>
      </c>
      <c r="AZ203" s="22">
        <v>483.726</v>
      </c>
      <c r="BA203" s="22">
        <v>-1.6671800000000001E-2</v>
      </c>
      <c r="BB203" s="22">
        <v>193</v>
      </c>
      <c r="BC203" s="22">
        <v>0.87097199999999997</v>
      </c>
      <c r="BD203">
        <f t="shared" si="34"/>
        <v>16.671800000000001</v>
      </c>
      <c r="BE203">
        <f t="shared" si="35"/>
        <v>14.535925686600001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47.057699999999997</v>
      </c>
      <c r="I204" s="22">
        <v>6.63879E-2</v>
      </c>
      <c r="J204" s="22">
        <v>194</v>
      </c>
      <c r="K204" s="22">
        <v>7.9956100000000002E-2</v>
      </c>
      <c r="L204">
        <f t="shared" ref="L204:L267" si="36">-I204/$F$2*1000</f>
        <v>-66.387900000000002</v>
      </c>
      <c r="M204">
        <f t="shared" ref="M204:M267" si="37">L204*G204</f>
        <v>-54.641158586099998</v>
      </c>
      <c r="N204" s="9"/>
      <c r="O204" s="22">
        <v>0.87692300000000001</v>
      </c>
      <c r="P204" s="22">
        <v>157.98500000000001</v>
      </c>
      <c r="Q204" s="22">
        <v>-1.6726700000000001E-2</v>
      </c>
      <c r="R204" s="22">
        <v>194</v>
      </c>
      <c r="S204" s="22">
        <v>0.87554900000000002</v>
      </c>
      <c r="T204">
        <f t="shared" ref="T204:T267" si="38">-Q204/$F$2*1000</f>
        <v>16.726700000000001</v>
      </c>
      <c r="U204">
        <f t="shared" ref="U204:U267" si="39">T204*O204</f>
        <v>14.6680279441</v>
      </c>
      <c r="X204" s="9"/>
      <c r="Y204" s="22">
        <v>0.82305899999999999</v>
      </c>
      <c r="Z204" s="22">
        <v>221.571</v>
      </c>
      <c r="AA204" s="22">
        <v>-1.6744999999999999E-2</v>
      </c>
      <c r="AB204" s="22">
        <v>194</v>
      </c>
      <c r="AC204" s="22">
        <v>0.82153299999999996</v>
      </c>
      <c r="AD204">
        <f t="shared" ref="AD204:AD267" si="40">-AA204/$F$2*1000</f>
        <v>16.745000000000001</v>
      </c>
      <c r="AE204">
        <f t="shared" ref="AE204:AE267" si="41">AD204*Y204</f>
        <v>13.782122955</v>
      </c>
      <c r="AF204" s="9"/>
      <c r="AG204" s="22">
        <v>0.87692300000000001</v>
      </c>
      <c r="AH204" s="22">
        <v>353.904</v>
      </c>
      <c r="AI204" s="22">
        <v>-1.6693099999999999E-2</v>
      </c>
      <c r="AJ204" s="22">
        <v>194</v>
      </c>
      <c r="AK204" s="22">
        <v>0.87554900000000002</v>
      </c>
      <c r="AL204">
        <f t="shared" ref="AL204:AL267" si="42">-AI204/$F$2*1000</f>
        <v>16.693099999999998</v>
      </c>
      <c r="AM204">
        <f t="shared" ref="AM204:AM267" si="43">AL204*AG204</f>
        <v>14.638563331299999</v>
      </c>
      <c r="AP204" s="9"/>
      <c r="AQ204" s="22">
        <v>0.82305899999999999</v>
      </c>
      <c r="AR204" s="22">
        <v>422.99400000000003</v>
      </c>
      <c r="AS204" s="22">
        <v>-1.6705299999999999E-2</v>
      </c>
      <c r="AT204" s="22">
        <v>194</v>
      </c>
      <c r="AU204" s="22">
        <v>0.82183799999999996</v>
      </c>
      <c r="AV204">
        <f t="shared" ref="AV204:AV267" si="44">-AS204/$F$2*1000</f>
        <v>16.705299999999998</v>
      </c>
      <c r="AW204">
        <f t="shared" ref="AW204:AW267" si="45">AV204*AQ204</f>
        <v>13.749447512699998</v>
      </c>
      <c r="AX204" s="9"/>
      <c r="AY204" s="22">
        <v>0.87692300000000001</v>
      </c>
      <c r="AZ204" s="22">
        <v>483.827</v>
      </c>
      <c r="BA204" s="22">
        <v>-1.6665599999999999E-2</v>
      </c>
      <c r="BB204" s="22">
        <v>194</v>
      </c>
      <c r="BC204" s="22">
        <v>0.87585400000000002</v>
      </c>
      <c r="BD204">
        <f t="shared" ref="BD204:BD267" si="46">-BA204/$F$2*1000</f>
        <v>16.665599999999998</v>
      </c>
      <c r="BE204">
        <f t="shared" ref="BE204:BE267" si="47">BD204*AY204</f>
        <v>14.614447948799999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47.1584</v>
      </c>
      <c r="I205" s="22">
        <v>7.5637800000000005E-2</v>
      </c>
      <c r="J205" s="22">
        <v>195</v>
      </c>
      <c r="K205" s="22">
        <v>8.0017099999999994E-2</v>
      </c>
      <c r="L205">
        <f t="shared" si="36"/>
        <v>-75.637799999999999</v>
      </c>
      <c r="M205">
        <f t="shared" si="37"/>
        <v>-61.873535707199999</v>
      </c>
      <c r="N205" s="9"/>
      <c r="O205" s="22">
        <v>0.88195800000000002</v>
      </c>
      <c r="P205" s="22">
        <v>158.08500000000001</v>
      </c>
      <c r="Q205" s="22">
        <v>-1.6720599999999999E-2</v>
      </c>
      <c r="R205" s="22">
        <v>195</v>
      </c>
      <c r="S205" s="22">
        <v>0.88073699999999999</v>
      </c>
      <c r="T205">
        <f t="shared" si="38"/>
        <v>16.720599999999997</v>
      </c>
      <c r="U205">
        <f t="shared" si="39"/>
        <v>14.746866934799998</v>
      </c>
      <c r="X205" s="9"/>
      <c r="Y205" s="22">
        <v>0.81802399999999997</v>
      </c>
      <c r="Z205" s="22">
        <v>221.67099999999999</v>
      </c>
      <c r="AA205" s="22">
        <v>-1.6747999999999999E-2</v>
      </c>
      <c r="AB205" s="22">
        <v>195</v>
      </c>
      <c r="AC205" s="22">
        <v>0.81726100000000002</v>
      </c>
      <c r="AD205">
        <f t="shared" si="40"/>
        <v>16.747999999999998</v>
      </c>
      <c r="AE205">
        <f t="shared" si="41"/>
        <v>13.700265951999997</v>
      </c>
      <c r="AF205" s="9"/>
      <c r="AG205" s="22">
        <v>0.88195800000000002</v>
      </c>
      <c r="AH205" s="22">
        <v>354.005</v>
      </c>
      <c r="AI205" s="22">
        <v>-1.6680899999999999E-2</v>
      </c>
      <c r="AJ205" s="22">
        <v>195</v>
      </c>
      <c r="AK205" s="22">
        <v>0.88165300000000002</v>
      </c>
      <c r="AL205">
        <f t="shared" si="42"/>
        <v>16.680899999999998</v>
      </c>
      <c r="AM205">
        <f t="shared" si="43"/>
        <v>14.711853202199999</v>
      </c>
      <c r="AP205" s="9"/>
      <c r="AQ205" s="22">
        <v>0.81802399999999997</v>
      </c>
      <c r="AR205" s="22">
        <v>423.09500000000003</v>
      </c>
      <c r="AS205" s="22">
        <v>-1.6708400000000002E-2</v>
      </c>
      <c r="AT205" s="22">
        <v>195</v>
      </c>
      <c r="AU205" s="22">
        <v>0.81695600000000002</v>
      </c>
      <c r="AV205">
        <f t="shared" si="44"/>
        <v>16.708400000000001</v>
      </c>
      <c r="AW205">
        <f t="shared" si="45"/>
        <v>13.6678722016</v>
      </c>
      <c r="AX205" s="9"/>
      <c r="AY205" s="22">
        <v>0.88195800000000002</v>
      </c>
      <c r="AZ205" s="22">
        <v>483.928</v>
      </c>
      <c r="BA205" s="22">
        <v>-1.6665599999999999E-2</v>
      </c>
      <c r="BB205" s="22">
        <v>195</v>
      </c>
      <c r="BC205" s="22">
        <v>0.88073699999999999</v>
      </c>
      <c r="BD205">
        <f t="shared" si="46"/>
        <v>16.665599999999998</v>
      </c>
      <c r="BE205">
        <f t="shared" si="47"/>
        <v>14.698359244799999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47.259099999999997</v>
      </c>
      <c r="I206" s="22">
        <v>7.5579800000000003E-2</v>
      </c>
      <c r="J206" s="22">
        <v>196</v>
      </c>
      <c r="K206" s="22">
        <v>8.0017099999999994E-2</v>
      </c>
      <c r="L206">
        <f t="shared" si="36"/>
        <v>-75.579800000000006</v>
      </c>
      <c r="M206">
        <f t="shared" si="37"/>
        <v>-61.445470442400008</v>
      </c>
      <c r="N206" s="9"/>
      <c r="O206" s="22">
        <v>0.88699300000000003</v>
      </c>
      <c r="P206" s="22">
        <v>158.18600000000001</v>
      </c>
      <c r="Q206" s="22">
        <v>-1.6720599999999999E-2</v>
      </c>
      <c r="R206" s="22">
        <v>196</v>
      </c>
      <c r="S206" s="22">
        <v>0.88561999999999996</v>
      </c>
      <c r="T206">
        <f t="shared" si="38"/>
        <v>16.720599999999997</v>
      </c>
      <c r="U206">
        <f t="shared" si="39"/>
        <v>14.831055155799998</v>
      </c>
      <c r="X206" s="9"/>
      <c r="Y206" s="22">
        <v>0.81298800000000004</v>
      </c>
      <c r="Z206" s="22">
        <v>221.77199999999999</v>
      </c>
      <c r="AA206" s="22">
        <v>-1.67542E-2</v>
      </c>
      <c r="AB206" s="22">
        <v>196</v>
      </c>
      <c r="AC206" s="22">
        <v>0.81176800000000005</v>
      </c>
      <c r="AD206">
        <f t="shared" si="40"/>
        <v>16.754200000000001</v>
      </c>
      <c r="AE206">
        <f t="shared" si="41"/>
        <v>13.620963549600001</v>
      </c>
      <c r="AF206" s="9"/>
      <c r="AG206" s="22">
        <v>0.88699300000000003</v>
      </c>
      <c r="AH206" s="22">
        <v>354.10500000000002</v>
      </c>
      <c r="AI206" s="22">
        <v>-1.6677899999999999E-2</v>
      </c>
      <c r="AJ206" s="22">
        <v>196</v>
      </c>
      <c r="AK206" s="22">
        <v>0.88622999999999996</v>
      </c>
      <c r="AL206">
        <f t="shared" si="42"/>
        <v>16.677899999999998</v>
      </c>
      <c r="AM206">
        <f t="shared" si="43"/>
        <v>14.793180554699997</v>
      </c>
      <c r="AP206" s="9"/>
      <c r="AQ206" s="22">
        <v>0.81298800000000004</v>
      </c>
      <c r="AR206" s="22">
        <v>423.19499999999999</v>
      </c>
      <c r="AS206" s="22">
        <v>-1.6723600000000002E-2</v>
      </c>
      <c r="AT206" s="22">
        <v>196</v>
      </c>
      <c r="AU206" s="22">
        <v>0.81207300000000004</v>
      </c>
      <c r="AV206">
        <f t="shared" si="44"/>
        <v>16.723600000000001</v>
      </c>
      <c r="AW206">
        <f t="shared" si="45"/>
        <v>13.596086116800002</v>
      </c>
      <c r="AX206" s="9"/>
      <c r="AY206" s="22">
        <v>0.88699300000000003</v>
      </c>
      <c r="AZ206" s="22">
        <v>484.02800000000002</v>
      </c>
      <c r="BA206" s="22">
        <v>-1.6668700000000002E-2</v>
      </c>
      <c r="BB206" s="22">
        <v>196</v>
      </c>
      <c r="BC206" s="22">
        <v>0.88653599999999999</v>
      </c>
      <c r="BD206">
        <f t="shared" si="46"/>
        <v>16.668700000000001</v>
      </c>
      <c r="BE206">
        <f t="shared" si="47"/>
        <v>14.785020219100002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47.3598</v>
      </c>
      <c r="I207" s="22">
        <v>7.5497400000000006E-2</v>
      </c>
      <c r="J207" s="22">
        <v>197</v>
      </c>
      <c r="K207" s="22">
        <v>8.0017099999999994E-2</v>
      </c>
      <c r="L207">
        <f t="shared" si="36"/>
        <v>-75.497400000000013</v>
      </c>
      <c r="M207">
        <f t="shared" si="37"/>
        <v>-60.99835082220001</v>
      </c>
      <c r="N207" s="9"/>
      <c r="O207" s="22">
        <v>0.89202899999999996</v>
      </c>
      <c r="P207" s="22">
        <v>158.28700000000001</v>
      </c>
      <c r="Q207" s="22">
        <v>-1.6720599999999999E-2</v>
      </c>
      <c r="R207" s="22">
        <v>197</v>
      </c>
      <c r="S207" s="22">
        <v>0.89080800000000004</v>
      </c>
      <c r="T207">
        <f t="shared" si="38"/>
        <v>16.720599999999997</v>
      </c>
      <c r="U207">
        <f t="shared" si="39"/>
        <v>14.915260097399997</v>
      </c>
      <c r="X207" s="9"/>
      <c r="Y207" s="22">
        <v>0.80795300000000003</v>
      </c>
      <c r="Z207" s="22">
        <v>221.87299999999999</v>
      </c>
      <c r="AA207" s="22">
        <v>-1.67572E-2</v>
      </c>
      <c r="AB207" s="22">
        <v>197</v>
      </c>
      <c r="AC207" s="22">
        <v>0.80688499999999996</v>
      </c>
      <c r="AD207">
        <f t="shared" si="40"/>
        <v>16.757200000000001</v>
      </c>
      <c r="AE207">
        <f t="shared" si="41"/>
        <v>13.539030011600001</v>
      </c>
      <c r="AF207" s="9"/>
      <c r="AG207" s="22">
        <v>0.89202899999999996</v>
      </c>
      <c r="AH207" s="22">
        <v>354.20600000000002</v>
      </c>
      <c r="AI207" s="22">
        <v>-1.6687E-2</v>
      </c>
      <c r="AJ207" s="22">
        <v>197</v>
      </c>
      <c r="AK207" s="22">
        <v>0.89111300000000004</v>
      </c>
      <c r="AL207">
        <f t="shared" si="42"/>
        <v>16.687000000000001</v>
      </c>
      <c r="AM207">
        <f t="shared" si="43"/>
        <v>14.885287923</v>
      </c>
      <c r="AP207" s="9"/>
      <c r="AQ207" s="22">
        <v>0.80795300000000003</v>
      </c>
      <c r="AR207" s="22">
        <v>423.29599999999999</v>
      </c>
      <c r="AS207" s="22">
        <v>-1.6723600000000002E-2</v>
      </c>
      <c r="AT207" s="22">
        <v>197</v>
      </c>
      <c r="AU207" s="22">
        <v>0.80688499999999996</v>
      </c>
      <c r="AV207">
        <f t="shared" si="44"/>
        <v>16.723600000000001</v>
      </c>
      <c r="AW207">
        <f t="shared" si="45"/>
        <v>13.511882790800001</v>
      </c>
      <c r="AX207" s="9"/>
      <c r="AY207" s="22">
        <v>0.89202899999999996</v>
      </c>
      <c r="AZ207" s="22">
        <v>484.12900000000002</v>
      </c>
      <c r="BA207" s="22">
        <v>-1.6656500000000001E-2</v>
      </c>
      <c r="BB207" s="22">
        <v>197</v>
      </c>
      <c r="BC207" s="22">
        <v>0.89080800000000004</v>
      </c>
      <c r="BD207">
        <f t="shared" si="46"/>
        <v>16.656500000000001</v>
      </c>
      <c r="BE207">
        <f t="shared" si="47"/>
        <v>14.8580810385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47.460599999999999</v>
      </c>
      <c r="I208" s="22">
        <v>7.5448600000000005E-2</v>
      </c>
      <c r="J208" s="22">
        <v>198</v>
      </c>
      <c r="K208" s="22">
        <v>8.0047599999999997E-2</v>
      </c>
      <c r="L208">
        <f t="shared" si="36"/>
        <v>-75.448599999999999</v>
      </c>
      <c r="M208">
        <f t="shared" si="37"/>
        <v>-60.578963566199995</v>
      </c>
      <c r="N208" s="9"/>
      <c r="O208" s="22">
        <v>0.89706399999999997</v>
      </c>
      <c r="P208" s="22">
        <v>158.387</v>
      </c>
      <c r="Q208" s="22">
        <v>-1.6711400000000001E-2</v>
      </c>
      <c r="R208" s="22">
        <v>198</v>
      </c>
      <c r="S208" s="22">
        <v>0.89569100000000001</v>
      </c>
      <c r="T208">
        <f t="shared" si="38"/>
        <v>16.711400000000001</v>
      </c>
      <c r="U208">
        <f t="shared" si="39"/>
        <v>14.9911953296</v>
      </c>
      <c r="X208" s="9"/>
      <c r="Y208" s="22">
        <v>0.80291699999999999</v>
      </c>
      <c r="Z208" s="22">
        <v>221.97300000000001</v>
      </c>
      <c r="AA208" s="22">
        <v>-1.6760299999999999E-2</v>
      </c>
      <c r="AB208" s="22">
        <v>198</v>
      </c>
      <c r="AC208" s="22">
        <v>0.80230699999999999</v>
      </c>
      <c r="AD208">
        <f t="shared" si="40"/>
        <v>16.760299999999997</v>
      </c>
      <c r="AE208">
        <f t="shared" si="41"/>
        <v>13.457129795099998</v>
      </c>
      <c r="AF208" s="9"/>
      <c r="AG208" s="22">
        <v>0.89706399999999997</v>
      </c>
      <c r="AH208" s="22">
        <v>354.30700000000002</v>
      </c>
      <c r="AI208" s="22">
        <v>-1.6684000000000001E-2</v>
      </c>
      <c r="AJ208" s="22">
        <v>198</v>
      </c>
      <c r="AK208" s="22">
        <v>0.89630100000000001</v>
      </c>
      <c r="AL208">
        <f t="shared" si="42"/>
        <v>16.684000000000001</v>
      </c>
      <c r="AM208">
        <f t="shared" si="43"/>
        <v>14.966615776000001</v>
      </c>
      <c r="AP208" s="9"/>
      <c r="AQ208" s="22">
        <v>0.80291699999999999</v>
      </c>
      <c r="AR208" s="22">
        <v>423.39699999999999</v>
      </c>
      <c r="AS208" s="22">
        <v>-1.67297E-2</v>
      </c>
      <c r="AT208" s="22">
        <v>198</v>
      </c>
      <c r="AU208" s="22">
        <v>0.80230699999999999</v>
      </c>
      <c r="AV208">
        <f t="shared" si="44"/>
        <v>16.729700000000001</v>
      </c>
      <c r="AW208">
        <f t="shared" si="45"/>
        <v>13.4325605349</v>
      </c>
      <c r="AX208" s="9"/>
      <c r="AY208" s="22">
        <v>0.89706399999999997</v>
      </c>
      <c r="AZ208" s="22">
        <v>484.23</v>
      </c>
      <c r="BA208" s="22">
        <v>-1.6656500000000001E-2</v>
      </c>
      <c r="BB208" s="22">
        <v>198</v>
      </c>
      <c r="BC208" s="22">
        <v>0.89599600000000001</v>
      </c>
      <c r="BD208">
        <f t="shared" si="46"/>
        <v>16.656500000000001</v>
      </c>
      <c r="BE208">
        <f t="shared" si="47"/>
        <v>14.941946516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47.561300000000003</v>
      </c>
      <c r="I209" s="22">
        <v>7.5512700000000002E-2</v>
      </c>
      <c r="J209" s="22">
        <v>199</v>
      </c>
      <c r="K209" s="22">
        <v>7.9986600000000005E-2</v>
      </c>
      <c r="L209">
        <f t="shared" si="36"/>
        <v>-75.512699999999995</v>
      </c>
      <c r="M209">
        <f t="shared" si="37"/>
        <v>-60.250224101399994</v>
      </c>
      <c r="N209" s="9"/>
      <c r="O209" s="22">
        <v>0.90210000000000001</v>
      </c>
      <c r="P209" s="22">
        <v>158.488</v>
      </c>
      <c r="Q209" s="22">
        <v>-1.6708400000000002E-2</v>
      </c>
      <c r="R209" s="22">
        <v>199</v>
      </c>
      <c r="S209" s="22">
        <v>0.90148899999999998</v>
      </c>
      <c r="T209">
        <f t="shared" si="38"/>
        <v>16.708400000000001</v>
      </c>
      <c r="U209">
        <f t="shared" si="39"/>
        <v>15.072647640000001</v>
      </c>
      <c r="X209" s="9"/>
      <c r="Y209" s="22">
        <v>0.79788199999999998</v>
      </c>
      <c r="Z209" s="22">
        <v>222.07400000000001</v>
      </c>
      <c r="AA209" s="22">
        <v>-1.6751100000000001E-2</v>
      </c>
      <c r="AB209" s="22">
        <v>199</v>
      </c>
      <c r="AC209" s="22">
        <v>0.79711900000000002</v>
      </c>
      <c r="AD209">
        <f t="shared" si="40"/>
        <v>16.751100000000001</v>
      </c>
      <c r="AE209">
        <f t="shared" si="41"/>
        <v>13.3654011702</v>
      </c>
      <c r="AF209" s="9"/>
      <c r="AG209" s="22">
        <v>0.90210000000000001</v>
      </c>
      <c r="AH209" s="22">
        <v>354.40699999999998</v>
      </c>
      <c r="AI209" s="22">
        <v>-1.66748E-2</v>
      </c>
      <c r="AJ209" s="22">
        <v>199</v>
      </c>
      <c r="AK209" s="22">
        <v>0.90118399999999999</v>
      </c>
      <c r="AL209">
        <f t="shared" si="42"/>
        <v>16.674800000000001</v>
      </c>
      <c r="AM209">
        <f t="shared" si="43"/>
        <v>15.042337080000001</v>
      </c>
      <c r="AP209" s="9"/>
      <c r="AQ209" s="22">
        <v>0.79788199999999998</v>
      </c>
      <c r="AR209" s="22">
        <v>423.49799999999999</v>
      </c>
      <c r="AS209" s="22">
        <v>-1.6726700000000001E-2</v>
      </c>
      <c r="AT209" s="22">
        <v>199</v>
      </c>
      <c r="AU209" s="22">
        <v>0.79650900000000002</v>
      </c>
      <c r="AV209">
        <f t="shared" si="44"/>
        <v>16.726700000000001</v>
      </c>
      <c r="AW209">
        <f t="shared" si="45"/>
        <v>13.3459328494</v>
      </c>
      <c r="AX209" s="9"/>
      <c r="AY209" s="22">
        <v>0.90210000000000001</v>
      </c>
      <c r="AZ209" s="22">
        <v>484.33</v>
      </c>
      <c r="BA209" s="22">
        <v>-1.6641199999999998E-2</v>
      </c>
      <c r="BB209" s="22">
        <v>199</v>
      </c>
      <c r="BC209" s="22">
        <v>0.90179399999999998</v>
      </c>
      <c r="BD209">
        <f t="shared" si="46"/>
        <v>16.641199999999998</v>
      </c>
      <c r="BE209">
        <f t="shared" si="47"/>
        <v>15.012026519999997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47.661999999999999</v>
      </c>
      <c r="I210" s="22">
        <v>7.5372300000000003E-2</v>
      </c>
      <c r="J210" s="22">
        <v>200</v>
      </c>
      <c r="K210" s="22">
        <v>7.9986600000000005E-2</v>
      </c>
      <c r="L210">
        <f t="shared" si="36"/>
        <v>-75.37230000000001</v>
      </c>
      <c r="M210">
        <f t="shared" si="37"/>
        <v>-59.758701938100003</v>
      </c>
      <c r="N210" s="9"/>
      <c r="O210" s="22">
        <v>0.90713500000000002</v>
      </c>
      <c r="P210" s="22">
        <v>158.589</v>
      </c>
      <c r="Q210" s="22">
        <v>-1.67023E-2</v>
      </c>
      <c r="R210" s="22">
        <v>200</v>
      </c>
      <c r="S210" s="22">
        <v>0.90606699999999996</v>
      </c>
      <c r="T210">
        <f t="shared" si="38"/>
        <v>16.702300000000001</v>
      </c>
      <c r="U210">
        <f t="shared" si="39"/>
        <v>15.151240910500002</v>
      </c>
      <c r="X210" s="9"/>
      <c r="Y210" s="22">
        <v>0.79284699999999997</v>
      </c>
      <c r="Z210" s="22">
        <v>222.17500000000001</v>
      </c>
      <c r="AA210" s="22">
        <v>-1.6760299999999999E-2</v>
      </c>
      <c r="AB210" s="22">
        <v>200</v>
      </c>
      <c r="AC210" s="22">
        <v>0.79132100000000005</v>
      </c>
      <c r="AD210">
        <f t="shared" si="40"/>
        <v>16.760299999999997</v>
      </c>
      <c r="AE210">
        <f t="shared" si="41"/>
        <v>13.288353574099997</v>
      </c>
      <c r="AF210" s="9"/>
      <c r="AG210" s="22">
        <v>0.90713500000000002</v>
      </c>
      <c r="AH210" s="22">
        <v>354.50799999999998</v>
      </c>
      <c r="AI210" s="22">
        <v>-1.6668700000000002E-2</v>
      </c>
      <c r="AJ210" s="22">
        <v>200</v>
      </c>
      <c r="AK210" s="22">
        <v>0.90606699999999996</v>
      </c>
      <c r="AL210">
        <f t="shared" si="42"/>
        <v>16.668700000000001</v>
      </c>
      <c r="AM210">
        <f t="shared" si="43"/>
        <v>15.120761174500002</v>
      </c>
      <c r="AP210" s="9"/>
      <c r="AQ210" s="22">
        <v>0.79284699999999997</v>
      </c>
      <c r="AR210" s="22">
        <v>423.59800000000001</v>
      </c>
      <c r="AS210" s="22">
        <v>-1.6735799999999999E-2</v>
      </c>
      <c r="AT210" s="22">
        <v>200</v>
      </c>
      <c r="AU210" s="22">
        <v>0.79193100000000005</v>
      </c>
      <c r="AV210">
        <f t="shared" si="44"/>
        <v>16.735799999999998</v>
      </c>
      <c r="AW210">
        <f t="shared" si="45"/>
        <v>13.268928822599998</v>
      </c>
      <c r="AX210" s="9"/>
      <c r="AY210" s="22">
        <v>0.90713500000000002</v>
      </c>
      <c r="AZ210" s="22">
        <v>484.43099999999998</v>
      </c>
      <c r="BA210" s="22">
        <v>-1.6650399999999999E-2</v>
      </c>
      <c r="BB210" s="22">
        <v>200</v>
      </c>
      <c r="BC210" s="22">
        <v>0.90606699999999996</v>
      </c>
      <c r="BD210">
        <f t="shared" si="46"/>
        <v>16.650399999999998</v>
      </c>
      <c r="BE210">
        <f t="shared" si="47"/>
        <v>15.104160603999999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47.762700000000002</v>
      </c>
      <c r="I211" s="22">
        <v>7.5317400000000007E-2</v>
      </c>
      <c r="J211" s="22">
        <v>201</v>
      </c>
      <c r="K211" s="22">
        <v>8.0078099999999999E-2</v>
      </c>
      <c r="L211">
        <f t="shared" si="36"/>
        <v>-75.317400000000006</v>
      </c>
      <c r="M211">
        <f t="shared" si="37"/>
        <v>-59.335876211400006</v>
      </c>
      <c r="N211" s="9"/>
      <c r="O211" s="22">
        <v>0.91217000000000004</v>
      </c>
      <c r="P211" s="22">
        <v>158.69</v>
      </c>
      <c r="Q211" s="22">
        <v>-1.6708400000000002E-2</v>
      </c>
      <c r="R211" s="22">
        <v>201</v>
      </c>
      <c r="S211" s="22">
        <v>0.91125500000000004</v>
      </c>
      <c r="T211">
        <f t="shared" si="38"/>
        <v>16.708400000000001</v>
      </c>
      <c r="U211">
        <f t="shared" si="39"/>
        <v>15.240901228000002</v>
      </c>
      <c r="X211" s="9"/>
      <c r="Y211" s="22">
        <v>0.78781100000000004</v>
      </c>
      <c r="Z211" s="22">
        <v>222.27600000000001</v>
      </c>
      <c r="AA211" s="22">
        <v>-1.6763299999999998E-2</v>
      </c>
      <c r="AB211" s="22">
        <v>201</v>
      </c>
      <c r="AC211" s="22">
        <v>0.78674299999999997</v>
      </c>
      <c r="AD211">
        <f t="shared" si="40"/>
        <v>16.763299999999997</v>
      </c>
      <c r="AE211">
        <f t="shared" si="41"/>
        <v>13.206312136299999</v>
      </c>
      <c r="AF211" s="9"/>
      <c r="AG211" s="22">
        <v>0.91217000000000004</v>
      </c>
      <c r="AH211" s="22">
        <v>354.60899999999998</v>
      </c>
      <c r="AI211" s="22">
        <v>-1.6668700000000002E-2</v>
      </c>
      <c r="AJ211" s="22">
        <v>201</v>
      </c>
      <c r="AK211" s="22">
        <v>0.91064500000000004</v>
      </c>
      <c r="AL211">
        <f t="shared" si="42"/>
        <v>16.668700000000001</v>
      </c>
      <c r="AM211">
        <f t="shared" si="43"/>
        <v>15.204688079000002</v>
      </c>
      <c r="AP211" s="9"/>
      <c r="AQ211" s="22">
        <v>0.78781100000000004</v>
      </c>
      <c r="AR211" s="22">
        <v>423.69900000000001</v>
      </c>
      <c r="AS211" s="22">
        <v>-1.6735799999999999E-2</v>
      </c>
      <c r="AT211" s="22">
        <v>201</v>
      </c>
      <c r="AU211" s="22">
        <v>0.78704799999999997</v>
      </c>
      <c r="AV211">
        <f t="shared" si="44"/>
        <v>16.735799999999998</v>
      </c>
      <c r="AW211">
        <f t="shared" si="45"/>
        <v>13.184647333799999</v>
      </c>
      <c r="AX211" s="9"/>
      <c r="AY211" s="22">
        <v>0.91217000000000004</v>
      </c>
      <c r="AZ211" s="22">
        <v>484.53199999999998</v>
      </c>
      <c r="BA211" s="22">
        <v>-1.6650399999999999E-2</v>
      </c>
      <c r="BB211" s="22">
        <v>201</v>
      </c>
      <c r="BC211" s="22">
        <v>0.91064500000000004</v>
      </c>
      <c r="BD211">
        <f t="shared" si="46"/>
        <v>16.650399999999998</v>
      </c>
      <c r="BE211">
        <f t="shared" si="47"/>
        <v>15.187995367999999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47.863399999999999</v>
      </c>
      <c r="I212" s="22">
        <v>7.5396699999999997E-2</v>
      </c>
      <c r="J212" s="22">
        <v>202</v>
      </c>
      <c r="K212" s="22">
        <v>7.9986600000000005E-2</v>
      </c>
      <c r="L212">
        <f t="shared" si="36"/>
        <v>-75.396699999999996</v>
      </c>
      <c r="M212">
        <f t="shared" si="37"/>
        <v>-59.018727239199997</v>
      </c>
      <c r="N212" s="9"/>
      <c r="O212" s="22">
        <v>0.91720599999999997</v>
      </c>
      <c r="P212" s="22">
        <v>158.79</v>
      </c>
      <c r="Q212" s="22">
        <v>-1.6705299999999999E-2</v>
      </c>
      <c r="R212" s="22">
        <v>202</v>
      </c>
      <c r="S212" s="22">
        <v>0.91644300000000001</v>
      </c>
      <c r="T212">
        <f t="shared" si="38"/>
        <v>16.705299999999998</v>
      </c>
      <c r="U212">
        <f t="shared" si="39"/>
        <v>15.322201391799997</v>
      </c>
      <c r="X212" s="9"/>
      <c r="Y212" s="22">
        <v>0.78277600000000003</v>
      </c>
      <c r="Z212" s="22">
        <v>222.376</v>
      </c>
      <c r="AA212" s="22">
        <v>-1.67694E-2</v>
      </c>
      <c r="AB212" s="22">
        <v>202</v>
      </c>
      <c r="AC212" s="22">
        <v>0.78216600000000003</v>
      </c>
      <c r="AD212">
        <f t="shared" si="40"/>
        <v>16.769400000000001</v>
      </c>
      <c r="AE212">
        <f t="shared" si="41"/>
        <v>13.126683854400001</v>
      </c>
      <c r="AF212" s="9"/>
      <c r="AG212" s="22">
        <v>0.91720599999999997</v>
      </c>
      <c r="AH212" s="22">
        <v>354.71</v>
      </c>
      <c r="AI212" s="22">
        <v>-1.6671800000000001E-2</v>
      </c>
      <c r="AJ212" s="22">
        <v>202</v>
      </c>
      <c r="AK212" s="22">
        <v>0.91644300000000001</v>
      </c>
      <c r="AL212">
        <f t="shared" si="42"/>
        <v>16.671800000000001</v>
      </c>
      <c r="AM212">
        <f t="shared" si="43"/>
        <v>15.291474990800001</v>
      </c>
      <c r="AP212" s="9"/>
      <c r="AQ212" s="22">
        <v>0.78277600000000003</v>
      </c>
      <c r="AR212" s="22">
        <v>423.8</v>
      </c>
      <c r="AS212" s="22">
        <v>-1.6741900000000001E-2</v>
      </c>
      <c r="AT212" s="22">
        <v>202</v>
      </c>
      <c r="AU212" s="22">
        <v>0.78216600000000003</v>
      </c>
      <c r="AV212">
        <f t="shared" si="44"/>
        <v>16.741900000000001</v>
      </c>
      <c r="AW212">
        <f t="shared" si="45"/>
        <v>13.105157514400002</v>
      </c>
      <c r="AX212" s="9"/>
      <c r="AY212" s="22">
        <v>0.91720599999999997</v>
      </c>
      <c r="AZ212" s="22">
        <v>484.63299999999998</v>
      </c>
      <c r="BA212" s="22">
        <v>-1.6638199999999999E-2</v>
      </c>
      <c r="BB212" s="22">
        <v>202</v>
      </c>
      <c r="BC212" s="22">
        <v>0.91644300000000001</v>
      </c>
      <c r="BD212">
        <f t="shared" si="46"/>
        <v>16.638199999999998</v>
      </c>
      <c r="BE212">
        <f t="shared" si="47"/>
        <v>15.260656869199996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47.964100000000002</v>
      </c>
      <c r="I213" s="22">
        <v>7.5292999999999999E-2</v>
      </c>
      <c r="J213" s="22">
        <v>203</v>
      </c>
      <c r="K213" s="22">
        <v>7.9986600000000005E-2</v>
      </c>
      <c r="L213">
        <f t="shared" si="36"/>
        <v>-75.292999999999992</v>
      </c>
      <c r="M213">
        <f t="shared" si="37"/>
        <v>-58.55837781999999</v>
      </c>
      <c r="N213" s="9"/>
      <c r="O213" s="22">
        <v>0.92224099999999998</v>
      </c>
      <c r="P213" s="22">
        <v>158.89099999999999</v>
      </c>
      <c r="Q213" s="22">
        <v>-1.6699200000000001E-2</v>
      </c>
      <c r="R213" s="22">
        <v>203</v>
      </c>
      <c r="S213" s="22">
        <v>0.92102099999999998</v>
      </c>
      <c r="T213">
        <f t="shared" si="38"/>
        <v>16.699200000000001</v>
      </c>
      <c r="U213">
        <f t="shared" si="39"/>
        <v>15.400686907200001</v>
      </c>
      <c r="X213" s="9"/>
      <c r="Y213" s="22">
        <v>0.77773999999999999</v>
      </c>
      <c r="Z213" s="22">
        <v>222.477</v>
      </c>
      <c r="AA213" s="22">
        <v>-1.6766400000000001E-2</v>
      </c>
      <c r="AB213" s="22">
        <v>203</v>
      </c>
      <c r="AC213" s="22">
        <v>0.77667200000000003</v>
      </c>
      <c r="AD213">
        <f t="shared" si="40"/>
        <v>16.766400000000001</v>
      </c>
      <c r="AE213">
        <f t="shared" si="41"/>
        <v>13.039899936000001</v>
      </c>
      <c r="AF213" s="9"/>
      <c r="AG213" s="22">
        <v>0.92224099999999998</v>
      </c>
      <c r="AH213" s="22">
        <v>354.81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0.77773999999999999</v>
      </c>
      <c r="AR213" s="22">
        <v>423.9</v>
      </c>
      <c r="AS213" s="22">
        <v>-1.6741900000000001E-2</v>
      </c>
      <c r="AT213" s="22">
        <v>203</v>
      </c>
      <c r="AU213" s="22">
        <v>0.77697799999999995</v>
      </c>
      <c r="AV213">
        <f t="shared" si="44"/>
        <v>16.741900000000001</v>
      </c>
      <c r="AW213">
        <f t="shared" si="45"/>
        <v>13.020845306</v>
      </c>
      <c r="AX213" s="9"/>
      <c r="AY213" s="22">
        <v>0.92224099999999998</v>
      </c>
      <c r="AZ213" s="22">
        <v>484.733</v>
      </c>
      <c r="BA213" s="22">
        <v>-1.66351E-2</v>
      </c>
      <c r="BB213" s="22">
        <v>203</v>
      </c>
      <c r="BC213" s="22">
        <v>0.92132599999999998</v>
      </c>
      <c r="BD213">
        <f t="shared" si="46"/>
        <v>16.635100000000001</v>
      </c>
      <c r="BE213">
        <f t="shared" si="47"/>
        <v>15.3415712591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48.064799999999998</v>
      </c>
      <c r="I214" s="22">
        <v>7.5378399999999998E-2</v>
      </c>
      <c r="J214" s="22">
        <v>204</v>
      </c>
      <c r="K214" s="22">
        <v>7.9986600000000005E-2</v>
      </c>
      <c r="L214">
        <f t="shared" si="36"/>
        <v>-75.378399999999999</v>
      </c>
      <c r="M214">
        <f t="shared" si="37"/>
        <v>-58.245266571999998</v>
      </c>
      <c r="N214" s="9"/>
      <c r="O214" s="22">
        <v>0.92727700000000002</v>
      </c>
      <c r="P214" s="22">
        <v>158.99199999999999</v>
      </c>
      <c r="Q214" s="22">
        <v>-1.6696200000000001E-2</v>
      </c>
      <c r="R214" s="22">
        <v>204</v>
      </c>
      <c r="S214" s="22">
        <v>0.92620800000000003</v>
      </c>
      <c r="T214">
        <f t="shared" si="38"/>
        <v>16.696200000000001</v>
      </c>
      <c r="U214">
        <f t="shared" si="39"/>
        <v>15.482002247400001</v>
      </c>
      <c r="X214" s="9"/>
      <c r="Y214" s="22">
        <v>0.77270499999999998</v>
      </c>
      <c r="Z214" s="22">
        <v>222.578</v>
      </c>
      <c r="AA214" s="22">
        <v>-1.6775499999999999E-2</v>
      </c>
      <c r="AB214" s="22">
        <v>204</v>
      </c>
      <c r="AC214" s="22">
        <v>0.77178999999999998</v>
      </c>
      <c r="AD214">
        <f t="shared" si="40"/>
        <v>16.775499999999997</v>
      </c>
      <c r="AE214">
        <f t="shared" si="41"/>
        <v>12.962512727499998</v>
      </c>
      <c r="AF214" s="9"/>
      <c r="AG214" s="22">
        <v>0.92727700000000002</v>
      </c>
      <c r="AH214" s="22">
        <v>354.911</v>
      </c>
      <c r="AI214" s="22">
        <v>-1.6659500000000001E-2</v>
      </c>
      <c r="AJ214" s="22">
        <v>204</v>
      </c>
      <c r="AK214" s="22">
        <v>0.92681899999999995</v>
      </c>
      <c r="AL214">
        <f t="shared" si="42"/>
        <v>16.659500000000001</v>
      </c>
      <c r="AM214">
        <f t="shared" si="43"/>
        <v>15.447971181500002</v>
      </c>
      <c r="AP214" s="9"/>
      <c r="AQ214" s="22">
        <v>0.77270499999999998</v>
      </c>
      <c r="AR214" s="22">
        <v>424.00099999999998</v>
      </c>
      <c r="AS214" s="22">
        <v>-1.6741900000000001E-2</v>
      </c>
      <c r="AT214" s="22">
        <v>204</v>
      </c>
      <c r="AU214" s="22">
        <v>0.77148399999999995</v>
      </c>
      <c r="AV214">
        <f t="shared" si="44"/>
        <v>16.741900000000001</v>
      </c>
      <c r="AW214">
        <f t="shared" si="45"/>
        <v>12.9365498395</v>
      </c>
      <c r="AX214" s="9"/>
      <c r="AY214" s="22">
        <v>0.92727700000000002</v>
      </c>
      <c r="AZ214" s="22">
        <v>484.834</v>
      </c>
      <c r="BA214" s="22">
        <v>-1.66351E-2</v>
      </c>
      <c r="BB214" s="22">
        <v>204</v>
      </c>
      <c r="BC214" s="22">
        <v>0.92681899999999995</v>
      </c>
      <c r="BD214">
        <f t="shared" si="46"/>
        <v>16.635100000000001</v>
      </c>
      <c r="BE214">
        <f t="shared" si="47"/>
        <v>15.425345622700002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48.165500000000002</v>
      </c>
      <c r="I215" s="22">
        <v>7.5286900000000004E-2</v>
      </c>
      <c r="J215" s="22">
        <v>205</v>
      </c>
      <c r="K215" s="22">
        <v>8.0047599999999997E-2</v>
      </c>
      <c r="L215">
        <f t="shared" si="36"/>
        <v>-75.286900000000003</v>
      </c>
      <c r="M215">
        <f t="shared" si="37"/>
        <v>-57.795494523000002</v>
      </c>
      <c r="N215" s="9"/>
      <c r="O215" s="22">
        <v>0.93231200000000003</v>
      </c>
      <c r="P215" s="22">
        <v>159.09200000000001</v>
      </c>
      <c r="Q215" s="22">
        <v>-1.6687E-2</v>
      </c>
      <c r="R215" s="22">
        <v>205</v>
      </c>
      <c r="S215" s="22">
        <v>0.931091</v>
      </c>
      <c r="T215">
        <f t="shared" si="38"/>
        <v>16.687000000000001</v>
      </c>
      <c r="U215">
        <f t="shared" si="39"/>
        <v>15.557490344000001</v>
      </c>
      <c r="X215" s="9"/>
      <c r="Y215" s="22">
        <v>0.76766999999999996</v>
      </c>
      <c r="Z215" s="22">
        <v>222.678</v>
      </c>
      <c r="AA215" s="22">
        <v>-1.67847E-2</v>
      </c>
      <c r="AB215" s="22">
        <v>205</v>
      </c>
      <c r="AC215" s="22">
        <v>0.767517</v>
      </c>
      <c r="AD215">
        <f t="shared" si="40"/>
        <v>16.784700000000001</v>
      </c>
      <c r="AE215">
        <f t="shared" si="41"/>
        <v>12.885110649</v>
      </c>
      <c r="AF215" s="9"/>
      <c r="AG215" s="22">
        <v>0.93231200000000003</v>
      </c>
      <c r="AH215" s="22">
        <v>355.012</v>
      </c>
      <c r="AI215" s="22">
        <v>-1.6656500000000001E-2</v>
      </c>
      <c r="AJ215" s="22">
        <v>205</v>
      </c>
      <c r="AK215" s="22">
        <v>0.93170200000000003</v>
      </c>
      <c r="AL215">
        <f t="shared" si="42"/>
        <v>16.656500000000001</v>
      </c>
      <c r="AM215">
        <f t="shared" si="43"/>
        <v>15.529054828000001</v>
      </c>
      <c r="AP215" s="9"/>
      <c r="AQ215" s="22">
        <v>0.76766999999999996</v>
      </c>
      <c r="AR215" s="22">
        <v>424.10199999999998</v>
      </c>
      <c r="AS215" s="22">
        <v>-1.6751100000000001E-2</v>
      </c>
      <c r="AT215" s="22">
        <v>205</v>
      </c>
      <c r="AU215" s="22">
        <v>0.76721200000000001</v>
      </c>
      <c r="AV215">
        <f t="shared" si="44"/>
        <v>16.751100000000001</v>
      </c>
      <c r="AW215">
        <f t="shared" si="45"/>
        <v>12.859316937000001</v>
      </c>
      <c r="AX215" s="9"/>
      <c r="AY215" s="22">
        <v>0.93231200000000003</v>
      </c>
      <c r="AZ215" s="22">
        <v>484.935</v>
      </c>
      <c r="BA215" s="22">
        <v>-1.6625999999999998E-2</v>
      </c>
      <c r="BB215" s="22">
        <v>205</v>
      </c>
      <c r="BC215" s="22">
        <v>0.931396</v>
      </c>
      <c r="BD215">
        <f t="shared" si="46"/>
        <v>16.625999999999998</v>
      </c>
      <c r="BE215">
        <f t="shared" si="47"/>
        <v>15.500619311999998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48.266199999999998</v>
      </c>
      <c r="I216" s="22">
        <v>7.5244099999999994E-2</v>
      </c>
      <c r="J216" s="22">
        <v>206</v>
      </c>
      <c r="K216" s="22">
        <v>8.0017099999999994E-2</v>
      </c>
      <c r="L216">
        <f t="shared" si="36"/>
        <v>-75.244099999999989</v>
      </c>
      <c r="M216">
        <f t="shared" si="37"/>
        <v>-57.383708959399996</v>
      </c>
      <c r="N216" s="9"/>
      <c r="O216" s="22">
        <v>0.93734700000000004</v>
      </c>
      <c r="P216" s="22">
        <v>159.19300000000001</v>
      </c>
      <c r="Q216" s="22">
        <v>-1.6690099999999999E-2</v>
      </c>
      <c r="R216" s="22">
        <v>206</v>
      </c>
      <c r="S216" s="22">
        <v>0.93566899999999997</v>
      </c>
      <c r="T216">
        <f t="shared" si="38"/>
        <v>16.690100000000001</v>
      </c>
      <c r="U216">
        <f t="shared" si="39"/>
        <v>15.644415164700002</v>
      </c>
      <c r="X216" s="9"/>
      <c r="Y216" s="22">
        <v>0.76263400000000003</v>
      </c>
      <c r="Z216" s="22">
        <v>222.779</v>
      </c>
      <c r="AA216" s="22">
        <v>-1.6781600000000001E-2</v>
      </c>
      <c r="AB216" s="22">
        <v>206</v>
      </c>
      <c r="AC216" s="22">
        <v>0.76171900000000003</v>
      </c>
      <c r="AD216">
        <f t="shared" si="40"/>
        <v>16.781600000000001</v>
      </c>
      <c r="AE216">
        <f t="shared" si="41"/>
        <v>12.798218734400001</v>
      </c>
      <c r="AF216" s="9"/>
      <c r="AG216" s="22">
        <v>0.93734700000000004</v>
      </c>
      <c r="AH216" s="22">
        <v>355.11200000000002</v>
      </c>
      <c r="AI216" s="22">
        <v>-1.6659500000000001E-2</v>
      </c>
      <c r="AJ216" s="22">
        <v>206</v>
      </c>
      <c r="AK216" s="22">
        <v>0.93658399999999997</v>
      </c>
      <c r="AL216">
        <f t="shared" si="42"/>
        <v>16.659500000000001</v>
      </c>
      <c r="AM216">
        <f t="shared" si="43"/>
        <v>15.615732346500002</v>
      </c>
      <c r="AP216" s="9"/>
      <c r="AQ216" s="22">
        <v>0.76263400000000003</v>
      </c>
      <c r="AR216" s="22">
        <v>424.202</v>
      </c>
      <c r="AS216" s="22">
        <v>-1.67542E-2</v>
      </c>
      <c r="AT216" s="22">
        <v>206</v>
      </c>
      <c r="AU216" s="22">
        <v>0.76110800000000001</v>
      </c>
      <c r="AV216">
        <f t="shared" si="44"/>
        <v>16.754200000000001</v>
      </c>
      <c r="AW216">
        <f t="shared" si="45"/>
        <v>12.777322562800002</v>
      </c>
      <c r="AX216" s="9"/>
      <c r="AY216" s="22">
        <v>0.93734700000000004</v>
      </c>
      <c r="AZ216" s="22">
        <v>485.03500000000003</v>
      </c>
      <c r="BA216" s="22">
        <v>-1.6625999999999998E-2</v>
      </c>
      <c r="BB216" s="22">
        <v>206</v>
      </c>
      <c r="BC216" s="22">
        <v>0.93658399999999997</v>
      </c>
      <c r="BD216">
        <f t="shared" si="46"/>
        <v>16.625999999999998</v>
      </c>
      <c r="BE216">
        <f t="shared" si="47"/>
        <v>15.584331221999998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48.366900000000001</v>
      </c>
      <c r="I217" s="22">
        <v>7.5207499999999997E-2</v>
      </c>
      <c r="J217" s="22">
        <v>207</v>
      </c>
      <c r="K217" s="22">
        <v>8.0017099999999994E-2</v>
      </c>
      <c r="L217">
        <f t="shared" si="36"/>
        <v>-75.207499999999996</v>
      </c>
      <c r="M217">
        <f t="shared" si="37"/>
        <v>-56.977126792500002</v>
      </c>
      <c r="N217" s="9"/>
      <c r="O217" s="22">
        <v>0.94238299999999997</v>
      </c>
      <c r="P217" s="22">
        <v>159.29400000000001</v>
      </c>
      <c r="Q217" s="22">
        <v>-1.6687E-2</v>
      </c>
      <c r="R217" s="22">
        <v>207</v>
      </c>
      <c r="S217" s="22">
        <v>0.94146700000000005</v>
      </c>
      <c r="T217">
        <f t="shared" si="38"/>
        <v>16.687000000000001</v>
      </c>
      <c r="U217">
        <f t="shared" si="39"/>
        <v>15.725545121000001</v>
      </c>
      <c r="X217" s="9"/>
      <c r="Y217" s="22">
        <v>0.75759900000000002</v>
      </c>
      <c r="Z217" s="22">
        <v>222.88</v>
      </c>
      <c r="AA217" s="22">
        <v>-1.6781600000000001E-2</v>
      </c>
      <c r="AB217" s="22">
        <v>207</v>
      </c>
      <c r="AC217" s="22">
        <v>0.75653099999999995</v>
      </c>
      <c r="AD217">
        <f t="shared" si="40"/>
        <v>16.781600000000001</v>
      </c>
      <c r="AE217">
        <f t="shared" si="41"/>
        <v>12.713723378400001</v>
      </c>
      <c r="AF217" s="9"/>
      <c r="AG217" s="22">
        <v>0.94238299999999997</v>
      </c>
      <c r="AH217" s="22">
        <v>355.21300000000002</v>
      </c>
      <c r="AI217" s="22">
        <v>-1.6656500000000001E-2</v>
      </c>
      <c r="AJ217" s="22">
        <v>207</v>
      </c>
      <c r="AK217" s="22">
        <v>0.94116200000000005</v>
      </c>
      <c r="AL217">
        <f t="shared" si="42"/>
        <v>16.656500000000001</v>
      </c>
      <c r="AM217">
        <f t="shared" si="43"/>
        <v>15.696802439500001</v>
      </c>
      <c r="AP217" s="9"/>
      <c r="AQ217" s="22">
        <v>0.75759900000000002</v>
      </c>
      <c r="AR217" s="22">
        <v>424.303</v>
      </c>
      <c r="AS217" s="22">
        <v>-1.6751100000000001E-2</v>
      </c>
      <c r="AT217" s="22">
        <v>207</v>
      </c>
      <c r="AU217" s="22">
        <v>0.75714099999999995</v>
      </c>
      <c r="AV217">
        <f t="shared" si="44"/>
        <v>16.751100000000001</v>
      </c>
      <c r="AW217">
        <f t="shared" si="45"/>
        <v>12.690616608900001</v>
      </c>
      <c r="AX217" s="9"/>
      <c r="AY217" s="22">
        <v>0.94238299999999997</v>
      </c>
      <c r="AZ217" s="22">
        <v>485.13600000000002</v>
      </c>
      <c r="BA217" s="22">
        <v>-1.66199E-2</v>
      </c>
      <c r="BB217" s="22">
        <v>207</v>
      </c>
      <c r="BC217" s="22">
        <v>0.94146700000000005</v>
      </c>
      <c r="BD217">
        <f t="shared" si="46"/>
        <v>16.619900000000001</v>
      </c>
      <c r="BE217">
        <f t="shared" si="47"/>
        <v>15.662311221700001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48.467599999999997</v>
      </c>
      <c r="I218" s="22">
        <v>7.5164800000000004E-2</v>
      </c>
      <c r="J218" s="22">
        <v>208</v>
      </c>
      <c r="K218" s="22">
        <v>8.0047599999999997E-2</v>
      </c>
      <c r="L218">
        <f t="shared" si="36"/>
        <v>-75.1648</v>
      </c>
      <c r="M218">
        <f t="shared" si="37"/>
        <v>-56.5662473824</v>
      </c>
      <c r="N218" s="9"/>
      <c r="O218" s="22">
        <v>0.94741799999999998</v>
      </c>
      <c r="P218" s="22">
        <v>159.39500000000001</v>
      </c>
      <c r="Q218" s="22">
        <v>-1.6680899999999999E-2</v>
      </c>
      <c r="R218" s="22">
        <v>208</v>
      </c>
      <c r="S218" s="22">
        <v>0.94696000000000002</v>
      </c>
      <c r="T218">
        <f t="shared" si="38"/>
        <v>16.680899999999998</v>
      </c>
      <c r="U218">
        <f t="shared" si="39"/>
        <v>15.803784916199998</v>
      </c>
      <c r="X218" s="9"/>
      <c r="Y218" s="22">
        <v>0.75256299999999998</v>
      </c>
      <c r="Z218" s="22">
        <v>222.98099999999999</v>
      </c>
      <c r="AA218" s="22">
        <v>-1.6787699999999999E-2</v>
      </c>
      <c r="AB218" s="22">
        <v>208</v>
      </c>
      <c r="AC218" s="22">
        <v>0.75225799999999998</v>
      </c>
      <c r="AD218">
        <f t="shared" si="40"/>
        <v>16.787699999999997</v>
      </c>
      <c r="AE218">
        <f t="shared" si="41"/>
        <v>12.633801875099998</v>
      </c>
      <c r="AF218" s="9"/>
      <c r="AG218" s="22">
        <v>0.94741799999999998</v>
      </c>
      <c r="AH218" s="22">
        <v>355.31400000000002</v>
      </c>
      <c r="AI218" s="22">
        <v>-1.66473E-2</v>
      </c>
      <c r="AJ218" s="22">
        <v>208</v>
      </c>
      <c r="AK218" s="22">
        <v>0.94635000000000002</v>
      </c>
      <c r="AL218">
        <f t="shared" si="42"/>
        <v>16.647300000000001</v>
      </c>
      <c r="AM218">
        <f t="shared" si="43"/>
        <v>15.7719516714</v>
      </c>
      <c r="AP218" s="9"/>
      <c r="AQ218" s="22">
        <v>0.75256299999999998</v>
      </c>
      <c r="AR218" s="22">
        <v>424.404</v>
      </c>
      <c r="AS218" s="22">
        <v>-1.67572E-2</v>
      </c>
      <c r="AT218" s="22">
        <v>208</v>
      </c>
      <c r="AU218" s="22">
        <v>0.75164799999999998</v>
      </c>
      <c r="AV218">
        <f t="shared" si="44"/>
        <v>16.757200000000001</v>
      </c>
      <c r="AW218">
        <f t="shared" si="45"/>
        <v>12.6108487036</v>
      </c>
      <c r="AX218" s="9"/>
      <c r="AY218" s="22">
        <v>0.94741799999999998</v>
      </c>
      <c r="AZ218" s="22">
        <v>485.23700000000002</v>
      </c>
      <c r="BA218" s="22">
        <v>-1.66199E-2</v>
      </c>
      <c r="BB218" s="22">
        <v>208</v>
      </c>
      <c r="BC218" s="22">
        <v>0.94696000000000002</v>
      </c>
      <c r="BD218">
        <f t="shared" si="46"/>
        <v>16.619900000000001</v>
      </c>
      <c r="BE218">
        <f t="shared" si="47"/>
        <v>15.7459924182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48.568300000000001</v>
      </c>
      <c r="I219" s="22">
        <v>7.51251E-2</v>
      </c>
      <c r="J219" s="22">
        <v>209</v>
      </c>
      <c r="K219" s="22">
        <v>8.0139199999999994E-2</v>
      </c>
      <c r="L219">
        <f t="shared" si="36"/>
        <v>-75.125100000000003</v>
      </c>
      <c r="M219">
        <f t="shared" si="37"/>
        <v>-56.158115752800001</v>
      </c>
      <c r="N219" s="9"/>
      <c r="O219" s="22">
        <v>0.95245400000000002</v>
      </c>
      <c r="P219" s="22">
        <v>159.495</v>
      </c>
      <c r="Q219" s="22">
        <v>-1.6680899999999999E-2</v>
      </c>
      <c r="R219" s="22">
        <v>209</v>
      </c>
      <c r="S219" s="22">
        <v>0.95153799999999999</v>
      </c>
      <c r="T219">
        <f t="shared" si="38"/>
        <v>16.680899999999998</v>
      </c>
      <c r="U219">
        <f t="shared" si="39"/>
        <v>15.887789928599998</v>
      </c>
      <c r="X219" s="9"/>
      <c r="Y219" s="22">
        <v>0.74752799999999997</v>
      </c>
      <c r="Z219" s="22">
        <v>223.08099999999999</v>
      </c>
      <c r="AA219" s="22">
        <v>-1.67999E-2</v>
      </c>
      <c r="AB219" s="22">
        <v>209</v>
      </c>
      <c r="AC219" s="22">
        <v>0.74682599999999999</v>
      </c>
      <c r="AD219">
        <f t="shared" si="40"/>
        <v>16.799900000000001</v>
      </c>
      <c r="AE219">
        <f t="shared" si="41"/>
        <v>12.558395647199999</v>
      </c>
      <c r="AF219" s="9"/>
      <c r="AG219" s="22">
        <v>0.95245400000000002</v>
      </c>
      <c r="AH219" s="22">
        <v>355.41500000000002</v>
      </c>
      <c r="AI219" s="22">
        <v>-1.6644300000000001E-2</v>
      </c>
      <c r="AJ219" s="22">
        <v>209</v>
      </c>
      <c r="AK219" s="22">
        <v>0.95184299999999999</v>
      </c>
      <c r="AL219">
        <f t="shared" si="42"/>
        <v>16.644300000000001</v>
      </c>
      <c r="AM219">
        <f t="shared" si="43"/>
        <v>15.852930112200001</v>
      </c>
      <c r="AP219" s="9"/>
      <c r="AQ219" s="22">
        <v>0.74752799999999997</v>
      </c>
      <c r="AR219" s="22">
        <v>424.505</v>
      </c>
      <c r="AS219" s="22">
        <v>-1.67572E-2</v>
      </c>
      <c r="AT219" s="22">
        <v>209</v>
      </c>
      <c r="AU219" s="22">
        <v>0.74676500000000001</v>
      </c>
      <c r="AV219">
        <f t="shared" si="44"/>
        <v>16.757200000000001</v>
      </c>
      <c r="AW219">
        <f t="shared" si="45"/>
        <v>12.5264762016</v>
      </c>
      <c r="AX219" s="9"/>
      <c r="AY219" s="22">
        <v>0.95245400000000002</v>
      </c>
      <c r="AZ219" s="22">
        <v>485.33800000000002</v>
      </c>
      <c r="BA219" s="22">
        <v>-1.6610699999999999E-2</v>
      </c>
      <c r="BB219" s="22">
        <v>209</v>
      </c>
      <c r="BC219" s="22">
        <v>0.95184299999999999</v>
      </c>
      <c r="BD219">
        <f t="shared" si="46"/>
        <v>16.610699999999998</v>
      </c>
      <c r="BE219">
        <f t="shared" si="47"/>
        <v>15.820927657799999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48.6691</v>
      </c>
      <c r="I220" s="22">
        <v>7.5137300000000004E-2</v>
      </c>
      <c r="J220" s="22">
        <v>210</v>
      </c>
      <c r="K220" s="22">
        <v>8.0108600000000002E-2</v>
      </c>
      <c r="L220">
        <f t="shared" si="36"/>
        <v>-75.13730000000001</v>
      </c>
      <c r="M220">
        <f t="shared" si="37"/>
        <v>-55.788919288900004</v>
      </c>
      <c r="N220" s="9"/>
      <c r="O220" s="22">
        <v>0.95748900000000003</v>
      </c>
      <c r="P220" s="22">
        <v>159.596</v>
      </c>
      <c r="Q220" s="22">
        <v>-1.66748E-2</v>
      </c>
      <c r="R220" s="22">
        <v>210</v>
      </c>
      <c r="S220" s="22">
        <v>0.95672599999999997</v>
      </c>
      <c r="T220">
        <f t="shared" si="38"/>
        <v>16.674800000000001</v>
      </c>
      <c r="U220">
        <f t="shared" si="39"/>
        <v>15.965937577200002</v>
      </c>
      <c r="X220" s="9"/>
      <c r="Y220" s="22">
        <v>0.74249299999999996</v>
      </c>
      <c r="Z220" s="22">
        <v>223.18199999999999</v>
      </c>
      <c r="AA220" s="22">
        <v>-1.67969E-2</v>
      </c>
      <c r="AB220" s="22">
        <v>210</v>
      </c>
      <c r="AC220" s="22">
        <v>0.74173</v>
      </c>
      <c r="AD220">
        <f t="shared" si="40"/>
        <v>16.796900000000001</v>
      </c>
      <c r="AE220">
        <f t="shared" si="41"/>
        <v>12.4715806717</v>
      </c>
      <c r="AF220" s="9"/>
      <c r="AG220" s="22">
        <v>0.95748900000000003</v>
      </c>
      <c r="AH220" s="22">
        <v>355.51499999999999</v>
      </c>
      <c r="AI220" s="22">
        <v>-1.6644300000000001E-2</v>
      </c>
      <c r="AJ220" s="22">
        <v>210</v>
      </c>
      <c r="AK220" s="22">
        <v>0.95672599999999997</v>
      </c>
      <c r="AL220">
        <f t="shared" si="42"/>
        <v>16.644300000000001</v>
      </c>
      <c r="AM220">
        <f t="shared" si="43"/>
        <v>15.936734162700002</v>
      </c>
      <c r="AP220" s="9"/>
      <c r="AQ220" s="22">
        <v>0.74249299999999996</v>
      </c>
      <c r="AR220" s="22">
        <v>424.60500000000002</v>
      </c>
      <c r="AS220" s="22">
        <v>-1.6766400000000001E-2</v>
      </c>
      <c r="AT220" s="22">
        <v>210</v>
      </c>
      <c r="AU220" s="22">
        <v>0.74166900000000002</v>
      </c>
      <c r="AV220">
        <f t="shared" si="44"/>
        <v>16.766400000000001</v>
      </c>
      <c r="AW220">
        <f t="shared" si="45"/>
        <v>12.448934635200001</v>
      </c>
      <c r="AX220" s="9"/>
      <c r="AY220" s="22">
        <v>0.95748900000000003</v>
      </c>
      <c r="AZ220" s="22">
        <v>485.43799999999999</v>
      </c>
      <c r="BA220" s="22">
        <v>-1.6613800000000001E-2</v>
      </c>
      <c r="BB220" s="22">
        <v>210</v>
      </c>
      <c r="BC220" s="22">
        <v>0.95672599999999997</v>
      </c>
      <c r="BD220">
        <f t="shared" si="46"/>
        <v>16.613800000000001</v>
      </c>
      <c r="BE220">
        <f t="shared" si="47"/>
        <v>15.907530748200001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48.769799999999996</v>
      </c>
      <c r="I221" s="22">
        <v>7.5100700000000006E-2</v>
      </c>
      <c r="J221" s="22">
        <v>211</v>
      </c>
      <c r="K221" s="22">
        <v>8.0017099999999994E-2</v>
      </c>
      <c r="L221">
        <f t="shared" si="36"/>
        <v>-75.100700000000003</v>
      </c>
      <c r="M221">
        <f t="shared" si="37"/>
        <v>-55.383536919900003</v>
      </c>
      <c r="N221" s="9"/>
      <c r="O221" s="22">
        <v>0.96252400000000005</v>
      </c>
      <c r="P221" s="22">
        <v>159.697</v>
      </c>
      <c r="Q221" s="22">
        <v>-1.6677899999999999E-2</v>
      </c>
      <c r="R221" s="22">
        <v>211</v>
      </c>
      <c r="S221" s="22">
        <v>0.96099900000000005</v>
      </c>
      <c r="T221">
        <f t="shared" si="38"/>
        <v>16.677899999999998</v>
      </c>
      <c r="U221">
        <f t="shared" si="39"/>
        <v>16.052879019599999</v>
      </c>
      <c r="X221" s="9"/>
      <c r="Y221" s="22">
        <v>0.73745700000000003</v>
      </c>
      <c r="Z221" s="22">
        <v>223.28299999999999</v>
      </c>
      <c r="AA221" s="22">
        <v>-1.67969E-2</v>
      </c>
      <c r="AB221" s="22">
        <v>211</v>
      </c>
      <c r="AC221" s="22">
        <v>0.73666399999999999</v>
      </c>
      <c r="AD221">
        <f t="shared" si="40"/>
        <v>16.796900000000001</v>
      </c>
      <c r="AE221">
        <f t="shared" si="41"/>
        <v>12.386991483300001</v>
      </c>
      <c r="AF221" s="9"/>
      <c r="AG221" s="22">
        <v>0.96252400000000005</v>
      </c>
      <c r="AH221" s="22">
        <v>355.61599999999999</v>
      </c>
      <c r="AI221" s="22">
        <v>-1.6638199999999999E-2</v>
      </c>
      <c r="AJ221" s="22">
        <v>211</v>
      </c>
      <c r="AK221" s="22">
        <v>0.96221900000000005</v>
      </c>
      <c r="AL221">
        <f t="shared" si="42"/>
        <v>16.638199999999998</v>
      </c>
      <c r="AM221">
        <f t="shared" si="43"/>
        <v>16.014666816799998</v>
      </c>
      <c r="AP221" s="9"/>
      <c r="AQ221" s="22">
        <v>0.73745700000000003</v>
      </c>
      <c r="AR221" s="22">
        <v>424.70600000000002</v>
      </c>
      <c r="AS221" s="22">
        <v>-1.6763299999999998E-2</v>
      </c>
      <c r="AT221" s="22">
        <v>211</v>
      </c>
      <c r="AU221" s="22">
        <v>0.736572</v>
      </c>
      <c r="AV221">
        <f t="shared" si="44"/>
        <v>16.763299999999997</v>
      </c>
      <c r="AW221">
        <f t="shared" si="45"/>
        <v>12.362212928099998</v>
      </c>
      <c r="AX221" s="9"/>
      <c r="AY221" s="22">
        <v>0.96252400000000005</v>
      </c>
      <c r="AZ221" s="22">
        <v>485.53899999999999</v>
      </c>
      <c r="BA221" s="22">
        <v>-1.6613800000000001E-2</v>
      </c>
      <c r="BB221" s="22">
        <v>211</v>
      </c>
      <c r="BC221" s="22">
        <v>0.96160900000000005</v>
      </c>
      <c r="BD221">
        <f t="shared" si="46"/>
        <v>16.613800000000001</v>
      </c>
      <c r="BE221">
        <f t="shared" si="47"/>
        <v>15.991181231200002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48.8705</v>
      </c>
      <c r="I222" s="22">
        <v>7.51251E-2</v>
      </c>
      <c r="J222" s="22">
        <v>212</v>
      </c>
      <c r="K222" s="22">
        <v>7.9986600000000005E-2</v>
      </c>
      <c r="L222">
        <f t="shared" si="36"/>
        <v>-75.125100000000003</v>
      </c>
      <c r="M222">
        <f t="shared" si="37"/>
        <v>-55.023275992200006</v>
      </c>
      <c r="N222" s="9"/>
      <c r="O222" s="22">
        <v>0.96755999999999998</v>
      </c>
      <c r="P222" s="22">
        <v>159.797</v>
      </c>
      <c r="Q222" s="22">
        <v>-1.6668700000000002E-2</v>
      </c>
      <c r="R222" s="22">
        <v>212</v>
      </c>
      <c r="S222" s="22">
        <v>0.96710200000000002</v>
      </c>
      <c r="T222">
        <f t="shared" si="38"/>
        <v>16.668700000000001</v>
      </c>
      <c r="U222">
        <f t="shared" si="39"/>
        <v>16.127967372000001</v>
      </c>
      <c r="X222" s="9"/>
      <c r="Y222" s="22">
        <v>0.73242200000000002</v>
      </c>
      <c r="Z222" s="22">
        <v>223.38300000000001</v>
      </c>
      <c r="AA222" s="22">
        <v>-1.6802999999999998E-2</v>
      </c>
      <c r="AB222" s="22">
        <v>212</v>
      </c>
      <c r="AC222" s="22">
        <v>0.73162799999999995</v>
      </c>
      <c r="AD222">
        <f t="shared" si="40"/>
        <v>16.802999999999997</v>
      </c>
      <c r="AE222">
        <f t="shared" si="41"/>
        <v>12.306886865999997</v>
      </c>
      <c r="AF222" s="9"/>
      <c r="AG222" s="22">
        <v>0.96755999999999998</v>
      </c>
      <c r="AH222" s="22">
        <v>355.71699999999998</v>
      </c>
      <c r="AI222" s="22">
        <v>-1.6629000000000001E-2</v>
      </c>
      <c r="AJ222" s="22">
        <v>212</v>
      </c>
      <c r="AK222" s="22">
        <v>0.96649200000000002</v>
      </c>
      <c r="AL222">
        <f t="shared" si="42"/>
        <v>16.629000000000001</v>
      </c>
      <c r="AM222">
        <f t="shared" si="43"/>
        <v>16.089555239999999</v>
      </c>
      <c r="AP222" s="9"/>
      <c r="AQ222" s="22">
        <v>0.73242200000000002</v>
      </c>
      <c r="AR222" s="22">
        <v>424.80700000000002</v>
      </c>
      <c r="AS222" s="22">
        <v>-1.6772499999999999E-2</v>
      </c>
      <c r="AT222" s="22">
        <v>212</v>
      </c>
      <c r="AU222" s="22">
        <v>0.73159799999999997</v>
      </c>
      <c r="AV222">
        <f t="shared" si="44"/>
        <v>16.772500000000001</v>
      </c>
      <c r="AW222">
        <f t="shared" si="45"/>
        <v>12.284547995</v>
      </c>
      <c r="AX222" s="9"/>
      <c r="AY222" s="22">
        <v>0.96755999999999998</v>
      </c>
      <c r="AZ222" s="22">
        <v>485.64</v>
      </c>
      <c r="BA222" s="22">
        <v>-1.6601600000000001E-2</v>
      </c>
      <c r="BB222" s="22">
        <v>212</v>
      </c>
      <c r="BC222" s="22">
        <v>0.96618700000000002</v>
      </c>
      <c r="BD222">
        <f t="shared" si="46"/>
        <v>16.601600000000001</v>
      </c>
      <c r="BE222">
        <f t="shared" si="47"/>
        <v>16.063044096000002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48.971200000000003</v>
      </c>
      <c r="I223" s="22">
        <v>7.5094599999999997E-2</v>
      </c>
      <c r="J223" s="22">
        <v>213</v>
      </c>
      <c r="K223" s="22">
        <v>7.9925499999999997E-2</v>
      </c>
      <c r="L223">
        <f t="shared" si="36"/>
        <v>-75.0946</v>
      </c>
      <c r="M223">
        <f t="shared" si="37"/>
        <v>-54.622760715599995</v>
      </c>
      <c r="N223" s="9"/>
      <c r="O223" s="22">
        <v>0.97259499999999999</v>
      </c>
      <c r="P223" s="22">
        <v>159.898</v>
      </c>
      <c r="Q223" s="22">
        <v>-1.6665599999999999E-2</v>
      </c>
      <c r="R223" s="22">
        <v>213</v>
      </c>
      <c r="S223" s="22">
        <v>0.97106899999999996</v>
      </c>
      <c r="T223">
        <f t="shared" si="38"/>
        <v>16.665599999999998</v>
      </c>
      <c r="U223">
        <f t="shared" si="39"/>
        <v>16.208879231999997</v>
      </c>
      <c r="X223" s="9"/>
      <c r="Y223" s="22">
        <v>0.72738599999999998</v>
      </c>
      <c r="Z223" s="22">
        <v>223.48400000000001</v>
      </c>
      <c r="AA223" s="22">
        <v>-1.68091E-2</v>
      </c>
      <c r="AB223" s="22">
        <v>213</v>
      </c>
      <c r="AC223" s="22">
        <v>0.72662400000000005</v>
      </c>
      <c r="AD223">
        <f t="shared" si="40"/>
        <v>16.809100000000001</v>
      </c>
      <c r="AE223">
        <f t="shared" si="41"/>
        <v>12.226704012600001</v>
      </c>
      <c r="AF223" s="9"/>
      <c r="AG223" s="22">
        <v>0.97259499999999999</v>
      </c>
      <c r="AH223" s="22">
        <v>355.81700000000001</v>
      </c>
      <c r="AI223" s="22">
        <v>-1.6629000000000001E-2</v>
      </c>
      <c r="AJ223" s="22">
        <v>213</v>
      </c>
      <c r="AK223" s="22">
        <v>0.97198499999999999</v>
      </c>
      <c r="AL223">
        <f t="shared" si="42"/>
        <v>16.629000000000001</v>
      </c>
      <c r="AM223">
        <f t="shared" si="43"/>
        <v>16.173282255</v>
      </c>
      <c r="AP223" s="9"/>
      <c r="AQ223" s="22">
        <v>0.72738599999999998</v>
      </c>
      <c r="AR223" s="22">
        <v>424.90699999999998</v>
      </c>
      <c r="AS223" s="22">
        <v>-1.67694E-2</v>
      </c>
      <c r="AT223" s="22">
        <v>213</v>
      </c>
      <c r="AU223" s="22">
        <v>0.72653199999999996</v>
      </c>
      <c r="AV223">
        <f t="shared" si="44"/>
        <v>16.769400000000001</v>
      </c>
      <c r="AW223">
        <f t="shared" si="45"/>
        <v>12.1978267884</v>
      </c>
      <c r="AX223" s="9"/>
      <c r="AY223" s="22">
        <v>0.97259499999999999</v>
      </c>
      <c r="AZ223" s="22">
        <v>485.74</v>
      </c>
      <c r="BA223" s="22">
        <v>-1.6604600000000001E-2</v>
      </c>
      <c r="BB223" s="22">
        <v>213</v>
      </c>
      <c r="BC223" s="22">
        <v>0.97167999999999999</v>
      </c>
      <c r="BD223">
        <f t="shared" si="46"/>
        <v>16.604600000000001</v>
      </c>
      <c r="BE223">
        <f t="shared" si="47"/>
        <v>16.149550937000001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49.071899999999999</v>
      </c>
      <c r="I224" s="22">
        <v>7.5079300000000002E-2</v>
      </c>
      <c r="J224" s="22">
        <v>214</v>
      </c>
      <c r="K224" s="22">
        <v>7.9956100000000002E-2</v>
      </c>
      <c r="L224">
        <f t="shared" si="36"/>
        <v>-75.079300000000003</v>
      </c>
      <c r="M224">
        <f t="shared" si="37"/>
        <v>-54.233607434299998</v>
      </c>
      <c r="N224" s="9"/>
      <c r="O224" s="22">
        <v>0.97763100000000003</v>
      </c>
      <c r="P224" s="22">
        <v>159.999</v>
      </c>
      <c r="Q224" s="22">
        <v>-1.6659500000000001E-2</v>
      </c>
      <c r="R224" s="22">
        <v>214</v>
      </c>
      <c r="S224" s="22">
        <v>0.97656299999999996</v>
      </c>
      <c r="T224">
        <f t="shared" si="38"/>
        <v>16.659500000000001</v>
      </c>
      <c r="U224">
        <f t="shared" si="39"/>
        <v>16.286843644500003</v>
      </c>
      <c r="X224" s="9"/>
      <c r="Y224" s="22">
        <v>0.72235099999999997</v>
      </c>
      <c r="Z224" s="22">
        <v>223.58500000000001</v>
      </c>
      <c r="AA224" s="22">
        <v>-1.67999E-2</v>
      </c>
      <c r="AB224" s="22">
        <v>214</v>
      </c>
      <c r="AC224" s="22">
        <v>0.72143599999999997</v>
      </c>
      <c r="AD224">
        <f t="shared" si="40"/>
        <v>16.799900000000001</v>
      </c>
      <c r="AE224">
        <f t="shared" si="41"/>
        <v>12.135424564899999</v>
      </c>
      <c r="AF224" s="9"/>
      <c r="AG224" s="22">
        <v>0.97763100000000003</v>
      </c>
      <c r="AH224" s="22">
        <v>355.91800000000001</v>
      </c>
      <c r="AI224" s="22">
        <v>-1.66199E-2</v>
      </c>
      <c r="AJ224" s="22">
        <v>214</v>
      </c>
      <c r="AK224" s="22">
        <v>0.97595200000000004</v>
      </c>
      <c r="AL224">
        <f t="shared" si="42"/>
        <v>16.619900000000001</v>
      </c>
      <c r="AM224">
        <f t="shared" si="43"/>
        <v>16.248129456900003</v>
      </c>
      <c r="AP224" s="9"/>
      <c r="AQ224" s="22">
        <v>0.72235099999999997</v>
      </c>
      <c r="AR224" s="22">
        <v>425.00799999999998</v>
      </c>
      <c r="AS224" s="22">
        <v>-1.6772499999999999E-2</v>
      </c>
      <c r="AT224" s="22">
        <v>214</v>
      </c>
      <c r="AU224" s="22">
        <v>0.72146600000000005</v>
      </c>
      <c r="AV224">
        <f t="shared" si="44"/>
        <v>16.772500000000001</v>
      </c>
      <c r="AW224">
        <f t="shared" si="45"/>
        <v>12.1156321475</v>
      </c>
      <c r="AX224" s="9"/>
      <c r="AY224" s="22">
        <v>0.97763100000000003</v>
      </c>
      <c r="AZ224" s="22">
        <v>485.84100000000001</v>
      </c>
      <c r="BA224" s="22">
        <v>-1.6598499999999999E-2</v>
      </c>
      <c r="BB224" s="22">
        <v>214</v>
      </c>
      <c r="BC224" s="22">
        <v>0.97686799999999996</v>
      </c>
      <c r="BD224">
        <f t="shared" si="46"/>
        <v>16.598499999999998</v>
      </c>
      <c r="BE224">
        <f t="shared" si="47"/>
        <v>16.227208153499998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49.172600000000003</v>
      </c>
      <c r="I225" s="22">
        <v>7.5058E-2</v>
      </c>
      <c r="J225" s="22">
        <v>215</v>
      </c>
      <c r="K225" s="22">
        <v>8.0017099999999994E-2</v>
      </c>
      <c r="L225">
        <f t="shared" si="36"/>
        <v>-75.057999999999993</v>
      </c>
      <c r="M225">
        <f t="shared" si="37"/>
        <v>-53.840304327999988</v>
      </c>
      <c r="N225" s="9"/>
      <c r="O225" s="22">
        <v>0.98266600000000004</v>
      </c>
      <c r="P225" s="22">
        <v>160.09899999999999</v>
      </c>
      <c r="Q225" s="22">
        <v>-1.6659500000000001E-2</v>
      </c>
      <c r="R225" s="22">
        <v>215</v>
      </c>
      <c r="S225" s="22">
        <v>0.98144500000000001</v>
      </c>
      <c r="T225">
        <f t="shared" si="38"/>
        <v>16.659500000000001</v>
      </c>
      <c r="U225">
        <f t="shared" si="39"/>
        <v>16.370724227</v>
      </c>
      <c r="X225" s="9"/>
      <c r="Y225" s="22">
        <v>0.71731599999999995</v>
      </c>
      <c r="Z225" s="22">
        <v>223.685</v>
      </c>
      <c r="AA225" s="22">
        <v>-1.68121E-2</v>
      </c>
      <c r="AB225" s="22">
        <v>215</v>
      </c>
      <c r="AC225" s="22">
        <v>0.71658299999999997</v>
      </c>
      <c r="AD225">
        <f t="shared" si="40"/>
        <v>16.812100000000001</v>
      </c>
      <c r="AE225">
        <f t="shared" si="41"/>
        <v>12.0595883236</v>
      </c>
      <c r="AF225" s="9"/>
      <c r="AG225" s="22">
        <v>0.98266600000000004</v>
      </c>
      <c r="AH225" s="22">
        <v>356.01900000000001</v>
      </c>
      <c r="AI225" s="22">
        <v>-1.66199E-2</v>
      </c>
      <c r="AJ225" s="22">
        <v>215</v>
      </c>
      <c r="AK225" s="22">
        <v>0.98144500000000001</v>
      </c>
      <c r="AL225">
        <f t="shared" si="42"/>
        <v>16.619900000000001</v>
      </c>
      <c r="AM225">
        <f t="shared" si="43"/>
        <v>16.331810653400002</v>
      </c>
      <c r="AP225" s="9"/>
      <c r="AQ225" s="22">
        <v>0.71731599999999995</v>
      </c>
      <c r="AR225" s="22">
        <v>425.10899999999998</v>
      </c>
      <c r="AS225" s="22">
        <v>-1.6778600000000001E-2</v>
      </c>
      <c r="AT225" s="22">
        <v>215</v>
      </c>
      <c r="AU225" s="22">
        <v>0.71652199999999999</v>
      </c>
      <c r="AV225">
        <f t="shared" si="44"/>
        <v>16.778600000000001</v>
      </c>
      <c r="AW225">
        <f t="shared" si="45"/>
        <v>12.0355582376</v>
      </c>
      <c r="AX225" s="9"/>
      <c r="AY225" s="22">
        <v>0.98266600000000004</v>
      </c>
      <c r="AZ225" s="22">
        <v>485.94200000000001</v>
      </c>
      <c r="BA225" s="22">
        <v>-1.6595499999999999E-2</v>
      </c>
      <c r="BB225" s="22">
        <v>215</v>
      </c>
      <c r="BC225" s="22">
        <v>0.98053000000000001</v>
      </c>
      <c r="BD225">
        <f t="shared" si="46"/>
        <v>16.595499999999998</v>
      </c>
      <c r="BE225">
        <f t="shared" si="47"/>
        <v>16.307833602999999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49.273299999999999</v>
      </c>
      <c r="I226" s="22">
        <v>7.5006100000000006E-2</v>
      </c>
      <c r="J226" s="22">
        <v>216</v>
      </c>
      <c r="K226" s="22">
        <v>8.0047599999999997E-2</v>
      </c>
      <c r="L226">
        <f t="shared" si="36"/>
        <v>-75.006100000000004</v>
      </c>
      <c r="M226">
        <f t="shared" si="37"/>
        <v>-53.425344908000007</v>
      </c>
      <c r="N226" s="9"/>
      <c r="O226" s="22">
        <v>0.98770100000000005</v>
      </c>
      <c r="P226" s="22">
        <v>160.19999999999999</v>
      </c>
      <c r="Q226" s="22">
        <v>-1.6659500000000001E-2</v>
      </c>
      <c r="R226" s="22">
        <v>216</v>
      </c>
      <c r="S226" s="22">
        <v>0.98724400000000001</v>
      </c>
      <c r="T226">
        <f t="shared" si="38"/>
        <v>16.659500000000001</v>
      </c>
      <c r="U226">
        <f t="shared" si="39"/>
        <v>16.454604809500001</v>
      </c>
      <c r="X226" s="9"/>
      <c r="Y226" s="22">
        <v>0.71228000000000002</v>
      </c>
      <c r="Z226" s="22">
        <v>223.786</v>
      </c>
      <c r="AA226" s="22">
        <v>-1.68091E-2</v>
      </c>
      <c r="AB226" s="22">
        <v>216</v>
      </c>
      <c r="AC226" s="22">
        <v>0.71151699999999996</v>
      </c>
      <c r="AD226">
        <f t="shared" si="40"/>
        <v>16.809100000000001</v>
      </c>
      <c r="AE226">
        <f t="shared" si="41"/>
        <v>11.972785748000002</v>
      </c>
      <c r="AF226" s="9"/>
      <c r="AG226" s="22">
        <v>0.98770100000000005</v>
      </c>
      <c r="AH226" s="22">
        <v>356.11900000000003</v>
      </c>
      <c r="AI226" s="22">
        <v>-1.66199E-2</v>
      </c>
      <c r="AJ226" s="22">
        <v>216</v>
      </c>
      <c r="AK226" s="22">
        <v>0.98693799999999998</v>
      </c>
      <c r="AL226">
        <f t="shared" si="42"/>
        <v>16.619900000000001</v>
      </c>
      <c r="AM226">
        <f t="shared" si="43"/>
        <v>16.4154918499</v>
      </c>
      <c r="AP226" s="9"/>
      <c r="AQ226" s="22">
        <v>0.71228000000000002</v>
      </c>
      <c r="AR226" s="22">
        <v>425.21</v>
      </c>
      <c r="AS226" s="22">
        <v>-1.6778600000000001E-2</v>
      </c>
      <c r="AT226" s="22">
        <v>216</v>
      </c>
      <c r="AU226" s="22">
        <v>0.71145599999999998</v>
      </c>
      <c r="AV226">
        <f t="shared" si="44"/>
        <v>16.778600000000001</v>
      </c>
      <c r="AW226">
        <f t="shared" si="45"/>
        <v>11.951061208</v>
      </c>
      <c r="AX226" s="9"/>
      <c r="AY226" s="22">
        <v>0.98770100000000005</v>
      </c>
      <c r="AZ226" s="22">
        <v>486.04300000000001</v>
      </c>
      <c r="BA226" s="22">
        <v>-1.6586299999999998E-2</v>
      </c>
      <c r="BB226" s="22">
        <v>216</v>
      </c>
      <c r="BC226" s="22">
        <v>0.98663299999999998</v>
      </c>
      <c r="BD226">
        <f t="shared" si="46"/>
        <v>16.586299999999998</v>
      </c>
      <c r="BE226">
        <f t="shared" si="47"/>
        <v>16.382305096299998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49.374000000000002</v>
      </c>
      <c r="I227" s="22">
        <v>7.5061000000000003E-2</v>
      </c>
      <c r="J227" s="22">
        <v>217</v>
      </c>
      <c r="K227" s="22">
        <v>7.9956100000000002E-2</v>
      </c>
      <c r="L227">
        <f t="shared" si="36"/>
        <v>-75.061000000000007</v>
      </c>
      <c r="M227">
        <f t="shared" si="37"/>
        <v>-53.086516945000007</v>
      </c>
      <c r="N227" s="9"/>
      <c r="O227" s="22">
        <v>0.99273699999999998</v>
      </c>
      <c r="P227" s="22">
        <v>160.30099999999999</v>
      </c>
      <c r="Q227" s="22">
        <v>-1.6653399999999999E-2</v>
      </c>
      <c r="R227" s="22">
        <v>217</v>
      </c>
      <c r="S227" s="22">
        <v>0.99182099999999995</v>
      </c>
      <c r="T227">
        <f t="shared" si="38"/>
        <v>16.653399999999998</v>
      </c>
      <c r="U227">
        <f t="shared" si="39"/>
        <v>16.532446355799998</v>
      </c>
      <c r="X227" s="9"/>
      <c r="Y227" s="22">
        <v>0.70724500000000001</v>
      </c>
      <c r="Z227" s="22">
        <v>223.887</v>
      </c>
      <c r="AA227" s="22">
        <v>-1.68121E-2</v>
      </c>
      <c r="AB227" s="22">
        <v>217</v>
      </c>
      <c r="AC227" s="22">
        <v>0.70632899999999998</v>
      </c>
      <c r="AD227">
        <f t="shared" si="40"/>
        <v>16.812100000000001</v>
      </c>
      <c r="AE227">
        <f t="shared" si="41"/>
        <v>11.8902736645</v>
      </c>
      <c r="AF227" s="9"/>
      <c r="AG227" s="22">
        <v>0.99273699999999998</v>
      </c>
      <c r="AH227" s="22">
        <v>356.22</v>
      </c>
      <c r="AI227" s="22">
        <v>-1.6613800000000001E-2</v>
      </c>
      <c r="AJ227" s="22">
        <v>217</v>
      </c>
      <c r="AK227" s="22">
        <v>0.99212599999999995</v>
      </c>
      <c r="AL227">
        <f t="shared" si="42"/>
        <v>16.613800000000001</v>
      </c>
      <c r="AM227">
        <f t="shared" si="43"/>
        <v>16.493133970600002</v>
      </c>
      <c r="AP227" s="9"/>
      <c r="AQ227" s="22">
        <v>0.70724500000000001</v>
      </c>
      <c r="AR227" s="22">
        <v>425.31</v>
      </c>
      <c r="AS227" s="22">
        <v>-1.6778600000000001E-2</v>
      </c>
      <c r="AT227" s="22">
        <v>217</v>
      </c>
      <c r="AU227" s="22">
        <v>0.70645100000000005</v>
      </c>
      <c r="AV227">
        <f t="shared" si="44"/>
        <v>16.778600000000001</v>
      </c>
      <c r="AW227">
        <f t="shared" si="45"/>
        <v>11.866580957</v>
      </c>
      <c r="AX227" s="9"/>
      <c r="AY227" s="22">
        <v>0.99273699999999998</v>
      </c>
      <c r="AZ227" s="22">
        <v>486.14299999999997</v>
      </c>
      <c r="BA227" s="22">
        <v>-1.6586299999999998E-2</v>
      </c>
      <c r="BB227" s="22">
        <v>217</v>
      </c>
      <c r="BC227" s="22">
        <v>0.99151599999999995</v>
      </c>
      <c r="BD227">
        <f t="shared" si="46"/>
        <v>16.586299999999998</v>
      </c>
      <c r="BE227">
        <f t="shared" si="47"/>
        <v>16.465833703099996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49.474699999999999</v>
      </c>
      <c r="I228" s="22">
        <v>7.5085399999999997E-2</v>
      </c>
      <c r="J228" s="22">
        <v>218</v>
      </c>
      <c r="K228" s="22">
        <v>8.0047599999999997E-2</v>
      </c>
      <c r="L228">
        <f t="shared" si="36"/>
        <v>-75.085399999999993</v>
      </c>
      <c r="M228">
        <f t="shared" si="37"/>
        <v>-52.725643648599991</v>
      </c>
      <c r="N228" s="9"/>
      <c r="O228" s="22">
        <v>0.99777199999999999</v>
      </c>
      <c r="P228" s="22">
        <v>160.40199999999999</v>
      </c>
      <c r="Q228" s="22">
        <v>-1.66473E-2</v>
      </c>
      <c r="R228" s="22">
        <v>218</v>
      </c>
      <c r="S228" s="22">
        <v>0.99700900000000003</v>
      </c>
      <c r="T228">
        <f t="shared" si="38"/>
        <v>16.647300000000001</v>
      </c>
      <c r="U228">
        <f t="shared" si="39"/>
        <v>16.610209815600001</v>
      </c>
      <c r="X228" s="9"/>
      <c r="Y228" s="22">
        <v>0.70220899999999997</v>
      </c>
      <c r="Z228" s="22">
        <v>223.988</v>
      </c>
      <c r="AA228" s="22">
        <v>-1.6818199999999998E-2</v>
      </c>
      <c r="AB228" s="22">
        <v>218</v>
      </c>
      <c r="AC228" s="22">
        <v>0.70144700000000004</v>
      </c>
      <c r="AD228">
        <f t="shared" si="40"/>
        <v>16.818199999999997</v>
      </c>
      <c r="AE228">
        <f t="shared" si="41"/>
        <v>11.809891403799998</v>
      </c>
      <c r="AF228" s="9"/>
      <c r="AG228" s="22">
        <v>0.99777199999999999</v>
      </c>
      <c r="AH228" s="22">
        <v>356.32100000000003</v>
      </c>
      <c r="AI228" s="22">
        <v>-1.6613800000000001E-2</v>
      </c>
      <c r="AJ228" s="22">
        <v>218</v>
      </c>
      <c r="AK228" s="22">
        <v>0.99700900000000003</v>
      </c>
      <c r="AL228">
        <f t="shared" si="42"/>
        <v>16.613800000000001</v>
      </c>
      <c r="AM228">
        <f t="shared" si="43"/>
        <v>16.576784453600002</v>
      </c>
      <c r="AP228" s="9"/>
      <c r="AQ228" s="22">
        <v>0.70220899999999997</v>
      </c>
      <c r="AR228" s="22">
        <v>425.411</v>
      </c>
      <c r="AS228" s="22">
        <v>-1.67847E-2</v>
      </c>
      <c r="AT228" s="22">
        <v>218</v>
      </c>
      <c r="AU228" s="22">
        <v>0.70135499999999995</v>
      </c>
      <c r="AV228">
        <f t="shared" si="44"/>
        <v>16.784700000000001</v>
      </c>
      <c r="AW228">
        <f t="shared" si="45"/>
        <v>11.7863674023</v>
      </c>
      <c r="AX228" s="9"/>
      <c r="AY228" s="22">
        <v>0.99777199999999999</v>
      </c>
      <c r="AZ228" s="22">
        <v>486.24400000000003</v>
      </c>
      <c r="BA228" s="22">
        <v>-1.6586299999999998E-2</v>
      </c>
      <c r="BB228" s="22">
        <v>218</v>
      </c>
      <c r="BC228" s="22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49.575400000000002</v>
      </c>
      <c r="I229" s="22">
        <v>7.4981699999999998E-2</v>
      </c>
      <c r="J229" s="22">
        <v>219</v>
      </c>
      <c r="K229" s="22">
        <v>8.0047599999999997E-2</v>
      </c>
      <c r="L229">
        <f t="shared" si="36"/>
        <v>-74.981700000000004</v>
      </c>
      <c r="M229">
        <f t="shared" si="37"/>
        <v>-52.275291715800002</v>
      </c>
      <c r="N229" s="9"/>
      <c r="O229" s="22">
        <v>1.00281</v>
      </c>
      <c r="P229" s="22">
        <v>160.50200000000001</v>
      </c>
      <c r="Q229" s="22">
        <v>-1.6638199999999999E-2</v>
      </c>
      <c r="R229" s="22">
        <v>219</v>
      </c>
      <c r="S229" s="22">
        <v>1.0018899999999999</v>
      </c>
      <c r="T229">
        <f t="shared" si="38"/>
        <v>16.638199999999998</v>
      </c>
      <c r="U229">
        <f t="shared" si="39"/>
        <v>16.684953341999996</v>
      </c>
      <c r="X229" s="9"/>
      <c r="Y229" s="22">
        <v>0.69717399999999996</v>
      </c>
      <c r="Z229" s="22">
        <v>224.08799999999999</v>
      </c>
      <c r="AA229" s="22">
        <v>-1.6821300000000001E-2</v>
      </c>
      <c r="AB229" s="22">
        <v>219</v>
      </c>
      <c r="AC229" s="22">
        <v>0.69665500000000002</v>
      </c>
      <c r="AD229">
        <f t="shared" si="40"/>
        <v>16.821300000000001</v>
      </c>
      <c r="AE229">
        <f t="shared" si="41"/>
        <v>11.727373006200001</v>
      </c>
      <c r="AF229" s="9"/>
      <c r="AG229" s="22">
        <v>1.00281</v>
      </c>
      <c r="AH229" s="22">
        <v>356.42200000000003</v>
      </c>
      <c r="AI229" s="22">
        <v>-1.6604600000000001E-2</v>
      </c>
      <c r="AJ229" s="22">
        <v>219</v>
      </c>
      <c r="AK229" s="22">
        <v>1.0012799999999999</v>
      </c>
      <c r="AL229">
        <f t="shared" si="42"/>
        <v>16.604600000000001</v>
      </c>
      <c r="AM229">
        <f t="shared" si="43"/>
        <v>16.651258926000001</v>
      </c>
      <c r="AP229" s="9"/>
      <c r="AQ229" s="22">
        <v>0.69717399999999996</v>
      </c>
      <c r="AR229" s="22">
        <v>425.512</v>
      </c>
      <c r="AS229" s="22">
        <v>-1.6787699999999999E-2</v>
      </c>
      <c r="AT229" s="22">
        <v>219</v>
      </c>
      <c r="AU229" s="22">
        <v>0.69635000000000002</v>
      </c>
      <c r="AV229">
        <f t="shared" si="44"/>
        <v>16.787699999999997</v>
      </c>
      <c r="AW229">
        <f t="shared" si="45"/>
        <v>11.703947959799997</v>
      </c>
      <c r="AX229" s="9"/>
      <c r="AY229" s="22">
        <v>1.00281</v>
      </c>
      <c r="AZ229" s="22">
        <v>486.34500000000003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49.676099999999998</v>
      </c>
      <c r="I230" s="22">
        <v>7.5164800000000004E-2</v>
      </c>
      <c r="J230" s="22">
        <v>220</v>
      </c>
      <c r="K230" s="22">
        <v>8.0017099999999994E-2</v>
      </c>
      <c r="L230">
        <f t="shared" si="36"/>
        <v>-75.1648</v>
      </c>
      <c r="M230">
        <f t="shared" si="37"/>
        <v>-52.024489507199995</v>
      </c>
      <c r="N230" s="9"/>
      <c r="O230" s="22">
        <v>1.0078400000000001</v>
      </c>
      <c r="P230" s="22">
        <v>160.60300000000001</v>
      </c>
      <c r="Q230" s="22">
        <v>-1.6641199999999998E-2</v>
      </c>
      <c r="R230" s="22">
        <v>220</v>
      </c>
      <c r="S230" s="22">
        <v>1.00708</v>
      </c>
      <c r="T230">
        <f t="shared" si="38"/>
        <v>16.641199999999998</v>
      </c>
      <c r="U230">
        <f t="shared" si="39"/>
        <v>16.771667007999998</v>
      </c>
      <c r="X230" s="9"/>
      <c r="Y230" s="22">
        <v>0.69213899999999995</v>
      </c>
      <c r="Z230" s="22">
        <v>224.18899999999999</v>
      </c>
      <c r="AA230" s="22">
        <v>-1.6821300000000001E-2</v>
      </c>
      <c r="AB230" s="22">
        <v>220</v>
      </c>
      <c r="AC230" s="22">
        <v>0.69119299999999995</v>
      </c>
      <c r="AD230">
        <f t="shared" si="40"/>
        <v>16.821300000000001</v>
      </c>
      <c r="AE230">
        <f t="shared" si="41"/>
        <v>11.6426777607</v>
      </c>
      <c r="AF230" s="9"/>
      <c r="AG230" s="22">
        <v>1.0078400000000001</v>
      </c>
      <c r="AH230" s="22">
        <v>356.52199999999999</v>
      </c>
      <c r="AI230" s="22">
        <v>-1.6604600000000001E-2</v>
      </c>
      <c r="AJ230" s="22">
        <v>220</v>
      </c>
      <c r="AK230" s="22">
        <v>1.00708</v>
      </c>
      <c r="AL230">
        <f t="shared" si="42"/>
        <v>16.604600000000001</v>
      </c>
      <c r="AM230">
        <f t="shared" si="43"/>
        <v>16.734780064000002</v>
      </c>
      <c r="AP230" s="9"/>
      <c r="AQ230" s="22">
        <v>0.69213899999999995</v>
      </c>
      <c r="AR230" s="22">
        <v>425.61200000000002</v>
      </c>
      <c r="AS230" s="22">
        <v>-1.6790800000000002E-2</v>
      </c>
      <c r="AT230" s="22">
        <v>220</v>
      </c>
      <c r="AU230" s="22">
        <v>0.69134499999999999</v>
      </c>
      <c r="AV230">
        <f t="shared" si="44"/>
        <v>16.790800000000001</v>
      </c>
      <c r="AW230">
        <f t="shared" si="45"/>
        <v>11.621567521199999</v>
      </c>
      <c r="AX230" s="9"/>
      <c r="AY230" s="22">
        <v>1.0078400000000001</v>
      </c>
      <c r="AZ230" s="22">
        <v>486.44499999999999</v>
      </c>
      <c r="BA230" s="22">
        <v>-1.65802E-2</v>
      </c>
      <c r="BB230" s="22">
        <v>220</v>
      </c>
      <c r="BC230" s="22">
        <v>1.0067699999999999</v>
      </c>
      <c r="BD230">
        <f t="shared" si="46"/>
        <v>16.580200000000001</v>
      </c>
      <c r="BE230">
        <f t="shared" si="47"/>
        <v>16.710188768000002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49.776800000000001</v>
      </c>
      <c r="I231" s="22">
        <v>7.5070200000000004E-2</v>
      </c>
      <c r="J231" s="22">
        <v>221</v>
      </c>
      <c r="K231" s="22">
        <v>8.0017099999999994E-2</v>
      </c>
      <c r="L231">
        <f t="shared" si="36"/>
        <v>-75.0702</v>
      </c>
      <c r="M231">
        <f t="shared" si="37"/>
        <v>-51.580959630599999</v>
      </c>
      <c r="N231" s="9"/>
      <c r="O231" s="22">
        <v>1.01288</v>
      </c>
      <c r="P231" s="22">
        <v>160.70400000000001</v>
      </c>
      <c r="Q231" s="22">
        <v>-1.6638199999999999E-2</v>
      </c>
      <c r="R231" s="22">
        <v>221</v>
      </c>
      <c r="S231" s="22">
        <v>1.01196</v>
      </c>
      <c r="T231">
        <f t="shared" si="38"/>
        <v>16.638199999999998</v>
      </c>
      <c r="U231">
        <f t="shared" si="39"/>
        <v>16.852500015999997</v>
      </c>
      <c r="X231" s="9"/>
      <c r="Y231" s="22">
        <v>0.68710300000000002</v>
      </c>
      <c r="Z231" s="22">
        <v>224.29</v>
      </c>
      <c r="AA231" s="22">
        <v>-1.6827399999999999E-2</v>
      </c>
      <c r="AB231" s="22">
        <v>221</v>
      </c>
      <c r="AC231" s="22">
        <v>0.68643200000000004</v>
      </c>
      <c r="AD231">
        <f t="shared" si="40"/>
        <v>16.827400000000001</v>
      </c>
      <c r="AE231">
        <f t="shared" si="41"/>
        <v>11.562157022200001</v>
      </c>
      <c r="AF231" s="9"/>
      <c r="AG231" s="22">
        <v>1.01288</v>
      </c>
      <c r="AH231" s="22">
        <v>356.62299999999999</v>
      </c>
      <c r="AI231" s="22">
        <v>-1.6601600000000001E-2</v>
      </c>
      <c r="AJ231" s="22">
        <v>221</v>
      </c>
      <c r="AK231" s="22">
        <v>1.01166</v>
      </c>
      <c r="AL231">
        <f t="shared" si="42"/>
        <v>16.601600000000001</v>
      </c>
      <c r="AM231">
        <f t="shared" si="43"/>
        <v>16.815428608000001</v>
      </c>
      <c r="AP231" s="9"/>
      <c r="AQ231" s="22">
        <v>0.68710300000000002</v>
      </c>
      <c r="AR231" s="22">
        <v>425.71300000000002</v>
      </c>
      <c r="AS231" s="22">
        <v>-1.6787699999999999E-2</v>
      </c>
      <c r="AT231" s="22">
        <v>221</v>
      </c>
      <c r="AU231" s="22">
        <v>0.68637099999999995</v>
      </c>
      <c r="AV231">
        <f t="shared" si="44"/>
        <v>16.787699999999997</v>
      </c>
      <c r="AW231">
        <f t="shared" si="45"/>
        <v>11.534879033099999</v>
      </c>
      <c r="AX231" s="9"/>
      <c r="AY231" s="22">
        <v>1.01288</v>
      </c>
      <c r="AZ231" s="22">
        <v>486.54599999999999</v>
      </c>
      <c r="BA231" s="22">
        <v>-1.6577100000000001E-2</v>
      </c>
      <c r="BB231" s="22">
        <v>221</v>
      </c>
      <c r="BC231" s="22">
        <v>1.01135</v>
      </c>
      <c r="BD231">
        <f t="shared" si="46"/>
        <v>16.577100000000002</v>
      </c>
      <c r="BE231">
        <f t="shared" si="47"/>
        <v>16.790613048000001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49.877499999999998</v>
      </c>
      <c r="I232" s="22">
        <v>7.5170899999999999E-2</v>
      </c>
      <c r="J232" s="22">
        <v>222</v>
      </c>
      <c r="K232" s="22">
        <v>7.9956100000000002E-2</v>
      </c>
      <c r="L232">
        <f t="shared" si="36"/>
        <v>-75.170900000000003</v>
      </c>
      <c r="M232">
        <f t="shared" si="37"/>
        <v>-51.271665421200005</v>
      </c>
      <c r="N232" s="9"/>
      <c r="O232" s="22">
        <v>1.0179100000000001</v>
      </c>
      <c r="P232" s="22">
        <v>160.804</v>
      </c>
      <c r="Q232" s="22">
        <v>-1.66351E-2</v>
      </c>
      <c r="R232" s="22">
        <v>222</v>
      </c>
      <c r="S232" s="22">
        <v>1.01746</v>
      </c>
      <c r="T232">
        <f t="shared" si="38"/>
        <v>16.635100000000001</v>
      </c>
      <c r="U232">
        <f t="shared" si="39"/>
        <v>16.933034641000003</v>
      </c>
      <c r="X232" s="9"/>
      <c r="Y232" s="22">
        <v>0.68206800000000001</v>
      </c>
      <c r="Z232" s="22">
        <v>224.39</v>
      </c>
      <c r="AA232" s="22">
        <v>-1.6830399999999999E-2</v>
      </c>
      <c r="AB232" s="22">
        <v>222</v>
      </c>
      <c r="AC232" s="22">
        <v>0.68118299999999998</v>
      </c>
      <c r="AD232">
        <f t="shared" si="40"/>
        <v>16.830399999999997</v>
      </c>
      <c r="AE232">
        <f t="shared" si="41"/>
        <v>11.479477267199998</v>
      </c>
      <c r="AF232" s="9"/>
      <c r="AG232" s="22">
        <v>1.0179100000000001</v>
      </c>
      <c r="AH232" s="22">
        <v>356.72399999999999</v>
      </c>
      <c r="AI232" s="22">
        <v>-1.6601600000000001E-2</v>
      </c>
      <c r="AJ232" s="22">
        <v>222</v>
      </c>
      <c r="AK232" s="22">
        <v>1.01715</v>
      </c>
      <c r="AL232">
        <f t="shared" si="42"/>
        <v>16.601600000000001</v>
      </c>
      <c r="AM232">
        <f t="shared" si="43"/>
        <v>16.898934656000002</v>
      </c>
      <c r="AP232" s="9"/>
      <c r="AQ232" s="22">
        <v>0.68206800000000001</v>
      </c>
      <c r="AR232" s="22">
        <v>425.81400000000002</v>
      </c>
      <c r="AS232" s="22">
        <v>-1.67969E-2</v>
      </c>
      <c r="AT232" s="22">
        <v>222</v>
      </c>
      <c r="AU232" s="22">
        <v>0.68124399999999996</v>
      </c>
      <c r="AV232">
        <f t="shared" si="44"/>
        <v>16.796900000000001</v>
      </c>
      <c r="AW232">
        <f t="shared" si="45"/>
        <v>11.456627989200001</v>
      </c>
      <c r="AX232" s="9"/>
      <c r="AY232" s="22">
        <v>1.0179100000000001</v>
      </c>
      <c r="AZ232" s="22">
        <v>486.64699999999999</v>
      </c>
      <c r="BA232" s="22">
        <v>-1.6570999999999999E-2</v>
      </c>
      <c r="BB232" s="22">
        <v>222</v>
      </c>
      <c r="BC232" s="22">
        <v>1.01654</v>
      </c>
      <c r="BD232">
        <f t="shared" si="46"/>
        <v>16.570999999999998</v>
      </c>
      <c r="BE232">
        <f t="shared" si="47"/>
        <v>16.86778661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49.978299999999997</v>
      </c>
      <c r="I233" s="22">
        <v>8.5089100000000001E-2</v>
      </c>
      <c r="J233" s="22">
        <v>223</v>
      </c>
      <c r="K233" s="22">
        <v>8.0078099999999999E-2</v>
      </c>
      <c r="L233">
        <f t="shared" si="36"/>
        <v>-85.089100000000002</v>
      </c>
      <c r="M233">
        <f t="shared" si="37"/>
        <v>-57.608043551199998</v>
      </c>
      <c r="N233" s="9"/>
      <c r="O233" s="22">
        <v>1.02295</v>
      </c>
      <c r="P233" s="22">
        <v>160.905</v>
      </c>
      <c r="Q233" s="22">
        <v>-1.66351E-2</v>
      </c>
      <c r="R233" s="22">
        <v>223</v>
      </c>
      <c r="S233" s="22">
        <v>1.02173</v>
      </c>
      <c r="T233">
        <f t="shared" si="38"/>
        <v>16.635100000000001</v>
      </c>
      <c r="U233">
        <f t="shared" si="39"/>
        <v>17.016875545000001</v>
      </c>
      <c r="X233" s="9"/>
      <c r="Y233" s="22">
        <v>0.67703199999999997</v>
      </c>
      <c r="Z233" s="22">
        <v>224.49100000000001</v>
      </c>
      <c r="AA233" s="22">
        <v>-1.6830399999999999E-2</v>
      </c>
      <c r="AB233" s="22">
        <v>223</v>
      </c>
      <c r="AC233" s="22">
        <v>0.67627000000000004</v>
      </c>
      <c r="AD233">
        <f t="shared" si="40"/>
        <v>16.830399999999997</v>
      </c>
      <c r="AE233">
        <f t="shared" si="41"/>
        <v>11.394719372799997</v>
      </c>
      <c r="AF233" s="9"/>
      <c r="AG233" s="22">
        <v>1.02295</v>
      </c>
      <c r="AH233" s="22">
        <v>356.82400000000001</v>
      </c>
      <c r="AI233" s="22">
        <v>-1.6601600000000001E-2</v>
      </c>
      <c r="AJ233" s="22">
        <v>223</v>
      </c>
      <c r="AK233" s="22">
        <v>1.02234</v>
      </c>
      <c r="AL233">
        <f t="shared" si="42"/>
        <v>16.601600000000001</v>
      </c>
      <c r="AM233">
        <f t="shared" si="43"/>
        <v>16.982606720000003</v>
      </c>
      <c r="AP233" s="9"/>
      <c r="AQ233" s="22">
        <v>0.67703199999999997</v>
      </c>
      <c r="AR233" s="22">
        <v>425.91500000000002</v>
      </c>
      <c r="AS233" s="22">
        <v>-1.67999E-2</v>
      </c>
      <c r="AT233" s="22">
        <v>223</v>
      </c>
      <c r="AU233" s="22">
        <v>0.67627000000000004</v>
      </c>
      <c r="AV233">
        <f t="shared" si="44"/>
        <v>16.799900000000001</v>
      </c>
      <c r="AW233">
        <f t="shared" si="45"/>
        <v>11.3740698968</v>
      </c>
      <c r="AX233" s="9"/>
      <c r="AY233" s="22">
        <v>1.02295</v>
      </c>
      <c r="AZ233" s="22">
        <v>486.74700000000001</v>
      </c>
      <c r="BA233" s="22">
        <v>-1.6567999999999999E-2</v>
      </c>
      <c r="BB233" s="22">
        <v>223</v>
      </c>
      <c r="BC233" s="22">
        <v>1.02112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50.079000000000001</v>
      </c>
      <c r="I234" s="22">
        <v>8.5205100000000006E-2</v>
      </c>
      <c r="J234" s="22">
        <v>224</v>
      </c>
      <c r="K234" s="22">
        <v>8.0047599999999997E-2</v>
      </c>
      <c r="L234">
        <f t="shared" si="36"/>
        <v>-85.205100000000002</v>
      </c>
      <c r="M234">
        <f t="shared" si="37"/>
        <v>-57.257571584699996</v>
      </c>
      <c r="N234" s="9"/>
      <c r="O234" s="22">
        <v>1.0279799999999999</v>
      </c>
      <c r="P234" s="22">
        <v>161.006</v>
      </c>
      <c r="Q234" s="22">
        <v>-1.6629000000000001E-2</v>
      </c>
      <c r="R234" s="22">
        <v>224</v>
      </c>
      <c r="S234" s="22">
        <v>1.0269200000000001</v>
      </c>
      <c r="T234">
        <f t="shared" si="38"/>
        <v>16.629000000000001</v>
      </c>
      <c r="U234">
        <f t="shared" si="39"/>
        <v>17.094279419999999</v>
      </c>
      <c r="X234" s="9"/>
      <c r="Y234" s="22">
        <v>0.67199699999999996</v>
      </c>
      <c r="Z234" s="22">
        <v>224.59200000000001</v>
      </c>
      <c r="AA234" s="22">
        <v>-1.6833500000000001E-2</v>
      </c>
      <c r="AB234" s="22">
        <v>224</v>
      </c>
      <c r="AC234" s="22">
        <v>0.67111200000000004</v>
      </c>
      <c r="AD234">
        <f t="shared" si="40"/>
        <v>16.833500000000001</v>
      </c>
      <c r="AE234">
        <f t="shared" si="41"/>
        <v>11.3120614995</v>
      </c>
      <c r="AF234" s="9"/>
      <c r="AG234" s="22">
        <v>1.0279799999999999</v>
      </c>
      <c r="AH234" s="22">
        <v>356.92500000000001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0.67199699999999996</v>
      </c>
      <c r="AR234" s="22">
        <v>426.01499999999999</v>
      </c>
      <c r="AS234" s="22">
        <v>-1.6806000000000001E-2</v>
      </c>
      <c r="AT234" s="22">
        <v>224</v>
      </c>
      <c r="AU234" s="22">
        <v>0.67129499999999998</v>
      </c>
      <c r="AV234">
        <f t="shared" si="44"/>
        <v>16.806000000000001</v>
      </c>
      <c r="AW234">
        <f t="shared" si="45"/>
        <v>11.293581582</v>
      </c>
      <c r="AX234" s="9"/>
      <c r="AY234" s="22">
        <v>1.0279799999999999</v>
      </c>
      <c r="AZ234" s="22">
        <v>486.84800000000001</v>
      </c>
      <c r="BA234" s="22">
        <v>-1.6570999999999999E-2</v>
      </c>
      <c r="BB234" s="22">
        <v>224</v>
      </c>
      <c r="BC234" s="22">
        <v>1.0269200000000001</v>
      </c>
      <c r="BD234">
        <f t="shared" si="46"/>
        <v>16.570999999999998</v>
      </c>
      <c r="BE234">
        <f t="shared" si="47"/>
        <v>17.034656579999996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50.179699999999997</v>
      </c>
      <c r="I235" s="22">
        <v>8.5333300000000001E-2</v>
      </c>
      <c r="J235" s="22">
        <v>225</v>
      </c>
      <c r="K235" s="22">
        <v>8.0078099999999999E-2</v>
      </c>
      <c r="L235">
        <f t="shared" si="36"/>
        <v>-85.333299999999994</v>
      </c>
      <c r="M235">
        <f t="shared" si="37"/>
        <v>-56.914068434600004</v>
      </c>
      <c r="N235" s="9"/>
      <c r="O235" s="22">
        <v>1.03302</v>
      </c>
      <c r="P235" s="22">
        <v>161.107</v>
      </c>
      <c r="Q235" s="22">
        <v>-1.6622899999999999E-2</v>
      </c>
      <c r="R235" s="22">
        <v>225</v>
      </c>
      <c r="S235" s="22">
        <v>1.0318000000000001</v>
      </c>
      <c r="T235">
        <f t="shared" si="38"/>
        <v>16.622899999999998</v>
      </c>
      <c r="U235">
        <f t="shared" si="39"/>
        <v>17.171788157999998</v>
      </c>
      <c r="X235" s="9"/>
      <c r="Y235" s="22">
        <v>0.66696200000000005</v>
      </c>
      <c r="Z235" s="22">
        <v>224.69300000000001</v>
      </c>
      <c r="AA235" s="22">
        <v>-1.6833500000000001E-2</v>
      </c>
      <c r="AB235" s="22">
        <v>225</v>
      </c>
      <c r="AC235" s="22">
        <v>0.66625999999999996</v>
      </c>
      <c r="AD235">
        <f t="shared" si="40"/>
        <v>16.833500000000001</v>
      </c>
      <c r="AE235">
        <f t="shared" si="41"/>
        <v>11.227304827000001</v>
      </c>
      <c r="AF235" s="9"/>
      <c r="AG235" s="22">
        <v>1.03302</v>
      </c>
      <c r="AH235" s="22">
        <v>357.02600000000001</v>
      </c>
      <c r="AI235" s="22">
        <v>-1.65924E-2</v>
      </c>
      <c r="AJ235" s="22">
        <v>225</v>
      </c>
      <c r="AK235" s="22">
        <v>1.0311900000000001</v>
      </c>
      <c r="AL235">
        <f t="shared" si="42"/>
        <v>16.592400000000001</v>
      </c>
      <c r="AM235">
        <f t="shared" si="43"/>
        <v>17.140281048000002</v>
      </c>
      <c r="AP235" s="9"/>
      <c r="AQ235" s="22">
        <v>0.66696200000000005</v>
      </c>
      <c r="AR235" s="22">
        <v>426.11599999999999</v>
      </c>
      <c r="AS235" s="22">
        <v>-1.6802999999999998E-2</v>
      </c>
      <c r="AT235" s="22">
        <v>225</v>
      </c>
      <c r="AU235" s="22">
        <v>0.66619899999999999</v>
      </c>
      <c r="AV235">
        <f t="shared" si="44"/>
        <v>16.802999999999997</v>
      </c>
      <c r="AW235">
        <f t="shared" si="45"/>
        <v>11.206962485999998</v>
      </c>
      <c r="AX235" s="9"/>
      <c r="AY235" s="22">
        <v>1.03302</v>
      </c>
      <c r="AZ235" s="22">
        <v>486.94900000000001</v>
      </c>
      <c r="BA235" s="22">
        <v>-1.6574100000000001E-2</v>
      </c>
      <c r="BB235" s="22">
        <v>225</v>
      </c>
      <c r="BC235" s="22">
        <v>1.03149</v>
      </c>
      <c r="BD235">
        <f t="shared" si="46"/>
        <v>16.574100000000001</v>
      </c>
      <c r="BE235">
        <f t="shared" si="47"/>
        <v>17.121376782000002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50.2804</v>
      </c>
      <c r="I236" s="22">
        <v>8.5504200000000002E-2</v>
      </c>
      <c r="J236" s="22">
        <v>226</v>
      </c>
      <c r="K236" s="22">
        <v>8.0108600000000002E-2</v>
      </c>
      <c r="L236">
        <f t="shared" si="36"/>
        <v>-85.504199999999997</v>
      </c>
      <c r="M236">
        <f t="shared" si="37"/>
        <v>-56.597453089200002</v>
      </c>
      <c r="N236" s="9"/>
      <c r="O236" s="22">
        <v>1.03806</v>
      </c>
      <c r="P236" s="22">
        <v>161.20699999999999</v>
      </c>
      <c r="Q236" s="22">
        <v>-1.66199E-2</v>
      </c>
      <c r="R236" s="22">
        <v>226</v>
      </c>
      <c r="S236" s="22">
        <v>1.03668</v>
      </c>
      <c r="T236">
        <f t="shared" si="38"/>
        <v>16.619900000000001</v>
      </c>
      <c r="U236">
        <f t="shared" si="39"/>
        <v>17.252453394</v>
      </c>
      <c r="X236" s="9"/>
      <c r="Y236" s="22">
        <v>0.66192600000000001</v>
      </c>
      <c r="Z236" s="22">
        <v>224.79300000000001</v>
      </c>
      <c r="AA236" s="22">
        <v>-1.6842699999999999E-2</v>
      </c>
      <c r="AB236" s="22">
        <v>226</v>
      </c>
      <c r="AC236" s="22">
        <v>0.66119399999999995</v>
      </c>
      <c r="AD236">
        <f t="shared" si="40"/>
        <v>16.842699999999997</v>
      </c>
      <c r="AE236">
        <f t="shared" si="41"/>
        <v>11.148621040199998</v>
      </c>
      <c r="AF236" s="9"/>
      <c r="AG236" s="22">
        <v>1.03806</v>
      </c>
      <c r="AH236" s="22">
        <v>357.12700000000001</v>
      </c>
      <c r="AI236" s="22">
        <v>-1.6589400000000001E-2</v>
      </c>
      <c r="AJ236" s="22">
        <v>226</v>
      </c>
      <c r="AK236" s="22">
        <v>1.0369900000000001</v>
      </c>
      <c r="AL236">
        <f t="shared" si="42"/>
        <v>16.589400000000001</v>
      </c>
      <c r="AM236">
        <f t="shared" si="43"/>
        <v>17.220792564</v>
      </c>
      <c r="AP236" s="9"/>
      <c r="AQ236" s="22">
        <v>0.66192600000000001</v>
      </c>
      <c r="AR236" s="22">
        <v>426.21699999999998</v>
      </c>
      <c r="AS236" s="22">
        <v>-1.6806000000000001E-2</v>
      </c>
      <c r="AT236" s="22">
        <v>226</v>
      </c>
      <c r="AU236" s="22">
        <v>0.66116299999999995</v>
      </c>
      <c r="AV236">
        <f t="shared" si="44"/>
        <v>16.806000000000001</v>
      </c>
      <c r="AW236">
        <f t="shared" si="45"/>
        <v>11.124328356000001</v>
      </c>
      <c r="AX236" s="9"/>
      <c r="AY236" s="22">
        <v>1.03806</v>
      </c>
      <c r="AZ236" s="22">
        <v>487.05</v>
      </c>
      <c r="BA236" s="22">
        <v>-1.6567999999999999E-2</v>
      </c>
      <c r="BB236" s="22">
        <v>226</v>
      </c>
      <c r="BC236" s="22">
        <v>1.03729</v>
      </c>
      <c r="BD236">
        <f t="shared" si="46"/>
        <v>16.567999999999998</v>
      </c>
      <c r="BE236">
        <f t="shared" si="47"/>
        <v>17.198578079999997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50.381100000000004</v>
      </c>
      <c r="I237" s="22">
        <v>8.5491899999999996E-2</v>
      </c>
      <c r="J237" s="22">
        <v>227</v>
      </c>
      <c r="K237" s="22">
        <v>8.0078099999999999E-2</v>
      </c>
      <c r="L237">
        <f t="shared" si="36"/>
        <v>-85.491900000000001</v>
      </c>
      <c r="M237">
        <f t="shared" si="37"/>
        <v>-56.158859682900001</v>
      </c>
      <c r="N237" s="9"/>
      <c r="O237" s="22">
        <v>1.0430900000000001</v>
      </c>
      <c r="P237" s="22">
        <v>161.30799999999999</v>
      </c>
      <c r="Q237" s="22">
        <v>-1.6616800000000001E-2</v>
      </c>
      <c r="R237" s="22">
        <v>227</v>
      </c>
      <c r="S237" s="22">
        <v>1.04156</v>
      </c>
      <c r="T237">
        <f t="shared" si="38"/>
        <v>16.616800000000001</v>
      </c>
      <c r="U237">
        <f t="shared" si="39"/>
        <v>17.332817912000003</v>
      </c>
      <c r="X237" s="9"/>
      <c r="Y237" s="22">
        <v>0.656891</v>
      </c>
      <c r="Z237" s="22">
        <v>224.89400000000001</v>
      </c>
      <c r="AA237" s="22">
        <v>-1.6842699999999999E-2</v>
      </c>
      <c r="AB237" s="22">
        <v>227</v>
      </c>
      <c r="AC237" s="22">
        <v>0.65609700000000004</v>
      </c>
      <c r="AD237">
        <f t="shared" si="40"/>
        <v>16.842699999999997</v>
      </c>
      <c r="AE237">
        <f t="shared" si="41"/>
        <v>11.063818045699998</v>
      </c>
      <c r="AF237" s="9"/>
      <c r="AG237" s="22">
        <v>1.0430900000000001</v>
      </c>
      <c r="AH237" s="22">
        <v>357.22699999999998</v>
      </c>
      <c r="AI237" s="22">
        <v>-1.6583299999999999E-2</v>
      </c>
      <c r="AJ237" s="22">
        <v>227</v>
      </c>
      <c r="AK237" s="22">
        <v>1.0418700000000001</v>
      </c>
      <c r="AL237">
        <f t="shared" si="42"/>
        <v>16.583299999999998</v>
      </c>
      <c r="AM237">
        <f t="shared" si="43"/>
        <v>17.297874396999998</v>
      </c>
      <c r="AP237" s="9"/>
      <c r="AQ237" s="22">
        <v>0.656891</v>
      </c>
      <c r="AR237" s="22">
        <v>426.31700000000001</v>
      </c>
      <c r="AS237" s="22">
        <v>-1.6806000000000001E-2</v>
      </c>
      <c r="AT237" s="22">
        <v>227</v>
      </c>
      <c r="AU237" s="22">
        <v>0.65618900000000002</v>
      </c>
      <c r="AV237">
        <f t="shared" si="44"/>
        <v>16.806000000000001</v>
      </c>
      <c r="AW237">
        <f t="shared" si="45"/>
        <v>11.039710146000001</v>
      </c>
      <c r="AX237" s="9"/>
      <c r="AY237" s="22">
        <v>1.0430900000000001</v>
      </c>
      <c r="AZ237" s="22">
        <v>487.15</v>
      </c>
      <c r="BA237" s="22">
        <v>-1.6558799999999999E-2</v>
      </c>
      <c r="BB237" s="22">
        <v>227</v>
      </c>
      <c r="BC237" s="22">
        <v>1.0421800000000001</v>
      </c>
      <c r="BD237">
        <f t="shared" si="46"/>
        <v>16.558799999999998</v>
      </c>
      <c r="BE237">
        <f t="shared" si="47"/>
        <v>17.272318691999999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50.4818</v>
      </c>
      <c r="I238" s="22">
        <v>8.5571300000000003E-2</v>
      </c>
      <c r="J238" s="22">
        <v>228</v>
      </c>
      <c r="K238" s="22">
        <v>8.0108600000000002E-2</v>
      </c>
      <c r="L238">
        <f t="shared" si="36"/>
        <v>-85.571300000000008</v>
      </c>
      <c r="M238">
        <f t="shared" si="37"/>
        <v>-55.780079761500005</v>
      </c>
      <c r="N238" s="9"/>
      <c r="O238" s="22">
        <v>1.04813</v>
      </c>
      <c r="P238" s="22">
        <v>161.40899999999999</v>
      </c>
      <c r="Q238" s="22">
        <v>-1.6616800000000001E-2</v>
      </c>
      <c r="R238" s="22">
        <v>228</v>
      </c>
      <c r="S238" s="22">
        <v>1.0464500000000001</v>
      </c>
      <c r="T238">
        <f t="shared" si="38"/>
        <v>16.616800000000001</v>
      </c>
      <c r="U238">
        <f t="shared" si="39"/>
        <v>17.416566584000002</v>
      </c>
      <c r="X238" s="9"/>
      <c r="Y238" s="22">
        <v>0.65185499999999996</v>
      </c>
      <c r="Z238" s="22">
        <v>224.995</v>
      </c>
      <c r="AA238" s="22">
        <v>-1.6842699999999999E-2</v>
      </c>
      <c r="AB238" s="22">
        <v>228</v>
      </c>
      <c r="AC238" s="22">
        <v>0.65124499999999996</v>
      </c>
      <c r="AD238">
        <f t="shared" si="40"/>
        <v>16.842699999999997</v>
      </c>
      <c r="AE238">
        <f t="shared" si="41"/>
        <v>10.978998208499997</v>
      </c>
      <c r="AF238" s="9"/>
      <c r="AG238" s="22">
        <v>1.04813</v>
      </c>
      <c r="AH238" s="22">
        <v>357.32799999999997</v>
      </c>
      <c r="AI238" s="22">
        <v>-1.6586299999999998E-2</v>
      </c>
      <c r="AJ238" s="22">
        <v>228</v>
      </c>
      <c r="AK238" s="22">
        <v>1.0467500000000001</v>
      </c>
      <c r="AL238">
        <f t="shared" si="42"/>
        <v>16.586299999999998</v>
      </c>
      <c r="AM238">
        <f t="shared" si="43"/>
        <v>17.384598618999998</v>
      </c>
      <c r="AP238" s="9"/>
      <c r="AQ238" s="22">
        <v>0.65185499999999996</v>
      </c>
      <c r="AR238" s="22">
        <v>426.41800000000001</v>
      </c>
      <c r="AS238" s="22">
        <v>-1.6815199999999999E-2</v>
      </c>
      <c r="AT238" s="22">
        <v>228</v>
      </c>
      <c r="AU238" s="22">
        <v>0.65100100000000005</v>
      </c>
      <c r="AV238">
        <f t="shared" si="44"/>
        <v>16.815199999999997</v>
      </c>
      <c r="AW238">
        <f t="shared" si="45"/>
        <v>10.961072195999998</v>
      </c>
      <c r="AX238" s="9"/>
      <c r="AY238" s="22">
        <v>1.04813</v>
      </c>
      <c r="AZ238" s="22">
        <v>487.25099999999998</v>
      </c>
      <c r="BA238" s="22">
        <v>-1.6558799999999999E-2</v>
      </c>
      <c r="BB238" s="22">
        <v>228</v>
      </c>
      <c r="BC238" s="22">
        <v>1.0473600000000001</v>
      </c>
      <c r="BD238">
        <f t="shared" si="46"/>
        <v>16.558799999999998</v>
      </c>
      <c r="BE238">
        <f t="shared" si="47"/>
        <v>17.355775043999998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50.582500000000003</v>
      </c>
      <c r="I239" s="22">
        <v>8.53912E-2</v>
      </c>
      <c r="J239" s="22">
        <v>229</v>
      </c>
      <c r="K239" s="22">
        <v>8.0108600000000002E-2</v>
      </c>
      <c r="L239">
        <f t="shared" si="36"/>
        <v>-85.391199999999998</v>
      </c>
      <c r="M239">
        <f t="shared" si="37"/>
        <v>-55.232735983999994</v>
      </c>
      <c r="N239" s="9"/>
      <c r="O239" s="22">
        <v>1.0531600000000001</v>
      </c>
      <c r="P239" s="22">
        <v>161.50899999999999</v>
      </c>
      <c r="Q239" s="22">
        <v>-1.66199E-2</v>
      </c>
      <c r="R239" s="22">
        <v>229</v>
      </c>
      <c r="S239" s="22">
        <v>1.0516399999999999</v>
      </c>
      <c r="T239">
        <f t="shared" si="38"/>
        <v>16.619900000000001</v>
      </c>
      <c r="U239">
        <f t="shared" si="39"/>
        <v>17.503413884000004</v>
      </c>
      <c r="X239" s="9"/>
      <c r="Y239" s="22">
        <v>0.64681999999999995</v>
      </c>
      <c r="Z239" s="22">
        <v>225.095</v>
      </c>
      <c r="AA239" s="22">
        <v>-1.6848800000000001E-2</v>
      </c>
      <c r="AB239" s="22">
        <v>229</v>
      </c>
      <c r="AC239" s="22">
        <v>0.64584399999999997</v>
      </c>
      <c r="AD239">
        <f t="shared" si="40"/>
        <v>16.848800000000001</v>
      </c>
      <c r="AE239">
        <f t="shared" si="41"/>
        <v>10.898140816</v>
      </c>
      <c r="AF239" s="9"/>
      <c r="AG239" s="22">
        <v>1.0531600000000001</v>
      </c>
      <c r="AH239" s="22">
        <v>357.42899999999997</v>
      </c>
      <c r="AI239" s="22">
        <v>-1.6583299999999999E-2</v>
      </c>
      <c r="AJ239" s="22">
        <v>229</v>
      </c>
      <c r="AK239" s="22">
        <v>1.0519400000000001</v>
      </c>
      <c r="AL239">
        <f t="shared" si="42"/>
        <v>16.583299999999998</v>
      </c>
      <c r="AM239">
        <f t="shared" si="43"/>
        <v>17.464868228</v>
      </c>
      <c r="AP239" s="9"/>
      <c r="AQ239" s="22">
        <v>0.64681999999999995</v>
      </c>
      <c r="AR239" s="22">
        <v>426.51900000000001</v>
      </c>
      <c r="AS239" s="22">
        <v>-1.68091E-2</v>
      </c>
      <c r="AT239" s="22">
        <v>229</v>
      </c>
      <c r="AU239" s="22">
        <v>0.64590499999999995</v>
      </c>
      <c r="AV239">
        <f t="shared" si="44"/>
        <v>16.809100000000001</v>
      </c>
      <c r="AW239">
        <f t="shared" si="45"/>
        <v>10.872462062</v>
      </c>
      <c r="AX239" s="9"/>
      <c r="AY239" s="22">
        <v>1.0531600000000001</v>
      </c>
      <c r="AZ239" s="22">
        <v>487.35199999999998</v>
      </c>
      <c r="BA239" s="22">
        <v>-1.65527E-2</v>
      </c>
      <c r="BB239" s="22">
        <v>229</v>
      </c>
      <c r="BC239" s="22">
        <v>1.0522499999999999</v>
      </c>
      <c r="BD239">
        <f t="shared" si="46"/>
        <v>16.552700000000002</v>
      </c>
      <c r="BE239">
        <f t="shared" si="47"/>
        <v>17.432641532000002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50.683199999999999</v>
      </c>
      <c r="I240" s="22">
        <v>8.5443099999999994E-2</v>
      </c>
      <c r="J240" s="22">
        <v>230</v>
      </c>
      <c r="K240" s="22">
        <v>8.0047599999999997E-2</v>
      </c>
      <c r="L240">
        <f t="shared" si="36"/>
        <v>-85.443099999999987</v>
      </c>
      <c r="M240">
        <f t="shared" si="37"/>
        <v>-54.836099933499995</v>
      </c>
      <c r="N240" s="9"/>
      <c r="O240" s="22">
        <v>1.0582</v>
      </c>
      <c r="P240" s="22">
        <v>161.61000000000001</v>
      </c>
      <c r="Q240" s="22">
        <v>-1.66199E-2</v>
      </c>
      <c r="R240" s="22">
        <v>230</v>
      </c>
      <c r="S240" s="22">
        <v>1.0568200000000001</v>
      </c>
      <c r="T240">
        <f t="shared" si="38"/>
        <v>16.619900000000001</v>
      </c>
      <c r="U240">
        <f t="shared" si="39"/>
        <v>17.587178180000002</v>
      </c>
      <c r="X240" s="9"/>
      <c r="Y240" s="22">
        <v>0.64178500000000005</v>
      </c>
      <c r="Z240" s="22">
        <v>225.196</v>
      </c>
      <c r="AA240" s="22">
        <v>-1.6854899999999999E-2</v>
      </c>
      <c r="AB240" s="22">
        <v>230</v>
      </c>
      <c r="AC240" s="22">
        <v>0.64093</v>
      </c>
      <c r="AD240">
        <f t="shared" si="40"/>
        <v>16.854900000000001</v>
      </c>
      <c r="AE240">
        <f t="shared" si="41"/>
        <v>10.817221996500001</v>
      </c>
      <c r="AF240" s="9"/>
      <c r="AG240" s="22">
        <v>1.0582</v>
      </c>
      <c r="AH240" s="22">
        <v>357.529</v>
      </c>
      <c r="AI240" s="22">
        <v>-1.6586299999999998E-2</v>
      </c>
      <c r="AJ240" s="22">
        <v>230</v>
      </c>
      <c r="AK240" s="22">
        <v>1.0574300000000001</v>
      </c>
      <c r="AL240">
        <f t="shared" si="42"/>
        <v>16.586299999999998</v>
      </c>
      <c r="AM240">
        <f t="shared" si="43"/>
        <v>17.55162266</v>
      </c>
      <c r="AP240" s="9"/>
      <c r="AQ240" s="22">
        <v>0.64178500000000005</v>
      </c>
      <c r="AR240" s="22">
        <v>426.61900000000003</v>
      </c>
      <c r="AS240" s="22">
        <v>-1.6821300000000001E-2</v>
      </c>
      <c r="AT240" s="22">
        <v>230</v>
      </c>
      <c r="AU240" s="22">
        <v>0.64099099999999998</v>
      </c>
      <c r="AV240">
        <f t="shared" si="44"/>
        <v>16.821300000000001</v>
      </c>
      <c r="AW240">
        <f t="shared" si="45"/>
        <v>10.795658020500001</v>
      </c>
      <c r="AX240" s="9"/>
      <c r="AY240" s="22">
        <v>1.0582</v>
      </c>
      <c r="AZ240" s="22">
        <v>487.452</v>
      </c>
      <c r="BA240" s="22">
        <v>-1.6546600000000002E-2</v>
      </c>
      <c r="BB240" s="22">
        <v>230</v>
      </c>
      <c r="BC240" s="22">
        <v>1.0574300000000001</v>
      </c>
      <c r="BD240">
        <f t="shared" si="46"/>
        <v>16.546600000000002</v>
      </c>
      <c r="BE240">
        <f t="shared" si="47"/>
        <v>17.509612120000003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50.783900000000003</v>
      </c>
      <c r="I241" s="22">
        <v>8.5449200000000003E-2</v>
      </c>
      <c r="J241" s="22">
        <v>231</v>
      </c>
      <c r="K241" s="22">
        <v>8.0078099999999999E-2</v>
      </c>
      <c r="L241">
        <f t="shared" si="36"/>
        <v>-85.449200000000005</v>
      </c>
      <c r="M241">
        <f t="shared" si="37"/>
        <v>-54.409692650800004</v>
      </c>
      <c r="N241" s="9"/>
      <c r="O241" s="22">
        <v>1.0632299999999999</v>
      </c>
      <c r="P241" s="22">
        <v>161.71100000000001</v>
      </c>
      <c r="Q241" s="22">
        <v>-1.6616800000000001E-2</v>
      </c>
      <c r="R241" s="22">
        <v>231</v>
      </c>
      <c r="S241" s="22">
        <v>1.0626199999999999</v>
      </c>
      <c r="T241">
        <f t="shared" si="38"/>
        <v>16.616800000000001</v>
      </c>
      <c r="U241">
        <f t="shared" si="39"/>
        <v>17.667480263999998</v>
      </c>
      <c r="X241" s="9"/>
      <c r="Y241" s="22">
        <v>0.63674900000000001</v>
      </c>
      <c r="Z241" s="22">
        <v>225.297</v>
      </c>
      <c r="AA241" s="22">
        <v>-1.6861000000000001E-2</v>
      </c>
      <c r="AB241" s="22">
        <v>231</v>
      </c>
      <c r="AC241" s="22">
        <v>0.63598600000000005</v>
      </c>
      <c r="AD241">
        <f t="shared" si="40"/>
        <v>16.861000000000001</v>
      </c>
      <c r="AE241">
        <f t="shared" si="41"/>
        <v>10.736224889000001</v>
      </c>
      <c r="AF241" s="9"/>
      <c r="AG241" s="22">
        <v>1.0632299999999999</v>
      </c>
      <c r="AH241" s="22">
        <v>357.63</v>
      </c>
      <c r="AI241" s="22">
        <v>-1.6570999999999999E-2</v>
      </c>
      <c r="AJ241" s="22">
        <v>231</v>
      </c>
      <c r="AK241" s="22">
        <v>1.0617099999999999</v>
      </c>
      <c r="AL241">
        <f t="shared" si="42"/>
        <v>16.570999999999998</v>
      </c>
      <c r="AM241">
        <f t="shared" si="43"/>
        <v>17.618784329999997</v>
      </c>
      <c r="AP241" s="9"/>
      <c r="AQ241" s="22">
        <v>0.63674900000000001</v>
      </c>
      <c r="AR241" s="22">
        <v>426.72</v>
      </c>
      <c r="AS241" s="22">
        <v>-1.68243E-2</v>
      </c>
      <c r="AT241" s="22">
        <v>231</v>
      </c>
      <c r="AU241" s="22">
        <v>0.63583400000000001</v>
      </c>
      <c r="AV241">
        <f t="shared" si="44"/>
        <v>16.824300000000001</v>
      </c>
      <c r="AW241">
        <f t="shared" si="45"/>
        <v>10.712856200700001</v>
      </c>
      <c r="AX241" s="9"/>
      <c r="AY241" s="22">
        <v>1.0632299999999999</v>
      </c>
      <c r="AZ241" s="22">
        <v>487.553</v>
      </c>
      <c r="BA241" s="22">
        <v>-1.6555799999999999E-2</v>
      </c>
      <c r="BB241" s="22">
        <v>231</v>
      </c>
      <c r="BC241" s="22">
        <v>1.0626199999999999</v>
      </c>
      <c r="BD241">
        <f t="shared" si="46"/>
        <v>16.555799999999998</v>
      </c>
      <c r="BE241">
        <f t="shared" si="47"/>
        <v>17.602623233999996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50.884599999999999</v>
      </c>
      <c r="I242" s="22">
        <v>8.5491899999999996E-2</v>
      </c>
      <c r="J242" s="22">
        <v>232</v>
      </c>
      <c r="K242" s="22">
        <v>8.0078099999999999E-2</v>
      </c>
      <c r="L242">
        <f t="shared" si="36"/>
        <v>-85.491900000000001</v>
      </c>
      <c r="M242">
        <f t="shared" si="37"/>
        <v>-54.006430116600001</v>
      </c>
      <c r="N242" s="9"/>
      <c r="O242" s="22">
        <v>1.0682700000000001</v>
      </c>
      <c r="P242" s="22">
        <v>161.81200000000001</v>
      </c>
      <c r="Q242" s="22">
        <v>-1.6610699999999999E-2</v>
      </c>
      <c r="R242" s="22">
        <v>232</v>
      </c>
      <c r="S242" s="22">
        <v>1.0674999999999999</v>
      </c>
      <c r="T242">
        <f t="shared" si="38"/>
        <v>16.610699999999998</v>
      </c>
      <c r="U242">
        <f t="shared" si="39"/>
        <v>17.744712488999998</v>
      </c>
      <c r="X242" s="9"/>
      <c r="Y242" s="22">
        <v>0.631714</v>
      </c>
      <c r="Z242" s="22">
        <v>225.398</v>
      </c>
      <c r="AA242" s="22">
        <v>-1.6867099999999999E-2</v>
      </c>
      <c r="AB242" s="22">
        <v>232</v>
      </c>
      <c r="AC242" s="22">
        <v>0.63092000000000004</v>
      </c>
      <c r="AD242">
        <f t="shared" si="40"/>
        <v>16.867100000000001</v>
      </c>
      <c r="AE242">
        <f t="shared" si="41"/>
        <v>10.655183209400001</v>
      </c>
      <c r="AF242" s="9"/>
      <c r="AG242" s="22">
        <v>1.0682700000000001</v>
      </c>
      <c r="AH242" s="22">
        <v>357.73099999999999</v>
      </c>
      <c r="AI242" s="22">
        <v>-1.6570999999999999E-2</v>
      </c>
      <c r="AJ242" s="22">
        <v>232</v>
      </c>
      <c r="AK242" s="22">
        <v>1.0674999999999999</v>
      </c>
      <c r="AL242">
        <f t="shared" si="42"/>
        <v>16.570999999999998</v>
      </c>
      <c r="AM242">
        <f t="shared" si="43"/>
        <v>17.702302169999999</v>
      </c>
      <c r="AP242" s="9"/>
      <c r="AQ242" s="22">
        <v>0.631714</v>
      </c>
      <c r="AR242" s="22">
        <v>426.82100000000003</v>
      </c>
      <c r="AS242" s="22">
        <v>-1.6821300000000001E-2</v>
      </c>
      <c r="AT242" s="22">
        <v>232</v>
      </c>
      <c r="AU242" s="22">
        <v>0.63095100000000004</v>
      </c>
      <c r="AV242">
        <f t="shared" si="44"/>
        <v>16.821300000000001</v>
      </c>
      <c r="AW242">
        <f t="shared" si="45"/>
        <v>10.626250708200001</v>
      </c>
      <c r="AX242" s="9"/>
      <c r="AY242" s="22">
        <v>1.0682700000000001</v>
      </c>
      <c r="AZ242" s="22">
        <v>487.654</v>
      </c>
      <c r="BA242" s="22">
        <v>-1.6543599999999999E-2</v>
      </c>
      <c r="BB242" s="22">
        <v>232</v>
      </c>
      <c r="BC242" s="22">
        <v>1.0668899999999999</v>
      </c>
      <c r="BD242">
        <f t="shared" si="46"/>
        <v>16.543599999999998</v>
      </c>
      <c r="BE242">
        <f t="shared" si="47"/>
        <v>17.673031571999999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50.985300000000002</v>
      </c>
      <c r="I243" s="22">
        <v>8.5220299999999999E-2</v>
      </c>
      <c r="J243" s="22">
        <v>233</v>
      </c>
      <c r="K243" s="22">
        <v>7.9925499999999997E-2</v>
      </c>
      <c r="L243">
        <f t="shared" si="36"/>
        <v>-85.220299999999995</v>
      </c>
      <c r="M243">
        <f t="shared" si="37"/>
        <v>-53.405687163399996</v>
      </c>
      <c r="N243" s="9"/>
      <c r="O243" s="22">
        <v>1.0732999999999999</v>
      </c>
      <c r="P243" s="22">
        <v>161.91200000000001</v>
      </c>
      <c r="Q243" s="22">
        <v>-1.6601600000000001E-2</v>
      </c>
      <c r="R243" s="22">
        <v>233</v>
      </c>
      <c r="S243" s="22">
        <v>1.0720799999999999</v>
      </c>
      <c r="T243">
        <f t="shared" si="38"/>
        <v>16.601600000000001</v>
      </c>
      <c r="U243">
        <f t="shared" si="39"/>
        <v>17.818497279999999</v>
      </c>
      <c r="X243" s="9"/>
      <c r="Y243" s="22">
        <v>0.62667799999999996</v>
      </c>
      <c r="Z243" s="22">
        <v>225.49799999999999</v>
      </c>
      <c r="AA243" s="22">
        <v>-1.6867099999999999E-2</v>
      </c>
      <c r="AB243" s="22">
        <v>233</v>
      </c>
      <c r="AC243" s="22">
        <v>0.62588500000000002</v>
      </c>
      <c r="AD243">
        <f t="shared" si="40"/>
        <v>16.867100000000001</v>
      </c>
      <c r="AE243">
        <f t="shared" si="41"/>
        <v>10.5702404938</v>
      </c>
      <c r="AF243" s="9"/>
      <c r="AG243" s="22">
        <v>1.0732999999999999</v>
      </c>
      <c r="AH243" s="22">
        <v>357.83100000000002</v>
      </c>
      <c r="AI243" s="22">
        <v>-1.6570999999999999E-2</v>
      </c>
      <c r="AJ243" s="22">
        <v>233</v>
      </c>
      <c r="AK243" s="22">
        <v>1.07178</v>
      </c>
      <c r="AL243">
        <f t="shared" si="42"/>
        <v>16.570999999999998</v>
      </c>
      <c r="AM243">
        <f t="shared" si="43"/>
        <v>17.785654299999997</v>
      </c>
      <c r="AP243" s="9"/>
      <c r="AQ243" s="22">
        <v>0.62667799999999996</v>
      </c>
      <c r="AR243" s="22">
        <v>426.92200000000003</v>
      </c>
      <c r="AS243" s="22">
        <v>-1.6827399999999999E-2</v>
      </c>
      <c r="AT243" s="22">
        <v>233</v>
      </c>
      <c r="AU243" s="22">
        <v>0.62585400000000002</v>
      </c>
      <c r="AV243">
        <f t="shared" si="44"/>
        <v>16.827400000000001</v>
      </c>
      <c r="AW243">
        <f t="shared" si="45"/>
        <v>10.545361377199999</v>
      </c>
      <c r="AX243" s="9"/>
      <c r="AY243" s="22">
        <v>1.0732999999999999</v>
      </c>
      <c r="AZ243" s="22">
        <v>487.755</v>
      </c>
      <c r="BA243" s="22">
        <v>-1.6546600000000002E-2</v>
      </c>
      <c r="BB243" s="22">
        <v>233</v>
      </c>
      <c r="BC243" s="22">
        <v>1.0720799999999999</v>
      </c>
      <c r="BD243">
        <f t="shared" si="46"/>
        <v>16.546600000000002</v>
      </c>
      <c r="BE243">
        <f t="shared" si="47"/>
        <v>17.759465779999999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51.085999999999999</v>
      </c>
      <c r="I244" s="22">
        <v>8.5665900000000003E-2</v>
      </c>
      <c r="J244" s="22">
        <v>234</v>
      </c>
      <c r="K244" s="22">
        <v>8.0078099999999999E-2</v>
      </c>
      <c r="L244">
        <f t="shared" si="36"/>
        <v>-85.665900000000008</v>
      </c>
      <c r="M244">
        <f t="shared" si="37"/>
        <v>-53.253607073700003</v>
      </c>
      <c r="N244" s="9"/>
      <c r="O244" s="22">
        <v>1.0783400000000001</v>
      </c>
      <c r="P244" s="22">
        <v>162.01300000000001</v>
      </c>
      <c r="Q244" s="22">
        <v>-1.66077E-2</v>
      </c>
      <c r="R244" s="22">
        <v>234</v>
      </c>
      <c r="S244" s="22">
        <v>1.07819</v>
      </c>
      <c r="T244">
        <f t="shared" si="38"/>
        <v>16.607700000000001</v>
      </c>
      <c r="U244">
        <f t="shared" si="39"/>
        <v>17.908747218000002</v>
      </c>
      <c r="X244" s="9"/>
      <c r="Y244" s="22">
        <v>0.62164299999999995</v>
      </c>
      <c r="Z244" s="22">
        <v>225.59899999999999</v>
      </c>
      <c r="AA244" s="22">
        <v>-1.6867099999999999E-2</v>
      </c>
      <c r="AB244" s="22">
        <v>234</v>
      </c>
      <c r="AC244" s="22">
        <v>0.62078900000000004</v>
      </c>
      <c r="AD244">
        <f t="shared" si="40"/>
        <v>16.867100000000001</v>
      </c>
      <c r="AE244">
        <f t="shared" si="41"/>
        <v>10.485314645299999</v>
      </c>
      <c r="AF244" s="9"/>
      <c r="AG244" s="22">
        <v>1.0783400000000001</v>
      </c>
      <c r="AH244" s="22">
        <v>357.93200000000002</v>
      </c>
      <c r="AI244" s="22">
        <v>-1.6570999999999999E-2</v>
      </c>
      <c r="AJ244" s="22">
        <v>234</v>
      </c>
      <c r="AK244" s="22">
        <v>1.07758</v>
      </c>
      <c r="AL244">
        <f t="shared" si="42"/>
        <v>16.570999999999998</v>
      </c>
      <c r="AM244">
        <f t="shared" si="43"/>
        <v>17.86917214</v>
      </c>
      <c r="AP244" s="9"/>
      <c r="AQ244" s="22">
        <v>0.62164299999999995</v>
      </c>
      <c r="AR244" s="22">
        <v>427.02199999999999</v>
      </c>
      <c r="AS244" s="22">
        <v>-1.6827399999999999E-2</v>
      </c>
      <c r="AT244" s="22">
        <v>234</v>
      </c>
      <c r="AU244" s="22">
        <v>0.62085000000000001</v>
      </c>
      <c r="AV244">
        <f t="shared" si="44"/>
        <v>16.827400000000001</v>
      </c>
      <c r="AW244">
        <f t="shared" si="45"/>
        <v>10.460635418199999</v>
      </c>
      <c r="AX244" s="9"/>
      <c r="AY244" s="22">
        <v>1.0783400000000001</v>
      </c>
      <c r="AZ244" s="22">
        <v>487.85500000000002</v>
      </c>
      <c r="BA244" s="22">
        <v>-1.65375E-2</v>
      </c>
      <c r="BB244" s="22">
        <v>234</v>
      </c>
      <c r="BC244" s="22">
        <v>1.07697</v>
      </c>
      <c r="BD244">
        <f t="shared" si="46"/>
        <v>16.537500000000001</v>
      </c>
      <c r="BE244">
        <f t="shared" si="47"/>
        <v>17.833047750000002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51.186799999999998</v>
      </c>
      <c r="I245" s="22">
        <v>8.5574300000000006E-2</v>
      </c>
      <c r="J245" s="22">
        <v>235</v>
      </c>
      <c r="K245" s="22">
        <v>8.0017099999999994E-2</v>
      </c>
      <c r="L245">
        <f t="shared" si="36"/>
        <v>-85.574300000000008</v>
      </c>
      <c r="M245">
        <f t="shared" si="37"/>
        <v>-52.765797974400009</v>
      </c>
      <c r="N245" s="9"/>
      <c r="O245" s="22">
        <v>1.0833699999999999</v>
      </c>
      <c r="P245" s="22">
        <v>162.114</v>
      </c>
      <c r="Q245" s="22">
        <v>-1.6595499999999999E-2</v>
      </c>
      <c r="R245" s="22">
        <v>235</v>
      </c>
      <c r="S245" s="22">
        <v>1.0821499999999999</v>
      </c>
      <c r="T245">
        <f t="shared" si="38"/>
        <v>16.595499999999998</v>
      </c>
      <c r="U245">
        <f t="shared" si="39"/>
        <v>17.979066834999998</v>
      </c>
      <c r="X245" s="9"/>
      <c r="Y245" s="22">
        <v>0.61660800000000004</v>
      </c>
      <c r="Z245" s="22">
        <v>225.7</v>
      </c>
      <c r="AA245" s="22">
        <v>-1.6870099999999999E-2</v>
      </c>
      <c r="AB245" s="22">
        <v>235</v>
      </c>
      <c r="AC245" s="22">
        <v>0.61587499999999995</v>
      </c>
      <c r="AD245">
        <f t="shared" si="40"/>
        <v>16.870100000000001</v>
      </c>
      <c r="AE245">
        <f t="shared" si="41"/>
        <v>10.4022386208</v>
      </c>
      <c r="AF245" s="9"/>
      <c r="AG245" s="22">
        <v>1.0833699999999999</v>
      </c>
      <c r="AH245" s="22">
        <v>358.03300000000002</v>
      </c>
      <c r="AI245" s="22">
        <v>-1.6567999999999999E-2</v>
      </c>
      <c r="AJ245" s="22">
        <v>235</v>
      </c>
      <c r="AK245" s="22">
        <v>1.0821499999999999</v>
      </c>
      <c r="AL245">
        <f t="shared" si="42"/>
        <v>16.567999999999998</v>
      </c>
      <c r="AM245">
        <f t="shared" si="43"/>
        <v>17.949274159999998</v>
      </c>
      <c r="AP245" s="9"/>
      <c r="AQ245" s="22">
        <v>0.61660800000000004</v>
      </c>
      <c r="AR245" s="22">
        <v>427.12299999999999</v>
      </c>
      <c r="AS245" s="22">
        <v>-1.6836500000000001E-2</v>
      </c>
      <c r="AT245" s="22">
        <v>235</v>
      </c>
      <c r="AU245" s="22">
        <v>0.615784</v>
      </c>
      <c r="AV245">
        <f t="shared" si="44"/>
        <v>16.836500000000001</v>
      </c>
      <c r="AW245">
        <f t="shared" si="45"/>
        <v>10.381520592000001</v>
      </c>
      <c r="AX245" s="9"/>
      <c r="AY245" s="22">
        <v>1.0833699999999999</v>
      </c>
      <c r="AZ245" s="22">
        <v>487.95600000000002</v>
      </c>
      <c r="BA245" s="22">
        <v>-1.6534400000000001E-2</v>
      </c>
      <c r="BB245" s="22">
        <v>235</v>
      </c>
      <c r="BC245" s="22">
        <v>1.08246</v>
      </c>
      <c r="BD245">
        <f t="shared" si="46"/>
        <v>16.534400000000002</v>
      </c>
      <c r="BE245">
        <f t="shared" si="47"/>
        <v>17.912872928000002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51.287500000000001</v>
      </c>
      <c r="I246" s="22">
        <v>8.5388199999999997E-2</v>
      </c>
      <c r="J246" s="22">
        <v>236</v>
      </c>
      <c r="K246" s="22">
        <v>7.9956100000000002E-2</v>
      </c>
      <c r="L246">
        <f t="shared" si="36"/>
        <v>-85.388199999999998</v>
      </c>
      <c r="M246">
        <f t="shared" si="37"/>
        <v>-52.2210322504</v>
      </c>
      <c r="N246" s="9"/>
      <c r="O246" s="22">
        <v>1.0884100000000001</v>
      </c>
      <c r="P246" s="22">
        <v>162.214</v>
      </c>
      <c r="Q246" s="22">
        <v>-1.65924E-2</v>
      </c>
      <c r="R246" s="22">
        <v>236</v>
      </c>
      <c r="S246" s="22">
        <v>1.08734</v>
      </c>
      <c r="T246">
        <f t="shared" si="38"/>
        <v>16.592400000000001</v>
      </c>
      <c r="U246">
        <f t="shared" si="39"/>
        <v>18.059334084000003</v>
      </c>
      <c r="X246" s="9"/>
      <c r="Y246" s="22">
        <v>0.611572</v>
      </c>
      <c r="Z246" s="22">
        <v>225.8</v>
      </c>
      <c r="AA246" s="22">
        <v>-1.6873200000000001E-2</v>
      </c>
      <c r="AB246" s="22">
        <v>236</v>
      </c>
      <c r="AC246" s="22">
        <v>0.61077899999999996</v>
      </c>
      <c r="AD246">
        <f t="shared" si="40"/>
        <v>16.873200000000001</v>
      </c>
      <c r="AE246">
        <f t="shared" si="41"/>
        <v>10.319176670400001</v>
      </c>
      <c r="AF246" s="9"/>
      <c r="AG246" s="22">
        <v>1.0884100000000001</v>
      </c>
      <c r="AH246" s="22">
        <v>358.13400000000001</v>
      </c>
      <c r="AI246" s="22">
        <v>-1.6558799999999999E-2</v>
      </c>
      <c r="AJ246" s="22">
        <v>236</v>
      </c>
      <c r="AK246" s="22">
        <v>1.08795</v>
      </c>
      <c r="AL246">
        <f t="shared" si="42"/>
        <v>16.558799999999998</v>
      </c>
      <c r="AM246">
        <f t="shared" si="43"/>
        <v>18.022763508000001</v>
      </c>
      <c r="AP246" s="9"/>
      <c r="AQ246" s="22">
        <v>0.611572</v>
      </c>
      <c r="AR246" s="22">
        <v>427.22399999999999</v>
      </c>
      <c r="AS246" s="22">
        <v>-1.6836500000000001E-2</v>
      </c>
      <c r="AT246" s="22">
        <v>236</v>
      </c>
      <c r="AU246" s="22">
        <v>0.61077899999999996</v>
      </c>
      <c r="AV246">
        <f t="shared" si="44"/>
        <v>16.836500000000001</v>
      </c>
      <c r="AW246">
        <f t="shared" si="45"/>
        <v>10.296731978</v>
      </c>
      <c r="AX246" s="9"/>
      <c r="AY246" s="22">
        <v>1.0884100000000001</v>
      </c>
      <c r="AZ246" s="22">
        <v>488.05700000000002</v>
      </c>
      <c r="BA246" s="22">
        <v>-1.6528299999999999E-2</v>
      </c>
      <c r="BB246" s="22">
        <v>236</v>
      </c>
      <c r="BC246" s="22">
        <v>1.08765</v>
      </c>
      <c r="BD246">
        <f t="shared" si="46"/>
        <v>16.528299999999998</v>
      </c>
      <c r="BE246">
        <f t="shared" si="47"/>
        <v>17.989567003000001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51.388199999999998</v>
      </c>
      <c r="I247" s="22">
        <v>8.5360699999999998E-2</v>
      </c>
      <c r="J247" s="22">
        <v>237</v>
      </c>
      <c r="K247" s="22">
        <v>8.0078099999999999E-2</v>
      </c>
      <c r="L247">
        <f t="shared" si="36"/>
        <v>-85.360699999999994</v>
      </c>
      <c r="M247">
        <f t="shared" si="37"/>
        <v>-51.774422895899995</v>
      </c>
      <c r="N247" s="9"/>
      <c r="O247" s="22">
        <v>1.09344</v>
      </c>
      <c r="P247" s="22">
        <v>162.315</v>
      </c>
      <c r="Q247" s="22">
        <v>-1.6583299999999999E-2</v>
      </c>
      <c r="R247" s="22">
        <v>237</v>
      </c>
      <c r="S247" s="22">
        <v>1.09283</v>
      </c>
      <c r="T247">
        <f t="shared" si="38"/>
        <v>16.583299999999998</v>
      </c>
      <c r="U247">
        <f t="shared" si="39"/>
        <v>18.132843551999997</v>
      </c>
      <c r="X247" s="9"/>
      <c r="Y247" s="22">
        <v>0.60653699999999999</v>
      </c>
      <c r="Z247" s="22">
        <v>225.90100000000001</v>
      </c>
      <c r="AA247" s="22">
        <v>-1.6873200000000001E-2</v>
      </c>
      <c r="AB247" s="22">
        <v>237</v>
      </c>
      <c r="AC247" s="22">
        <v>0.60580400000000001</v>
      </c>
      <c r="AD247">
        <f t="shared" si="40"/>
        <v>16.873200000000001</v>
      </c>
      <c r="AE247">
        <f t="shared" si="41"/>
        <v>10.234220108400001</v>
      </c>
      <c r="AF247" s="9"/>
      <c r="AG247" s="22">
        <v>1.09344</v>
      </c>
      <c r="AH247" s="22">
        <v>358.23399999999998</v>
      </c>
      <c r="AI247" s="22">
        <v>-1.65527E-2</v>
      </c>
      <c r="AJ247" s="22">
        <v>237</v>
      </c>
      <c r="AK247" s="22">
        <v>1.09192</v>
      </c>
      <c r="AL247">
        <f t="shared" si="42"/>
        <v>16.552700000000002</v>
      </c>
      <c r="AM247">
        <f t="shared" si="43"/>
        <v>18.099384288</v>
      </c>
      <c r="AP247" s="9"/>
      <c r="AQ247" s="22">
        <v>0.60653699999999999</v>
      </c>
      <c r="AR247" s="22">
        <v>427.32400000000001</v>
      </c>
      <c r="AS247" s="22">
        <v>-1.68396E-2</v>
      </c>
      <c r="AT247" s="22">
        <v>237</v>
      </c>
      <c r="AU247" s="22">
        <v>0.60577400000000003</v>
      </c>
      <c r="AV247">
        <f t="shared" si="44"/>
        <v>16.839600000000001</v>
      </c>
      <c r="AW247">
        <f t="shared" si="45"/>
        <v>10.213840465200001</v>
      </c>
      <c r="AX247" s="9"/>
      <c r="AY247" s="22">
        <v>1.09344</v>
      </c>
      <c r="AZ247" s="22">
        <v>488.15699999999998</v>
      </c>
      <c r="BA247" s="22">
        <v>-1.6528299999999999E-2</v>
      </c>
      <c r="BB247" s="22">
        <v>237</v>
      </c>
      <c r="BC247" s="22">
        <v>1.09253</v>
      </c>
      <c r="BD247">
        <f t="shared" si="46"/>
        <v>16.528299999999998</v>
      </c>
      <c r="BE247">
        <f t="shared" si="47"/>
        <v>18.072704351999999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51.488900000000001</v>
      </c>
      <c r="I248" s="22">
        <v>8.5348499999999994E-2</v>
      </c>
      <c r="J248" s="22">
        <v>238</v>
      </c>
      <c r="K248" s="22">
        <v>7.9986600000000005E-2</v>
      </c>
      <c r="L248">
        <f t="shared" si="36"/>
        <v>-85.348499999999987</v>
      </c>
      <c r="M248">
        <f t="shared" si="37"/>
        <v>-51.337208098499985</v>
      </c>
      <c r="N248" s="9"/>
      <c r="O248" s="22">
        <v>1.0984799999999999</v>
      </c>
      <c r="P248" s="22">
        <v>162.416</v>
      </c>
      <c r="Q248" s="22">
        <v>-1.6583299999999999E-2</v>
      </c>
      <c r="R248" s="22">
        <v>238</v>
      </c>
      <c r="S248" s="22">
        <v>1.09711</v>
      </c>
      <c r="T248">
        <f t="shared" si="38"/>
        <v>16.583299999999998</v>
      </c>
      <c r="U248">
        <f t="shared" si="39"/>
        <v>18.216423383999995</v>
      </c>
      <c r="X248" s="9"/>
      <c r="Y248" s="22">
        <v>0.60150099999999995</v>
      </c>
      <c r="Z248" s="22">
        <v>226.00200000000001</v>
      </c>
      <c r="AA248" s="22">
        <v>-1.6876200000000001E-2</v>
      </c>
      <c r="AB248" s="22">
        <v>238</v>
      </c>
      <c r="AC248" s="22">
        <v>0.60070800000000002</v>
      </c>
      <c r="AD248">
        <f t="shared" si="40"/>
        <v>16.876200000000001</v>
      </c>
      <c r="AE248">
        <f t="shared" si="41"/>
        <v>10.151051176199999</v>
      </c>
      <c r="AF248" s="9"/>
      <c r="AG248" s="22">
        <v>1.0984799999999999</v>
      </c>
      <c r="AH248" s="22">
        <v>358.33499999999998</v>
      </c>
      <c r="AI248" s="22">
        <v>-1.65527E-2</v>
      </c>
      <c r="AJ248" s="22">
        <v>238</v>
      </c>
      <c r="AK248" s="22">
        <v>1.09711</v>
      </c>
      <c r="AL248">
        <f t="shared" si="42"/>
        <v>16.552700000000002</v>
      </c>
      <c r="AM248">
        <f t="shared" si="43"/>
        <v>18.182809895999998</v>
      </c>
      <c r="AP248" s="9"/>
      <c r="AQ248" s="22">
        <v>0.60150099999999995</v>
      </c>
      <c r="AR248" s="22">
        <v>427.42500000000001</v>
      </c>
      <c r="AS248" s="22">
        <v>-1.6833500000000001E-2</v>
      </c>
      <c r="AT248" s="22">
        <v>238</v>
      </c>
      <c r="AU248" s="22">
        <v>0.60070800000000002</v>
      </c>
      <c r="AV248">
        <f t="shared" si="44"/>
        <v>16.833500000000001</v>
      </c>
      <c r="AW248">
        <f t="shared" si="45"/>
        <v>10.1253670835</v>
      </c>
      <c r="AX248" s="9"/>
      <c r="AY248" s="22">
        <v>1.0984799999999999</v>
      </c>
      <c r="AZ248" s="22">
        <v>488.25799999999998</v>
      </c>
      <c r="BA248" s="22">
        <v>-1.6516099999999999E-2</v>
      </c>
      <c r="BB248" s="22">
        <v>238</v>
      </c>
      <c r="BC248" s="22">
        <v>1.09741</v>
      </c>
      <c r="BD248">
        <f t="shared" si="46"/>
        <v>16.516099999999998</v>
      </c>
      <c r="BE248">
        <f t="shared" si="47"/>
        <v>18.142605527999997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51.589599999999997</v>
      </c>
      <c r="I249" s="22">
        <v>8.5430900000000004E-2</v>
      </c>
      <c r="J249" s="22">
        <v>239</v>
      </c>
      <c r="K249" s="22">
        <v>7.9986600000000005E-2</v>
      </c>
      <c r="L249">
        <f t="shared" si="36"/>
        <v>-85.430900000000008</v>
      </c>
      <c r="M249">
        <f t="shared" si="37"/>
        <v>-50.95662719940001</v>
      </c>
      <c r="N249" s="9"/>
      <c r="O249" s="22">
        <v>1.1035200000000001</v>
      </c>
      <c r="P249" s="22">
        <v>162.51599999999999</v>
      </c>
      <c r="Q249" s="22">
        <v>-1.6586299999999998E-2</v>
      </c>
      <c r="R249" s="22">
        <v>239</v>
      </c>
      <c r="S249" s="22">
        <v>1.1026</v>
      </c>
      <c r="T249">
        <f t="shared" si="38"/>
        <v>16.586299999999998</v>
      </c>
      <c r="U249">
        <f t="shared" si="39"/>
        <v>18.303313776</v>
      </c>
      <c r="X249" s="9"/>
      <c r="Y249" s="22">
        <v>0.59646600000000005</v>
      </c>
      <c r="Z249" s="22">
        <v>226.102</v>
      </c>
      <c r="AA249" s="22">
        <v>-1.6873200000000001E-2</v>
      </c>
      <c r="AB249" s="22">
        <v>239</v>
      </c>
      <c r="AC249" s="22">
        <v>0.595642</v>
      </c>
      <c r="AD249">
        <f t="shared" si="40"/>
        <v>16.873200000000001</v>
      </c>
      <c r="AE249">
        <f t="shared" si="41"/>
        <v>10.064290111200002</v>
      </c>
      <c r="AF249" s="9"/>
      <c r="AG249" s="22">
        <v>1.1035200000000001</v>
      </c>
      <c r="AH249" s="22">
        <v>358.43599999999998</v>
      </c>
      <c r="AI249" s="22">
        <v>-1.6546600000000002E-2</v>
      </c>
      <c r="AJ249" s="22">
        <v>239</v>
      </c>
      <c r="AK249" s="22">
        <v>1.1026</v>
      </c>
      <c r="AL249">
        <f t="shared" si="42"/>
        <v>16.546600000000002</v>
      </c>
      <c r="AM249">
        <f t="shared" si="43"/>
        <v>18.259504032000002</v>
      </c>
      <c r="AP249" s="9"/>
      <c r="AQ249" s="22">
        <v>0.59646600000000005</v>
      </c>
      <c r="AR249" s="22">
        <v>427.52600000000001</v>
      </c>
      <c r="AS249" s="22">
        <v>-1.6842699999999999E-2</v>
      </c>
      <c r="AT249" s="22">
        <v>239</v>
      </c>
      <c r="AU249" s="22">
        <v>0.59573399999999999</v>
      </c>
      <c r="AV249">
        <f t="shared" si="44"/>
        <v>16.842699999999997</v>
      </c>
      <c r="AW249">
        <f t="shared" si="45"/>
        <v>10.046097898199999</v>
      </c>
      <c r="AX249" s="9"/>
      <c r="AY249" s="22">
        <v>1.1035200000000001</v>
      </c>
      <c r="AZ249" s="22">
        <v>488.35899999999998</v>
      </c>
      <c r="BA249" s="22">
        <v>-1.6516099999999999E-2</v>
      </c>
      <c r="BB249" s="22">
        <v>239</v>
      </c>
      <c r="BC249" s="22">
        <v>1.10229</v>
      </c>
      <c r="BD249">
        <f t="shared" si="46"/>
        <v>16.516099999999998</v>
      </c>
      <c r="BE249">
        <f t="shared" si="47"/>
        <v>18.225846671999999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51.690300000000001</v>
      </c>
      <c r="I250" s="22">
        <v>8.5504200000000002E-2</v>
      </c>
      <c r="J250" s="22">
        <v>240</v>
      </c>
      <c r="K250" s="22">
        <v>7.9956100000000002E-2</v>
      </c>
      <c r="L250">
        <f t="shared" si="36"/>
        <v>-85.504199999999997</v>
      </c>
      <c r="M250">
        <f t="shared" si="37"/>
        <v>-50.569834510200003</v>
      </c>
      <c r="N250" s="9"/>
      <c r="O250" s="22">
        <v>1.1085499999999999</v>
      </c>
      <c r="P250" s="22">
        <v>162.61699999999999</v>
      </c>
      <c r="Q250" s="22">
        <v>-1.6583299999999999E-2</v>
      </c>
      <c r="R250" s="22">
        <v>240</v>
      </c>
      <c r="S250" s="22">
        <v>1.10748</v>
      </c>
      <c r="T250">
        <f t="shared" si="38"/>
        <v>16.583299999999998</v>
      </c>
      <c r="U250">
        <f t="shared" si="39"/>
        <v>18.383417214999998</v>
      </c>
      <c r="X250" s="9"/>
      <c r="Y250" s="22">
        <v>0.59143100000000004</v>
      </c>
      <c r="Z250" s="22">
        <v>226.203</v>
      </c>
      <c r="AA250" s="22">
        <v>-1.68793E-2</v>
      </c>
      <c r="AB250" s="22">
        <v>240</v>
      </c>
      <c r="AC250" s="22">
        <v>0.59042399999999995</v>
      </c>
      <c r="AD250">
        <f t="shared" si="40"/>
        <v>16.879300000000001</v>
      </c>
      <c r="AE250">
        <f t="shared" si="41"/>
        <v>9.9829412783000002</v>
      </c>
      <c r="AF250" s="9"/>
      <c r="AG250" s="22">
        <v>1.1085499999999999</v>
      </c>
      <c r="AH250" s="22">
        <v>358.536</v>
      </c>
      <c r="AI250" s="22">
        <v>-1.6549700000000001E-2</v>
      </c>
      <c r="AJ250" s="22">
        <v>240</v>
      </c>
      <c r="AK250" s="22">
        <v>1.10748</v>
      </c>
      <c r="AL250">
        <f t="shared" si="42"/>
        <v>16.549700000000001</v>
      </c>
      <c r="AM250">
        <f t="shared" si="43"/>
        <v>18.346169934999999</v>
      </c>
      <c r="AP250" s="9"/>
      <c r="AQ250" s="22">
        <v>0.59143100000000004</v>
      </c>
      <c r="AR250" s="22">
        <v>427.62700000000001</v>
      </c>
      <c r="AS250" s="22">
        <v>-1.6842699999999999E-2</v>
      </c>
      <c r="AT250" s="22">
        <v>240</v>
      </c>
      <c r="AU250" s="22">
        <v>0.59082000000000001</v>
      </c>
      <c r="AV250">
        <f t="shared" si="44"/>
        <v>16.842699999999997</v>
      </c>
      <c r="AW250">
        <f t="shared" si="45"/>
        <v>9.9612949036999989</v>
      </c>
      <c r="AX250" s="9"/>
      <c r="AY250" s="22">
        <v>1.1085499999999999</v>
      </c>
      <c r="AZ250" s="22">
        <v>488.46</v>
      </c>
      <c r="BA250" s="22">
        <v>-1.6519200000000001E-2</v>
      </c>
      <c r="BB250" s="22">
        <v>240</v>
      </c>
      <c r="BC250" s="22">
        <v>1.10748</v>
      </c>
      <c r="BD250">
        <f t="shared" si="46"/>
        <v>16.519200000000001</v>
      </c>
      <c r="BE250">
        <f t="shared" si="47"/>
        <v>18.31235916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51.790999999999997</v>
      </c>
      <c r="I251" s="22">
        <v>8.5467500000000002E-2</v>
      </c>
      <c r="J251" s="22">
        <v>241</v>
      </c>
      <c r="K251" s="22">
        <v>8.0017099999999994E-2</v>
      </c>
      <c r="L251">
        <f t="shared" si="36"/>
        <v>-85.467500000000001</v>
      </c>
      <c r="M251">
        <f t="shared" si="37"/>
        <v>-50.117714662499999</v>
      </c>
      <c r="N251" s="9"/>
      <c r="O251" s="22">
        <v>1.1135900000000001</v>
      </c>
      <c r="P251" s="22">
        <v>162.71799999999999</v>
      </c>
      <c r="Q251" s="22">
        <v>-1.65802E-2</v>
      </c>
      <c r="R251" s="22">
        <v>241</v>
      </c>
      <c r="S251" s="22">
        <v>1.1123700000000001</v>
      </c>
      <c r="T251">
        <f t="shared" si="38"/>
        <v>16.580200000000001</v>
      </c>
      <c r="U251">
        <f t="shared" si="39"/>
        <v>18.463544918000004</v>
      </c>
      <c r="X251" s="9"/>
      <c r="Y251" s="22">
        <v>0.586395</v>
      </c>
      <c r="Z251" s="22">
        <v>226.304</v>
      </c>
      <c r="AA251" s="22">
        <v>-1.6885399999999998E-2</v>
      </c>
      <c r="AB251" s="22">
        <v>241</v>
      </c>
      <c r="AC251" s="22">
        <v>0.58560199999999996</v>
      </c>
      <c r="AD251">
        <f t="shared" si="40"/>
        <v>16.885399999999997</v>
      </c>
      <c r="AE251">
        <f t="shared" si="41"/>
        <v>9.9015141329999992</v>
      </c>
      <c r="AF251" s="9"/>
      <c r="AG251" s="22">
        <v>1.1135900000000001</v>
      </c>
      <c r="AH251" s="22">
        <v>358.637</v>
      </c>
      <c r="AI251" s="22">
        <v>-1.65405E-2</v>
      </c>
      <c r="AJ251" s="22">
        <v>241</v>
      </c>
      <c r="AK251" s="22">
        <v>1.1123700000000001</v>
      </c>
      <c r="AL251">
        <f t="shared" si="42"/>
        <v>16.540499999999998</v>
      </c>
      <c r="AM251">
        <f t="shared" si="43"/>
        <v>18.419335394999997</v>
      </c>
      <c r="AP251" s="9"/>
      <c r="AQ251" s="22">
        <v>0.586395</v>
      </c>
      <c r="AR251" s="22">
        <v>427.72699999999998</v>
      </c>
      <c r="AS251" s="22">
        <v>-1.6845700000000002E-2</v>
      </c>
      <c r="AT251" s="22">
        <v>241</v>
      </c>
      <c r="AU251" s="22">
        <v>0.58563200000000004</v>
      </c>
      <c r="AV251">
        <f t="shared" si="44"/>
        <v>16.845700000000001</v>
      </c>
      <c r="AW251">
        <f t="shared" si="45"/>
        <v>9.8782342515000003</v>
      </c>
      <c r="AX251" s="9"/>
      <c r="AY251" s="22">
        <v>1.1135900000000001</v>
      </c>
      <c r="AZ251" s="22">
        <v>488.56</v>
      </c>
      <c r="BA251" s="22">
        <v>-1.6522200000000001E-2</v>
      </c>
      <c r="BB251" s="22">
        <v>241</v>
      </c>
      <c r="BC251" s="22">
        <v>1.11267</v>
      </c>
      <c r="BD251">
        <f t="shared" si="46"/>
        <v>16.522200000000002</v>
      </c>
      <c r="BE251">
        <f t="shared" si="47"/>
        <v>18.398956698000003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51.8917</v>
      </c>
      <c r="I252" s="22">
        <v>8.5549899999999998E-2</v>
      </c>
      <c r="J252" s="22">
        <v>242</v>
      </c>
      <c r="K252" s="22">
        <v>7.9986600000000005E-2</v>
      </c>
      <c r="L252">
        <f t="shared" si="36"/>
        <v>-85.549899999999994</v>
      </c>
      <c r="M252">
        <f t="shared" si="37"/>
        <v>-49.735289863999995</v>
      </c>
      <c r="N252" s="9"/>
      <c r="O252" s="22">
        <v>1.1186199999999999</v>
      </c>
      <c r="P252" s="22">
        <v>162.81899999999999</v>
      </c>
      <c r="Q252" s="22">
        <v>-1.6577100000000001E-2</v>
      </c>
      <c r="R252" s="22">
        <v>242</v>
      </c>
      <c r="S252" s="22">
        <v>1.11755</v>
      </c>
      <c r="T252">
        <f t="shared" si="38"/>
        <v>16.577100000000002</v>
      </c>
      <c r="U252">
        <f t="shared" si="39"/>
        <v>18.543475602000001</v>
      </c>
      <c r="X252" s="9"/>
      <c r="Y252" s="22">
        <v>0.58135999999999999</v>
      </c>
      <c r="Z252" s="22">
        <v>226.405</v>
      </c>
      <c r="AA252" s="22">
        <v>-1.6885399999999998E-2</v>
      </c>
      <c r="AB252" s="22">
        <v>242</v>
      </c>
      <c r="AC252" s="22">
        <v>0.58050500000000005</v>
      </c>
      <c r="AD252">
        <f t="shared" si="40"/>
        <v>16.885399999999997</v>
      </c>
      <c r="AE252">
        <f t="shared" si="41"/>
        <v>9.8164961439999985</v>
      </c>
      <c r="AF252" s="9"/>
      <c r="AG252" s="22">
        <v>1.1186199999999999</v>
      </c>
      <c r="AH252" s="22">
        <v>358.738</v>
      </c>
      <c r="AI252" s="22">
        <v>-1.65405E-2</v>
      </c>
      <c r="AJ252" s="22">
        <v>242</v>
      </c>
      <c r="AK252" s="22">
        <v>1.1172500000000001</v>
      </c>
      <c r="AL252">
        <f t="shared" si="42"/>
        <v>16.540499999999998</v>
      </c>
      <c r="AM252">
        <f t="shared" si="43"/>
        <v>18.502534109999996</v>
      </c>
      <c r="AP252" s="9"/>
      <c r="AQ252" s="22">
        <v>0.58135999999999999</v>
      </c>
      <c r="AR252" s="22">
        <v>427.82799999999997</v>
      </c>
      <c r="AS252" s="22">
        <v>-1.68518E-2</v>
      </c>
      <c r="AT252" s="22">
        <v>242</v>
      </c>
      <c r="AU252" s="22">
        <v>0.58068799999999998</v>
      </c>
      <c r="AV252">
        <f t="shared" si="44"/>
        <v>16.851800000000001</v>
      </c>
      <c r="AW252">
        <f t="shared" si="45"/>
        <v>9.7969624480000004</v>
      </c>
      <c r="AX252" s="9"/>
      <c r="AY252" s="22">
        <v>1.1186199999999999</v>
      </c>
      <c r="AZ252" s="22">
        <v>488.661</v>
      </c>
      <c r="BA252" s="22">
        <v>-1.6516099999999999E-2</v>
      </c>
      <c r="BB252" s="22">
        <v>242</v>
      </c>
      <c r="BC252" s="22">
        <v>1.11694</v>
      </c>
      <c r="BD252">
        <f t="shared" si="46"/>
        <v>16.516099999999998</v>
      </c>
      <c r="BE252">
        <f t="shared" si="47"/>
        <v>18.475239781999996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51.992400000000004</v>
      </c>
      <c r="I253" s="22">
        <v>8.5629300000000005E-2</v>
      </c>
      <c r="J253" s="22">
        <v>243</v>
      </c>
      <c r="K253" s="22">
        <v>7.9956100000000002E-2</v>
      </c>
      <c r="L253">
        <f t="shared" si="36"/>
        <v>-85.629300000000001</v>
      </c>
      <c r="M253">
        <f t="shared" si="37"/>
        <v>-49.350220693199994</v>
      </c>
      <c r="N253" s="9"/>
      <c r="O253" s="22">
        <v>1.1236600000000001</v>
      </c>
      <c r="P253" s="22">
        <v>162.91900000000001</v>
      </c>
      <c r="Q253" s="22">
        <v>-1.6570999999999999E-2</v>
      </c>
      <c r="R253" s="22">
        <v>243</v>
      </c>
      <c r="S253" s="22">
        <v>1.1230500000000001</v>
      </c>
      <c r="T253">
        <f t="shared" si="38"/>
        <v>16.570999999999998</v>
      </c>
      <c r="U253">
        <f t="shared" si="39"/>
        <v>18.620169860000001</v>
      </c>
      <c r="X253" s="9"/>
      <c r="Y253" s="22">
        <v>0.57632399999999995</v>
      </c>
      <c r="Z253" s="22">
        <v>226.505</v>
      </c>
      <c r="AA253" s="22">
        <v>-1.6888400000000001E-2</v>
      </c>
      <c r="AB253" s="22">
        <v>243</v>
      </c>
      <c r="AC253" s="22">
        <v>0.57543900000000003</v>
      </c>
      <c r="AD253">
        <f t="shared" si="40"/>
        <v>16.888400000000001</v>
      </c>
      <c r="AE253">
        <f t="shared" si="41"/>
        <v>9.7331902415999991</v>
      </c>
      <c r="AF253" s="9"/>
      <c r="AG253" s="22">
        <v>1.1236600000000001</v>
      </c>
      <c r="AH253" s="22">
        <v>358.839</v>
      </c>
      <c r="AI253" s="22">
        <v>-1.65375E-2</v>
      </c>
      <c r="AJ253" s="22">
        <v>243</v>
      </c>
      <c r="AK253" s="22">
        <v>1.1227400000000001</v>
      </c>
      <c r="AL253">
        <f t="shared" si="42"/>
        <v>16.537500000000001</v>
      </c>
      <c r="AM253">
        <f t="shared" si="43"/>
        <v>18.582527250000002</v>
      </c>
      <c r="AP253" s="9"/>
      <c r="AQ253" s="22">
        <v>0.57632399999999995</v>
      </c>
      <c r="AR253" s="22">
        <v>427.92899999999997</v>
      </c>
      <c r="AS253" s="22">
        <v>-1.6861000000000001E-2</v>
      </c>
      <c r="AT253" s="22">
        <v>243</v>
      </c>
      <c r="AU253" s="22">
        <v>0.57547000000000004</v>
      </c>
      <c r="AV253">
        <f t="shared" si="44"/>
        <v>16.861000000000001</v>
      </c>
      <c r="AW253">
        <f t="shared" si="45"/>
        <v>9.7173989639999991</v>
      </c>
      <c r="AX253" s="9"/>
      <c r="AY253" s="22">
        <v>1.1236600000000001</v>
      </c>
      <c r="AZ253" s="22">
        <v>488.762</v>
      </c>
      <c r="BA253" s="22">
        <v>-1.6516099999999999E-2</v>
      </c>
      <c r="BB253" s="22">
        <v>243</v>
      </c>
      <c r="BC253" s="22">
        <v>1.1227400000000001</v>
      </c>
      <c r="BD253">
        <f t="shared" si="46"/>
        <v>16.516099999999998</v>
      </c>
      <c r="BE253">
        <f t="shared" si="47"/>
        <v>18.558480925999998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52.0931</v>
      </c>
      <c r="I254" s="22">
        <v>8.5671999999999998E-2</v>
      </c>
      <c r="J254" s="22">
        <v>244</v>
      </c>
      <c r="K254" s="22">
        <v>7.9925499999999997E-2</v>
      </c>
      <c r="L254">
        <f t="shared" si="36"/>
        <v>-85.671999999999997</v>
      </c>
      <c r="M254">
        <f t="shared" si="37"/>
        <v>-48.943471208000005</v>
      </c>
      <c r="N254" s="9"/>
      <c r="O254" s="22">
        <v>1.12869</v>
      </c>
      <c r="P254" s="22">
        <v>163.02000000000001</v>
      </c>
      <c r="Q254" s="22">
        <v>-1.6567999999999999E-2</v>
      </c>
      <c r="R254" s="22">
        <v>244</v>
      </c>
      <c r="S254" s="22">
        <v>1.1273200000000001</v>
      </c>
      <c r="T254">
        <f t="shared" si="38"/>
        <v>16.567999999999998</v>
      </c>
      <c r="U254">
        <f t="shared" si="39"/>
        <v>18.700135919999997</v>
      </c>
      <c r="X254" s="9"/>
      <c r="Y254" s="22">
        <v>0.57128900000000005</v>
      </c>
      <c r="Z254" s="22">
        <v>226.60599999999999</v>
      </c>
      <c r="AA254" s="22">
        <v>-1.6888400000000001E-2</v>
      </c>
      <c r="AB254" s="22">
        <v>244</v>
      </c>
      <c r="AC254" s="22">
        <v>0.57031299999999996</v>
      </c>
      <c r="AD254">
        <f t="shared" si="40"/>
        <v>16.888400000000001</v>
      </c>
      <c r="AE254">
        <f t="shared" si="41"/>
        <v>9.648157147600001</v>
      </c>
      <c r="AF254" s="9"/>
      <c r="AG254" s="22">
        <v>1.12869</v>
      </c>
      <c r="AH254" s="22">
        <v>358.93900000000002</v>
      </c>
      <c r="AI254" s="22">
        <v>-1.65405E-2</v>
      </c>
      <c r="AJ254" s="22">
        <v>244</v>
      </c>
      <c r="AK254" s="22">
        <v>1.1282300000000001</v>
      </c>
      <c r="AL254">
        <f t="shared" si="42"/>
        <v>16.540499999999998</v>
      </c>
      <c r="AM254">
        <f t="shared" si="43"/>
        <v>18.669096944999996</v>
      </c>
      <c r="AP254" s="9"/>
      <c r="AQ254" s="22">
        <v>0.57128900000000005</v>
      </c>
      <c r="AR254" s="22">
        <v>428.029</v>
      </c>
      <c r="AS254" s="22">
        <v>-1.6861000000000001E-2</v>
      </c>
      <c r="AT254" s="22">
        <v>244</v>
      </c>
      <c r="AU254" s="22">
        <v>0.57022099999999998</v>
      </c>
      <c r="AV254">
        <f t="shared" si="44"/>
        <v>16.861000000000001</v>
      </c>
      <c r="AW254">
        <f t="shared" si="45"/>
        <v>9.6325038290000009</v>
      </c>
      <c r="AX254" s="9"/>
      <c r="AY254" s="22">
        <v>1.12869</v>
      </c>
      <c r="AZ254" s="22">
        <v>488.86200000000002</v>
      </c>
      <c r="BA254" s="22">
        <v>-1.651E-2</v>
      </c>
      <c r="BB254" s="22">
        <v>244</v>
      </c>
      <c r="BC254" s="22">
        <v>1.1276200000000001</v>
      </c>
      <c r="BD254">
        <f t="shared" si="46"/>
        <v>16.510000000000002</v>
      </c>
      <c r="BE254">
        <f t="shared" si="47"/>
        <v>18.634671900000001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52.193800000000003</v>
      </c>
      <c r="I255" s="22">
        <v>8.5595699999999997E-2</v>
      </c>
      <c r="J255" s="22">
        <v>245</v>
      </c>
      <c r="K255" s="22">
        <v>7.9986600000000005E-2</v>
      </c>
      <c r="L255">
        <f t="shared" si="36"/>
        <v>-85.595699999999994</v>
      </c>
      <c r="M255">
        <f t="shared" si="37"/>
        <v>-48.468907507799997</v>
      </c>
      <c r="N255" s="9"/>
      <c r="O255" s="22">
        <v>1.1337299999999999</v>
      </c>
      <c r="P255" s="22">
        <v>163.12100000000001</v>
      </c>
      <c r="Q255" s="22">
        <v>-1.6567999999999999E-2</v>
      </c>
      <c r="R255" s="22">
        <v>245</v>
      </c>
      <c r="S255" s="22">
        <v>1.1334200000000001</v>
      </c>
      <c r="T255">
        <f t="shared" si="38"/>
        <v>16.567999999999998</v>
      </c>
      <c r="U255">
        <f t="shared" si="39"/>
        <v>18.783638639999996</v>
      </c>
      <c r="X255" s="9"/>
      <c r="Y255" s="22">
        <v>0.56625400000000004</v>
      </c>
      <c r="Z255" s="22">
        <v>226.70699999999999</v>
      </c>
      <c r="AA255" s="22">
        <v>-1.68915E-2</v>
      </c>
      <c r="AB255" s="22">
        <v>245</v>
      </c>
      <c r="AC255" s="22">
        <v>0.56545999999999996</v>
      </c>
      <c r="AD255">
        <f t="shared" si="40"/>
        <v>16.891500000000001</v>
      </c>
      <c r="AE255">
        <f t="shared" si="41"/>
        <v>9.5648794410000004</v>
      </c>
      <c r="AF255" s="9"/>
      <c r="AG255" s="22">
        <v>1.1337299999999999</v>
      </c>
      <c r="AH255" s="22">
        <v>359.04</v>
      </c>
      <c r="AI255" s="22">
        <v>-1.6528299999999999E-2</v>
      </c>
      <c r="AJ255" s="22">
        <v>245</v>
      </c>
      <c r="AK255" s="22">
        <v>1.1328100000000001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0.56625400000000004</v>
      </c>
      <c r="AR255" s="22">
        <v>428.13</v>
      </c>
      <c r="AS255" s="22">
        <v>-1.6864000000000001E-2</v>
      </c>
      <c r="AT255" s="22">
        <v>245</v>
      </c>
      <c r="AU255" s="22">
        <v>0.56552100000000005</v>
      </c>
      <c r="AV255">
        <f t="shared" si="44"/>
        <v>16.864000000000001</v>
      </c>
      <c r="AW255">
        <f t="shared" si="45"/>
        <v>9.5493074560000011</v>
      </c>
      <c r="AX255" s="9"/>
      <c r="AY255" s="22">
        <v>1.1337299999999999</v>
      </c>
      <c r="AZ255" s="22">
        <v>488.96300000000002</v>
      </c>
      <c r="BA255" s="22">
        <v>-1.64978E-2</v>
      </c>
      <c r="BB255" s="22">
        <v>245</v>
      </c>
      <c r="BC255" s="22">
        <v>1.1331199999999999</v>
      </c>
      <c r="BD255">
        <f t="shared" si="46"/>
        <v>16.497800000000002</v>
      </c>
      <c r="BE255">
        <f t="shared" si="47"/>
        <v>18.704050794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52.294499999999999</v>
      </c>
      <c r="I256" s="22">
        <v>8.5855100000000004E-2</v>
      </c>
      <c r="J256" s="22">
        <v>246</v>
      </c>
      <c r="K256" s="22">
        <v>8.0017099999999994E-2</v>
      </c>
      <c r="L256">
        <f t="shared" si="36"/>
        <v>-85.855100000000007</v>
      </c>
      <c r="M256">
        <f t="shared" si="37"/>
        <v>-48.183427511800005</v>
      </c>
      <c r="N256" s="9"/>
      <c r="O256" s="22">
        <v>1.13876</v>
      </c>
      <c r="P256" s="22">
        <v>163.221</v>
      </c>
      <c r="Q256" s="22">
        <v>-1.6561900000000001E-2</v>
      </c>
      <c r="R256" s="22">
        <v>246</v>
      </c>
      <c r="S256" s="22">
        <v>1.1376999999999999</v>
      </c>
      <c r="T256">
        <f t="shared" si="38"/>
        <v>16.561900000000001</v>
      </c>
      <c r="U256">
        <f t="shared" si="39"/>
        <v>18.860029244000003</v>
      </c>
      <c r="X256" s="9"/>
      <c r="Y256" s="22">
        <v>0.56121799999999999</v>
      </c>
      <c r="Z256" s="22">
        <v>226.80699999999999</v>
      </c>
      <c r="AA256" s="22">
        <v>-1.6897599999999999E-2</v>
      </c>
      <c r="AB256" s="22">
        <v>246</v>
      </c>
      <c r="AC256" s="22">
        <v>0.56054700000000002</v>
      </c>
      <c r="AD256">
        <f t="shared" si="40"/>
        <v>16.897599999999997</v>
      </c>
      <c r="AE256">
        <f t="shared" si="41"/>
        <v>9.4832372767999988</v>
      </c>
      <c r="AF256" s="9"/>
      <c r="AG256" s="22">
        <v>1.13876</v>
      </c>
      <c r="AH256" s="22">
        <v>359.14100000000002</v>
      </c>
      <c r="AI256" s="22">
        <v>-1.6522200000000001E-2</v>
      </c>
      <c r="AJ256" s="22">
        <v>246</v>
      </c>
      <c r="AK256" s="22">
        <v>1.1373899999999999</v>
      </c>
      <c r="AL256">
        <f t="shared" si="42"/>
        <v>16.522200000000002</v>
      </c>
      <c r="AM256">
        <f t="shared" si="43"/>
        <v>18.814820472000001</v>
      </c>
      <c r="AP256" s="9"/>
      <c r="AQ256" s="22">
        <v>0.56121799999999999</v>
      </c>
      <c r="AR256" s="22">
        <v>428.23099999999999</v>
      </c>
      <c r="AS256" s="22">
        <v>-1.6864000000000001E-2</v>
      </c>
      <c r="AT256" s="22">
        <v>246</v>
      </c>
      <c r="AU256" s="22">
        <v>0.56042499999999995</v>
      </c>
      <c r="AV256">
        <f t="shared" si="44"/>
        <v>16.864000000000001</v>
      </c>
      <c r="AW256">
        <f t="shared" si="45"/>
        <v>9.4643803520000009</v>
      </c>
      <c r="AX256" s="9"/>
      <c r="AY256" s="22">
        <v>1.13876</v>
      </c>
      <c r="AZ256" s="22">
        <v>489.06400000000002</v>
      </c>
      <c r="BA256" s="22">
        <v>-1.64978E-2</v>
      </c>
      <c r="BB256" s="22">
        <v>246</v>
      </c>
      <c r="BC256" s="22">
        <v>1.1373899999999999</v>
      </c>
      <c r="BD256">
        <f t="shared" si="46"/>
        <v>16.497800000000002</v>
      </c>
      <c r="BE256">
        <f t="shared" si="47"/>
        <v>18.787034728000002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52.395200000000003</v>
      </c>
      <c r="I257" s="22">
        <v>8.6007700000000006E-2</v>
      </c>
      <c r="J257" s="22">
        <v>247</v>
      </c>
      <c r="K257" s="22">
        <v>7.9956100000000002E-2</v>
      </c>
      <c r="L257">
        <f t="shared" si="36"/>
        <v>-86.0077</v>
      </c>
      <c r="M257">
        <f t="shared" si="37"/>
        <v>-47.836020609099997</v>
      </c>
      <c r="N257" s="9"/>
      <c r="O257" s="22">
        <v>1.1437999999999999</v>
      </c>
      <c r="P257" s="22">
        <v>163.322</v>
      </c>
      <c r="Q257" s="22">
        <v>-1.6555799999999999E-2</v>
      </c>
      <c r="R257" s="22">
        <v>247</v>
      </c>
      <c r="S257" s="22">
        <v>1.1428799999999999</v>
      </c>
      <c r="T257">
        <f t="shared" si="38"/>
        <v>16.555799999999998</v>
      </c>
      <c r="U257">
        <f t="shared" si="39"/>
        <v>18.936524039999995</v>
      </c>
      <c r="X257" s="9"/>
      <c r="Y257" s="22">
        <v>0.55618299999999998</v>
      </c>
      <c r="Z257" s="22">
        <v>226.90799999999999</v>
      </c>
      <c r="AA257" s="22">
        <v>-1.6903700000000001E-2</v>
      </c>
      <c r="AB257" s="22">
        <v>247</v>
      </c>
      <c r="AC257" s="22">
        <v>0.55535900000000005</v>
      </c>
      <c r="AD257">
        <f t="shared" si="40"/>
        <v>16.903700000000001</v>
      </c>
      <c r="AE257">
        <f t="shared" si="41"/>
        <v>9.4015505771000001</v>
      </c>
      <c r="AF257" s="9"/>
      <c r="AG257" s="22">
        <v>1.1437999999999999</v>
      </c>
      <c r="AH257" s="22">
        <v>359.24099999999999</v>
      </c>
      <c r="AI257" s="22">
        <v>-1.65253E-2</v>
      </c>
      <c r="AJ257" s="22">
        <v>247</v>
      </c>
      <c r="AK257" s="22">
        <v>1.1428799999999999</v>
      </c>
      <c r="AL257">
        <f t="shared" si="42"/>
        <v>16.525300000000001</v>
      </c>
      <c r="AM257">
        <f t="shared" si="43"/>
        <v>18.901638139999999</v>
      </c>
      <c r="AP257" s="9"/>
      <c r="AQ257" s="22">
        <v>0.55618299999999998</v>
      </c>
      <c r="AR257" s="22">
        <v>428.33199999999999</v>
      </c>
      <c r="AS257" s="22">
        <v>-1.6864000000000001E-2</v>
      </c>
      <c r="AT257" s="22">
        <v>247</v>
      </c>
      <c r="AU257" s="22">
        <v>0.55538900000000002</v>
      </c>
      <c r="AV257">
        <f t="shared" si="44"/>
        <v>16.864000000000001</v>
      </c>
      <c r="AW257">
        <f t="shared" si="45"/>
        <v>9.3794701119999999</v>
      </c>
      <c r="AX257" s="9"/>
      <c r="AY257" s="22">
        <v>1.1437999999999999</v>
      </c>
      <c r="AZ257" s="22">
        <v>489.16399999999999</v>
      </c>
      <c r="BA257" s="22">
        <v>-1.64978E-2</v>
      </c>
      <c r="BB257" s="22">
        <v>247</v>
      </c>
      <c r="BC257" s="22">
        <v>1.1428799999999999</v>
      </c>
      <c r="BD257">
        <f t="shared" si="46"/>
        <v>16.497800000000002</v>
      </c>
      <c r="BE257">
        <f t="shared" si="47"/>
        <v>18.87018364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52.496000000000002</v>
      </c>
      <c r="I258" s="22">
        <v>8.5864300000000005E-2</v>
      </c>
      <c r="J258" s="22">
        <v>248</v>
      </c>
      <c r="K258" s="22">
        <v>7.9956100000000002E-2</v>
      </c>
      <c r="L258">
        <f t="shared" si="36"/>
        <v>-85.8643</v>
      </c>
      <c r="M258">
        <f t="shared" si="37"/>
        <v>-47.323851352100007</v>
      </c>
      <c r="N258" s="9"/>
      <c r="O258" s="22">
        <v>1.14883</v>
      </c>
      <c r="P258" s="22">
        <v>163.423</v>
      </c>
      <c r="Q258" s="22">
        <v>-1.6555799999999999E-2</v>
      </c>
      <c r="R258" s="22">
        <v>248</v>
      </c>
      <c r="S258" s="22">
        <v>1.14838</v>
      </c>
      <c r="T258">
        <f t="shared" si="38"/>
        <v>16.555799999999998</v>
      </c>
      <c r="U258">
        <f t="shared" si="39"/>
        <v>19.019799713999998</v>
      </c>
      <c r="X258" s="9"/>
      <c r="Y258" s="22">
        <v>0.55114700000000005</v>
      </c>
      <c r="Z258" s="22">
        <v>227.00899999999999</v>
      </c>
      <c r="AA258" s="22">
        <v>-1.69067E-2</v>
      </c>
      <c r="AB258" s="22">
        <v>248</v>
      </c>
      <c r="AC258" s="22">
        <v>0.55029300000000003</v>
      </c>
      <c r="AD258">
        <f t="shared" si="40"/>
        <v>16.906700000000001</v>
      </c>
      <c r="AE258">
        <f t="shared" si="41"/>
        <v>9.3180769849000011</v>
      </c>
      <c r="AF258" s="9"/>
      <c r="AG258" s="22">
        <v>1.14883</v>
      </c>
      <c r="AH258" s="22">
        <v>359.34199999999998</v>
      </c>
      <c r="AI258" s="22">
        <v>-1.6513099999999999E-2</v>
      </c>
      <c r="AJ258" s="22">
        <v>248</v>
      </c>
      <c r="AK258" s="22">
        <v>1.14777</v>
      </c>
      <c r="AL258">
        <f t="shared" si="42"/>
        <v>16.513099999999998</v>
      </c>
      <c r="AM258">
        <f t="shared" si="43"/>
        <v>18.970744672999999</v>
      </c>
      <c r="AP258" s="9"/>
      <c r="AQ258" s="22">
        <v>0.55114700000000005</v>
      </c>
      <c r="AR258" s="22">
        <v>428.43200000000002</v>
      </c>
      <c r="AS258" s="22">
        <v>-1.6873200000000001E-2</v>
      </c>
      <c r="AT258" s="22">
        <v>248</v>
      </c>
      <c r="AU258" s="22">
        <v>0.55038500000000001</v>
      </c>
      <c r="AV258">
        <f t="shared" si="44"/>
        <v>16.873200000000001</v>
      </c>
      <c r="AW258">
        <f t="shared" si="45"/>
        <v>9.299613560400001</v>
      </c>
      <c r="AX258" s="9"/>
      <c r="AY258" s="22">
        <v>1.14883</v>
      </c>
      <c r="AZ258" s="22">
        <v>489.26499999999999</v>
      </c>
      <c r="BA258" s="22">
        <v>-1.64948E-2</v>
      </c>
      <c r="BB258" s="22">
        <v>248</v>
      </c>
      <c r="BC258" s="22">
        <v>1.1486799999999999</v>
      </c>
      <c r="BD258">
        <f t="shared" si="46"/>
        <v>16.494800000000001</v>
      </c>
      <c r="BE258">
        <f t="shared" si="47"/>
        <v>18.949721084000004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52.596699999999998</v>
      </c>
      <c r="I259" s="22">
        <v>8.5839799999999994E-2</v>
      </c>
      <c r="J259" s="22">
        <v>249</v>
      </c>
      <c r="K259" s="22">
        <v>8.0047599999999997E-2</v>
      </c>
      <c r="L259">
        <f t="shared" si="36"/>
        <v>-85.839799999999997</v>
      </c>
      <c r="M259">
        <f t="shared" si="37"/>
        <v>-46.878144857599999</v>
      </c>
      <c r="N259" s="9"/>
      <c r="O259" s="22">
        <v>1.15387</v>
      </c>
      <c r="P259" s="22">
        <v>163.524</v>
      </c>
      <c r="Q259" s="22">
        <v>-1.6546600000000002E-2</v>
      </c>
      <c r="R259" s="22">
        <v>249</v>
      </c>
      <c r="S259" s="22">
        <v>1.1529499999999999</v>
      </c>
      <c r="T259">
        <f t="shared" si="38"/>
        <v>16.546600000000002</v>
      </c>
      <c r="U259">
        <f t="shared" si="39"/>
        <v>19.092625342000002</v>
      </c>
      <c r="X259" s="9"/>
      <c r="Y259" s="22">
        <v>0.54611200000000004</v>
      </c>
      <c r="Z259" s="22">
        <v>227.11</v>
      </c>
      <c r="AA259" s="22">
        <v>-1.6903700000000001E-2</v>
      </c>
      <c r="AB259" s="22">
        <v>249</v>
      </c>
      <c r="AC259" s="22">
        <v>0.54528799999999999</v>
      </c>
      <c r="AD259">
        <f t="shared" si="40"/>
        <v>16.903700000000001</v>
      </c>
      <c r="AE259">
        <f t="shared" si="41"/>
        <v>9.2313134144000006</v>
      </c>
      <c r="AF259" s="9"/>
      <c r="AG259" s="22">
        <v>1.15387</v>
      </c>
      <c r="AH259" s="22">
        <v>359.44299999999998</v>
      </c>
      <c r="AI259" s="22">
        <v>-1.6522200000000001E-2</v>
      </c>
      <c r="AJ259" s="22">
        <v>249</v>
      </c>
      <c r="AK259" s="22">
        <v>1.1529499999999999</v>
      </c>
      <c r="AL259">
        <f t="shared" si="42"/>
        <v>16.522200000000002</v>
      </c>
      <c r="AM259">
        <f t="shared" si="43"/>
        <v>19.064470914000001</v>
      </c>
      <c r="AP259" s="9"/>
      <c r="AQ259" s="22">
        <v>0.54611200000000004</v>
      </c>
      <c r="AR259" s="22">
        <v>428.53300000000002</v>
      </c>
      <c r="AS259" s="22">
        <v>-1.6876200000000001E-2</v>
      </c>
      <c r="AT259" s="22">
        <v>249</v>
      </c>
      <c r="AU259" s="22">
        <v>0.54528799999999999</v>
      </c>
      <c r="AV259">
        <f t="shared" si="44"/>
        <v>16.876200000000001</v>
      </c>
      <c r="AW259">
        <f t="shared" si="45"/>
        <v>9.2162953344000016</v>
      </c>
      <c r="AX259" s="9"/>
      <c r="AY259" s="22">
        <v>1.15387</v>
      </c>
      <c r="AZ259" s="22">
        <v>489.36599999999999</v>
      </c>
      <c r="BA259" s="22">
        <v>-1.6491700000000001E-2</v>
      </c>
      <c r="BB259" s="22">
        <v>249</v>
      </c>
      <c r="BC259" s="22">
        <v>1.15326</v>
      </c>
      <c r="BD259">
        <f t="shared" si="46"/>
        <v>16.491700000000002</v>
      </c>
      <c r="BE259">
        <f t="shared" si="47"/>
        <v>19.029277879000002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52.697400000000002</v>
      </c>
      <c r="I260" s="22">
        <v>8.6141999999999996E-2</v>
      </c>
      <c r="J260" s="22">
        <v>250</v>
      </c>
      <c r="K260" s="22">
        <v>8.0017099999999994E-2</v>
      </c>
      <c r="L260">
        <f t="shared" si="36"/>
        <v>-86.141999999999996</v>
      </c>
      <c r="M260">
        <f t="shared" si="37"/>
        <v>-46.609454933999999</v>
      </c>
      <c r="N260" s="9"/>
      <c r="O260" s="22">
        <v>1.1589100000000001</v>
      </c>
      <c r="P260" s="22">
        <v>163.624</v>
      </c>
      <c r="Q260" s="22">
        <v>-1.65405E-2</v>
      </c>
      <c r="R260" s="22">
        <v>250</v>
      </c>
      <c r="S260" s="22">
        <v>1.1581399999999999</v>
      </c>
      <c r="T260">
        <f t="shared" si="38"/>
        <v>16.540499999999998</v>
      </c>
      <c r="U260">
        <f t="shared" si="39"/>
        <v>19.168950854999999</v>
      </c>
      <c r="X260" s="9"/>
      <c r="Y260" s="22">
        <v>0.54107700000000003</v>
      </c>
      <c r="Z260" s="22">
        <v>227.21</v>
      </c>
      <c r="AA260" s="22">
        <v>-1.6915900000000001E-2</v>
      </c>
      <c r="AB260" s="22">
        <v>250</v>
      </c>
      <c r="AC260" s="22">
        <v>0.54034400000000005</v>
      </c>
      <c r="AD260">
        <f t="shared" si="40"/>
        <v>16.915900000000001</v>
      </c>
      <c r="AE260">
        <f t="shared" si="41"/>
        <v>9.1528044243000011</v>
      </c>
      <c r="AF260" s="9"/>
      <c r="AG260" s="22">
        <v>1.1589100000000001</v>
      </c>
      <c r="AH260" s="22">
        <v>359.54399999999998</v>
      </c>
      <c r="AI260" s="22">
        <v>-1.6516099999999999E-2</v>
      </c>
      <c r="AJ260" s="22">
        <v>250</v>
      </c>
      <c r="AK260" s="22">
        <v>1.1581399999999999</v>
      </c>
      <c r="AL260">
        <f t="shared" si="42"/>
        <v>16.516099999999998</v>
      </c>
      <c r="AM260">
        <f t="shared" si="43"/>
        <v>19.140673450999998</v>
      </c>
      <c r="AP260" s="9"/>
      <c r="AQ260" s="22">
        <v>0.54107700000000003</v>
      </c>
      <c r="AR260" s="22">
        <v>428.63400000000001</v>
      </c>
      <c r="AS260" s="22">
        <v>-1.6876200000000001E-2</v>
      </c>
      <c r="AT260" s="22">
        <v>250</v>
      </c>
      <c r="AU260" s="22">
        <v>0.54019200000000001</v>
      </c>
      <c r="AV260">
        <f t="shared" si="44"/>
        <v>16.876200000000001</v>
      </c>
      <c r="AW260">
        <f t="shared" si="45"/>
        <v>9.1313236674000002</v>
      </c>
      <c r="AX260" s="9"/>
      <c r="AY260" s="22">
        <v>1.1589100000000001</v>
      </c>
      <c r="AZ260" s="22">
        <v>489.46699999999998</v>
      </c>
      <c r="BA260" s="22">
        <v>-1.6488599999999999E-2</v>
      </c>
      <c r="BB260" s="22">
        <v>250</v>
      </c>
      <c r="BC260" s="22">
        <v>1.15784</v>
      </c>
      <c r="BD260">
        <f t="shared" si="46"/>
        <v>16.488599999999998</v>
      </c>
      <c r="BE260">
        <f t="shared" si="47"/>
        <v>19.108803425999998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52.798099999999998</v>
      </c>
      <c r="I261" s="22">
        <v>8.4484900000000002E-2</v>
      </c>
      <c r="J261" s="22">
        <v>251</v>
      </c>
      <c r="K261" s="22">
        <v>7.9956100000000002E-2</v>
      </c>
      <c r="L261">
        <f t="shared" si="36"/>
        <v>-84.484899999999996</v>
      </c>
      <c r="M261">
        <f t="shared" si="37"/>
        <v>-45.287370280899999</v>
      </c>
      <c r="N261" s="9"/>
      <c r="O261" s="22">
        <v>1.16394</v>
      </c>
      <c r="P261" s="22">
        <v>163.72499999999999</v>
      </c>
      <c r="Q261" s="22">
        <v>-1.6543599999999999E-2</v>
      </c>
      <c r="R261" s="22">
        <v>251</v>
      </c>
      <c r="S261" s="22">
        <v>1.1630199999999999</v>
      </c>
      <c r="T261">
        <f t="shared" si="38"/>
        <v>16.543599999999998</v>
      </c>
      <c r="U261">
        <f t="shared" si="39"/>
        <v>19.255757783999996</v>
      </c>
      <c r="X261" s="9"/>
      <c r="Y261" s="22">
        <v>0.53604099999999999</v>
      </c>
      <c r="Z261" s="22">
        <v>227.31100000000001</v>
      </c>
      <c r="AA261" s="22">
        <v>-1.6912799999999999E-2</v>
      </c>
      <c r="AB261" s="22">
        <v>251</v>
      </c>
      <c r="AC261" s="22">
        <v>0.53530900000000003</v>
      </c>
      <c r="AD261">
        <f t="shared" si="40"/>
        <v>16.912799999999997</v>
      </c>
      <c r="AE261">
        <f t="shared" si="41"/>
        <v>9.0659542247999987</v>
      </c>
      <c r="AF261" s="9"/>
      <c r="AG261" s="22">
        <v>1.16394</v>
      </c>
      <c r="AH261" s="22">
        <v>359.64400000000001</v>
      </c>
      <c r="AI261" s="22">
        <v>-1.651E-2</v>
      </c>
      <c r="AJ261" s="22">
        <v>251</v>
      </c>
      <c r="AK261" s="22">
        <v>1.1630199999999999</v>
      </c>
      <c r="AL261">
        <f t="shared" si="42"/>
        <v>16.510000000000002</v>
      </c>
      <c r="AM261">
        <f t="shared" si="43"/>
        <v>19.216649400000001</v>
      </c>
      <c r="AP261" s="9"/>
      <c r="AQ261" s="22">
        <v>0.53604099999999999</v>
      </c>
      <c r="AR261" s="22">
        <v>428.73399999999998</v>
      </c>
      <c r="AS261" s="22">
        <v>-1.6876200000000001E-2</v>
      </c>
      <c r="AT261" s="22">
        <v>251</v>
      </c>
      <c r="AU261" s="22">
        <v>0.53515599999999997</v>
      </c>
      <c r="AV261">
        <f t="shared" si="44"/>
        <v>16.876200000000001</v>
      </c>
      <c r="AW261">
        <f t="shared" si="45"/>
        <v>9.0463351242000005</v>
      </c>
      <c r="AX261" s="9"/>
      <c r="AY261" s="22">
        <v>1.16394</v>
      </c>
      <c r="AZ261" s="22">
        <v>489.56700000000001</v>
      </c>
      <c r="BA261" s="22">
        <v>-1.6482500000000001E-2</v>
      </c>
      <c r="BB261" s="22">
        <v>251</v>
      </c>
      <c r="BC261" s="22">
        <v>1.16272</v>
      </c>
      <c r="BD261">
        <f t="shared" si="46"/>
        <v>16.482500000000002</v>
      </c>
      <c r="BE261">
        <f t="shared" si="47"/>
        <v>19.184641050000003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52.898800000000001</v>
      </c>
      <c r="I262" s="22">
        <v>6.1724899999999999E-2</v>
      </c>
      <c r="J262" s="22">
        <v>252</v>
      </c>
      <c r="K262" s="22">
        <v>7.9681399999999999E-2</v>
      </c>
      <c r="L262">
        <f t="shared" si="36"/>
        <v>-61.724899999999998</v>
      </c>
      <c r="M262">
        <f t="shared" si="37"/>
        <v>-32.776292249400001</v>
      </c>
      <c r="N262" s="9"/>
      <c r="O262" s="22">
        <v>1.1689799999999999</v>
      </c>
      <c r="P262" s="22">
        <v>163.82599999999999</v>
      </c>
      <c r="Q262" s="22">
        <v>-1.6534400000000001E-2</v>
      </c>
      <c r="R262" s="22">
        <v>252</v>
      </c>
      <c r="S262" s="22">
        <v>1.16791</v>
      </c>
      <c r="T262">
        <f t="shared" si="38"/>
        <v>16.534400000000002</v>
      </c>
      <c r="U262">
        <f t="shared" si="39"/>
        <v>19.328382911999999</v>
      </c>
      <c r="X262" s="9"/>
      <c r="Y262" s="22">
        <v>0.53100599999999998</v>
      </c>
      <c r="Z262" s="22">
        <v>227.41200000000001</v>
      </c>
      <c r="AA262" s="22">
        <v>-1.6915900000000001E-2</v>
      </c>
      <c r="AB262" s="22">
        <v>252</v>
      </c>
      <c r="AC262" s="22">
        <v>0.53018200000000004</v>
      </c>
      <c r="AD262">
        <f t="shared" si="40"/>
        <v>16.915900000000001</v>
      </c>
      <c r="AE262">
        <f t="shared" si="41"/>
        <v>8.9824443953999999</v>
      </c>
      <c r="AF262" s="9"/>
      <c r="AG262" s="22">
        <v>1.1689799999999999</v>
      </c>
      <c r="AH262" s="22">
        <v>359.745</v>
      </c>
      <c r="AI262" s="22">
        <v>-1.64978E-2</v>
      </c>
      <c r="AJ262" s="22">
        <v>252</v>
      </c>
      <c r="AK262" s="22">
        <v>1.16821</v>
      </c>
      <c r="AL262">
        <f t="shared" si="42"/>
        <v>16.497800000000002</v>
      </c>
      <c r="AM262">
        <f t="shared" si="43"/>
        <v>19.285598243999999</v>
      </c>
      <c r="AP262" s="9"/>
      <c r="AQ262" s="22">
        <v>0.53100599999999998</v>
      </c>
      <c r="AR262" s="22">
        <v>428.83499999999998</v>
      </c>
      <c r="AS262" s="22">
        <v>-1.68793E-2</v>
      </c>
      <c r="AT262" s="22">
        <v>252</v>
      </c>
      <c r="AU262" s="22">
        <v>0.53021200000000002</v>
      </c>
      <c r="AV262">
        <f t="shared" si="44"/>
        <v>16.879300000000001</v>
      </c>
      <c r="AW262">
        <f t="shared" si="45"/>
        <v>8.9630095757999992</v>
      </c>
      <c r="AX262" s="9"/>
      <c r="AY262" s="22">
        <v>1.1689799999999999</v>
      </c>
      <c r="AZ262" s="22">
        <v>489.66800000000001</v>
      </c>
      <c r="BA262" s="22">
        <v>-1.6476399999999999E-2</v>
      </c>
      <c r="BB262" s="22">
        <v>252</v>
      </c>
      <c r="BC262" s="22">
        <v>1.16791</v>
      </c>
      <c r="BD262">
        <f t="shared" si="46"/>
        <v>16.476399999999998</v>
      </c>
      <c r="BE262">
        <f t="shared" si="47"/>
        <v>19.260582071999995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52.999499999999998</v>
      </c>
      <c r="I263" s="22">
        <v>6.0729999999999999E-2</v>
      </c>
      <c r="J263" s="22">
        <v>253</v>
      </c>
      <c r="K263" s="22">
        <v>7.9650899999999997E-2</v>
      </c>
      <c r="L263">
        <f t="shared" si="36"/>
        <v>-60.73</v>
      </c>
      <c r="M263">
        <f t="shared" si="37"/>
        <v>-31.9421581</v>
      </c>
      <c r="N263" s="9"/>
      <c r="O263" s="22">
        <v>1.17401</v>
      </c>
      <c r="P263" s="22">
        <v>163.92599999999999</v>
      </c>
      <c r="Q263" s="22">
        <v>-1.6531400000000002E-2</v>
      </c>
      <c r="R263" s="22">
        <v>253</v>
      </c>
      <c r="S263" s="22">
        <v>1.17279</v>
      </c>
      <c r="T263">
        <f t="shared" si="38"/>
        <v>16.531400000000001</v>
      </c>
      <c r="U263">
        <f t="shared" si="39"/>
        <v>19.408028914000003</v>
      </c>
      <c r="X263" s="9"/>
      <c r="Y263" s="22">
        <v>0.52597000000000005</v>
      </c>
      <c r="Z263" s="22">
        <v>227.512</v>
      </c>
      <c r="AA263" s="22">
        <v>-1.6922E-2</v>
      </c>
      <c r="AB263" s="22">
        <v>253</v>
      </c>
      <c r="AC263" s="22">
        <v>0.52520800000000001</v>
      </c>
      <c r="AD263">
        <f t="shared" si="40"/>
        <v>16.922000000000001</v>
      </c>
      <c r="AE263">
        <f t="shared" si="41"/>
        <v>8.900464340000001</v>
      </c>
      <c r="AF263" s="9"/>
      <c r="AG263" s="22">
        <v>1.17401</v>
      </c>
      <c r="AH263" s="22">
        <v>359.846</v>
      </c>
      <c r="AI263" s="22">
        <v>-1.64978E-2</v>
      </c>
      <c r="AJ263" s="22">
        <v>253</v>
      </c>
      <c r="AK263" s="22">
        <v>1.17249</v>
      </c>
      <c r="AL263">
        <f t="shared" si="42"/>
        <v>16.497800000000002</v>
      </c>
      <c r="AM263">
        <f t="shared" si="43"/>
        <v>19.368582178</v>
      </c>
      <c r="AP263" s="9"/>
      <c r="AQ263" s="22">
        <v>0.52597000000000005</v>
      </c>
      <c r="AR263" s="22">
        <v>428.93599999999998</v>
      </c>
      <c r="AS263" s="22">
        <v>-1.6882299999999999E-2</v>
      </c>
      <c r="AT263" s="22">
        <v>253</v>
      </c>
      <c r="AU263" s="22">
        <v>0.52508500000000002</v>
      </c>
      <c r="AV263">
        <f t="shared" si="44"/>
        <v>16.882300000000001</v>
      </c>
      <c r="AW263">
        <f t="shared" si="45"/>
        <v>8.879583331000001</v>
      </c>
      <c r="AX263" s="9"/>
      <c r="AY263" s="22">
        <v>1.17401</v>
      </c>
      <c r="AZ263" s="22">
        <v>489.76900000000001</v>
      </c>
      <c r="BA263" s="22">
        <v>-1.6473399999999999E-2</v>
      </c>
      <c r="BB263" s="22">
        <v>253</v>
      </c>
      <c r="BC263" s="22">
        <v>1.17279</v>
      </c>
      <c r="BD263">
        <f t="shared" si="46"/>
        <v>16.473399999999998</v>
      </c>
      <c r="BE263">
        <f t="shared" si="47"/>
        <v>19.339936333999997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53.100200000000001</v>
      </c>
      <c r="I264" s="22">
        <v>6.1611899999999997E-2</v>
      </c>
      <c r="J264" s="22">
        <v>254</v>
      </c>
      <c r="K264" s="22">
        <v>7.9711900000000002E-2</v>
      </c>
      <c r="L264">
        <f t="shared" si="36"/>
        <v>-61.611899999999999</v>
      </c>
      <c r="M264">
        <f t="shared" si="37"/>
        <v>-32.095795126500001</v>
      </c>
      <c r="N264" s="9"/>
      <c r="O264" s="22">
        <v>1.1790499999999999</v>
      </c>
      <c r="P264" s="22">
        <v>164.02699999999999</v>
      </c>
      <c r="Q264" s="22">
        <v>-1.6528299999999999E-2</v>
      </c>
      <c r="R264" s="22">
        <v>254</v>
      </c>
      <c r="S264" s="22">
        <v>1.17828</v>
      </c>
      <c r="T264">
        <f t="shared" si="38"/>
        <v>16.528299999999998</v>
      </c>
      <c r="U264">
        <f t="shared" si="39"/>
        <v>19.487692114999998</v>
      </c>
      <c r="X264" s="9"/>
      <c r="Y264" s="22">
        <v>0.52093500000000004</v>
      </c>
      <c r="Z264" s="22">
        <v>227.613</v>
      </c>
      <c r="AA264" s="22">
        <v>-1.6924999999999999E-2</v>
      </c>
      <c r="AB264" s="22">
        <v>254</v>
      </c>
      <c r="AC264" s="22">
        <v>0.52005000000000001</v>
      </c>
      <c r="AD264">
        <f t="shared" si="40"/>
        <v>16.925000000000001</v>
      </c>
      <c r="AE264">
        <f t="shared" si="41"/>
        <v>8.8168248750000018</v>
      </c>
      <c r="AF264" s="9"/>
      <c r="AG264" s="22">
        <v>1.1790499999999999</v>
      </c>
      <c r="AH264" s="22">
        <v>359.94600000000003</v>
      </c>
      <c r="AI264" s="22">
        <v>-1.6500899999999999E-2</v>
      </c>
      <c r="AJ264" s="22">
        <v>254</v>
      </c>
      <c r="AK264" s="22">
        <v>1.17859</v>
      </c>
      <c r="AL264">
        <f t="shared" si="42"/>
        <v>16.500899999999998</v>
      </c>
      <c r="AM264">
        <f t="shared" si="43"/>
        <v>19.455386144999995</v>
      </c>
      <c r="AP264" s="9"/>
      <c r="AQ264" s="22">
        <v>0.52093500000000004</v>
      </c>
      <c r="AR264" s="22">
        <v>429.036</v>
      </c>
      <c r="AS264" s="22">
        <v>-1.6882299999999999E-2</v>
      </c>
      <c r="AT264" s="22">
        <v>254</v>
      </c>
      <c r="AU264" s="22">
        <v>0.52023299999999995</v>
      </c>
      <c r="AV264">
        <f t="shared" si="44"/>
        <v>16.882300000000001</v>
      </c>
      <c r="AW264">
        <f t="shared" si="45"/>
        <v>8.7945809505000003</v>
      </c>
      <c r="AX264" s="9"/>
      <c r="AY264" s="22">
        <v>1.1790499999999999</v>
      </c>
      <c r="AZ264" s="22">
        <v>489.86900000000003</v>
      </c>
      <c r="BA264" s="22">
        <v>-1.6464199999999998E-2</v>
      </c>
      <c r="BB264" s="22">
        <v>254</v>
      </c>
      <c r="BC264" s="22">
        <v>1.17859</v>
      </c>
      <c r="BD264">
        <f t="shared" si="46"/>
        <v>16.464199999999998</v>
      </c>
      <c r="BE264">
        <f t="shared" si="47"/>
        <v>19.412115009999997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53.200899999999997</v>
      </c>
      <c r="I265" s="22">
        <v>6.1575299999999999E-2</v>
      </c>
      <c r="J265" s="22">
        <v>255</v>
      </c>
      <c r="K265" s="22">
        <v>7.9650899999999997E-2</v>
      </c>
      <c r="L265">
        <f t="shared" si="36"/>
        <v>-61.575299999999999</v>
      </c>
      <c r="M265">
        <f t="shared" si="37"/>
        <v>-31.766697270000002</v>
      </c>
      <c r="N265" s="9"/>
      <c r="O265" s="22">
        <v>1.18408</v>
      </c>
      <c r="P265" s="22">
        <v>164.12799999999999</v>
      </c>
      <c r="Q265" s="22">
        <v>-1.65253E-2</v>
      </c>
      <c r="R265" s="22">
        <v>255</v>
      </c>
      <c r="S265" s="22">
        <v>1.1825600000000001</v>
      </c>
      <c r="T265">
        <f t="shared" si="38"/>
        <v>16.525300000000001</v>
      </c>
      <c r="U265">
        <f t="shared" si="39"/>
        <v>19.567277224000001</v>
      </c>
      <c r="X265" s="9"/>
      <c r="Y265" s="22">
        <v>0.51590000000000003</v>
      </c>
      <c r="Z265" s="22">
        <v>227.714</v>
      </c>
      <c r="AA265" s="22">
        <v>-1.6924999999999999E-2</v>
      </c>
      <c r="AB265" s="22">
        <v>255</v>
      </c>
      <c r="AC265" s="22">
        <v>0.515015</v>
      </c>
      <c r="AD265">
        <f t="shared" si="40"/>
        <v>16.925000000000001</v>
      </c>
      <c r="AE265">
        <f t="shared" si="41"/>
        <v>8.7316075000000009</v>
      </c>
      <c r="AF265" s="9"/>
      <c r="AG265" s="22">
        <v>1.18408</v>
      </c>
      <c r="AH265" s="22">
        <v>360.04700000000003</v>
      </c>
      <c r="AI265" s="22">
        <v>-1.6500899999999999E-2</v>
      </c>
      <c r="AJ265" s="22">
        <v>255</v>
      </c>
      <c r="AK265" s="22">
        <v>1.1825600000000001</v>
      </c>
      <c r="AL265">
        <f t="shared" si="42"/>
        <v>16.500899999999998</v>
      </c>
      <c r="AM265">
        <f t="shared" si="43"/>
        <v>19.538385671999997</v>
      </c>
      <c r="AP265" s="9"/>
      <c r="AQ265" s="22">
        <v>0.51590000000000003</v>
      </c>
      <c r="AR265" s="22">
        <v>429.137</v>
      </c>
      <c r="AS265" s="22">
        <v>-1.6885399999999998E-2</v>
      </c>
      <c r="AT265" s="22">
        <v>255</v>
      </c>
      <c r="AU265" s="22">
        <v>0.51516700000000004</v>
      </c>
      <c r="AV265">
        <f t="shared" si="44"/>
        <v>16.885399999999997</v>
      </c>
      <c r="AW265">
        <f t="shared" si="45"/>
        <v>8.7111778599999994</v>
      </c>
      <c r="AX265" s="9"/>
      <c r="AY265" s="22">
        <v>1.18408</v>
      </c>
      <c r="AZ265" s="22">
        <v>489.97</v>
      </c>
      <c r="BA265" s="22">
        <v>-1.6473399999999999E-2</v>
      </c>
      <c r="BB265" s="22">
        <v>255</v>
      </c>
      <c r="BC265" s="22">
        <v>1.18347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53.301600000000001</v>
      </c>
      <c r="I266" s="22">
        <v>6.1621099999999998E-2</v>
      </c>
      <c r="J266" s="22">
        <v>256</v>
      </c>
      <c r="K266" s="22">
        <v>7.9620399999999994E-2</v>
      </c>
      <c r="L266">
        <f t="shared" si="36"/>
        <v>-61.621099999999998</v>
      </c>
      <c r="M266">
        <f t="shared" si="37"/>
        <v>-31.480001630399997</v>
      </c>
      <c r="N266" s="9"/>
      <c r="O266" s="22">
        <v>1.18912</v>
      </c>
      <c r="P266" s="22">
        <v>164.22900000000001</v>
      </c>
      <c r="Q266" s="22">
        <v>-1.6519200000000001E-2</v>
      </c>
      <c r="R266" s="22">
        <v>256</v>
      </c>
      <c r="S266" s="22">
        <v>1.18774</v>
      </c>
      <c r="T266">
        <f t="shared" si="38"/>
        <v>16.519200000000001</v>
      </c>
      <c r="U266">
        <f t="shared" si="39"/>
        <v>19.643311104000002</v>
      </c>
      <c r="X266" s="9"/>
      <c r="Y266" s="22">
        <v>0.51086399999999998</v>
      </c>
      <c r="Z266" s="22">
        <v>227.81399999999999</v>
      </c>
      <c r="AA266" s="22">
        <v>-1.6924999999999999E-2</v>
      </c>
      <c r="AB266" s="22">
        <v>256</v>
      </c>
      <c r="AC266" s="22">
        <v>0.51004000000000005</v>
      </c>
      <c r="AD266">
        <f t="shared" si="40"/>
        <v>16.925000000000001</v>
      </c>
      <c r="AE266">
        <f t="shared" si="41"/>
        <v>8.6463731999999993</v>
      </c>
      <c r="AF266" s="9"/>
      <c r="AG266" s="22">
        <v>1.18912</v>
      </c>
      <c r="AH266" s="22">
        <v>360.14800000000002</v>
      </c>
      <c r="AI266" s="22">
        <v>-1.64978E-2</v>
      </c>
      <c r="AJ266" s="22">
        <v>256</v>
      </c>
      <c r="AK266" s="22">
        <v>1.18835</v>
      </c>
      <c r="AL266">
        <f t="shared" si="42"/>
        <v>16.497800000000002</v>
      </c>
      <c r="AM266">
        <f t="shared" si="43"/>
        <v>19.617863936000003</v>
      </c>
      <c r="AP266" s="9"/>
      <c r="AQ266" s="22">
        <v>0.51086399999999998</v>
      </c>
      <c r="AR266" s="22">
        <v>429.238</v>
      </c>
      <c r="AS266" s="22">
        <v>-1.6888400000000001E-2</v>
      </c>
      <c r="AT266" s="22">
        <v>256</v>
      </c>
      <c r="AU266" s="22">
        <v>0.51013200000000003</v>
      </c>
      <c r="AV266">
        <f t="shared" si="44"/>
        <v>16.888400000000001</v>
      </c>
      <c r="AW266">
        <f t="shared" si="45"/>
        <v>8.6276755775999998</v>
      </c>
      <c r="AX266" s="9"/>
      <c r="AY266" s="22">
        <v>1.18912</v>
      </c>
      <c r="AZ266" s="22">
        <v>490.07100000000003</v>
      </c>
      <c r="BA266" s="22">
        <v>-1.64703E-2</v>
      </c>
      <c r="BB266" s="22">
        <v>256</v>
      </c>
      <c r="BC266" s="22">
        <v>1.18866</v>
      </c>
      <c r="BD266">
        <f t="shared" si="46"/>
        <v>16.470300000000002</v>
      </c>
      <c r="BE266">
        <f t="shared" si="47"/>
        <v>19.585163136000002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53.402299999999997</v>
      </c>
      <c r="I267" s="22">
        <v>6.1615000000000003E-2</v>
      </c>
      <c r="J267" s="22">
        <v>257</v>
      </c>
      <c r="K267" s="22">
        <v>7.9650899999999997E-2</v>
      </c>
      <c r="L267">
        <f t="shared" si="36"/>
        <v>-61.615000000000002</v>
      </c>
      <c r="M267">
        <f t="shared" si="37"/>
        <v>-31.166653834999998</v>
      </c>
      <c r="N267" s="9"/>
      <c r="O267" s="22">
        <v>1.19415</v>
      </c>
      <c r="P267" s="22">
        <v>164.32900000000001</v>
      </c>
      <c r="Q267" s="22">
        <v>-1.6516099999999999E-2</v>
      </c>
      <c r="R267" s="22">
        <v>257</v>
      </c>
      <c r="S267" s="22">
        <v>1.19293</v>
      </c>
      <c r="T267">
        <f t="shared" si="38"/>
        <v>16.516099999999998</v>
      </c>
      <c r="U267">
        <f t="shared" si="39"/>
        <v>19.722700815</v>
      </c>
      <c r="X267" s="9"/>
      <c r="Y267" s="22">
        <v>0.50582899999999997</v>
      </c>
      <c r="Z267" s="22">
        <v>227.91499999999999</v>
      </c>
      <c r="AA267" s="22">
        <v>-1.6928100000000001E-2</v>
      </c>
      <c r="AB267" s="22">
        <v>257</v>
      </c>
      <c r="AC267" s="22">
        <v>0.50537100000000001</v>
      </c>
      <c r="AD267">
        <f t="shared" si="40"/>
        <v>16.928100000000001</v>
      </c>
      <c r="AE267">
        <f t="shared" si="41"/>
        <v>8.5627238948999995</v>
      </c>
      <c r="AF267" s="9"/>
      <c r="AG267" s="22">
        <v>1.19415</v>
      </c>
      <c r="AH267" s="22">
        <v>360.24799999999999</v>
      </c>
      <c r="AI267" s="22">
        <v>-1.64856E-2</v>
      </c>
      <c r="AJ267" s="22">
        <v>257</v>
      </c>
      <c r="AK267" s="22">
        <v>1.19293</v>
      </c>
      <c r="AL267">
        <f t="shared" si="42"/>
        <v>16.485599999999998</v>
      </c>
      <c r="AM267">
        <f t="shared" si="43"/>
        <v>19.686279239999998</v>
      </c>
      <c r="AP267" s="9"/>
      <c r="AQ267" s="22">
        <v>0.50582899999999997</v>
      </c>
      <c r="AR267" s="22">
        <v>429.339</v>
      </c>
      <c r="AS267" s="22">
        <v>-1.68945E-2</v>
      </c>
      <c r="AT267" s="22">
        <v>257</v>
      </c>
      <c r="AU267" s="22">
        <v>0.50509599999999999</v>
      </c>
      <c r="AV267">
        <f t="shared" si="44"/>
        <v>16.894500000000001</v>
      </c>
      <c r="AW267">
        <f t="shared" si="45"/>
        <v>8.5457280405000002</v>
      </c>
      <c r="AX267" s="9"/>
      <c r="AY267" s="22">
        <v>1.19415</v>
      </c>
      <c r="AZ267" s="22">
        <v>490.17200000000003</v>
      </c>
      <c r="BA267" s="22">
        <v>-1.6464199999999998E-2</v>
      </c>
      <c r="BB267" s="22">
        <v>257</v>
      </c>
      <c r="BC267" s="22">
        <v>1.19293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53.503</v>
      </c>
      <c r="I268" s="22">
        <v>6.16272E-2</v>
      </c>
      <c r="J268" s="22">
        <v>258</v>
      </c>
      <c r="K268" s="22">
        <v>7.9711900000000002E-2</v>
      </c>
      <c r="L268">
        <f t="shared" ref="L268:L331" si="48">-I268/$F$2*1000</f>
        <v>-61.627200000000002</v>
      </c>
      <c r="M268">
        <f t="shared" ref="M268:M331" si="49">L268*G268</f>
        <v>-30.862470369600004</v>
      </c>
      <c r="N268" s="9"/>
      <c r="O268" s="22">
        <v>1.19919</v>
      </c>
      <c r="P268" s="22">
        <v>164.43</v>
      </c>
      <c r="Q268" s="22">
        <v>-1.6513099999999999E-2</v>
      </c>
      <c r="R268" s="22">
        <v>258</v>
      </c>
      <c r="S268" s="22">
        <v>1.1981200000000001</v>
      </c>
      <c r="T268">
        <f t="shared" ref="T268:T331" si="50">-Q268/$F$2*1000</f>
        <v>16.513099999999998</v>
      </c>
      <c r="U268">
        <f t="shared" ref="U268:U331" si="51">T268*O268</f>
        <v>19.802344388999998</v>
      </c>
      <c r="X268" s="9"/>
      <c r="Y268" s="22">
        <v>0.50079300000000004</v>
      </c>
      <c r="Z268" s="22">
        <v>228.01599999999999</v>
      </c>
      <c r="AA268" s="22">
        <v>-1.69312E-2</v>
      </c>
      <c r="AB268" s="22">
        <v>258</v>
      </c>
      <c r="AC268" s="22">
        <v>0.50015299999999996</v>
      </c>
      <c r="AD268">
        <f t="shared" ref="AD268:AD331" si="52">-AA268/$F$2*1000</f>
        <v>16.9312</v>
      </c>
      <c r="AE268">
        <f t="shared" ref="AE268:AE331" si="53">AD268*Y268</f>
        <v>8.4790264416000003</v>
      </c>
      <c r="AF268" s="9"/>
      <c r="AG268" s="22">
        <v>1.19919</v>
      </c>
      <c r="AH268" s="22">
        <v>360.34899999999999</v>
      </c>
      <c r="AI268" s="22">
        <v>-1.6488599999999999E-2</v>
      </c>
      <c r="AJ268" s="22">
        <v>258</v>
      </c>
      <c r="AK268" s="22">
        <v>1.1975100000000001</v>
      </c>
      <c r="AL268">
        <f t="shared" ref="AL268:AL331" si="54">-AI268/$F$2*1000</f>
        <v>16.488599999999998</v>
      </c>
      <c r="AM268">
        <f t="shared" ref="AM268:AM331" si="55">AL268*AG268</f>
        <v>19.772964233999996</v>
      </c>
      <c r="AP268" s="9"/>
      <c r="AQ268" s="22">
        <v>0.50079300000000004</v>
      </c>
      <c r="AR268" s="22">
        <v>429.43900000000002</v>
      </c>
      <c r="AS268" s="22">
        <v>-1.68945E-2</v>
      </c>
      <c r="AT268" s="22">
        <v>258</v>
      </c>
      <c r="AU268" s="22">
        <v>0.5</v>
      </c>
      <c r="AV268">
        <f t="shared" ref="AV268:AV331" si="56">-AS268/$F$2*1000</f>
        <v>16.894500000000001</v>
      </c>
      <c r="AW268">
        <f t="shared" ref="AW268:AW331" si="57">AV268*AQ268</f>
        <v>8.4606473385000012</v>
      </c>
      <c r="AX268" s="9"/>
      <c r="AY268" s="22">
        <v>1.19919</v>
      </c>
      <c r="AZ268" s="22">
        <v>490.27199999999999</v>
      </c>
      <c r="BA268" s="22">
        <v>-1.6461199999999999E-2</v>
      </c>
      <c r="BB268" s="22">
        <v>258</v>
      </c>
      <c r="BC268" s="22">
        <v>1.1981200000000001</v>
      </c>
      <c r="BD268">
        <f t="shared" ref="BD268:BD331" si="58">-BA268/$F$2*1000</f>
        <v>16.461199999999998</v>
      </c>
      <c r="BE268">
        <f t="shared" ref="BE268:BE331" si="59">BD268*AY268</f>
        <v>19.740106427999997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53.603700000000003</v>
      </c>
      <c r="I269" s="22">
        <v>6.1581400000000001E-2</v>
      </c>
      <c r="J269" s="22">
        <v>259</v>
      </c>
      <c r="K269" s="22">
        <v>7.9742400000000005E-2</v>
      </c>
      <c r="L269">
        <f t="shared" si="48"/>
        <v>-61.581400000000002</v>
      </c>
      <c r="M269">
        <f t="shared" si="49"/>
        <v>-30.529471701199999</v>
      </c>
      <c r="N269" s="9"/>
      <c r="O269" s="22">
        <v>1.2042200000000001</v>
      </c>
      <c r="P269" s="22">
        <v>164.53100000000001</v>
      </c>
      <c r="Q269" s="22">
        <v>-1.6500899999999999E-2</v>
      </c>
      <c r="R269" s="22">
        <v>259</v>
      </c>
      <c r="S269" s="22">
        <v>1.2030000000000001</v>
      </c>
      <c r="T269">
        <f t="shared" si="50"/>
        <v>16.500899999999998</v>
      </c>
      <c r="U269">
        <f t="shared" si="51"/>
        <v>19.870713797999997</v>
      </c>
      <c r="X269" s="9"/>
      <c r="Y269" s="22">
        <v>0.49575799999999998</v>
      </c>
      <c r="Z269" s="22">
        <v>228.11699999999999</v>
      </c>
      <c r="AA269" s="22">
        <v>-1.69342E-2</v>
      </c>
      <c r="AB269" s="22">
        <v>259</v>
      </c>
      <c r="AC269" s="22">
        <v>0.49496499999999999</v>
      </c>
      <c r="AD269">
        <f t="shared" si="52"/>
        <v>16.934200000000001</v>
      </c>
      <c r="AE269">
        <f t="shared" si="53"/>
        <v>8.3952651235999998</v>
      </c>
      <c r="AF269" s="9"/>
      <c r="AG269" s="22">
        <v>1.2042200000000001</v>
      </c>
      <c r="AH269" s="22">
        <v>360.45</v>
      </c>
      <c r="AI269" s="22">
        <v>-1.6488599999999999E-2</v>
      </c>
      <c r="AJ269" s="22">
        <v>259</v>
      </c>
      <c r="AK269" s="22">
        <v>1.2030000000000001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0.49575799999999998</v>
      </c>
      <c r="AR269" s="22">
        <v>429.54</v>
      </c>
      <c r="AS269" s="22">
        <v>-1.6888400000000001E-2</v>
      </c>
      <c r="AT269" s="22">
        <v>259</v>
      </c>
      <c r="AU269" s="22">
        <v>0.49499500000000002</v>
      </c>
      <c r="AV269">
        <f t="shared" si="56"/>
        <v>16.888400000000001</v>
      </c>
      <c r="AW269">
        <f t="shared" si="57"/>
        <v>8.3725594072000007</v>
      </c>
      <c r="AX269" s="9"/>
      <c r="AY269" s="22">
        <v>1.2042200000000001</v>
      </c>
      <c r="AZ269" s="22">
        <v>490.37299999999999</v>
      </c>
      <c r="BA269" s="22">
        <v>-1.64551E-2</v>
      </c>
      <c r="BB269" s="22">
        <v>259</v>
      </c>
      <c r="BC269" s="22">
        <v>1.2023900000000001</v>
      </c>
      <c r="BD269">
        <f t="shared" si="58"/>
        <v>16.455100000000002</v>
      </c>
      <c r="BE269">
        <f t="shared" si="59"/>
        <v>19.815560522000002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53.704500000000003</v>
      </c>
      <c r="I270" s="22">
        <v>6.1666899999999997E-2</v>
      </c>
      <c r="J270" s="22">
        <v>260</v>
      </c>
      <c r="K270" s="22">
        <v>7.9711900000000002E-2</v>
      </c>
      <c r="L270">
        <f t="shared" si="48"/>
        <v>-61.666899999999998</v>
      </c>
      <c r="M270">
        <f t="shared" si="49"/>
        <v>-30.2613661687</v>
      </c>
      <c r="N270" s="9"/>
      <c r="O270" s="22">
        <v>1.20926</v>
      </c>
      <c r="P270" s="22">
        <v>164.631</v>
      </c>
      <c r="Q270" s="22">
        <v>-1.6503899999999998E-2</v>
      </c>
      <c r="R270" s="22">
        <v>260</v>
      </c>
      <c r="S270" s="22">
        <v>1.2081900000000001</v>
      </c>
      <c r="T270">
        <f t="shared" si="50"/>
        <v>16.503899999999998</v>
      </c>
      <c r="U270">
        <f t="shared" si="51"/>
        <v>19.957506113999997</v>
      </c>
      <c r="X270" s="9"/>
      <c r="Y270" s="22">
        <v>0.49072300000000002</v>
      </c>
      <c r="Z270" s="22">
        <v>228.21700000000001</v>
      </c>
      <c r="AA270" s="22">
        <v>-1.6940299999999998E-2</v>
      </c>
      <c r="AB270" s="22">
        <v>260</v>
      </c>
      <c r="AC270" s="22">
        <v>0.49008200000000002</v>
      </c>
      <c r="AD270">
        <f t="shared" si="52"/>
        <v>16.940299999999997</v>
      </c>
      <c r="AE270">
        <f t="shared" si="53"/>
        <v>8.3129948368999997</v>
      </c>
      <c r="AF270" s="9"/>
      <c r="AG270" s="22">
        <v>1.20926</v>
      </c>
      <c r="AH270" s="22">
        <v>360.55099999999999</v>
      </c>
      <c r="AI270" s="22">
        <v>-1.6488599999999999E-2</v>
      </c>
      <c r="AJ270" s="22">
        <v>260</v>
      </c>
      <c r="AK270" s="22">
        <v>1.2084999999999999</v>
      </c>
      <c r="AL270">
        <f t="shared" si="54"/>
        <v>16.488599999999998</v>
      </c>
      <c r="AM270">
        <f t="shared" si="55"/>
        <v>19.939004435999998</v>
      </c>
      <c r="AP270" s="9"/>
      <c r="AQ270" s="22">
        <v>0.49072300000000002</v>
      </c>
      <c r="AR270" s="22">
        <v>429.64100000000002</v>
      </c>
      <c r="AS270" s="22">
        <v>-1.6900600000000002E-2</v>
      </c>
      <c r="AT270" s="22">
        <v>260</v>
      </c>
      <c r="AU270" s="22">
        <v>0.48996000000000001</v>
      </c>
      <c r="AV270">
        <f t="shared" si="56"/>
        <v>16.900600000000001</v>
      </c>
      <c r="AW270">
        <f t="shared" si="57"/>
        <v>8.2935131338000012</v>
      </c>
      <c r="AX270" s="9"/>
      <c r="AY270" s="22">
        <v>1.20926</v>
      </c>
      <c r="AZ270" s="22">
        <v>490.47399999999999</v>
      </c>
      <c r="BA270" s="22">
        <v>-1.64551E-2</v>
      </c>
      <c r="BB270" s="22">
        <v>260</v>
      </c>
      <c r="BC270" s="22">
        <v>1.2081900000000001</v>
      </c>
      <c r="BD270">
        <f t="shared" si="58"/>
        <v>16.455100000000002</v>
      </c>
      <c r="BE270">
        <f t="shared" si="59"/>
        <v>19.898494226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53.805199999999999</v>
      </c>
      <c r="I271" s="22">
        <v>6.1694300000000001E-2</v>
      </c>
      <c r="J271" s="22">
        <v>261</v>
      </c>
      <c r="K271" s="22">
        <v>7.9772899999999994E-2</v>
      </c>
      <c r="L271">
        <f t="shared" si="48"/>
        <v>-61.694299999999998</v>
      </c>
      <c r="M271">
        <f t="shared" si="49"/>
        <v>-29.964119484099999</v>
      </c>
      <c r="N271" s="9"/>
      <c r="O271" s="22">
        <v>1.2142900000000001</v>
      </c>
      <c r="P271" s="22">
        <v>164.732</v>
      </c>
      <c r="Q271" s="22">
        <v>-1.64978E-2</v>
      </c>
      <c r="R271" s="22">
        <v>261</v>
      </c>
      <c r="S271" s="22">
        <v>1.2124600000000001</v>
      </c>
      <c r="T271">
        <f t="shared" si="50"/>
        <v>16.497800000000002</v>
      </c>
      <c r="U271">
        <f t="shared" si="51"/>
        <v>20.033113562000004</v>
      </c>
      <c r="X271" s="9"/>
      <c r="Y271" s="22">
        <v>0.48568699999999998</v>
      </c>
      <c r="Z271" s="22">
        <v>228.31800000000001</v>
      </c>
      <c r="AA271" s="22">
        <v>-1.6937299999999999E-2</v>
      </c>
      <c r="AB271" s="22">
        <v>261</v>
      </c>
      <c r="AC271" s="22">
        <v>0.48492400000000002</v>
      </c>
      <c r="AD271">
        <f t="shared" si="52"/>
        <v>16.9373</v>
      </c>
      <c r="AE271">
        <f t="shared" si="53"/>
        <v>8.2262264251000001</v>
      </c>
      <c r="AF271" s="9"/>
      <c r="AG271" s="22">
        <v>1.2142900000000001</v>
      </c>
      <c r="AH271" s="22">
        <v>360.65100000000001</v>
      </c>
      <c r="AI271" s="22">
        <v>-1.6482500000000001E-2</v>
      </c>
      <c r="AJ271" s="22">
        <v>261</v>
      </c>
      <c r="AK271" s="22">
        <v>1.2130700000000001</v>
      </c>
      <c r="AL271">
        <f t="shared" si="54"/>
        <v>16.482500000000002</v>
      </c>
      <c r="AM271">
        <f t="shared" si="55"/>
        <v>20.014534925000003</v>
      </c>
      <c r="AP271" s="9"/>
      <c r="AQ271" s="22">
        <v>0.48568699999999998</v>
      </c>
      <c r="AR271" s="22">
        <v>429.74099999999999</v>
      </c>
      <c r="AS271" s="22">
        <v>-1.6900600000000002E-2</v>
      </c>
      <c r="AT271" s="22">
        <v>261</v>
      </c>
      <c r="AU271" s="22">
        <v>0.48492400000000002</v>
      </c>
      <c r="AV271">
        <f t="shared" si="56"/>
        <v>16.900600000000001</v>
      </c>
      <c r="AW271">
        <f t="shared" si="57"/>
        <v>8.2084017122000006</v>
      </c>
      <c r="AX271" s="9"/>
      <c r="AY271" s="22">
        <v>1.2142900000000001</v>
      </c>
      <c r="AZ271" s="22">
        <v>490.57400000000001</v>
      </c>
      <c r="BA271" s="22">
        <v>-1.6445899999999999E-2</v>
      </c>
      <c r="BB271" s="22">
        <v>261</v>
      </c>
      <c r="BC271" s="22">
        <v>1.2130700000000001</v>
      </c>
      <c r="BD271">
        <f t="shared" si="58"/>
        <v>16.445899999999998</v>
      </c>
      <c r="BE271">
        <f t="shared" si="59"/>
        <v>19.970091911000001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53.905900000000003</v>
      </c>
      <c r="I272" s="22">
        <v>6.17218E-2</v>
      </c>
      <c r="J272" s="22">
        <v>262</v>
      </c>
      <c r="K272" s="22">
        <v>7.9834000000000002E-2</v>
      </c>
      <c r="L272">
        <f t="shared" si="48"/>
        <v>-61.721800000000002</v>
      </c>
      <c r="M272">
        <f t="shared" si="49"/>
        <v>-29.666706613600002</v>
      </c>
      <c r="N272" s="9"/>
      <c r="O272" s="22">
        <v>1.21933</v>
      </c>
      <c r="P272" s="22">
        <v>164.833</v>
      </c>
      <c r="Q272" s="22">
        <v>-1.64978E-2</v>
      </c>
      <c r="R272" s="22">
        <v>262</v>
      </c>
      <c r="S272" s="22">
        <v>1.2182599999999999</v>
      </c>
      <c r="T272">
        <f t="shared" si="50"/>
        <v>16.497800000000002</v>
      </c>
      <c r="U272">
        <f t="shared" si="51"/>
        <v>20.116262474000003</v>
      </c>
      <c r="X272" s="9"/>
      <c r="Y272" s="22">
        <v>0.48065200000000002</v>
      </c>
      <c r="Z272" s="22">
        <v>228.41900000000001</v>
      </c>
      <c r="AA272" s="22">
        <v>-1.69464E-2</v>
      </c>
      <c r="AB272" s="22">
        <v>262</v>
      </c>
      <c r="AC272" s="22">
        <v>0.47991899999999998</v>
      </c>
      <c r="AD272">
        <f t="shared" si="52"/>
        <v>16.946400000000001</v>
      </c>
      <c r="AE272">
        <f t="shared" si="53"/>
        <v>8.1453210528</v>
      </c>
      <c r="AF272" s="9"/>
      <c r="AG272" s="22">
        <v>1.21933</v>
      </c>
      <c r="AH272" s="22">
        <v>360.75200000000001</v>
      </c>
      <c r="AI272" s="22">
        <v>-1.6467300000000001E-2</v>
      </c>
      <c r="AJ272" s="22">
        <v>262</v>
      </c>
      <c r="AK272" s="22">
        <v>1.2185699999999999</v>
      </c>
      <c r="AL272">
        <f t="shared" si="54"/>
        <v>16.467300000000002</v>
      </c>
      <c r="AM272">
        <f t="shared" si="55"/>
        <v>20.079072909000001</v>
      </c>
      <c r="AP272" s="9"/>
      <c r="AQ272" s="22">
        <v>0.48065200000000002</v>
      </c>
      <c r="AR272" s="22">
        <v>429.84199999999998</v>
      </c>
      <c r="AS272" s="22">
        <v>-1.69067E-2</v>
      </c>
      <c r="AT272" s="22">
        <v>262</v>
      </c>
      <c r="AU272" s="22">
        <v>0.47998000000000002</v>
      </c>
      <c r="AV272">
        <f t="shared" si="56"/>
        <v>16.906700000000001</v>
      </c>
      <c r="AW272">
        <f t="shared" si="57"/>
        <v>8.1262391684000015</v>
      </c>
      <c r="AX272" s="9"/>
      <c r="AY272" s="22">
        <v>1.21933</v>
      </c>
      <c r="AZ272" s="22">
        <v>490.67500000000001</v>
      </c>
      <c r="BA272" s="22">
        <v>-1.6439800000000001E-2</v>
      </c>
      <c r="BB272" s="22">
        <v>262</v>
      </c>
      <c r="BC272" s="22">
        <v>1.2182599999999999</v>
      </c>
      <c r="BD272">
        <f t="shared" si="58"/>
        <v>16.439800000000002</v>
      </c>
      <c r="BE272">
        <f t="shared" si="59"/>
        <v>20.045541334000003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54.006599999999999</v>
      </c>
      <c r="I273" s="22">
        <v>6.1758399999999998E-2</v>
      </c>
      <c r="J273" s="22">
        <v>263</v>
      </c>
      <c r="K273" s="22">
        <v>7.9711900000000002E-2</v>
      </c>
      <c r="L273">
        <f t="shared" si="48"/>
        <v>-61.758399999999995</v>
      </c>
      <c r="M273">
        <f t="shared" si="49"/>
        <v>-29.373283174399997</v>
      </c>
      <c r="N273" s="9"/>
      <c r="O273" s="22">
        <v>1.22437</v>
      </c>
      <c r="P273" s="22">
        <v>164.93299999999999</v>
      </c>
      <c r="Q273" s="22">
        <v>-1.64978E-2</v>
      </c>
      <c r="R273" s="22">
        <v>263</v>
      </c>
      <c r="S273" s="22">
        <v>1.2231399999999999</v>
      </c>
      <c r="T273">
        <f t="shared" si="50"/>
        <v>16.497800000000002</v>
      </c>
      <c r="U273">
        <f t="shared" si="51"/>
        <v>20.199411386000001</v>
      </c>
      <c r="X273" s="9"/>
      <c r="Y273" s="22">
        <v>0.47561599999999998</v>
      </c>
      <c r="Z273" s="22">
        <v>228.51900000000001</v>
      </c>
      <c r="AA273" s="22">
        <v>-1.6940299999999998E-2</v>
      </c>
      <c r="AB273" s="22">
        <v>263</v>
      </c>
      <c r="AC273" s="22">
        <v>0.474823</v>
      </c>
      <c r="AD273">
        <f t="shared" si="52"/>
        <v>16.940299999999997</v>
      </c>
      <c r="AE273">
        <f t="shared" si="53"/>
        <v>8.0570777247999992</v>
      </c>
      <c r="AF273" s="9"/>
      <c r="AG273" s="22">
        <v>1.22437</v>
      </c>
      <c r="AH273" s="22">
        <v>360.85300000000001</v>
      </c>
      <c r="AI273" s="22">
        <v>-1.6467300000000001E-2</v>
      </c>
      <c r="AJ273" s="22">
        <v>263</v>
      </c>
      <c r="AK273" s="22">
        <v>1.2231399999999999</v>
      </c>
      <c r="AL273">
        <f t="shared" si="54"/>
        <v>16.467300000000002</v>
      </c>
      <c r="AM273">
        <f t="shared" si="55"/>
        <v>20.162068101000003</v>
      </c>
      <c r="AP273" s="9"/>
      <c r="AQ273" s="22">
        <v>0.47561599999999998</v>
      </c>
      <c r="AR273" s="22">
        <v>429.94299999999998</v>
      </c>
      <c r="AS273" s="22">
        <v>-1.69067E-2</v>
      </c>
      <c r="AT273" s="22">
        <v>263</v>
      </c>
      <c r="AU273" s="22">
        <v>0.47479199999999999</v>
      </c>
      <c r="AV273">
        <f t="shared" si="56"/>
        <v>16.906700000000001</v>
      </c>
      <c r="AW273">
        <f t="shared" si="57"/>
        <v>8.0410970271999993</v>
      </c>
      <c r="AX273" s="9"/>
      <c r="AY273" s="22">
        <v>1.22437</v>
      </c>
      <c r="AZ273" s="22">
        <v>490.77600000000001</v>
      </c>
      <c r="BA273" s="22">
        <v>-1.6436800000000001E-2</v>
      </c>
      <c r="BB273" s="22">
        <v>263</v>
      </c>
      <c r="BC273" s="22">
        <v>1.2240599999999999</v>
      </c>
      <c r="BD273">
        <f t="shared" si="58"/>
        <v>16.436800000000002</v>
      </c>
      <c r="BE273">
        <f t="shared" si="59"/>
        <v>20.124724816000001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54.107300000000002</v>
      </c>
      <c r="I274" s="22">
        <v>6.1727900000000002E-2</v>
      </c>
      <c r="J274" s="22">
        <v>264</v>
      </c>
      <c r="K274" s="22">
        <v>7.9681399999999999E-2</v>
      </c>
      <c r="L274">
        <f t="shared" si="48"/>
        <v>-61.727900000000005</v>
      </c>
      <c r="M274">
        <f t="shared" si="49"/>
        <v>-29.047976909900004</v>
      </c>
      <c r="N274" s="9"/>
      <c r="O274" s="22">
        <v>1.2294</v>
      </c>
      <c r="P274" s="22">
        <v>165.03399999999999</v>
      </c>
      <c r="Q274" s="22">
        <v>-1.6488599999999999E-2</v>
      </c>
      <c r="R274" s="22">
        <v>264</v>
      </c>
      <c r="S274" s="22">
        <v>1.2283299999999999</v>
      </c>
      <c r="T274">
        <f t="shared" si="50"/>
        <v>16.488599999999998</v>
      </c>
      <c r="U274">
        <f t="shared" si="51"/>
        <v>20.271084839999997</v>
      </c>
      <c r="X274" s="9"/>
      <c r="Y274" s="22">
        <v>0.47058100000000003</v>
      </c>
      <c r="Z274" s="22">
        <v>228.62</v>
      </c>
      <c r="AA274" s="22">
        <v>-1.6949499999999999E-2</v>
      </c>
      <c r="AB274" s="22">
        <v>264</v>
      </c>
      <c r="AC274" s="22">
        <v>0.46978799999999998</v>
      </c>
      <c r="AD274">
        <f t="shared" si="52"/>
        <v>16.9495</v>
      </c>
      <c r="AE274">
        <f t="shared" si="53"/>
        <v>7.9761126595000009</v>
      </c>
      <c r="AF274" s="9"/>
      <c r="AG274" s="22">
        <v>1.2294</v>
      </c>
      <c r="AH274" s="22">
        <v>360.95299999999997</v>
      </c>
      <c r="AI274" s="22">
        <v>-1.6464199999999998E-2</v>
      </c>
      <c r="AJ274" s="22">
        <v>264</v>
      </c>
      <c r="AK274" s="22">
        <v>1.2283299999999999</v>
      </c>
      <c r="AL274">
        <f t="shared" si="54"/>
        <v>16.464199999999998</v>
      </c>
      <c r="AM274">
        <f t="shared" si="55"/>
        <v>20.241087479999997</v>
      </c>
      <c r="AP274" s="9"/>
      <c r="AQ274" s="22">
        <v>0.47058100000000003</v>
      </c>
      <c r="AR274" s="22">
        <v>430.04399999999998</v>
      </c>
      <c r="AS274" s="22">
        <v>-1.6915900000000001E-2</v>
      </c>
      <c r="AT274" s="22">
        <v>264</v>
      </c>
      <c r="AU274" s="22">
        <v>0.46963500000000002</v>
      </c>
      <c r="AV274">
        <f t="shared" si="56"/>
        <v>16.915900000000001</v>
      </c>
      <c r="AW274">
        <f t="shared" si="57"/>
        <v>7.960301137900001</v>
      </c>
      <c r="AX274" s="9"/>
      <c r="AY274" s="22">
        <v>1.2294</v>
      </c>
      <c r="AZ274" s="22">
        <v>490.87700000000001</v>
      </c>
      <c r="BA274" s="22">
        <v>-1.6436800000000001E-2</v>
      </c>
      <c r="BB274" s="22">
        <v>264</v>
      </c>
      <c r="BC274" s="22">
        <v>1.2283299999999999</v>
      </c>
      <c r="BD274">
        <f t="shared" si="58"/>
        <v>16.436800000000002</v>
      </c>
      <c r="BE274">
        <f t="shared" si="59"/>
        <v>20.207401920000002</v>
      </c>
    </row>
    <row r="275" spans="6:101">
      <c r="F275" s="9"/>
      <c r="G275" s="22">
        <v>0.46554600000000002</v>
      </c>
      <c r="H275" s="22">
        <v>54.207999999999998</v>
      </c>
      <c r="I275" s="22">
        <v>6.1776699999999997E-2</v>
      </c>
      <c r="J275" s="22">
        <v>265</v>
      </c>
      <c r="K275" s="22">
        <v>7.9681399999999999E-2</v>
      </c>
      <c r="L275">
        <f t="shared" si="48"/>
        <v>-61.776699999999998</v>
      </c>
      <c r="M275">
        <f t="shared" si="49"/>
        <v>-28.759895578200002</v>
      </c>
      <c r="N275" s="9"/>
      <c r="O275" s="22">
        <v>1.23444</v>
      </c>
      <c r="P275" s="22">
        <v>165.13499999999999</v>
      </c>
      <c r="Q275" s="22">
        <v>-1.6488599999999999E-2</v>
      </c>
      <c r="R275" s="22">
        <v>265</v>
      </c>
      <c r="S275" s="22">
        <v>1.2335199999999999</v>
      </c>
      <c r="T275">
        <f t="shared" si="50"/>
        <v>16.488599999999998</v>
      </c>
      <c r="U275">
        <f t="shared" si="51"/>
        <v>20.354187383999996</v>
      </c>
      <c r="X275" s="9"/>
      <c r="Y275" s="22">
        <v>0.46554600000000002</v>
      </c>
      <c r="Z275" s="22">
        <v>228.721</v>
      </c>
      <c r="AA275" s="22">
        <v>-1.69464E-2</v>
      </c>
      <c r="AB275" s="22">
        <v>265</v>
      </c>
      <c r="AC275" s="22">
        <v>0.464783</v>
      </c>
      <c r="AD275">
        <f t="shared" si="52"/>
        <v>16.946400000000001</v>
      </c>
      <c r="AE275">
        <f t="shared" si="53"/>
        <v>7.8893287344000003</v>
      </c>
      <c r="AF275" s="9"/>
      <c r="AG275" s="22">
        <v>1.23444</v>
      </c>
      <c r="AH275" s="22">
        <v>361.05399999999997</v>
      </c>
      <c r="AI275" s="22">
        <v>-1.64581E-2</v>
      </c>
      <c r="AJ275" s="22">
        <v>265</v>
      </c>
      <c r="AK275" s="22">
        <v>1.2325999999999999</v>
      </c>
      <c r="AL275">
        <f t="shared" si="54"/>
        <v>16.458099999999998</v>
      </c>
      <c r="AM275">
        <f t="shared" si="55"/>
        <v>20.316536963999997</v>
      </c>
      <c r="AP275" s="9"/>
      <c r="AQ275" s="22">
        <v>0.46554600000000002</v>
      </c>
      <c r="AR275" s="22">
        <v>430.14400000000001</v>
      </c>
      <c r="AS275" s="22">
        <v>-1.6912799999999999E-2</v>
      </c>
      <c r="AT275" s="22">
        <v>265</v>
      </c>
      <c r="AU275" s="22">
        <v>0.46481299999999998</v>
      </c>
      <c r="AV275">
        <f t="shared" si="56"/>
        <v>16.912799999999997</v>
      </c>
      <c r="AW275">
        <f t="shared" si="57"/>
        <v>7.8736863887999986</v>
      </c>
      <c r="AX275" s="9"/>
      <c r="AY275" s="22">
        <v>1.23444</v>
      </c>
      <c r="AZ275" s="22">
        <v>490.97699999999998</v>
      </c>
      <c r="BA275" s="22">
        <v>-1.6427600000000001E-2</v>
      </c>
      <c r="BB275" s="22">
        <v>265</v>
      </c>
      <c r="BC275" s="22">
        <v>1.23383</v>
      </c>
      <c r="BD275">
        <f t="shared" si="58"/>
        <v>16.427600000000002</v>
      </c>
      <c r="BE275">
        <f t="shared" si="59"/>
        <v>20.278886544000002</v>
      </c>
    </row>
    <row r="276" spans="6:101">
      <c r="F276" s="9"/>
      <c r="G276" s="22">
        <v>0.46050999999999997</v>
      </c>
      <c r="H276" s="22">
        <v>54.308700000000002</v>
      </c>
      <c r="I276" s="22">
        <v>6.1852999999999998E-2</v>
      </c>
      <c r="J276" s="22">
        <v>266</v>
      </c>
      <c r="K276" s="22">
        <v>7.9803499999999999E-2</v>
      </c>
      <c r="L276">
        <f t="shared" si="48"/>
        <v>-61.853000000000002</v>
      </c>
      <c r="M276">
        <f t="shared" si="49"/>
        <v>-28.483925029999998</v>
      </c>
      <c r="N276" s="9"/>
      <c r="O276" s="22">
        <v>1.2394700000000001</v>
      </c>
      <c r="P276" s="22">
        <v>165.23599999999999</v>
      </c>
      <c r="Q276" s="22">
        <v>-1.64856E-2</v>
      </c>
      <c r="R276" s="22">
        <v>266</v>
      </c>
      <c r="S276" s="22">
        <v>1.2383999999999999</v>
      </c>
      <c r="T276">
        <f t="shared" si="50"/>
        <v>16.485599999999998</v>
      </c>
      <c r="U276">
        <f t="shared" si="51"/>
        <v>20.433406632000001</v>
      </c>
      <c r="X276" s="9"/>
      <c r="Y276" s="22">
        <v>0.46050999999999997</v>
      </c>
      <c r="Z276" s="22">
        <v>228.822</v>
      </c>
      <c r="AA276" s="22">
        <v>-1.69464E-2</v>
      </c>
      <c r="AB276" s="22">
        <v>266</v>
      </c>
      <c r="AC276" s="22">
        <v>0.45971699999999999</v>
      </c>
      <c r="AD276">
        <f t="shared" si="52"/>
        <v>16.946400000000001</v>
      </c>
      <c r="AE276">
        <f t="shared" si="53"/>
        <v>7.803986664</v>
      </c>
      <c r="AF276" s="9"/>
      <c r="AG276" s="22">
        <v>1.2394700000000001</v>
      </c>
      <c r="AH276" s="22">
        <v>361.15499999999997</v>
      </c>
      <c r="AI276" s="22">
        <v>-1.6452000000000001E-2</v>
      </c>
      <c r="AJ276" s="22">
        <v>266</v>
      </c>
      <c r="AK276" s="22">
        <v>1.23871</v>
      </c>
      <c r="AL276">
        <f t="shared" si="54"/>
        <v>16.452000000000002</v>
      </c>
      <c r="AM276">
        <f t="shared" si="55"/>
        <v>20.391760440000002</v>
      </c>
      <c r="AP276" s="9"/>
      <c r="AQ276" s="22">
        <v>0.46050999999999997</v>
      </c>
      <c r="AR276" s="22">
        <v>430.245</v>
      </c>
      <c r="AS276" s="22">
        <v>-1.6915900000000001E-2</v>
      </c>
      <c r="AT276" s="22">
        <v>266</v>
      </c>
      <c r="AU276" s="22">
        <v>0.45977800000000002</v>
      </c>
      <c r="AV276">
        <f t="shared" si="56"/>
        <v>16.915900000000001</v>
      </c>
      <c r="AW276">
        <f t="shared" si="57"/>
        <v>7.7899411089999999</v>
      </c>
      <c r="AX276" s="9"/>
      <c r="AY276" s="22">
        <v>1.2394700000000001</v>
      </c>
      <c r="AZ276" s="22">
        <v>491.07799999999997</v>
      </c>
      <c r="BA276" s="22">
        <v>-1.6427600000000001E-2</v>
      </c>
      <c r="BB276" s="22">
        <v>266</v>
      </c>
      <c r="BC276" s="22">
        <v>1.2383999999999999</v>
      </c>
      <c r="BD276">
        <f t="shared" si="58"/>
        <v>16.427600000000002</v>
      </c>
      <c r="BE276">
        <f t="shared" si="59"/>
        <v>20.361517372000005</v>
      </c>
    </row>
    <row r="277" spans="6:101">
      <c r="F277" s="9"/>
      <c r="G277" s="22">
        <v>0.45547500000000002</v>
      </c>
      <c r="H277" s="22">
        <v>54.409399999999998</v>
      </c>
      <c r="I277" s="22">
        <v>6.18591E-2</v>
      </c>
      <c r="J277" s="22">
        <v>267</v>
      </c>
      <c r="K277" s="22">
        <v>7.9650899999999997E-2</v>
      </c>
      <c r="L277">
        <f t="shared" si="48"/>
        <v>-61.859099999999998</v>
      </c>
      <c r="M277">
        <f t="shared" si="49"/>
        <v>-28.1752735725</v>
      </c>
      <c r="N277" s="9"/>
      <c r="O277" s="22">
        <v>1.24451</v>
      </c>
      <c r="P277" s="22">
        <v>165.33600000000001</v>
      </c>
      <c r="Q277" s="22">
        <v>-1.6479500000000001E-2</v>
      </c>
      <c r="R277" s="22">
        <v>267</v>
      </c>
      <c r="S277" s="22">
        <v>1.24329</v>
      </c>
      <c r="T277">
        <f t="shared" si="50"/>
        <v>16.479500000000002</v>
      </c>
      <c r="U277">
        <f t="shared" si="51"/>
        <v>20.508902545000002</v>
      </c>
      <c r="X277" s="9"/>
      <c r="Y277" s="22">
        <v>0.45547500000000002</v>
      </c>
      <c r="Z277" s="22">
        <v>228.922</v>
      </c>
      <c r="AA277" s="22">
        <v>-1.6949499999999999E-2</v>
      </c>
      <c r="AB277" s="22">
        <v>267</v>
      </c>
      <c r="AC277" s="22">
        <v>0.45462000000000002</v>
      </c>
      <c r="AD277">
        <f t="shared" si="52"/>
        <v>16.9495</v>
      </c>
      <c r="AE277">
        <f t="shared" si="53"/>
        <v>7.7200735125000008</v>
      </c>
      <c r="AF277" s="9"/>
      <c r="AG277" s="22">
        <v>1.24451</v>
      </c>
      <c r="AH277" s="22">
        <v>361.25599999999997</v>
      </c>
      <c r="AI277" s="22">
        <v>-1.6445899999999999E-2</v>
      </c>
      <c r="AJ277" s="22">
        <v>267</v>
      </c>
      <c r="AK277" s="22">
        <v>1.24329</v>
      </c>
      <c r="AL277">
        <f t="shared" si="54"/>
        <v>16.445899999999998</v>
      </c>
      <c r="AM277">
        <f t="shared" si="55"/>
        <v>20.467087008999997</v>
      </c>
      <c r="AP277" s="9"/>
      <c r="AQ277" s="22">
        <v>0.45547500000000002</v>
      </c>
      <c r="AR277" s="22">
        <v>430.346</v>
      </c>
      <c r="AS277" s="22">
        <v>-1.6918900000000001E-2</v>
      </c>
      <c r="AT277" s="22">
        <v>267</v>
      </c>
      <c r="AU277" s="22">
        <v>0.45465100000000003</v>
      </c>
      <c r="AV277">
        <f t="shared" si="56"/>
        <v>16.918900000000001</v>
      </c>
      <c r="AW277">
        <f t="shared" si="57"/>
        <v>7.7061359775000007</v>
      </c>
      <c r="AX277" s="9"/>
      <c r="AY277" s="22">
        <v>1.24451</v>
      </c>
      <c r="AZ277" s="22">
        <v>491.17899999999997</v>
      </c>
      <c r="BA277" s="22">
        <v>-1.6421499999999999E-2</v>
      </c>
      <c r="BB277" s="22">
        <v>267</v>
      </c>
      <c r="BC277" s="22">
        <v>1.24329</v>
      </c>
      <c r="BD277">
        <f t="shared" si="58"/>
        <v>16.421499999999998</v>
      </c>
      <c r="BE277">
        <f t="shared" si="59"/>
        <v>20.436720964999999</v>
      </c>
    </row>
    <row r="278" spans="6:101">
      <c r="F278" s="9"/>
      <c r="G278" s="22">
        <v>0.45043899999999998</v>
      </c>
      <c r="H278" s="22">
        <v>54.510100000000001</v>
      </c>
      <c r="I278" s="22">
        <v>6.1935400000000002E-2</v>
      </c>
      <c r="J278" s="22">
        <v>268</v>
      </c>
      <c r="K278" s="22">
        <v>7.9681399999999999E-2</v>
      </c>
      <c r="L278">
        <f t="shared" si="48"/>
        <v>-61.935400000000001</v>
      </c>
      <c r="M278">
        <f t="shared" si="49"/>
        <v>-27.898119640600001</v>
      </c>
      <c r="N278" s="9"/>
      <c r="O278" s="22">
        <v>1.2495400000000001</v>
      </c>
      <c r="P278" s="22">
        <v>165.43700000000001</v>
      </c>
      <c r="Q278" s="22">
        <v>-1.6467300000000001E-2</v>
      </c>
      <c r="R278" s="22">
        <v>268</v>
      </c>
      <c r="S278" s="22">
        <v>1.24847</v>
      </c>
      <c r="T278">
        <f t="shared" si="50"/>
        <v>16.467300000000002</v>
      </c>
      <c r="U278">
        <f t="shared" si="51"/>
        <v>20.576550042000004</v>
      </c>
      <c r="X278" s="9"/>
      <c r="Y278" s="22">
        <v>0.45043899999999998</v>
      </c>
      <c r="Z278" s="22">
        <v>229.023</v>
      </c>
      <c r="AA278" s="22">
        <v>-1.69617E-2</v>
      </c>
      <c r="AB278" s="22">
        <v>268</v>
      </c>
      <c r="AC278" s="22">
        <v>0.44952399999999998</v>
      </c>
      <c r="AD278">
        <f t="shared" si="52"/>
        <v>16.9617</v>
      </c>
      <c r="AE278">
        <f t="shared" si="53"/>
        <v>7.6402111863000002</v>
      </c>
      <c r="AF278" s="9"/>
      <c r="AG278" s="22">
        <v>1.2495400000000001</v>
      </c>
      <c r="AH278" s="22">
        <v>361.35599999999999</v>
      </c>
      <c r="AI278" s="22">
        <v>-1.6445899999999999E-2</v>
      </c>
      <c r="AJ278" s="22">
        <v>268</v>
      </c>
      <c r="AK278" s="22">
        <v>1.24878</v>
      </c>
      <c r="AL278">
        <f t="shared" si="54"/>
        <v>16.445899999999998</v>
      </c>
      <c r="AM278">
        <f t="shared" si="55"/>
        <v>20.549809885999998</v>
      </c>
      <c r="AP278" s="9"/>
      <c r="AQ278" s="22">
        <v>0.45043899999999998</v>
      </c>
      <c r="AR278" s="22">
        <v>430.44600000000003</v>
      </c>
      <c r="AS278" s="22">
        <v>-1.6918900000000001E-2</v>
      </c>
      <c r="AT278" s="22">
        <v>268</v>
      </c>
      <c r="AU278" s="22">
        <v>0.44967699999999999</v>
      </c>
      <c r="AV278">
        <f t="shared" si="56"/>
        <v>16.918900000000001</v>
      </c>
      <c r="AW278">
        <f t="shared" si="57"/>
        <v>7.6209323970999998</v>
      </c>
      <c r="AX278" s="9"/>
      <c r="AY278" s="22">
        <v>1.2495400000000001</v>
      </c>
      <c r="AZ278" s="22">
        <v>491.279</v>
      </c>
      <c r="BA278" s="22">
        <v>-1.6424600000000001E-2</v>
      </c>
      <c r="BB278" s="22">
        <v>268</v>
      </c>
      <c r="BC278" s="22">
        <v>1.24878</v>
      </c>
      <c r="BD278">
        <f t="shared" si="58"/>
        <v>16.424600000000002</v>
      </c>
      <c r="BE278">
        <f t="shared" si="59"/>
        <v>20.523194684000003</v>
      </c>
    </row>
    <row r="279" spans="6:101">
      <c r="F279" s="9"/>
      <c r="G279" s="22">
        <v>0.44540400000000002</v>
      </c>
      <c r="H279" s="22">
        <v>54.610799999999998</v>
      </c>
      <c r="I279" s="22">
        <v>6.1993399999999997E-2</v>
      </c>
      <c r="J279" s="22">
        <v>269</v>
      </c>
      <c r="K279" s="22">
        <v>7.9742400000000005E-2</v>
      </c>
      <c r="L279">
        <f t="shared" si="48"/>
        <v>-61.993399999999994</v>
      </c>
      <c r="M279">
        <f t="shared" si="49"/>
        <v>-27.612108333599998</v>
      </c>
      <c r="N279" s="9"/>
      <c r="O279" s="22">
        <v>1.25458</v>
      </c>
      <c r="P279" s="22">
        <v>165.53800000000001</v>
      </c>
      <c r="Q279" s="22">
        <v>-1.64703E-2</v>
      </c>
      <c r="R279" s="22">
        <v>269</v>
      </c>
      <c r="S279" s="22">
        <v>1.25397</v>
      </c>
      <c r="T279">
        <f t="shared" si="50"/>
        <v>16.470300000000002</v>
      </c>
      <c r="U279">
        <f t="shared" si="51"/>
        <v>20.663308974000003</v>
      </c>
      <c r="X279" s="9"/>
      <c r="Y279" s="22">
        <v>0.44540400000000002</v>
      </c>
      <c r="Z279" s="22">
        <v>229.124</v>
      </c>
      <c r="AA279" s="22">
        <v>-1.6964699999999999E-2</v>
      </c>
      <c r="AB279" s="22">
        <v>269</v>
      </c>
      <c r="AC279" s="22">
        <v>0.444855</v>
      </c>
      <c r="AD279">
        <f t="shared" si="52"/>
        <v>16.964700000000001</v>
      </c>
      <c r="AE279">
        <f t="shared" si="53"/>
        <v>7.556145238800001</v>
      </c>
      <c r="AF279" s="9"/>
      <c r="AG279" s="22">
        <v>1.25458</v>
      </c>
      <c r="AH279" s="22">
        <v>361.45699999999999</v>
      </c>
      <c r="AI279" s="22">
        <v>-1.64429E-2</v>
      </c>
      <c r="AJ279" s="22">
        <v>269</v>
      </c>
      <c r="AK279" s="22">
        <v>1.25366</v>
      </c>
      <c r="AL279">
        <f t="shared" si="54"/>
        <v>16.442900000000002</v>
      </c>
      <c r="AM279">
        <f t="shared" si="55"/>
        <v>20.628933482000001</v>
      </c>
      <c r="AP279" s="9"/>
      <c r="AQ279" s="22">
        <v>0.44540400000000002</v>
      </c>
      <c r="AR279" s="22">
        <v>430.54700000000003</v>
      </c>
      <c r="AS279" s="22">
        <v>-1.6928100000000001E-2</v>
      </c>
      <c r="AT279" s="22">
        <v>269</v>
      </c>
      <c r="AU279" s="22">
        <v>0.44470199999999999</v>
      </c>
      <c r="AV279">
        <f t="shared" si="56"/>
        <v>16.928100000000001</v>
      </c>
      <c r="AW279">
        <f t="shared" si="57"/>
        <v>7.5398434524000004</v>
      </c>
      <c r="AX279" s="9"/>
      <c r="AY279" s="22">
        <v>1.25458</v>
      </c>
      <c r="AZ279" s="22">
        <v>491.38</v>
      </c>
      <c r="BA279" s="22">
        <v>-1.6412400000000001E-2</v>
      </c>
      <c r="BB279" s="22">
        <v>269</v>
      </c>
      <c r="BC279" s="22">
        <v>1.25336</v>
      </c>
      <c r="BD279">
        <f t="shared" si="58"/>
        <v>16.412400000000002</v>
      </c>
      <c r="BE279">
        <f t="shared" si="59"/>
        <v>20.590668792000002</v>
      </c>
    </row>
    <row r="280" spans="6:101">
      <c r="F280" s="9"/>
      <c r="G280" s="22">
        <v>0.44036900000000001</v>
      </c>
      <c r="H280" s="22">
        <v>54.711500000000001</v>
      </c>
      <c r="I280" s="22">
        <v>6.2033100000000001E-2</v>
      </c>
      <c r="J280" s="22">
        <v>270</v>
      </c>
      <c r="K280" s="22">
        <v>7.9681399999999999E-2</v>
      </c>
      <c r="L280">
        <f t="shared" si="48"/>
        <v>-62.033099999999997</v>
      </c>
      <c r="M280">
        <f t="shared" si="49"/>
        <v>-27.3174542139</v>
      </c>
      <c r="N280" s="9"/>
      <c r="O280" s="22">
        <v>1.2596099999999999</v>
      </c>
      <c r="P280" s="22">
        <v>165.63800000000001</v>
      </c>
      <c r="Q280" s="22">
        <v>-1.64703E-2</v>
      </c>
      <c r="R280" s="22">
        <v>270</v>
      </c>
      <c r="S280" s="22">
        <v>1.2591600000000001</v>
      </c>
      <c r="T280">
        <f t="shared" si="50"/>
        <v>16.470300000000002</v>
      </c>
      <c r="U280">
        <f t="shared" si="51"/>
        <v>20.746154582999999</v>
      </c>
      <c r="X280" s="9"/>
      <c r="Y280" s="22">
        <v>0.44036900000000001</v>
      </c>
      <c r="Z280" s="22">
        <v>229.22399999999999</v>
      </c>
      <c r="AA280" s="22">
        <v>-1.6964699999999999E-2</v>
      </c>
      <c r="AB280" s="22">
        <v>270</v>
      </c>
      <c r="AC280" s="22">
        <v>0.43948399999999999</v>
      </c>
      <c r="AD280">
        <f t="shared" si="52"/>
        <v>16.964700000000001</v>
      </c>
      <c r="AE280">
        <f t="shared" si="53"/>
        <v>7.4707279743000008</v>
      </c>
      <c r="AF280" s="9"/>
      <c r="AG280" s="22">
        <v>1.2596099999999999</v>
      </c>
      <c r="AH280" s="22">
        <v>361.55799999999999</v>
      </c>
      <c r="AI280" s="22">
        <v>-1.64429E-2</v>
      </c>
      <c r="AJ280" s="22">
        <v>270</v>
      </c>
      <c r="AK280" s="22">
        <v>1.25854</v>
      </c>
      <c r="AL280">
        <f t="shared" si="54"/>
        <v>16.442900000000002</v>
      </c>
      <c r="AM280">
        <f t="shared" si="55"/>
        <v>20.711641269000001</v>
      </c>
      <c r="AP280" s="9"/>
      <c r="AQ280" s="22">
        <v>0.44036900000000001</v>
      </c>
      <c r="AR280" s="22">
        <v>430.64800000000002</v>
      </c>
      <c r="AS280" s="22">
        <v>-1.69342E-2</v>
      </c>
      <c r="AT280" s="22">
        <v>270</v>
      </c>
      <c r="AU280" s="22">
        <v>0.43975799999999998</v>
      </c>
      <c r="AV280">
        <f t="shared" si="56"/>
        <v>16.934200000000001</v>
      </c>
      <c r="AW280">
        <f t="shared" si="57"/>
        <v>7.4572967198000004</v>
      </c>
      <c r="AX280" s="9"/>
      <c r="AY280" s="22">
        <v>1.2596099999999999</v>
      </c>
      <c r="AZ280" s="22">
        <v>491.48099999999999</v>
      </c>
      <c r="BA280" s="22">
        <v>-1.6412400000000001E-2</v>
      </c>
      <c r="BB280" s="22">
        <v>270</v>
      </c>
      <c r="BC280" s="22">
        <v>1.2591600000000001</v>
      </c>
      <c r="BD280">
        <f t="shared" si="58"/>
        <v>16.412400000000002</v>
      </c>
      <c r="BE280">
        <f t="shared" si="59"/>
        <v>20.673223163999999</v>
      </c>
    </row>
    <row r="281" spans="6:101">
      <c r="F281" s="9"/>
      <c r="G281" s="22">
        <v>0.43533300000000003</v>
      </c>
      <c r="H281" s="22">
        <v>54.812199999999997</v>
      </c>
      <c r="I281" s="22">
        <v>8.7124599999999996E-2</v>
      </c>
      <c r="J281" s="22">
        <v>271</v>
      </c>
      <c r="K281" s="22">
        <v>8.0017099999999994E-2</v>
      </c>
      <c r="L281">
        <f t="shared" si="48"/>
        <v>-87.124600000000001</v>
      </c>
      <c r="M281">
        <f t="shared" si="49"/>
        <v>-37.928213491800001</v>
      </c>
      <c r="N281" s="9"/>
      <c r="O281" s="22">
        <v>1.2646500000000001</v>
      </c>
      <c r="P281" s="22">
        <v>165.739</v>
      </c>
      <c r="Q281" s="22">
        <v>-1.6461199999999999E-2</v>
      </c>
      <c r="R281" s="22">
        <v>271</v>
      </c>
      <c r="S281" s="22">
        <v>1.2634300000000001</v>
      </c>
      <c r="T281">
        <f t="shared" si="50"/>
        <v>16.461199999999998</v>
      </c>
      <c r="U281">
        <f t="shared" si="51"/>
        <v>20.817656579999998</v>
      </c>
      <c r="X281" s="9"/>
      <c r="Y281" s="22">
        <v>0.43533300000000003</v>
      </c>
      <c r="Z281" s="22">
        <v>229.32499999999999</v>
      </c>
      <c r="AA281" s="22">
        <v>-1.6967800000000002E-2</v>
      </c>
      <c r="AB281" s="22">
        <v>271</v>
      </c>
      <c r="AC281" s="22">
        <v>0.43463099999999999</v>
      </c>
      <c r="AD281">
        <f t="shared" si="52"/>
        <v>16.9678</v>
      </c>
      <c r="AE281">
        <f t="shared" si="53"/>
        <v>7.386643277400001</v>
      </c>
      <c r="AF281" s="9"/>
      <c r="AG281" s="22">
        <v>1.2646500000000001</v>
      </c>
      <c r="AH281" s="22">
        <v>361.65800000000002</v>
      </c>
      <c r="AI281" s="22">
        <v>-1.6436800000000001E-2</v>
      </c>
      <c r="AJ281" s="22">
        <v>271</v>
      </c>
      <c r="AK281" s="22">
        <v>1.2634300000000001</v>
      </c>
      <c r="AL281">
        <f t="shared" si="54"/>
        <v>16.436800000000002</v>
      </c>
      <c r="AM281">
        <f t="shared" si="55"/>
        <v>20.786799120000001</v>
      </c>
      <c r="AP281" s="9"/>
      <c r="AQ281" s="22">
        <v>0.43533300000000003</v>
      </c>
      <c r="AR281" s="22">
        <v>430.74799999999999</v>
      </c>
      <c r="AS281" s="22">
        <v>-1.69342E-2</v>
      </c>
      <c r="AT281" s="22">
        <v>271</v>
      </c>
      <c r="AU281" s="22">
        <v>0.43457000000000001</v>
      </c>
      <c r="AV281">
        <f t="shared" si="56"/>
        <v>16.934200000000001</v>
      </c>
      <c r="AW281">
        <f t="shared" si="57"/>
        <v>7.3720160886000006</v>
      </c>
      <c r="AX281" s="9"/>
      <c r="AY281" s="22">
        <v>1.2646500000000001</v>
      </c>
      <c r="AZ281" s="22">
        <v>491.58100000000002</v>
      </c>
      <c r="BA281" s="22">
        <v>-1.6406299999999999E-2</v>
      </c>
      <c r="BB281" s="22">
        <v>271</v>
      </c>
      <c r="BC281" s="22">
        <v>1.26373</v>
      </c>
      <c r="BD281">
        <f t="shared" si="58"/>
        <v>16.406299999999998</v>
      </c>
      <c r="BE281">
        <f t="shared" si="59"/>
        <v>20.748227295</v>
      </c>
    </row>
    <row r="282" spans="6:101">
      <c r="F282" s="9"/>
      <c r="G282" s="22">
        <v>0.43029800000000001</v>
      </c>
      <c r="H282" s="22">
        <v>54.9129</v>
      </c>
      <c r="I282" s="22">
        <v>8.6593600000000007E-2</v>
      </c>
      <c r="J282" s="22">
        <v>272</v>
      </c>
      <c r="K282" s="22">
        <v>8.0017099999999994E-2</v>
      </c>
      <c r="L282">
        <f t="shared" si="48"/>
        <v>-86.593600000000009</v>
      </c>
      <c r="M282">
        <f t="shared" si="49"/>
        <v>-37.261052892800002</v>
      </c>
      <c r="N282" s="9"/>
      <c r="O282" s="22">
        <v>1.2696799999999999</v>
      </c>
      <c r="P282" s="22">
        <v>165.84</v>
      </c>
      <c r="Q282" s="22">
        <v>-1.6464199999999998E-2</v>
      </c>
      <c r="R282" s="22">
        <v>272</v>
      </c>
      <c r="S282" s="22">
        <v>1.2686200000000001</v>
      </c>
      <c r="T282">
        <f t="shared" si="50"/>
        <v>16.464199999999998</v>
      </c>
      <c r="U282">
        <f t="shared" si="51"/>
        <v>20.904265455999997</v>
      </c>
      <c r="X282" s="9"/>
      <c r="Y282" s="22">
        <v>0.43029800000000001</v>
      </c>
      <c r="Z282" s="22">
        <v>229.42599999999999</v>
      </c>
      <c r="AA282" s="22">
        <v>-1.6964699999999999E-2</v>
      </c>
      <c r="AB282" s="22">
        <v>272</v>
      </c>
      <c r="AC282" s="22">
        <v>0.42956499999999997</v>
      </c>
      <c r="AD282">
        <f t="shared" si="52"/>
        <v>16.964700000000001</v>
      </c>
      <c r="AE282">
        <f t="shared" si="53"/>
        <v>7.2998764806000001</v>
      </c>
      <c r="AF282" s="9"/>
      <c r="AG282" s="22">
        <v>1.2696799999999999</v>
      </c>
      <c r="AH282" s="22">
        <v>361.75900000000001</v>
      </c>
      <c r="AI282" s="22">
        <v>-1.6424600000000001E-2</v>
      </c>
      <c r="AJ282" s="22">
        <v>272</v>
      </c>
      <c r="AK282" s="22">
        <v>1.2692300000000001</v>
      </c>
      <c r="AL282">
        <f t="shared" si="54"/>
        <v>16.424600000000002</v>
      </c>
      <c r="AM282">
        <f t="shared" si="55"/>
        <v>20.853986128000003</v>
      </c>
      <c r="AP282" s="9"/>
      <c r="AQ282" s="22">
        <v>0.43029800000000001</v>
      </c>
      <c r="AR282" s="22">
        <v>430.84899999999999</v>
      </c>
      <c r="AS282" s="22">
        <v>-1.6943400000000001E-2</v>
      </c>
      <c r="AT282" s="22">
        <v>272</v>
      </c>
      <c r="AU282" s="22">
        <v>0.42959599999999998</v>
      </c>
      <c r="AV282">
        <f t="shared" si="56"/>
        <v>16.9434</v>
      </c>
      <c r="AW282">
        <f t="shared" si="57"/>
        <v>7.2907111332000003</v>
      </c>
      <c r="AX282" s="9"/>
      <c r="AY282" s="22">
        <v>1.2696799999999999</v>
      </c>
      <c r="AZ282" s="22">
        <v>491.68200000000002</v>
      </c>
      <c r="BA282" s="22">
        <v>-1.6397100000000001E-2</v>
      </c>
      <c r="BB282" s="22">
        <v>272</v>
      </c>
      <c r="BC282" s="22">
        <v>1.26892</v>
      </c>
      <c r="BD282">
        <f t="shared" si="58"/>
        <v>16.397100000000002</v>
      </c>
      <c r="BE282">
        <f t="shared" si="59"/>
        <v>20.819069928000001</v>
      </c>
    </row>
    <row r="283" spans="6:101">
      <c r="F283" s="9"/>
      <c r="G283" s="22">
        <v>0.42526199999999997</v>
      </c>
      <c r="H283" s="22">
        <v>55.0137</v>
      </c>
      <c r="I283" s="22">
        <v>8.6471599999999996E-2</v>
      </c>
      <c r="J283" s="22">
        <v>273</v>
      </c>
      <c r="K283" s="22">
        <v>7.9956100000000002E-2</v>
      </c>
      <c r="L283">
        <f t="shared" si="48"/>
        <v>-86.471599999999995</v>
      </c>
      <c r="M283">
        <f t="shared" si="49"/>
        <v>-36.773085559199998</v>
      </c>
      <c r="N283" s="9"/>
      <c r="O283" s="22">
        <v>1.2747200000000001</v>
      </c>
      <c r="P283" s="22">
        <v>165.941</v>
      </c>
      <c r="Q283" s="22">
        <v>-1.64581E-2</v>
      </c>
      <c r="R283" s="22">
        <v>273</v>
      </c>
      <c r="S283" s="22">
        <v>1.2735000000000001</v>
      </c>
      <c r="T283">
        <f t="shared" si="50"/>
        <v>16.458099999999998</v>
      </c>
      <c r="U283">
        <f t="shared" si="51"/>
        <v>20.979469232</v>
      </c>
      <c r="X283" s="9"/>
      <c r="Y283" s="22">
        <v>0.42526199999999997</v>
      </c>
      <c r="Z283" s="22">
        <v>229.52699999999999</v>
      </c>
      <c r="AA283" s="22">
        <v>-1.6970800000000001E-2</v>
      </c>
      <c r="AB283" s="22">
        <v>273</v>
      </c>
      <c r="AC283" s="22">
        <v>0.42474400000000001</v>
      </c>
      <c r="AD283">
        <f t="shared" si="52"/>
        <v>16.970800000000001</v>
      </c>
      <c r="AE283">
        <f t="shared" si="53"/>
        <v>7.2170363495999998</v>
      </c>
      <c r="AF283" s="9"/>
      <c r="AG283" s="22">
        <v>1.2747200000000001</v>
      </c>
      <c r="AH283" s="22">
        <v>361.86</v>
      </c>
      <c r="AI283" s="22">
        <v>-1.6427600000000001E-2</v>
      </c>
      <c r="AJ283" s="22">
        <v>273</v>
      </c>
      <c r="AK283" s="22">
        <v>1.2735000000000001</v>
      </c>
      <c r="AL283">
        <f t="shared" si="54"/>
        <v>16.427600000000002</v>
      </c>
      <c r="AM283">
        <f t="shared" si="55"/>
        <v>20.940590272000005</v>
      </c>
      <c r="AP283" s="9"/>
      <c r="AQ283" s="22">
        <v>0.42526199999999997</v>
      </c>
      <c r="AR283" s="22">
        <v>430.95</v>
      </c>
      <c r="AS283" s="22">
        <v>-1.6940299999999998E-2</v>
      </c>
      <c r="AT283" s="22">
        <v>273</v>
      </c>
      <c r="AU283" s="22">
        <v>0.42474400000000001</v>
      </c>
      <c r="AV283">
        <f t="shared" si="56"/>
        <v>16.940299999999997</v>
      </c>
      <c r="AW283">
        <f t="shared" si="57"/>
        <v>7.2040658585999982</v>
      </c>
      <c r="AX283" s="9"/>
      <c r="AY283" s="22">
        <v>1.2747200000000001</v>
      </c>
      <c r="AZ283" s="22">
        <v>491.78300000000002</v>
      </c>
      <c r="BA283" s="22">
        <v>-1.6406299999999999E-2</v>
      </c>
      <c r="BB283" s="22">
        <v>273</v>
      </c>
      <c r="BC283" s="22">
        <v>1.2738</v>
      </c>
      <c r="BD283">
        <f t="shared" si="58"/>
        <v>16.406299999999998</v>
      </c>
      <c r="BE283">
        <f t="shared" si="59"/>
        <v>20.913438736</v>
      </c>
    </row>
    <row r="284" spans="6:101">
      <c r="F284" s="9"/>
      <c r="G284" s="22">
        <v>0.42022700000000002</v>
      </c>
      <c r="H284" s="22">
        <v>55.114400000000003</v>
      </c>
      <c r="I284" s="22">
        <v>8.6386099999999993E-2</v>
      </c>
      <c r="J284" s="22">
        <v>274</v>
      </c>
      <c r="K284" s="22">
        <v>7.9956100000000002E-2</v>
      </c>
      <c r="L284">
        <f t="shared" si="48"/>
        <v>-86.386099999999999</v>
      </c>
      <c r="M284">
        <f t="shared" si="49"/>
        <v>-36.301771644700004</v>
      </c>
      <c r="N284" s="9"/>
      <c r="O284" s="22">
        <v>1.2797499999999999</v>
      </c>
      <c r="P284" s="22">
        <v>166.041</v>
      </c>
      <c r="Q284" s="22">
        <v>-1.6452000000000001E-2</v>
      </c>
      <c r="R284" s="22">
        <v>274</v>
      </c>
      <c r="S284" s="22">
        <v>1.2786900000000001</v>
      </c>
      <c r="T284">
        <f t="shared" si="50"/>
        <v>16.452000000000002</v>
      </c>
      <c r="U284">
        <f t="shared" si="51"/>
        <v>21.054447</v>
      </c>
      <c r="X284" s="9"/>
      <c r="Y284" s="22">
        <v>0.42022700000000002</v>
      </c>
      <c r="Z284" s="22">
        <v>229.62700000000001</v>
      </c>
      <c r="AA284" s="22">
        <v>-1.69769E-2</v>
      </c>
      <c r="AB284" s="22">
        <v>274</v>
      </c>
      <c r="AC284" s="22">
        <v>0.41940300000000003</v>
      </c>
      <c r="AD284">
        <f t="shared" si="52"/>
        <v>16.976900000000001</v>
      </c>
      <c r="AE284">
        <f t="shared" si="53"/>
        <v>7.1341517563000005</v>
      </c>
      <c r="AF284" s="9"/>
      <c r="AG284" s="22">
        <v>1.2797499999999999</v>
      </c>
      <c r="AH284" s="22">
        <v>361.96100000000001</v>
      </c>
      <c r="AI284" s="22">
        <v>-1.6424600000000001E-2</v>
      </c>
      <c r="AJ284" s="22">
        <v>274</v>
      </c>
      <c r="AK284" s="22">
        <v>1.2786900000000001</v>
      </c>
      <c r="AL284">
        <f t="shared" si="54"/>
        <v>16.424600000000002</v>
      </c>
      <c r="AM284">
        <f t="shared" si="55"/>
        <v>21.019381850000002</v>
      </c>
      <c r="AP284" s="9"/>
      <c r="AQ284" s="22">
        <v>0.42022700000000002</v>
      </c>
      <c r="AR284" s="22">
        <v>431.05099999999999</v>
      </c>
      <c r="AS284" s="22">
        <v>-1.6940299999999998E-2</v>
      </c>
      <c r="AT284" s="22">
        <v>274</v>
      </c>
      <c r="AU284" s="22">
        <v>0.419464</v>
      </c>
      <c r="AV284">
        <f t="shared" si="56"/>
        <v>16.940299999999997</v>
      </c>
      <c r="AW284">
        <f t="shared" si="57"/>
        <v>7.1187714480999986</v>
      </c>
      <c r="AX284" s="9"/>
      <c r="AY284" s="22">
        <v>1.2797499999999999</v>
      </c>
      <c r="AZ284" s="22">
        <v>491.88400000000001</v>
      </c>
      <c r="BA284" s="22">
        <v>-1.64032E-2</v>
      </c>
      <c r="BB284" s="22">
        <v>274</v>
      </c>
      <c r="BC284" s="22">
        <v>1.2789900000000001</v>
      </c>
      <c r="BD284">
        <f t="shared" si="58"/>
        <v>16.403199999999998</v>
      </c>
      <c r="BE284">
        <f t="shared" si="59"/>
        <v>20.991995199999998</v>
      </c>
    </row>
    <row r="285" spans="6:101">
      <c r="F285" s="9"/>
      <c r="G285" s="22">
        <v>0.41519200000000001</v>
      </c>
      <c r="H285" s="22">
        <v>55.2151</v>
      </c>
      <c r="I285" s="22">
        <v>8.6453199999999994E-2</v>
      </c>
      <c r="J285" s="22">
        <v>275</v>
      </c>
      <c r="K285" s="22">
        <v>7.9894999999999994E-2</v>
      </c>
      <c r="L285">
        <f t="shared" si="48"/>
        <v>-86.453199999999995</v>
      </c>
      <c r="M285">
        <f t="shared" si="49"/>
        <v>-35.894677014399996</v>
      </c>
      <c r="N285" s="9"/>
      <c r="O285" s="22">
        <v>1.2847900000000001</v>
      </c>
      <c r="P285" s="22">
        <v>166.142</v>
      </c>
      <c r="Q285" s="22">
        <v>-1.6448999999999998E-2</v>
      </c>
      <c r="R285" s="22">
        <v>275</v>
      </c>
      <c r="S285" s="22">
        <v>1.2838700000000001</v>
      </c>
      <c r="T285">
        <f t="shared" si="50"/>
        <v>16.448999999999998</v>
      </c>
      <c r="U285">
        <f t="shared" si="51"/>
        <v>21.133510709999999</v>
      </c>
      <c r="X285" s="9"/>
      <c r="Y285" s="22">
        <v>0.41519200000000001</v>
      </c>
      <c r="Z285" s="22">
        <v>229.72800000000001</v>
      </c>
      <c r="AA285" s="22">
        <v>-1.69739E-2</v>
      </c>
      <c r="AB285" s="22">
        <v>275</v>
      </c>
      <c r="AC285" s="22">
        <v>0.41436800000000001</v>
      </c>
      <c r="AD285">
        <f t="shared" si="52"/>
        <v>16.9739</v>
      </c>
      <c r="AE285">
        <f t="shared" si="53"/>
        <v>7.0474274888000004</v>
      </c>
      <c r="AF285" s="9"/>
      <c r="AG285" s="22">
        <v>1.2847900000000001</v>
      </c>
      <c r="AH285" s="22">
        <v>362.06099999999998</v>
      </c>
      <c r="AI285" s="22">
        <v>-1.64154E-2</v>
      </c>
      <c r="AJ285" s="22">
        <v>275</v>
      </c>
      <c r="AK285" s="22">
        <v>1.2838700000000001</v>
      </c>
      <c r="AL285">
        <f t="shared" si="54"/>
        <v>16.415400000000002</v>
      </c>
      <c r="AM285">
        <f t="shared" si="55"/>
        <v>21.090341766000005</v>
      </c>
      <c r="AP285" s="9"/>
      <c r="AQ285" s="22">
        <v>0.41519200000000001</v>
      </c>
      <c r="AR285" s="22">
        <v>431.15100000000001</v>
      </c>
      <c r="AS285" s="22">
        <v>-1.6940299999999998E-2</v>
      </c>
      <c r="AT285" s="22">
        <v>275</v>
      </c>
      <c r="AU285" s="22">
        <v>0.41430699999999998</v>
      </c>
      <c r="AV285">
        <f t="shared" si="56"/>
        <v>16.940299999999997</v>
      </c>
      <c r="AW285">
        <f t="shared" si="57"/>
        <v>7.0334770375999991</v>
      </c>
      <c r="AX285" s="9"/>
      <c r="AY285" s="22">
        <v>1.2847900000000001</v>
      </c>
      <c r="AZ285" s="22">
        <v>491.98399999999998</v>
      </c>
      <c r="BA285" s="22">
        <v>-1.6397100000000001E-2</v>
      </c>
      <c r="BB285" s="22">
        <v>275</v>
      </c>
      <c r="BC285" s="22">
        <v>1.2838700000000001</v>
      </c>
      <c r="BD285">
        <f t="shared" si="58"/>
        <v>16.397100000000002</v>
      </c>
      <c r="BE285">
        <f t="shared" si="59"/>
        <v>21.066830109000005</v>
      </c>
    </row>
    <row r="286" spans="6:101">
      <c r="F286" s="9"/>
      <c r="G286" s="22">
        <v>0.41015600000000002</v>
      </c>
      <c r="H286" s="22">
        <v>55.315800000000003</v>
      </c>
      <c r="I286" s="22">
        <v>8.6407499999999998E-2</v>
      </c>
      <c r="J286" s="22">
        <v>276</v>
      </c>
      <c r="K286" s="22">
        <v>7.9894999999999994E-2</v>
      </c>
      <c r="L286">
        <f t="shared" si="48"/>
        <v>-86.407499999999999</v>
      </c>
      <c r="M286">
        <f t="shared" si="49"/>
        <v>-35.440554570000003</v>
      </c>
      <c r="N286" s="9"/>
      <c r="O286" s="22">
        <v>1.28983</v>
      </c>
      <c r="P286" s="22">
        <v>166.24299999999999</v>
      </c>
      <c r="Q286" s="22">
        <v>-1.6445899999999999E-2</v>
      </c>
      <c r="R286" s="22">
        <v>276</v>
      </c>
      <c r="S286" s="22">
        <v>1.2884500000000001</v>
      </c>
      <c r="T286">
        <f t="shared" si="50"/>
        <v>16.445899999999998</v>
      </c>
      <c r="U286">
        <f t="shared" si="51"/>
        <v>21.212415196999999</v>
      </c>
      <c r="X286" s="9"/>
      <c r="Y286" s="22">
        <v>0.41015600000000002</v>
      </c>
      <c r="Z286" s="22">
        <v>229.82900000000001</v>
      </c>
      <c r="AA286" s="22">
        <v>-1.6979999999999999E-2</v>
      </c>
      <c r="AB286" s="22">
        <v>276</v>
      </c>
      <c r="AC286" s="22">
        <v>0.40954600000000002</v>
      </c>
      <c r="AD286">
        <f t="shared" si="52"/>
        <v>16.979999999999997</v>
      </c>
      <c r="AE286">
        <f t="shared" si="53"/>
        <v>6.9644488799999991</v>
      </c>
      <c r="AF286" s="9"/>
      <c r="AG286" s="22">
        <v>1.28983</v>
      </c>
      <c r="AH286" s="22">
        <v>362.16199999999998</v>
      </c>
      <c r="AI286" s="22">
        <v>-1.6412400000000001E-2</v>
      </c>
      <c r="AJ286" s="22">
        <v>276</v>
      </c>
      <c r="AK286" s="22">
        <v>1.2893699999999999</v>
      </c>
      <c r="AL286">
        <f t="shared" si="54"/>
        <v>16.412400000000002</v>
      </c>
      <c r="AM286">
        <f t="shared" si="55"/>
        <v>21.169205892000004</v>
      </c>
      <c r="AP286" s="9"/>
      <c r="AQ286" s="22">
        <v>0.41015600000000002</v>
      </c>
      <c r="AR286" s="22">
        <v>431.25200000000001</v>
      </c>
      <c r="AS286" s="22">
        <v>-1.69464E-2</v>
      </c>
      <c r="AT286" s="22">
        <v>276</v>
      </c>
      <c r="AU286" s="22">
        <v>0.40942400000000001</v>
      </c>
      <c r="AV286">
        <f t="shared" si="56"/>
        <v>16.946400000000001</v>
      </c>
      <c r="AW286">
        <f t="shared" si="57"/>
        <v>6.9506676384000006</v>
      </c>
      <c r="AX286" s="9"/>
      <c r="AY286" s="22">
        <v>1.28983</v>
      </c>
      <c r="AZ286" s="22">
        <v>492.08499999999998</v>
      </c>
      <c r="BA286" s="22">
        <v>-1.63879E-2</v>
      </c>
      <c r="BB286" s="22">
        <v>276</v>
      </c>
      <c r="BC286" s="22">
        <v>1.2893699999999999</v>
      </c>
      <c r="BD286">
        <f t="shared" si="58"/>
        <v>16.387900000000002</v>
      </c>
      <c r="BE286">
        <f t="shared" si="59"/>
        <v>21.137605057000002</v>
      </c>
    </row>
    <row r="287" spans="6:101">
      <c r="F287" s="9"/>
      <c r="G287" s="22">
        <v>0.40512100000000001</v>
      </c>
      <c r="H287" s="22">
        <v>55.416499999999999</v>
      </c>
      <c r="I287" s="22">
        <v>8.6453199999999994E-2</v>
      </c>
      <c r="J287" s="22">
        <v>277</v>
      </c>
      <c r="K287" s="22">
        <v>7.9986600000000005E-2</v>
      </c>
      <c r="L287">
        <f t="shared" si="48"/>
        <v>-86.453199999999995</v>
      </c>
      <c r="M287">
        <f t="shared" si="49"/>
        <v>-35.024006837199998</v>
      </c>
      <c r="N287" s="9"/>
      <c r="O287" s="22">
        <v>1.2948599999999999</v>
      </c>
      <c r="P287" s="22">
        <v>166.34299999999999</v>
      </c>
      <c r="Q287" s="22">
        <v>-1.6445899999999999E-2</v>
      </c>
      <c r="R287" s="22">
        <v>277</v>
      </c>
      <c r="S287" s="22">
        <v>1.2942499999999999</v>
      </c>
      <c r="T287">
        <f t="shared" si="50"/>
        <v>16.445899999999998</v>
      </c>
      <c r="U287">
        <f t="shared" si="51"/>
        <v>21.295138073999997</v>
      </c>
      <c r="X287" s="9"/>
      <c r="Y287" s="22">
        <v>0.40512100000000001</v>
      </c>
      <c r="Z287" s="22">
        <v>229.929</v>
      </c>
      <c r="AA287" s="22">
        <v>-1.6983000000000002E-2</v>
      </c>
      <c r="AB287" s="22">
        <v>277</v>
      </c>
      <c r="AC287" s="22">
        <v>0.40448000000000001</v>
      </c>
      <c r="AD287">
        <f t="shared" si="52"/>
        <v>16.983000000000001</v>
      </c>
      <c r="AE287">
        <f t="shared" si="53"/>
        <v>6.8801699430000003</v>
      </c>
      <c r="AF287" s="9"/>
      <c r="AG287" s="22">
        <v>1.2948599999999999</v>
      </c>
      <c r="AH287" s="22">
        <v>362.26299999999998</v>
      </c>
      <c r="AI287" s="22">
        <v>-1.6400100000000001E-2</v>
      </c>
      <c r="AJ287" s="22">
        <v>277</v>
      </c>
      <c r="AK287" s="22">
        <v>1.2942499999999999</v>
      </c>
      <c r="AL287">
        <f t="shared" si="54"/>
        <v>16.400100000000002</v>
      </c>
      <c r="AM287">
        <f t="shared" si="55"/>
        <v>21.235833486000001</v>
      </c>
      <c r="AP287" s="9"/>
      <c r="AQ287" s="22">
        <v>0.40512100000000001</v>
      </c>
      <c r="AR287" s="22">
        <v>431.35300000000001</v>
      </c>
      <c r="AS287" s="22">
        <v>-1.6949499999999999E-2</v>
      </c>
      <c r="AT287" s="22">
        <v>277</v>
      </c>
      <c r="AU287" s="22">
        <v>0.40441899999999997</v>
      </c>
      <c r="AV287">
        <f t="shared" si="56"/>
        <v>16.9495</v>
      </c>
      <c r="AW287">
        <f t="shared" si="57"/>
        <v>6.8665983895</v>
      </c>
      <c r="AX287" s="9"/>
      <c r="AY287" s="22">
        <v>1.2948599999999999</v>
      </c>
      <c r="AZ287" s="22">
        <v>492.18599999999998</v>
      </c>
      <c r="BA287" s="22">
        <v>-1.6381799999999998E-2</v>
      </c>
      <c r="BB287" s="22">
        <v>277</v>
      </c>
      <c r="BC287" s="22">
        <v>1.2942499999999999</v>
      </c>
      <c r="BD287">
        <f t="shared" si="58"/>
        <v>16.381799999999998</v>
      </c>
      <c r="BE287">
        <f t="shared" si="59"/>
        <v>21.212137547999998</v>
      </c>
    </row>
    <row r="288" spans="6:101">
      <c r="F288" s="9"/>
      <c r="G288" s="22">
        <v>0.40008500000000002</v>
      </c>
      <c r="H288" s="22">
        <v>55.517200000000003</v>
      </c>
      <c r="I288" s="22">
        <v>8.6297600000000002E-2</v>
      </c>
      <c r="J288" s="22">
        <v>278</v>
      </c>
      <c r="K288" s="22">
        <v>7.9956100000000002E-2</v>
      </c>
      <c r="L288">
        <f t="shared" si="48"/>
        <v>-86.297600000000003</v>
      </c>
      <c r="M288">
        <f t="shared" si="49"/>
        <v>-34.526375296000005</v>
      </c>
      <c r="N288" s="9"/>
      <c r="O288" s="22">
        <v>1.2999000000000001</v>
      </c>
      <c r="P288" s="22">
        <v>166.44399999999999</v>
      </c>
      <c r="Q288" s="22">
        <v>-1.6439800000000001E-2</v>
      </c>
      <c r="R288" s="22">
        <v>278</v>
      </c>
      <c r="S288" s="22">
        <v>1.2991299999999999</v>
      </c>
      <c r="T288">
        <f t="shared" si="50"/>
        <v>16.439800000000002</v>
      </c>
      <c r="U288">
        <f t="shared" si="51"/>
        <v>21.370096020000002</v>
      </c>
      <c r="X288" s="9"/>
      <c r="Y288" s="22">
        <v>0.40008500000000002</v>
      </c>
      <c r="Z288" s="22">
        <v>230.03</v>
      </c>
      <c r="AA288" s="22">
        <v>-1.6986100000000001E-2</v>
      </c>
      <c r="AB288" s="22">
        <v>278</v>
      </c>
      <c r="AC288" s="22">
        <v>0.39938400000000002</v>
      </c>
      <c r="AD288">
        <f t="shared" si="52"/>
        <v>16.9861</v>
      </c>
      <c r="AE288">
        <f t="shared" si="53"/>
        <v>6.795883818500001</v>
      </c>
      <c r="AF288" s="9"/>
      <c r="AG288" s="22">
        <v>1.2999000000000001</v>
      </c>
      <c r="AH288" s="22">
        <v>362.363</v>
      </c>
      <c r="AI288" s="22">
        <v>-1.6397100000000001E-2</v>
      </c>
      <c r="AJ288" s="22">
        <v>278</v>
      </c>
      <c r="AK288" s="22">
        <v>1.2985199999999999</v>
      </c>
      <c r="AL288">
        <f t="shared" si="54"/>
        <v>16.397100000000002</v>
      </c>
      <c r="AM288">
        <f t="shared" si="55"/>
        <v>21.314590290000002</v>
      </c>
      <c r="AP288" s="9"/>
      <c r="AQ288" s="22">
        <v>0.40008500000000002</v>
      </c>
      <c r="AR288" s="22">
        <v>431.45299999999997</v>
      </c>
      <c r="AS288" s="22">
        <v>-1.6949499999999999E-2</v>
      </c>
      <c r="AT288" s="22">
        <v>278</v>
      </c>
      <c r="AU288" s="22">
        <v>0.39926099999999998</v>
      </c>
      <c r="AV288">
        <f t="shared" si="56"/>
        <v>16.9495</v>
      </c>
      <c r="AW288">
        <f t="shared" si="57"/>
        <v>6.7812407075000003</v>
      </c>
      <c r="AX288" s="9"/>
      <c r="AY288" s="22">
        <v>1.2999000000000001</v>
      </c>
      <c r="AZ288" s="22">
        <v>492.286</v>
      </c>
      <c r="BA288" s="22">
        <v>-1.63879E-2</v>
      </c>
      <c r="BB288" s="22">
        <v>278</v>
      </c>
      <c r="BC288" s="22">
        <v>1.2991299999999999</v>
      </c>
      <c r="BD288">
        <f t="shared" si="58"/>
        <v>16.387900000000002</v>
      </c>
      <c r="BE288">
        <f t="shared" si="59"/>
        <v>21.302631210000005</v>
      </c>
    </row>
    <row r="289" spans="6:57">
      <c r="F289" s="9"/>
      <c r="G289" s="22">
        <v>0.39505000000000001</v>
      </c>
      <c r="H289" s="22">
        <v>55.617899999999999</v>
      </c>
      <c r="I289" s="22">
        <v>8.6077899999999999E-2</v>
      </c>
      <c r="J289" s="22">
        <v>279</v>
      </c>
      <c r="K289" s="22">
        <v>7.9894999999999994E-2</v>
      </c>
      <c r="L289">
        <f t="shared" si="48"/>
        <v>-86.0779</v>
      </c>
      <c r="M289">
        <f t="shared" si="49"/>
        <v>-34.005074395000001</v>
      </c>
      <c r="N289" s="9"/>
      <c r="O289" s="22">
        <v>1.3049299999999999</v>
      </c>
      <c r="P289" s="22">
        <v>166.54499999999999</v>
      </c>
      <c r="Q289" s="22">
        <v>-1.6433699999999999E-2</v>
      </c>
      <c r="R289" s="22">
        <v>279</v>
      </c>
      <c r="S289" s="22">
        <v>1.3037099999999999</v>
      </c>
      <c r="T289">
        <f t="shared" si="50"/>
        <v>16.433699999999998</v>
      </c>
      <c r="U289">
        <f t="shared" si="51"/>
        <v>21.444828140999995</v>
      </c>
      <c r="X289" s="9"/>
      <c r="Y289" s="22">
        <v>0.39505000000000001</v>
      </c>
      <c r="Z289" s="22">
        <v>230.131</v>
      </c>
      <c r="AA289" s="22">
        <v>-1.6992199999999999E-2</v>
      </c>
      <c r="AB289" s="22">
        <v>279</v>
      </c>
      <c r="AC289" s="22">
        <v>0.39440900000000001</v>
      </c>
      <c r="AD289">
        <f t="shared" si="52"/>
        <v>16.9922</v>
      </c>
      <c r="AE289">
        <f t="shared" si="53"/>
        <v>6.7127686100000004</v>
      </c>
      <c r="AF289" s="9"/>
      <c r="AG289" s="22">
        <v>1.3049299999999999</v>
      </c>
      <c r="AH289" s="22">
        <v>362.464</v>
      </c>
      <c r="AI289" s="22">
        <v>-1.6397100000000001E-2</v>
      </c>
      <c r="AJ289" s="22">
        <v>279</v>
      </c>
      <c r="AK289" s="22">
        <v>1.3043199999999999</v>
      </c>
      <c r="AL289">
        <f t="shared" si="54"/>
        <v>16.397100000000002</v>
      </c>
      <c r="AM289">
        <f t="shared" si="55"/>
        <v>21.397067703000001</v>
      </c>
      <c r="AP289" s="9"/>
      <c r="AQ289" s="22">
        <v>0.39505000000000001</v>
      </c>
      <c r="AR289" s="22">
        <v>431.55399999999997</v>
      </c>
      <c r="AS289" s="22">
        <v>-1.6952499999999999E-2</v>
      </c>
      <c r="AT289" s="22">
        <v>279</v>
      </c>
      <c r="AU289" s="22">
        <v>0.39422600000000002</v>
      </c>
      <c r="AV289">
        <f t="shared" si="56"/>
        <v>16.952500000000001</v>
      </c>
      <c r="AW289">
        <f t="shared" si="57"/>
        <v>6.6970851250000001</v>
      </c>
      <c r="AX289" s="9"/>
      <c r="AY289" s="22">
        <v>1.3049299999999999</v>
      </c>
      <c r="AZ289" s="22">
        <v>492.387</v>
      </c>
      <c r="BA289" s="22">
        <v>-1.63757E-2</v>
      </c>
      <c r="BB289" s="22">
        <v>279</v>
      </c>
      <c r="BC289" s="22">
        <v>1.30402</v>
      </c>
      <c r="BD289">
        <f t="shared" si="58"/>
        <v>16.375699999999998</v>
      </c>
      <c r="BE289">
        <f t="shared" si="59"/>
        <v>21.369142200999995</v>
      </c>
    </row>
    <row r="290" spans="6:57">
      <c r="F290" s="9"/>
      <c r="G290" s="22">
        <v>0.390015</v>
      </c>
      <c r="H290" s="22">
        <v>55.718600000000002</v>
      </c>
      <c r="I290" s="22">
        <v>6.1944600000000002E-2</v>
      </c>
      <c r="J290" s="22">
        <v>280</v>
      </c>
      <c r="K290" s="22">
        <v>7.9620399999999994E-2</v>
      </c>
      <c r="L290">
        <f t="shared" si="48"/>
        <v>-61.944600000000001</v>
      </c>
      <c r="M290">
        <f t="shared" si="49"/>
        <v>-24.159323169</v>
      </c>
      <c r="N290" s="9"/>
      <c r="O290" s="22">
        <v>1.3099700000000001</v>
      </c>
      <c r="P290" s="22">
        <v>166.64500000000001</v>
      </c>
      <c r="Q290" s="22">
        <v>-1.6427600000000001E-2</v>
      </c>
      <c r="R290" s="22">
        <v>280</v>
      </c>
      <c r="S290" s="22">
        <v>1.3091999999999999</v>
      </c>
      <c r="T290">
        <f t="shared" si="50"/>
        <v>16.427600000000002</v>
      </c>
      <c r="U290">
        <f t="shared" si="51"/>
        <v>21.519663172000005</v>
      </c>
      <c r="X290" s="9"/>
      <c r="Y290" s="22">
        <v>0.390015</v>
      </c>
      <c r="Z290" s="22">
        <v>230.23099999999999</v>
      </c>
      <c r="AA290" s="22">
        <v>-1.6998300000000001E-2</v>
      </c>
      <c r="AB290" s="22">
        <v>280</v>
      </c>
      <c r="AC290" s="22">
        <v>0.38928200000000002</v>
      </c>
      <c r="AD290">
        <f t="shared" si="52"/>
        <v>16.9983</v>
      </c>
      <c r="AE290">
        <f t="shared" si="53"/>
        <v>6.6295919745000003</v>
      </c>
      <c r="AF290" s="9"/>
      <c r="AG290" s="22">
        <v>1.3099700000000001</v>
      </c>
      <c r="AH290" s="22">
        <v>362.565</v>
      </c>
      <c r="AI290" s="22">
        <v>-1.6390999999999999E-2</v>
      </c>
      <c r="AJ290" s="22">
        <v>280</v>
      </c>
      <c r="AK290" s="22">
        <v>1.3089</v>
      </c>
      <c r="AL290">
        <f t="shared" si="54"/>
        <v>16.390999999999998</v>
      </c>
      <c r="AM290">
        <f t="shared" si="55"/>
        <v>21.47171827</v>
      </c>
      <c r="AP290" s="9"/>
      <c r="AQ290" s="22">
        <v>0.390015</v>
      </c>
      <c r="AR290" s="22">
        <v>431.65499999999997</v>
      </c>
      <c r="AS290" s="22">
        <v>-1.6958600000000001E-2</v>
      </c>
      <c r="AT290" s="22">
        <v>280</v>
      </c>
      <c r="AU290" s="22">
        <v>0.38928200000000002</v>
      </c>
      <c r="AV290">
        <f t="shared" si="56"/>
        <v>16.958600000000001</v>
      </c>
      <c r="AW290">
        <f t="shared" si="57"/>
        <v>6.6141083790000001</v>
      </c>
      <c r="AX290" s="9"/>
      <c r="AY290" s="22">
        <v>1.3099700000000001</v>
      </c>
      <c r="AZ290" s="22">
        <v>492.488</v>
      </c>
      <c r="BA290" s="22">
        <v>-1.63757E-2</v>
      </c>
      <c r="BB290" s="22">
        <v>280</v>
      </c>
      <c r="BC290" s="22">
        <v>1.3085899999999999</v>
      </c>
      <c r="BD290">
        <f t="shared" si="58"/>
        <v>16.375699999999998</v>
      </c>
      <c r="BE290">
        <f t="shared" si="59"/>
        <v>21.451675728999998</v>
      </c>
    </row>
    <row r="291" spans="6:57">
      <c r="F291" s="9"/>
      <c r="G291" s="22">
        <v>0.38497900000000002</v>
      </c>
      <c r="H291" s="22">
        <v>55.819299999999998</v>
      </c>
      <c r="I291" s="22">
        <v>6.5911899999999995E-2</v>
      </c>
      <c r="J291" s="22">
        <v>281</v>
      </c>
      <c r="K291" s="22">
        <v>7.9650899999999997E-2</v>
      </c>
      <c r="L291">
        <f t="shared" si="48"/>
        <v>-65.911899999999989</v>
      </c>
      <c r="M291">
        <f t="shared" si="49"/>
        <v>-25.374697350099996</v>
      </c>
      <c r="N291" s="9"/>
      <c r="O291" s="22">
        <v>1.3149999999999999</v>
      </c>
      <c r="P291" s="22">
        <v>166.74600000000001</v>
      </c>
      <c r="Q291" s="22">
        <v>-1.6427600000000001E-2</v>
      </c>
      <c r="R291" s="22">
        <v>281</v>
      </c>
      <c r="S291" s="22">
        <v>1.3147</v>
      </c>
      <c r="T291">
        <f t="shared" si="50"/>
        <v>16.427600000000002</v>
      </c>
      <c r="U291">
        <f t="shared" si="51"/>
        <v>21.602294000000001</v>
      </c>
      <c r="X291" s="9"/>
      <c r="Y291" s="22">
        <v>0.38497900000000002</v>
      </c>
      <c r="Z291" s="22">
        <v>230.33199999999999</v>
      </c>
      <c r="AA291" s="22">
        <v>-1.6992199999999999E-2</v>
      </c>
      <c r="AB291" s="22">
        <v>281</v>
      </c>
      <c r="AC291" s="22">
        <v>0.38430799999999998</v>
      </c>
      <c r="AD291">
        <f t="shared" si="52"/>
        <v>16.9922</v>
      </c>
      <c r="AE291">
        <f t="shared" si="53"/>
        <v>6.5416401638000004</v>
      </c>
      <c r="AF291" s="9"/>
      <c r="AG291" s="22">
        <v>1.3149999999999999</v>
      </c>
      <c r="AH291" s="22">
        <v>362.66500000000002</v>
      </c>
      <c r="AI291" s="22">
        <v>-1.63879E-2</v>
      </c>
      <c r="AJ291" s="22">
        <v>281</v>
      </c>
      <c r="AK291" s="22">
        <v>1.3143899999999999</v>
      </c>
      <c r="AL291">
        <f t="shared" si="54"/>
        <v>16.387900000000002</v>
      </c>
      <c r="AM291">
        <f t="shared" si="55"/>
        <v>21.550088500000001</v>
      </c>
      <c r="AP291" s="9"/>
      <c r="AQ291" s="22">
        <v>0.38497900000000002</v>
      </c>
      <c r="AR291" s="22">
        <v>431.75599999999997</v>
      </c>
      <c r="AS291" s="22">
        <v>-1.69617E-2</v>
      </c>
      <c r="AT291" s="22">
        <v>281</v>
      </c>
      <c r="AU291" s="22">
        <v>0.38418600000000003</v>
      </c>
      <c r="AV291">
        <f t="shared" si="56"/>
        <v>16.9617</v>
      </c>
      <c r="AW291">
        <f t="shared" si="57"/>
        <v>6.5298983043000005</v>
      </c>
      <c r="AX291" s="9"/>
      <c r="AY291" s="22">
        <v>1.3149999999999999</v>
      </c>
      <c r="AZ291" s="22">
        <v>492.589</v>
      </c>
      <c r="BA291" s="22">
        <v>-1.63727E-2</v>
      </c>
      <c r="BB291" s="22">
        <v>281</v>
      </c>
      <c r="BC291" s="22">
        <v>1.31409</v>
      </c>
      <c r="BD291">
        <f t="shared" si="58"/>
        <v>16.372700000000002</v>
      </c>
      <c r="BE291">
        <f t="shared" si="59"/>
        <v>21.530100500000003</v>
      </c>
    </row>
    <row r="292" spans="6:57">
      <c r="F292" s="9"/>
      <c r="G292" s="22">
        <v>0.379944</v>
      </c>
      <c r="H292" s="22">
        <v>55.92</v>
      </c>
      <c r="I292" s="22">
        <v>6.1880499999999998E-2</v>
      </c>
      <c r="J292" s="22">
        <v>282</v>
      </c>
      <c r="K292" s="22">
        <v>7.9559299999999999E-2</v>
      </c>
      <c r="L292">
        <f t="shared" si="48"/>
        <v>-61.880499999999998</v>
      </c>
      <c r="M292">
        <f t="shared" si="49"/>
        <v>-23.511124691999999</v>
      </c>
      <c r="N292" s="9"/>
      <c r="O292" s="22">
        <v>1.3200400000000001</v>
      </c>
      <c r="P292" s="22">
        <v>166.84700000000001</v>
      </c>
      <c r="Q292" s="22">
        <v>-1.64154E-2</v>
      </c>
      <c r="R292" s="22">
        <v>282</v>
      </c>
      <c r="S292" s="22">
        <v>1.31897</v>
      </c>
      <c r="T292">
        <f t="shared" si="50"/>
        <v>16.415400000000002</v>
      </c>
      <c r="U292">
        <f t="shared" si="51"/>
        <v>21.668984616000003</v>
      </c>
      <c r="X292" s="9"/>
      <c r="Y292" s="22">
        <v>0.379944</v>
      </c>
      <c r="Z292" s="22">
        <v>230.43299999999999</v>
      </c>
      <c r="AA292" s="22">
        <v>-1.6998300000000001E-2</v>
      </c>
      <c r="AB292" s="22">
        <v>282</v>
      </c>
      <c r="AC292" s="22">
        <v>0.37912000000000001</v>
      </c>
      <c r="AD292">
        <f t="shared" si="52"/>
        <v>16.9983</v>
      </c>
      <c r="AE292">
        <f t="shared" si="53"/>
        <v>6.4584020952000003</v>
      </c>
      <c r="AF292" s="9"/>
      <c r="AG292" s="22">
        <v>1.3200400000000001</v>
      </c>
      <c r="AH292" s="22">
        <v>362.76600000000002</v>
      </c>
      <c r="AI292" s="22">
        <v>-1.6390999999999999E-2</v>
      </c>
      <c r="AJ292" s="22">
        <v>282</v>
      </c>
      <c r="AK292" s="22">
        <v>1.3192699999999999</v>
      </c>
      <c r="AL292">
        <f t="shared" si="54"/>
        <v>16.390999999999998</v>
      </c>
      <c r="AM292">
        <f t="shared" si="55"/>
        <v>21.63677564</v>
      </c>
      <c r="AP292" s="9"/>
      <c r="AQ292" s="22">
        <v>0.379944</v>
      </c>
      <c r="AR292" s="22">
        <v>431.85599999999999</v>
      </c>
      <c r="AS292" s="22">
        <v>-1.6964699999999999E-2</v>
      </c>
      <c r="AT292" s="22">
        <v>282</v>
      </c>
      <c r="AU292" s="22">
        <v>0.379272</v>
      </c>
      <c r="AV292">
        <f t="shared" si="56"/>
        <v>16.964700000000001</v>
      </c>
      <c r="AW292">
        <f t="shared" si="57"/>
        <v>6.4456359768000002</v>
      </c>
      <c r="AX292" s="9"/>
      <c r="AY292" s="22">
        <v>1.3200400000000001</v>
      </c>
      <c r="AZ292" s="22">
        <v>492.68900000000002</v>
      </c>
      <c r="BA292" s="22">
        <v>-1.63757E-2</v>
      </c>
      <c r="BB292" s="22">
        <v>282</v>
      </c>
      <c r="BC292" s="22">
        <v>1.31836</v>
      </c>
      <c r="BD292">
        <f t="shared" si="58"/>
        <v>16.375699999999998</v>
      </c>
      <c r="BE292">
        <f t="shared" si="59"/>
        <v>21.616579028</v>
      </c>
    </row>
    <row r="293" spans="6:57">
      <c r="F293" s="9"/>
      <c r="G293" s="22">
        <v>0.37490800000000002</v>
      </c>
      <c r="H293" s="22">
        <v>56.020699999999998</v>
      </c>
      <c r="I293" s="22">
        <v>6.4691200000000004E-2</v>
      </c>
      <c r="J293" s="22">
        <v>283</v>
      </c>
      <c r="K293" s="22">
        <v>7.9559299999999999E-2</v>
      </c>
      <c r="L293">
        <f t="shared" si="48"/>
        <v>-64.691200000000009</v>
      </c>
      <c r="M293">
        <f t="shared" si="49"/>
        <v>-24.253248409600005</v>
      </c>
      <c r="N293" s="9"/>
      <c r="O293" s="22">
        <v>1.32507</v>
      </c>
      <c r="P293" s="22">
        <v>166.94800000000001</v>
      </c>
      <c r="Q293" s="22">
        <v>-1.64154E-2</v>
      </c>
      <c r="R293" s="22">
        <v>283</v>
      </c>
      <c r="S293" s="22">
        <v>1.32355</v>
      </c>
      <c r="T293">
        <f t="shared" si="50"/>
        <v>16.415400000000002</v>
      </c>
      <c r="U293">
        <f t="shared" si="51"/>
        <v>21.751554078000002</v>
      </c>
      <c r="X293" s="9"/>
      <c r="Y293" s="22">
        <v>0.37490800000000002</v>
      </c>
      <c r="Z293" s="22">
        <v>230.53399999999999</v>
      </c>
      <c r="AA293" s="22">
        <v>-1.6998300000000001E-2</v>
      </c>
      <c r="AB293" s="22">
        <v>283</v>
      </c>
      <c r="AC293" s="22">
        <v>0.37411499999999998</v>
      </c>
      <c r="AD293">
        <f t="shared" si="52"/>
        <v>16.9983</v>
      </c>
      <c r="AE293">
        <f t="shared" si="53"/>
        <v>6.3727986564000005</v>
      </c>
      <c r="AF293" s="9"/>
      <c r="AG293" s="22">
        <v>1.32507</v>
      </c>
      <c r="AH293" s="22">
        <v>362.86700000000002</v>
      </c>
      <c r="AI293" s="22">
        <v>-1.6381799999999998E-2</v>
      </c>
      <c r="AJ293" s="22">
        <v>283</v>
      </c>
      <c r="AK293" s="22">
        <v>1.32446</v>
      </c>
      <c r="AL293">
        <f t="shared" si="54"/>
        <v>16.381799999999998</v>
      </c>
      <c r="AM293">
        <f t="shared" si="55"/>
        <v>21.707031725999997</v>
      </c>
      <c r="AP293" s="9"/>
      <c r="AQ293" s="22">
        <v>0.37490800000000002</v>
      </c>
      <c r="AR293" s="22">
        <v>431.95699999999999</v>
      </c>
      <c r="AS293" s="22">
        <v>-1.6964699999999999E-2</v>
      </c>
      <c r="AT293" s="22">
        <v>283</v>
      </c>
      <c r="AU293" s="22">
        <v>0.37423699999999999</v>
      </c>
      <c r="AV293">
        <f t="shared" si="56"/>
        <v>16.964700000000001</v>
      </c>
      <c r="AW293">
        <f t="shared" si="57"/>
        <v>6.3602017476000006</v>
      </c>
      <c r="AX293" s="9"/>
      <c r="AY293" s="22">
        <v>1.32507</v>
      </c>
      <c r="AZ293" s="22">
        <v>492.79</v>
      </c>
      <c r="BA293" s="22">
        <v>-1.63635E-2</v>
      </c>
      <c r="BB293" s="22">
        <v>283</v>
      </c>
      <c r="BC293" s="22">
        <v>1.32416</v>
      </c>
      <c r="BD293">
        <f t="shared" si="58"/>
        <v>16.363499999999998</v>
      </c>
      <c r="BE293">
        <f t="shared" si="59"/>
        <v>21.682782944999996</v>
      </c>
    </row>
    <row r="294" spans="6:57">
      <c r="F294" s="9"/>
      <c r="G294" s="22">
        <v>0.36987300000000001</v>
      </c>
      <c r="H294" s="22">
        <v>56.121400000000001</v>
      </c>
      <c r="I294" s="22">
        <v>6.1965899999999997E-2</v>
      </c>
      <c r="J294" s="22">
        <v>284</v>
      </c>
      <c r="K294" s="22">
        <v>7.9650899999999997E-2</v>
      </c>
      <c r="L294">
        <f t="shared" si="48"/>
        <v>-61.965899999999998</v>
      </c>
      <c r="M294">
        <f t="shared" si="49"/>
        <v>-22.919513330699999</v>
      </c>
      <c r="N294" s="9"/>
      <c r="O294" s="22">
        <v>1.3301099999999999</v>
      </c>
      <c r="P294" s="22">
        <v>167.048</v>
      </c>
      <c r="Q294" s="22">
        <v>-1.64154E-2</v>
      </c>
      <c r="R294" s="22">
        <v>284</v>
      </c>
      <c r="S294" s="22">
        <v>1.32935</v>
      </c>
      <c r="T294">
        <f t="shared" si="50"/>
        <v>16.415400000000002</v>
      </c>
      <c r="U294">
        <f t="shared" si="51"/>
        <v>21.834287694</v>
      </c>
      <c r="X294" s="9"/>
      <c r="Y294" s="22">
        <v>0.36987300000000001</v>
      </c>
      <c r="Z294" s="22">
        <v>230.63399999999999</v>
      </c>
      <c r="AA294" s="22">
        <v>-1.6998300000000001E-2</v>
      </c>
      <c r="AB294" s="22">
        <v>284</v>
      </c>
      <c r="AC294" s="22">
        <v>0.36910999999999999</v>
      </c>
      <c r="AD294">
        <f t="shared" si="52"/>
        <v>16.9983</v>
      </c>
      <c r="AE294">
        <f t="shared" si="53"/>
        <v>6.2872122159000003</v>
      </c>
      <c r="AF294" s="9"/>
      <c r="AG294" s="22">
        <v>1.3301099999999999</v>
      </c>
      <c r="AH294" s="22">
        <v>362.96800000000002</v>
      </c>
      <c r="AI294" s="22">
        <v>-1.6369600000000002E-2</v>
      </c>
      <c r="AJ294" s="22">
        <v>284</v>
      </c>
      <c r="AK294" s="22">
        <v>1.32904</v>
      </c>
      <c r="AL294">
        <f t="shared" si="54"/>
        <v>16.369600000000002</v>
      </c>
      <c r="AM294">
        <f t="shared" si="55"/>
        <v>21.773368656000002</v>
      </c>
      <c r="AP294" s="9"/>
      <c r="AQ294" s="22">
        <v>0.36987300000000001</v>
      </c>
      <c r="AR294" s="22">
        <v>432.05799999999999</v>
      </c>
      <c r="AS294" s="22">
        <v>-1.69739E-2</v>
      </c>
      <c r="AT294" s="22">
        <v>284</v>
      </c>
      <c r="AU294" s="22">
        <v>0.36901899999999999</v>
      </c>
      <c r="AV294">
        <f t="shared" si="56"/>
        <v>16.9739</v>
      </c>
      <c r="AW294">
        <f t="shared" si="57"/>
        <v>6.2781873147000002</v>
      </c>
      <c r="AX294" s="9"/>
      <c r="AY294" s="22">
        <v>1.3301099999999999</v>
      </c>
      <c r="AZ294" s="22">
        <v>492.89100000000002</v>
      </c>
      <c r="BA294" s="22">
        <v>-1.6357400000000001E-2</v>
      </c>
      <c r="BB294" s="22">
        <v>284</v>
      </c>
      <c r="BC294" s="22">
        <v>1.32904</v>
      </c>
      <c r="BD294">
        <f t="shared" si="58"/>
        <v>16.357400000000002</v>
      </c>
      <c r="BE294">
        <f t="shared" si="59"/>
        <v>21.757141314000002</v>
      </c>
    </row>
    <row r="295" spans="6:57">
      <c r="F295" s="9"/>
      <c r="G295" s="22">
        <v>0.364838</v>
      </c>
      <c r="H295" s="22">
        <v>56.222200000000001</v>
      </c>
      <c r="I295" s="22">
        <v>6.1938500000000001E-2</v>
      </c>
      <c r="J295" s="22">
        <v>285</v>
      </c>
      <c r="K295" s="22">
        <v>7.9559299999999999E-2</v>
      </c>
      <c r="L295">
        <f t="shared" si="48"/>
        <v>-61.938499999999998</v>
      </c>
      <c r="M295">
        <f t="shared" si="49"/>
        <v>-22.597518463</v>
      </c>
      <c r="N295" s="9"/>
      <c r="O295" s="22">
        <v>1.33514</v>
      </c>
      <c r="P295" s="22">
        <v>167.149</v>
      </c>
      <c r="Q295" s="22">
        <v>-1.6412400000000001E-2</v>
      </c>
      <c r="R295" s="22">
        <v>285</v>
      </c>
      <c r="S295" s="22">
        <v>1.33423</v>
      </c>
      <c r="T295">
        <f t="shared" si="50"/>
        <v>16.412400000000002</v>
      </c>
      <c r="U295">
        <f t="shared" si="51"/>
        <v>21.912851736</v>
      </c>
      <c r="X295" s="9"/>
      <c r="Y295" s="22">
        <v>0.364838</v>
      </c>
      <c r="Z295" s="22">
        <v>230.73500000000001</v>
      </c>
      <c r="AA295" s="22">
        <v>-1.7010500000000001E-2</v>
      </c>
      <c r="AB295" s="22">
        <v>285</v>
      </c>
      <c r="AC295" s="22">
        <v>0.36404399999999998</v>
      </c>
      <c r="AD295">
        <f t="shared" si="52"/>
        <v>17.0105</v>
      </c>
      <c r="AE295">
        <f t="shared" si="53"/>
        <v>6.2060767989999999</v>
      </c>
      <c r="AF295" s="9"/>
      <c r="AG295" s="22">
        <v>1.33514</v>
      </c>
      <c r="AH295" s="22">
        <v>363.06799999999998</v>
      </c>
      <c r="AI295" s="22">
        <v>-1.63727E-2</v>
      </c>
      <c r="AJ295" s="22">
        <v>285</v>
      </c>
      <c r="AK295" s="22">
        <v>1.33453</v>
      </c>
      <c r="AL295">
        <f t="shared" si="54"/>
        <v>16.372700000000002</v>
      </c>
      <c r="AM295">
        <f t="shared" si="55"/>
        <v>21.859846678000004</v>
      </c>
      <c r="AP295" s="9"/>
      <c r="AQ295" s="22">
        <v>0.364838</v>
      </c>
      <c r="AR295" s="22">
        <v>432.15800000000002</v>
      </c>
      <c r="AS295" s="22">
        <v>-1.6967800000000002E-2</v>
      </c>
      <c r="AT295" s="22">
        <v>285</v>
      </c>
      <c r="AU295" s="22">
        <v>0.364014</v>
      </c>
      <c r="AV295">
        <f t="shared" si="56"/>
        <v>16.9678</v>
      </c>
      <c r="AW295">
        <f t="shared" si="57"/>
        <v>6.1904982164</v>
      </c>
      <c r="AX295" s="9"/>
      <c r="AY295" s="22">
        <v>1.33514</v>
      </c>
      <c r="AZ295" s="22">
        <v>492.99099999999999</v>
      </c>
      <c r="BA295" s="22">
        <v>-1.6357400000000001E-2</v>
      </c>
      <c r="BB295" s="22">
        <v>285</v>
      </c>
      <c r="BC295" s="22">
        <v>1.33453</v>
      </c>
      <c r="BD295">
        <f t="shared" si="58"/>
        <v>16.357400000000002</v>
      </c>
      <c r="BE295">
        <f t="shared" si="59"/>
        <v>21.839419036000002</v>
      </c>
    </row>
    <row r="296" spans="6:57">
      <c r="F296" s="9"/>
      <c r="G296" s="22">
        <v>0.35980200000000001</v>
      </c>
      <c r="H296" s="22">
        <v>56.322899999999997</v>
      </c>
      <c r="I296" s="22">
        <v>8.5958900000000005E-2</v>
      </c>
      <c r="J296" s="22">
        <v>286</v>
      </c>
      <c r="K296" s="22">
        <v>7.9925499999999997E-2</v>
      </c>
      <c r="L296">
        <f t="shared" si="48"/>
        <v>-85.9589</v>
      </c>
      <c r="M296">
        <f t="shared" si="49"/>
        <v>-30.928184137800002</v>
      </c>
      <c r="N296" s="9"/>
      <c r="O296" s="22">
        <v>1.3401799999999999</v>
      </c>
      <c r="P296" s="22">
        <v>167.25</v>
      </c>
      <c r="Q296" s="22">
        <v>-1.6406299999999999E-2</v>
      </c>
      <c r="R296" s="22">
        <v>286</v>
      </c>
      <c r="S296" s="22">
        <v>1.3394200000000001</v>
      </c>
      <c r="T296">
        <f t="shared" si="50"/>
        <v>16.406299999999998</v>
      </c>
      <c r="U296">
        <f t="shared" si="51"/>
        <v>21.987395133999996</v>
      </c>
      <c r="X296" s="9"/>
      <c r="Y296" s="22">
        <v>0.35980200000000001</v>
      </c>
      <c r="Z296" s="22">
        <v>230.83600000000001</v>
      </c>
      <c r="AA296" s="22">
        <v>-1.7010500000000001E-2</v>
      </c>
      <c r="AB296" s="22">
        <v>286</v>
      </c>
      <c r="AC296" s="22">
        <v>0.35891699999999999</v>
      </c>
      <c r="AD296">
        <f t="shared" si="52"/>
        <v>17.0105</v>
      </c>
      <c r="AE296">
        <f t="shared" si="53"/>
        <v>6.1204119210000005</v>
      </c>
      <c r="AF296" s="9"/>
      <c r="AG296" s="22">
        <v>1.3401799999999999</v>
      </c>
      <c r="AH296" s="22">
        <v>363.16899999999998</v>
      </c>
      <c r="AI296" s="22">
        <v>-1.6381799999999998E-2</v>
      </c>
      <c r="AJ296" s="22">
        <v>286</v>
      </c>
      <c r="AK296" s="22">
        <v>1.3394200000000001</v>
      </c>
      <c r="AL296">
        <f t="shared" si="54"/>
        <v>16.381799999999998</v>
      </c>
      <c r="AM296">
        <f t="shared" si="55"/>
        <v>21.954560723999997</v>
      </c>
      <c r="AP296" s="9"/>
      <c r="AQ296" s="22">
        <v>0.35980200000000001</v>
      </c>
      <c r="AR296" s="22">
        <v>432.25900000000001</v>
      </c>
      <c r="AS296" s="22">
        <v>-1.6970800000000001E-2</v>
      </c>
      <c r="AT296" s="22">
        <v>286</v>
      </c>
      <c r="AU296" s="22">
        <v>0.35916100000000001</v>
      </c>
      <c r="AV296">
        <f t="shared" si="56"/>
        <v>16.970800000000001</v>
      </c>
      <c r="AW296">
        <f t="shared" si="57"/>
        <v>6.1061277816000006</v>
      </c>
      <c r="AX296" s="9"/>
      <c r="AY296" s="22">
        <v>1.3401799999999999</v>
      </c>
      <c r="AZ296" s="22">
        <v>493.09199999999998</v>
      </c>
      <c r="BA296" s="22">
        <v>-1.63483E-2</v>
      </c>
      <c r="BB296" s="22">
        <v>286</v>
      </c>
      <c r="BC296" s="22">
        <v>1.33911</v>
      </c>
      <c r="BD296">
        <f t="shared" si="58"/>
        <v>16.348299999999998</v>
      </c>
      <c r="BE296">
        <f t="shared" si="59"/>
        <v>21.909664693999996</v>
      </c>
    </row>
    <row r="297" spans="6:57">
      <c r="F297" s="9"/>
      <c r="G297" s="22">
        <v>0.354767</v>
      </c>
      <c r="H297" s="22">
        <v>56.4236</v>
      </c>
      <c r="I297" s="22">
        <v>8.5559099999999999E-2</v>
      </c>
      <c r="J297" s="22">
        <v>287</v>
      </c>
      <c r="K297" s="22">
        <v>7.9864500000000005E-2</v>
      </c>
      <c r="L297">
        <f t="shared" si="48"/>
        <v>-85.559100000000001</v>
      </c>
      <c r="M297">
        <f t="shared" si="49"/>
        <v>-30.3535452297</v>
      </c>
      <c r="N297" s="9"/>
      <c r="O297" s="22">
        <v>1.34521</v>
      </c>
      <c r="P297" s="22">
        <v>167.35</v>
      </c>
      <c r="Q297" s="22">
        <v>-1.64032E-2</v>
      </c>
      <c r="R297" s="22">
        <v>287</v>
      </c>
      <c r="S297" s="22">
        <v>1.34399</v>
      </c>
      <c r="T297">
        <f t="shared" si="50"/>
        <v>16.403199999999998</v>
      </c>
      <c r="U297">
        <f t="shared" si="51"/>
        <v>22.065748671999998</v>
      </c>
      <c r="X297" s="9"/>
      <c r="Y297" s="22">
        <v>0.354767</v>
      </c>
      <c r="Z297" s="22">
        <v>230.93600000000001</v>
      </c>
      <c r="AA297" s="22">
        <v>-1.7007399999999999E-2</v>
      </c>
      <c r="AB297" s="22">
        <v>287</v>
      </c>
      <c r="AC297" s="22">
        <v>0.35397299999999998</v>
      </c>
      <c r="AD297">
        <f t="shared" si="52"/>
        <v>17.007400000000001</v>
      </c>
      <c r="AE297">
        <f t="shared" si="53"/>
        <v>6.0336642758000005</v>
      </c>
      <c r="AF297" s="9"/>
      <c r="AG297" s="22">
        <v>1.34521</v>
      </c>
      <c r="AH297" s="22">
        <v>363.27</v>
      </c>
      <c r="AI297" s="22">
        <v>-1.63757E-2</v>
      </c>
      <c r="AJ297" s="22">
        <v>287</v>
      </c>
      <c r="AK297" s="22">
        <v>1.3443000000000001</v>
      </c>
      <c r="AL297">
        <f t="shared" si="54"/>
        <v>16.375699999999998</v>
      </c>
      <c r="AM297">
        <f t="shared" si="55"/>
        <v>22.028755396999998</v>
      </c>
      <c r="AP297" s="9"/>
      <c r="AQ297" s="22">
        <v>0.354767</v>
      </c>
      <c r="AR297" s="22">
        <v>432.36</v>
      </c>
      <c r="AS297" s="22">
        <v>-1.69769E-2</v>
      </c>
      <c r="AT297" s="22">
        <v>287</v>
      </c>
      <c r="AU297" s="22">
        <v>0.35400399999999999</v>
      </c>
      <c r="AV297">
        <f t="shared" si="56"/>
        <v>16.976900000000001</v>
      </c>
      <c r="AW297">
        <f t="shared" si="57"/>
        <v>6.0228438823000001</v>
      </c>
      <c r="AX297" s="9"/>
      <c r="AY297" s="22">
        <v>1.34521</v>
      </c>
      <c r="AZ297" s="22">
        <v>493.19299999999998</v>
      </c>
      <c r="BA297" s="22">
        <v>-1.6345200000000001E-2</v>
      </c>
      <c r="BB297" s="22">
        <v>287</v>
      </c>
      <c r="BC297" s="22">
        <v>1.3446</v>
      </c>
      <c r="BD297">
        <f t="shared" si="58"/>
        <v>16.345200000000002</v>
      </c>
      <c r="BE297">
        <f t="shared" si="59"/>
        <v>21.987726492000004</v>
      </c>
    </row>
    <row r="298" spans="6:57">
      <c r="F298" s="9"/>
      <c r="G298" s="22">
        <v>0.34973100000000001</v>
      </c>
      <c r="H298" s="22">
        <v>56.524299999999997</v>
      </c>
      <c r="I298" s="22">
        <v>6.2002599999999998E-2</v>
      </c>
      <c r="J298" s="22">
        <v>288</v>
      </c>
      <c r="K298" s="22">
        <v>7.9620399999999994E-2</v>
      </c>
      <c r="L298">
        <f t="shared" si="48"/>
        <v>-62.002600000000001</v>
      </c>
      <c r="M298">
        <f t="shared" si="49"/>
        <v>-21.6842313006</v>
      </c>
      <c r="N298" s="9"/>
      <c r="O298" s="22">
        <v>1.35025</v>
      </c>
      <c r="P298" s="22">
        <v>167.45099999999999</v>
      </c>
      <c r="Q298" s="22">
        <v>-1.63879E-2</v>
      </c>
      <c r="R298" s="22">
        <v>288</v>
      </c>
      <c r="S298" s="22">
        <v>1.3494900000000001</v>
      </c>
      <c r="T298">
        <f t="shared" si="50"/>
        <v>16.387900000000002</v>
      </c>
      <c r="U298">
        <f t="shared" si="51"/>
        <v>22.127761975000002</v>
      </c>
      <c r="X298" s="9"/>
      <c r="Y298" s="22">
        <v>0.34973100000000001</v>
      </c>
      <c r="Z298" s="22">
        <v>231.03700000000001</v>
      </c>
      <c r="AA298" s="22">
        <v>-1.7007399999999999E-2</v>
      </c>
      <c r="AB298" s="22">
        <v>288</v>
      </c>
      <c r="AC298" s="22">
        <v>0.34903000000000001</v>
      </c>
      <c r="AD298">
        <f t="shared" si="52"/>
        <v>17.007400000000001</v>
      </c>
      <c r="AE298">
        <f t="shared" si="53"/>
        <v>5.9480150094000006</v>
      </c>
      <c r="AF298" s="9"/>
      <c r="AG298" s="22">
        <v>1.35025</v>
      </c>
      <c r="AH298" s="22">
        <v>363.37</v>
      </c>
      <c r="AI298" s="22">
        <v>-1.6369600000000002E-2</v>
      </c>
      <c r="AJ298" s="22">
        <v>288</v>
      </c>
      <c r="AK298" s="22">
        <v>1.3494900000000001</v>
      </c>
      <c r="AL298">
        <f t="shared" si="54"/>
        <v>16.369600000000002</v>
      </c>
      <c r="AM298">
        <f t="shared" si="55"/>
        <v>22.103052400000003</v>
      </c>
      <c r="AP298" s="9"/>
      <c r="AQ298" s="22">
        <v>0.34973100000000001</v>
      </c>
      <c r="AR298" s="22">
        <v>432.46100000000001</v>
      </c>
      <c r="AS298" s="22">
        <v>-1.69739E-2</v>
      </c>
      <c r="AT298" s="22">
        <v>288</v>
      </c>
      <c r="AU298" s="22">
        <v>0.34896899999999997</v>
      </c>
      <c r="AV298">
        <f t="shared" si="56"/>
        <v>16.9739</v>
      </c>
      <c r="AW298">
        <f t="shared" si="57"/>
        <v>5.9362990209000008</v>
      </c>
      <c r="AX298" s="9"/>
      <c r="AY298" s="22">
        <v>1.35025</v>
      </c>
      <c r="AZ298" s="22">
        <v>493.29300000000001</v>
      </c>
      <c r="BA298" s="22">
        <v>-1.6339099999999999E-2</v>
      </c>
      <c r="BB298" s="22">
        <v>288</v>
      </c>
      <c r="BC298" s="22">
        <v>1.34979</v>
      </c>
      <c r="BD298">
        <f t="shared" si="58"/>
        <v>16.339099999999998</v>
      </c>
      <c r="BE298">
        <f t="shared" si="59"/>
        <v>22.061869774999998</v>
      </c>
    </row>
    <row r="299" spans="6:57">
      <c r="F299" s="9"/>
      <c r="G299" s="22">
        <v>0.344696</v>
      </c>
      <c r="H299" s="22">
        <v>56.625</v>
      </c>
      <c r="I299" s="22">
        <v>6.21185E-2</v>
      </c>
      <c r="J299" s="22">
        <v>289</v>
      </c>
      <c r="K299" s="22">
        <v>7.9650899999999997E-2</v>
      </c>
      <c r="L299">
        <f t="shared" si="48"/>
        <v>-62.118499999999997</v>
      </c>
      <c r="M299">
        <f t="shared" si="49"/>
        <v>-21.411998476000001</v>
      </c>
      <c r="N299" s="9"/>
      <c r="O299" s="22">
        <v>1.3552900000000001</v>
      </c>
      <c r="P299" s="22">
        <v>167.55199999999999</v>
      </c>
      <c r="Q299" s="22">
        <v>-1.63879E-2</v>
      </c>
      <c r="R299" s="22">
        <v>289</v>
      </c>
      <c r="S299" s="22">
        <v>1.35406</v>
      </c>
      <c r="T299">
        <f t="shared" si="50"/>
        <v>16.387900000000002</v>
      </c>
      <c r="U299">
        <f t="shared" si="51"/>
        <v>22.210356991000005</v>
      </c>
      <c r="X299" s="9"/>
      <c r="Y299" s="22">
        <v>0.344696</v>
      </c>
      <c r="Z299" s="22">
        <v>231.13800000000001</v>
      </c>
      <c r="AA299" s="22">
        <v>-1.70166E-2</v>
      </c>
      <c r="AB299" s="22">
        <v>289</v>
      </c>
      <c r="AC299" s="22">
        <v>0.34393299999999999</v>
      </c>
      <c r="AD299">
        <f t="shared" si="52"/>
        <v>17.0166</v>
      </c>
      <c r="AE299">
        <f t="shared" si="53"/>
        <v>5.8655539536000001</v>
      </c>
      <c r="AF299" s="9"/>
      <c r="AG299" s="22">
        <v>1.3552900000000001</v>
      </c>
      <c r="AH299" s="22">
        <v>363.471</v>
      </c>
      <c r="AI299" s="22">
        <v>-1.6357400000000001E-2</v>
      </c>
      <c r="AJ299" s="22">
        <v>289</v>
      </c>
      <c r="AK299" s="22">
        <v>1.3546800000000001</v>
      </c>
      <c r="AL299">
        <f t="shared" si="54"/>
        <v>16.357400000000002</v>
      </c>
      <c r="AM299">
        <f t="shared" si="55"/>
        <v>22.169020646000003</v>
      </c>
      <c r="AP299" s="9"/>
      <c r="AQ299" s="22">
        <v>0.344696</v>
      </c>
      <c r="AR299" s="22">
        <v>432.56099999999998</v>
      </c>
      <c r="AS299" s="22">
        <v>-1.6970800000000001E-2</v>
      </c>
      <c r="AT299" s="22">
        <v>289</v>
      </c>
      <c r="AU299" s="22">
        <v>0.34393299999999999</v>
      </c>
      <c r="AV299">
        <f t="shared" si="56"/>
        <v>16.970800000000001</v>
      </c>
      <c r="AW299">
        <f t="shared" si="57"/>
        <v>5.8497668768000004</v>
      </c>
      <c r="AX299" s="9"/>
      <c r="AY299" s="22">
        <v>1.3552900000000001</v>
      </c>
      <c r="AZ299" s="22">
        <v>493.39400000000001</v>
      </c>
      <c r="BA299" s="22">
        <v>-1.6336099999999999E-2</v>
      </c>
      <c r="BB299" s="22">
        <v>289</v>
      </c>
      <c r="BC299" s="22">
        <v>1.3543700000000001</v>
      </c>
      <c r="BD299">
        <f t="shared" si="58"/>
        <v>16.336099999999998</v>
      </c>
      <c r="BE299">
        <f t="shared" si="59"/>
        <v>22.140152968999999</v>
      </c>
    </row>
    <row r="300" spans="6:57">
      <c r="F300" s="9"/>
      <c r="G300" s="22">
        <v>0.33966099999999999</v>
      </c>
      <c r="H300" s="22">
        <v>56.725700000000003</v>
      </c>
      <c r="I300" s="22">
        <v>8.6071800000000004E-2</v>
      </c>
      <c r="J300" s="22">
        <v>290</v>
      </c>
      <c r="K300" s="22">
        <v>7.9925499999999997E-2</v>
      </c>
      <c r="L300">
        <f t="shared" si="48"/>
        <v>-86.07180000000001</v>
      </c>
      <c r="M300">
        <f t="shared" si="49"/>
        <v>-29.235233659800002</v>
      </c>
      <c r="N300" s="9"/>
      <c r="O300" s="22">
        <v>1.36032</v>
      </c>
      <c r="P300" s="22">
        <v>167.65299999999999</v>
      </c>
      <c r="Q300" s="22">
        <v>-1.6381799999999998E-2</v>
      </c>
      <c r="R300" s="22">
        <v>290</v>
      </c>
      <c r="S300" s="22">
        <v>1.3592500000000001</v>
      </c>
      <c r="T300">
        <f t="shared" si="50"/>
        <v>16.381799999999998</v>
      </c>
      <c r="U300">
        <f t="shared" si="51"/>
        <v>22.284490175999998</v>
      </c>
      <c r="X300" s="9"/>
      <c r="Y300" s="22">
        <v>0.33966099999999999</v>
      </c>
      <c r="Z300" s="22">
        <v>231.239</v>
      </c>
      <c r="AA300" s="22">
        <v>-1.7019699999999999E-2</v>
      </c>
      <c r="AB300" s="22">
        <v>290</v>
      </c>
      <c r="AC300" s="22">
        <v>0.33886699999999997</v>
      </c>
      <c r="AD300">
        <f t="shared" si="52"/>
        <v>17.0197</v>
      </c>
      <c r="AE300">
        <f t="shared" si="53"/>
        <v>5.7809283217000003</v>
      </c>
      <c r="AF300" s="9"/>
      <c r="AG300" s="22">
        <v>1.36032</v>
      </c>
      <c r="AH300" s="22">
        <v>363.572</v>
      </c>
      <c r="AI300" s="22">
        <v>-1.6354400000000002E-2</v>
      </c>
      <c r="AJ300" s="22">
        <v>290</v>
      </c>
      <c r="AK300" s="22">
        <v>1.3595600000000001</v>
      </c>
      <c r="AL300">
        <f t="shared" si="54"/>
        <v>16.354400000000002</v>
      </c>
      <c r="AM300">
        <f t="shared" si="55"/>
        <v>22.247217408000001</v>
      </c>
      <c r="AP300" s="9"/>
      <c r="AQ300" s="22">
        <v>0.33966099999999999</v>
      </c>
      <c r="AR300" s="22">
        <v>432.66199999999998</v>
      </c>
      <c r="AS300" s="22">
        <v>-1.69769E-2</v>
      </c>
      <c r="AT300" s="22">
        <v>290</v>
      </c>
      <c r="AU300" s="22">
        <v>0.33886699999999997</v>
      </c>
      <c r="AV300">
        <f t="shared" si="56"/>
        <v>16.976900000000001</v>
      </c>
      <c r="AW300">
        <f t="shared" si="57"/>
        <v>5.7663908308999998</v>
      </c>
      <c r="AX300" s="9"/>
      <c r="AY300" s="22">
        <v>1.36032</v>
      </c>
      <c r="AZ300" s="22">
        <v>493.495</v>
      </c>
      <c r="BA300" s="22">
        <v>-1.6323899999999999E-2</v>
      </c>
      <c r="BB300" s="22">
        <v>290</v>
      </c>
      <c r="BC300" s="22">
        <v>1.3595600000000001</v>
      </c>
      <c r="BD300">
        <f t="shared" si="58"/>
        <v>16.323899999999998</v>
      </c>
      <c r="BE300">
        <f t="shared" si="59"/>
        <v>22.205727647999996</v>
      </c>
    </row>
    <row r="301" spans="6:57">
      <c r="F301" s="9"/>
      <c r="G301" s="22">
        <v>0.33462500000000001</v>
      </c>
      <c r="H301" s="22">
        <v>56.8264</v>
      </c>
      <c r="I301" s="22">
        <v>8.5784899999999997E-2</v>
      </c>
      <c r="J301" s="22">
        <v>291</v>
      </c>
      <c r="K301" s="22">
        <v>7.9925499999999997E-2</v>
      </c>
      <c r="L301">
        <f t="shared" si="48"/>
        <v>-85.784899999999993</v>
      </c>
      <c r="M301">
        <f t="shared" si="49"/>
        <v>-28.705772162499997</v>
      </c>
      <c r="N301" s="9"/>
      <c r="O301" s="22">
        <v>1.3653599999999999</v>
      </c>
      <c r="P301" s="22">
        <v>167.75299999999999</v>
      </c>
      <c r="Q301" s="22">
        <v>-1.63757E-2</v>
      </c>
      <c r="R301" s="22">
        <v>291</v>
      </c>
      <c r="S301" s="22">
        <v>1.3644400000000001</v>
      </c>
      <c r="T301">
        <f t="shared" si="50"/>
        <v>16.375699999999998</v>
      </c>
      <c r="U301">
        <f t="shared" si="51"/>
        <v>22.358725751999998</v>
      </c>
      <c r="X301" s="9"/>
      <c r="Y301" s="22">
        <v>0.33462500000000001</v>
      </c>
      <c r="Z301" s="22">
        <v>231.339</v>
      </c>
      <c r="AA301" s="22">
        <v>-1.7019699999999999E-2</v>
      </c>
      <c r="AB301" s="22">
        <v>291</v>
      </c>
      <c r="AC301" s="22">
        <v>0.33395399999999997</v>
      </c>
      <c r="AD301">
        <f t="shared" si="52"/>
        <v>17.0197</v>
      </c>
      <c r="AE301">
        <f t="shared" si="53"/>
        <v>5.6952171125</v>
      </c>
      <c r="AF301" s="9"/>
      <c r="AG301" s="22">
        <v>1.3653599999999999</v>
      </c>
      <c r="AH301" s="22">
        <v>363.673</v>
      </c>
      <c r="AI301" s="22">
        <v>-1.6354400000000002E-2</v>
      </c>
      <c r="AJ301" s="22">
        <v>291</v>
      </c>
      <c r="AK301" s="22">
        <v>1.3644400000000001</v>
      </c>
      <c r="AL301">
        <f t="shared" si="54"/>
        <v>16.354400000000002</v>
      </c>
      <c r="AM301">
        <f t="shared" si="55"/>
        <v>22.329643583999999</v>
      </c>
      <c r="AP301" s="9"/>
      <c r="AQ301" s="22">
        <v>0.33462500000000001</v>
      </c>
      <c r="AR301" s="22">
        <v>432.76299999999998</v>
      </c>
      <c r="AS301" s="22">
        <v>-1.69769E-2</v>
      </c>
      <c r="AT301" s="22">
        <v>291</v>
      </c>
      <c r="AU301" s="22">
        <v>0.33386199999999999</v>
      </c>
      <c r="AV301">
        <f t="shared" si="56"/>
        <v>16.976900000000001</v>
      </c>
      <c r="AW301">
        <f t="shared" si="57"/>
        <v>5.6808951625000006</v>
      </c>
      <c r="AX301" s="9"/>
      <c r="AY301" s="22">
        <v>1.3653599999999999</v>
      </c>
      <c r="AZ301" s="22">
        <v>493.596</v>
      </c>
      <c r="BA301" s="22">
        <v>-1.6330000000000001E-2</v>
      </c>
      <c r="BB301" s="22">
        <v>291</v>
      </c>
      <c r="BC301" s="22">
        <v>1.3644400000000001</v>
      </c>
      <c r="BD301">
        <f t="shared" si="58"/>
        <v>16.330000000000002</v>
      </c>
      <c r="BE301">
        <f t="shared" si="59"/>
        <v>22.296328800000001</v>
      </c>
    </row>
    <row r="302" spans="6:57">
      <c r="F302" s="9"/>
      <c r="G302" s="22">
        <v>0.32958999999999999</v>
      </c>
      <c r="H302" s="22">
        <v>56.927100000000003</v>
      </c>
      <c r="I302" s="22">
        <v>6.18439E-2</v>
      </c>
      <c r="J302" s="22">
        <v>292</v>
      </c>
      <c r="K302" s="22">
        <v>7.9650899999999997E-2</v>
      </c>
      <c r="L302">
        <f t="shared" si="48"/>
        <v>-61.843899999999998</v>
      </c>
      <c r="M302">
        <f t="shared" si="49"/>
        <v>-20.383131000999999</v>
      </c>
      <c r="N302" s="9"/>
      <c r="O302" s="22">
        <v>1.37039</v>
      </c>
      <c r="P302" s="22">
        <v>167.85400000000001</v>
      </c>
      <c r="Q302" s="22">
        <v>-1.6366599999999999E-2</v>
      </c>
      <c r="R302" s="22">
        <v>292</v>
      </c>
      <c r="S302" s="22">
        <v>1.3693200000000001</v>
      </c>
      <c r="T302">
        <f t="shared" si="50"/>
        <v>16.366599999999998</v>
      </c>
      <c r="U302">
        <f t="shared" si="51"/>
        <v>22.428624973999998</v>
      </c>
      <c r="X302" s="9"/>
      <c r="Y302" s="22">
        <v>0.32958999999999999</v>
      </c>
      <c r="Z302" s="22">
        <v>231.44</v>
      </c>
      <c r="AA302" s="22">
        <v>-1.7025800000000001E-2</v>
      </c>
      <c r="AB302" s="22">
        <v>292</v>
      </c>
      <c r="AC302" s="22">
        <v>0.32891799999999999</v>
      </c>
      <c r="AD302">
        <f t="shared" si="52"/>
        <v>17.0258</v>
      </c>
      <c r="AE302">
        <f t="shared" si="53"/>
        <v>5.6115334219999999</v>
      </c>
      <c r="AF302" s="9"/>
      <c r="AG302" s="22">
        <v>1.37039</v>
      </c>
      <c r="AH302" s="22">
        <v>363.77300000000002</v>
      </c>
      <c r="AI302" s="22">
        <v>-1.6342200000000001E-2</v>
      </c>
      <c r="AJ302" s="22">
        <v>292</v>
      </c>
      <c r="AK302" s="22">
        <v>1.3693200000000001</v>
      </c>
      <c r="AL302">
        <f t="shared" si="54"/>
        <v>16.342200000000002</v>
      </c>
      <c r="AM302">
        <f t="shared" si="55"/>
        <v>22.395187458000002</v>
      </c>
      <c r="AP302" s="9"/>
      <c r="AQ302" s="22">
        <v>0.32958999999999999</v>
      </c>
      <c r="AR302" s="22">
        <v>432.863</v>
      </c>
      <c r="AS302" s="22">
        <v>-1.6986100000000001E-2</v>
      </c>
      <c r="AT302" s="22">
        <v>292</v>
      </c>
      <c r="AU302" s="22">
        <v>0.32913199999999998</v>
      </c>
      <c r="AV302">
        <f t="shared" si="56"/>
        <v>16.9861</v>
      </c>
      <c r="AW302">
        <f t="shared" si="57"/>
        <v>5.5984486990000004</v>
      </c>
      <c r="AX302" s="9"/>
      <c r="AY302" s="22">
        <v>1.37039</v>
      </c>
      <c r="AZ302" s="22">
        <v>493.69600000000003</v>
      </c>
      <c r="BA302" s="22">
        <v>-1.63208E-2</v>
      </c>
      <c r="BB302" s="22">
        <v>292</v>
      </c>
      <c r="BC302" s="22">
        <v>1.3693200000000001</v>
      </c>
      <c r="BD302">
        <f t="shared" si="58"/>
        <v>16.320799999999998</v>
      </c>
      <c r="BE302">
        <f t="shared" si="59"/>
        <v>22.365861111999997</v>
      </c>
    </row>
    <row r="303" spans="6:57">
      <c r="F303" s="9"/>
      <c r="G303" s="22">
        <v>0.32455400000000001</v>
      </c>
      <c r="H303" s="22">
        <v>57.027799999999999</v>
      </c>
      <c r="I303" s="22">
        <v>6.1941499999999997E-2</v>
      </c>
      <c r="J303" s="22">
        <v>293</v>
      </c>
      <c r="K303" s="22">
        <v>7.9742400000000005E-2</v>
      </c>
      <c r="L303">
        <f t="shared" si="48"/>
        <v>-61.941499999999998</v>
      </c>
      <c r="M303">
        <f t="shared" si="49"/>
        <v>-20.103361590999999</v>
      </c>
      <c r="N303" s="9"/>
      <c r="O303" s="22">
        <v>1.3754299999999999</v>
      </c>
      <c r="P303" s="22">
        <v>167.95500000000001</v>
      </c>
      <c r="Q303" s="22">
        <v>-1.6366599999999999E-2</v>
      </c>
      <c r="R303" s="22">
        <v>293</v>
      </c>
      <c r="S303" s="22">
        <v>1.3745099999999999</v>
      </c>
      <c r="T303">
        <f t="shared" si="50"/>
        <v>16.366599999999998</v>
      </c>
      <c r="U303">
        <f t="shared" si="51"/>
        <v>22.511112637999997</v>
      </c>
      <c r="X303" s="9"/>
      <c r="Y303" s="22">
        <v>0.32455400000000001</v>
      </c>
      <c r="Z303" s="22">
        <v>231.541</v>
      </c>
      <c r="AA303" s="22">
        <v>-1.70288E-2</v>
      </c>
      <c r="AB303" s="22">
        <v>293</v>
      </c>
      <c r="AC303" s="22">
        <v>0.32391399999999998</v>
      </c>
      <c r="AD303">
        <f t="shared" si="52"/>
        <v>17.0288</v>
      </c>
      <c r="AE303">
        <f t="shared" si="53"/>
        <v>5.5267651552000006</v>
      </c>
      <c r="AF303" s="9"/>
      <c r="AG303" s="22">
        <v>1.3754299999999999</v>
      </c>
      <c r="AH303" s="22">
        <v>363.87400000000002</v>
      </c>
      <c r="AI303" s="22">
        <v>-1.6339099999999999E-2</v>
      </c>
      <c r="AJ303" s="22">
        <v>293</v>
      </c>
      <c r="AK303" s="22">
        <v>1.3742099999999999</v>
      </c>
      <c r="AL303">
        <f t="shared" si="54"/>
        <v>16.339099999999998</v>
      </c>
      <c r="AM303">
        <f t="shared" si="55"/>
        <v>22.473288312999998</v>
      </c>
      <c r="AP303" s="9"/>
      <c r="AQ303" s="22">
        <v>0.32455400000000001</v>
      </c>
      <c r="AR303" s="22">
        <v>432.964</v>
      </c>
      <c r="AS303" s="22">
        <v>-1.6986100000000001E-2</v>
      </c>
      <c r="AT303" s="22">
        <v>293</v>
      </c>
      <c r="AU303" s="22">
        <v>0.323822</v>
      </c>
      <c r="AV303">
        <f t="shared" si="56"/>
        <v>16.9861</v>
      </c>
      <c r="AW303">
        <f t="shared" si="57"/>
        <v>5.5129066994000002</v>
      </c>
      <c r="AX303" s="9"/>
      <c r="AY303" s="22">
        <v>1.3754299999999999</v>
      </c>
      <c r="AZ303" s="22">
        <v>493.79700000000003</v>
      </c>
      <c r="BA303" s="22">
        <v>-1.6314700000000001E-2</v>
      </c>
      <c r="BB303" s="22">
        <v>293</v>
      </c>
      <c r="BC303" s="22">
        <v>1.3745099999999999</v>
      </c>
      <c r="BD303">
        <f t="shared" si="58"/>
        <v>16.314700000000002</v>
      </c>
      <c r="BE303">
        <f t="shared" si="59"/>
        <v>22.439727821000002</v>
      </c>
    </row>
    <row r="304" spans="6:57">
      <c r="F304" s="9"/>
      <c r="G304" s="22">
        <v>0.319519</v>
      </c>
      <c r="H304" s="22">
        <v>57.128500000000003</v>
      </c>
      <c r="I304" s="22">
        <v>6.1917100000000003E-2</v>
      </c>
      <c r="J304" s="22">
        <v>294</v>
      </c>
      <c r="K304" s="22">
        <v>7.9620399999999994E-2</v>
      </c>
      <c r="L304">
        <f t="shared" si="48"/>
        <v>-61.917100000000005</v>
      </c>
      <c r="M304">
        <f t="shared" si="49"/>
        <v>-19.783689874900002</v>
      </c>
      <c r="N304" s="9"/>
      <c r="O304" s="22">
        <v>1.38046</v>
      </c>
      <c r="P304" s="22">
        <v>168.05500000000001</v>
      </c>
      <c r="Q304" s="22">
        <v>-1.63635E-2</v>
      </c>
      <c r="R304" s="22">
        <v>294</v>
      </c>
      <c r="S304" s="22">
        <v>1.3796999999999999</v>
      </c>
      <c r="T304">
        <f t="shared" si="50"/>
        <v>16.363499999999998</v>
      </c>
      <c r="U304">
        <f t="shared" si="51"/>
        <v>22.58915721</v>
      </c>
      <c r="X304" s="9"/>
      <c r="Y304" s="22">
        <v>0.319519</v>
      </c>
      <c r="Z304" s="22">
        <v>231.64099999999999</v>
      </c>
      <c r="AA304" s="22">
        <v>-1.7031899999999999E-2</v>
      </c>
      <c r="AB304" s="22">
        <v>294</v>
      </c>
      <c r="AC304" s="22">
        <v>0.31866499999999998</v>
      </c>
      <c r="AD304">
        <f t="shared" si="52"/>
        <v>17.0319</v>
      </c>
      <c r="AE304">
        <f t="shared" si="53"/>
        <v>5.4420156560999997</v>
      </c>
      <c r="AF304" s="9"/>
      <c r="AG304" s="22">
        <v>1.38046</v>
      </c>
      <c r="AH304" s="22">
        <v>363.97500000000002</v>
      </c>
      <c r="AI304" s="22">
        <v>-1.6336099999999999E-2</v>
      </c>
      <c r="AJ304" s="22">
        <v>294</v>
      </c>
      <c r="AK304" s="22">
        <v>1.3803099999999999</v>
      </c>
      <c r="AL304">
        <f t="shared" si="54"/>
        <v>16.336099999999998</v>
      </c>
      <c r="AM304">
        <f t="shared" si="55"/>
        <v>22.551332605999999</v>
      </c>
      <c r="AP304" s="9"/>
      <c r="AQ304" s="22">
        <v>0.319519</v>
      </c>
      <c r="AR304" s="22">
        <v>433.065</v>
      </c>
      <c r="AS304" s="22">
        <v>-1.6995199999999999E-2</v>
      </c>
      <c r="AT304" s="22">
        <v>294</v>
      </c>
      <c r="AU304" s="22">
        <v>0.31893899999999997</v>
      </c>
      <c r="AV304">
        <f t="shared" si="56"/>
        <v>16.995199999999997</v>
      </c>
      <c r="AW304">
        <f t="shared" si="57"/>
        <v>5.430289308799999</v>
      </c>
      <c r="AX304" s="9"/>
      <c r="AY304" s="22">
        <v>1.38046</v>
      </c>
      <c r="AZ304" s="22">
        <v>493.89800000000002</v>
      </c>
      <c r="BA304" s="22">
        <v>-1.6305500000000001E-2</v>
      </c>
      <c r="BB304" s="22">
        <v>294</v>
      </c>
      <c r="BC304" s="22">
        <v>1.3796999999999999</v>
      </c>
      <c r="BD304">
        <f t="shared" si="58"/>
        <v>16.305500000000002</v>
      </c>
      <c r="BE304">
        <f t="shared" si="59"/>
        <v>22.509090530000002</v>
      </c>
    </row>
    <row r="305" spans="6:57">
      <c r="F305" s="9"/>
      <c r="G305" s="22">
        <v>0.31448399999999999</v>
      </c>
      <c r="H305" s="22">
        <v>57.229199999999999</v>
      </c>
      <c r="I305" s="22">
        <v>6.1926299999999997E-2</v>
      </c>
      <c r="J305" s="22">
        <v>295</v>
      </c>
      <c r="K305" s="22">
        <v>7.9650899999999997E-2</v>
      </c>
      <c r="L305">
        <f t="shared" si="48"/>
        <v>-61.926299999999998</v>
      </c>
      <c r="M305">
        <f t="shared" si="49"/>
        <v>-19.474830529199998</v>
      </c>
      <c r="N305" s="9"/>
      <c r="O305" s="22">
        <v>1.3855</v>
      </c>
      <c r="P305" s="22">
        <v>168.15600000000001</v>
      </c>
      <c r="Q305" s="22">
        <v>-1.63605E-2</v>
      </c>
      <c r="R305" s="22">
        <v>295</v>
      </c>
      <c r="S305" s="22">
        <v>1.3845799999999999</v>
      </c>
      <c r="T305">
        <f t="shared" si="50"/>
        <v>16.360500000000002</v>
      </c>
      <c r="U305">
        <f t="shared" si="51"/>
        <v>22.667472750000002</v>
      </c>
      <c r="X305" s="9"/>
      <c r="Y305" s="22">
        <v>0.31448399999999999</v>
      </c>
      <c r="Z305" s="22">
        <v>231.74199999999999</v>
      </c>
      <c r="AA305" s="22">
        <v>-1.70288E-2</v>
      </c>
      <c r="AB305" s="22">
        <v>295</v>
      </c>
      <c r="AC305" s="22">
        <v>0.31390400000000002</v>
      </c>
      <c r="AD305">
        <f t="shared" si="52"/>
        <v>17.0288</v>
      </c>
      <c r="AE305">
        <f t="shared" si="53"/>
        <v>5.3552851392000003</v>
      </c>
      <c r="AF305" s="9"/>
      <c r="AG305" s="22">
        <v>1.3855</v>
      </c>
      <c r="AH305" s="22">
        <v>364.07499999999999</v>
      </c>
      <c r="AI305" s="22">
        <v>-1.6326899999999998E-2</v>
      </c>
      <c r="AJ305" s="22">
        <v>295</v>
      </c>
      <c r="AK305" s="22">
        <v>1.3845799999999999</v>
      </c>
      <c r="AL305">
        <f t="shared" si="54"/>
        <v>16.326899999999998</v>
      </c>
      <c r="AM305">
        <f t="shared" si="55"/>
        <v>22.620919949999998</v>
      </c>
      <c r="AP305" s="9"/>
      <c r="AQ305" s="22">
        <v>0.31448399999999999</v>
      </c>
      <c r="AR305" s="22">
        <v>433.16500000000002</v>
      </c>
      <c r="AS305" s="22">
        <v>-1.6992199999999999E-2</v>
      </c>
      <c r="AT305" s="22">
        <v>295</v>
      </c>
      <c r="AU305" s="22">
        <v>0.31381199999999998</v>
      </c>
      <c r="AV305">
        <f t="shared" si="56"/>
        <v>16.9922</v>
      </c>
      <c r="AW305">
        <f t="shared" si="57"/>
        <v>5.3437750248000002</v>
      </c>
      <c r="AX305" s="9"/>
      <c r="AY305" s="22">
        <v>1.3855</v>
      </c>
      <c r="AZ305" s="22">
        <v>493.99799999999999</v>
      </c>
      <c r="BA305" s="22">
        <v>-1.6302500000000001E-2</v>
      </c>
      <c r="BB305" s="22">
        <v>295</v>
      </c>
      <c r="BC305" s="22">
        <v>1.38489</v>
      </c>
      <c r="BD305">
        <f t="shared" si="58"/>
        <v>16.302500000000002</v>
      </c>
      <c r="BE305">
        <f t="shared" si="59"/>
        <v>22.58711375</v>
      </c>
    </row>
    <row r="306" spans="6:57">
      <c r="F306" s="9"/>
      <c r="G306" s="22">
        <v>0.309448</v>
      </c>
      <c r="H306" s="22">
        <v>57.329900000000002</v>
      </c>
      <c r="I306" s="22">
        <v>6.19537E-2</v>
      </c>
      <c r="J306" s="22">
        <v>296</v>
      </c>
      <c r="K306" s="22">
        <v>7.9620399999999994E-2</v>
      </c>
      <c r="L306">
        <f t="shared" si="48"/>
        <v>-61.953699999999998</v>
      </c>
      <c r="M306">
        <f t="shared" si="49"/>
        <v>-19.171448557599998</v>
      </c>
      <c r="N306" s="9"/>
      <c r="O306" s="22">
        <v>1.39053</v>
      </c>
      <c r="P306" s="22">
        <v>168.25700000000001</v>
      </c>
      <c r="Q306" s="22">
        <v>-1.63635E-2</v>
      </c>
      <c r="R306" s="22">
        <v>296</v>
      </c>
      <c r="S306" s="22">
        <v>1.38916</v>
      </c>
      <c r="T306">
        <f t="shared" si="50"/>
        <v>16.363499999999998</v>
      </c>
      <c r="U306">
        <f t="shared" si="51"/>
        <v>22.753937654999998</v>
      </c>
      <c r="X306" s="9"/>
      <c r="Y306" s="22">
        <v>0.309448</v>
      </c>
      <c r="Z306" s="22">
        <v>231.84299999999999</v>
      </c>
      <c r="AA306" s="22">
        <v>-1.7031899999999999E-2</v>
      </c>
      <c r="AB306" s="22">
        <v>296</v>
      </c>
      <c r="AC306" s="22">
        <v>0.30862400000000001</v>
      </c>
      <c r="AD306">
        <f t="shared" si="52"/>
        <v>17.0319</v>
      </c>
      <c r="AE306">
        <f t="shared" si="53"/>
        <v>5.2704873912000005</v>
      </c>
      <c r="AF306" s="9"/>
      <c r="AG306" s="22">
        <v>1.39053</v>
      </c>
      <c r="AH306" s="22">
        <v>364.17599999999999</v>
      </c>
      <c r="AI306" s="22">
        <v>-1.6330000000000001E-2</v>
      </c>
      <c r="AJ306" s="22">
        <v>296</v>
      </c>
      <c r="AK306" s="22">
        <v>1.39008</v>
      </c>
      <c r="AL306">
        <f t="shared" si="54"/>
        <v>16.330000000000002</v>
      </c>
      <c r="AM306">
        <f t="shared" si="55"/>
        <v>22.707354900000002</v>
      </c>
      <c r="AP306" s="9"/>
      <c r="AQ306" s="22">
        <v>0.309448</v>
      </c>
      <c r="AR306" s="22">
        <v>433.26600000000002</v>
      </c>
      <c r="AS306" s="22">
        <v>-1.6995199999999999E-2</v>
      </c>
      <c r="AT306" s="22">
        <v>296</v>
      </c>
      <c r="AU306" s="22">
        <v>0.30871599999999999</v>
      </c>
      <c r="AV306">
        <f t="shared" si="56"/>
        <v>16.995199999999997</v>
      </c>
      <c r="AW306">
        <f t="shared" si="57"/>
        <v>5.2591306495999994</v>
      </c>
      <c r="AX306" s="9"/>
      <c r="AY306" s="22">
        <v>1.39053</v>
      </c>
      <c r="AZ306" s="22">
        <v>494.09899999999999</v>
      </c>
      <c r="BA306" s="22">
        <v>-1.62933E-2</v>
      </c>
      <c r="BB306" s="22">
        <v>296</v>
      </c>
      <c r="BC306" s="22">
        <v>1.3897699999999999</v>
      </c>
      <c r="BD306">
        <f t="shared" si="58"/>
        <v>16.293299999999999</v>
      </c>
      <c r="BE306">
        <f t="shared" si="59"/>
        <v>22.656322448999997</v>
      </c>
    </row>
    <row r="307" spans="6:57">
      <c r="F307" s="9"/>
      <c r="G307" s="22">
        <v>0.30441299999999999</v>
      </c>
      <c r="H307" s="22">
        <v>57.430599999999998</v>
      </c>
      <c r="I307" s="22">
        <v>6.1932399999999999E-2</v>
      </c>
      <c r="J307" s="22">
        <v>297</v>
      </c>
      <c r="K307" s="22">
        <v>7.9681399999999999E-2</v>
      </c>
      <c r="L307">
        <f t="shared" si="48"/>
        <v>-61.932400000000001</v>
      </c>
      <c r="M307">
        <f t="shared" si="49"/>
        <v>-18.8530276812</v>
      </c>
      <c r="N307" s="9"/>
      <c r="O307" s="22">
        <v>1.39557</v>
      </c>
      <c r="P307" s="22">
        <v>168.358</v>
      </c>
      <c r="Q307" s="22">
        <v>-1.63483E-2</v>
      </c>
      <c r="R307" s="22">
        <v>297</v>
      </c>
      <c r="S307" s="22">
        <v>1.3940399999999999</v>
      </c>
      <c r="T307">
        <f t="shared" si="50"/>
        <v>16.348299999999998</v>
      </c>
      <c r="U307">
        <f t="shared" si="51"/>
        <v>22.815197030999997</v>
      </c>
      <c r="X307" s="9"/>
      <c r="Y307" s="22">
        <v>0.30441299999999999</v>
      </c>
      <c r="Z307" s="22">
        <v>231.94399999999999</v>
      </c>
      <c r="AA307" s="22">
        <v>-1.7034899999999999E-2</v>
      </c>
      <c r="AB307" s="22">
        <v>297</v>
      </c>
      <c r="AC307" s="22">
        <v>0.30368000000000001</v>
      </c>
      <c r="AD307">
        <f t="shared" si="52"/>
        <v>17.0349</v>
      </c>
      <c r="AE307">
        <f t="shared" si="53"/>
        <v>5.1856450137000003</v>
      </c>
      <c r="AF307" s="9"/>
      <c r="AG307" s="22">
        <v>1.39557</v>
      </c>
      <c r="AH307" s="22">
        <v>364.27699999999999</v>
      </c>
      <c r="AI307" s="22">
        <v>-1.63208E-2</v>
      </c>
      <c r="AJ307" s="22">
        <v>297</v>
      </c>
      <c r="AK307" s="22">
        <v>1.39435</v>
      </c>
      <c r="AL307">
        <f t="shared" si="54"/>
        <v>16.320799999999998</v>
      </c>
      <c r="AM307">
        <f t="shared" si="55"/>
        <v>22.776818855999998</v>
      </c>
      <c r="AP307" s="9"/>
      <c r="AQ307" s="22">
        <v>0.30441299999999999</v>
      </c>
      <c r="AR307" s="22">
        <v>433.36700000000002</v>
      </c>
      <c r="AS307" s="22">
        <v>-1.7004399999999999E-2</v>
      </c>
      <c r="AT307" s="22">
        <v>297</v>
      </c>
      <c r="AU307" s="22">
        <v>0.30377199999999999</v>
      </c>
      <c r="AV307">
        <f t="shared" si="56"/>
        <v>17.0044</v>
      </c>
      <c r="AW307">
        <f t="shared" si="57"/>
        <v>5.1763604171999997</v>
      </c>
      <c r="AX307" s="9"/>
      <c r="AY307" s="22">
        <v>1.39557</v>
      </c>
      <c r="AZ307" s="22">
        <v>494.2</v>
      </c>
      <c r="BA307" s="22">
        <v>-1.6290300000000001E-2</v>
      </c>
      <c r="BB307" s="22">
        <v>297</v>
      </c>
      <c r="BC307" s="22">
        <v>1.39435</v>
      </c>
      <c r="BD307">
        <f t="shared" si="58"/>
        <v>16.290300000000002</v>
      </c>
      <c r="BE307">
        <f t="shared" si="59"/>
        <v>22.734253971000001</v>
      </c>
    </row>
    <row r="308" spans="6:57">
      <c r="F308" s="9"/>
      <c r="G308" s="22">
        <v>0.299377</v>
      </c>
      <c r="H308" s="22">
        <v>57.531399999999998</v>
      </c>
      <c r="I308" s="22">
        <v>6.1990400000000001E-2</v>
      </c>
      <c r="J308" s="22">
        <v>298</v>
      </c>
      <c r="K308" s="22">
        <v>7.9620399999999994E-2</v>
      </c>
      <c r="L308">
        <f t="shared" si="48"/>
        <v>-61.990400000000001</v>
      </c>
      <c r="M308">
        <f t="shared" si="49"/>
        <v>-18.558499980800001</v>
      </c>
      <c r="N308" s="9"/>
      <c r="O308" s="22">
        <v>1.4006000000000001</v>
      </c>
      <c r="P308" s="22">
        <v>168.458</v>
      </c>
      <c r="Q308" s="22">
        <v>-1.6345200000000001E-2</v>
      </c>
      <c r="R308" s="22">
        <v>298</v>
      </c>
      <c r="S308" s="22">
        <v>1.39984</v>
      </c>
      <c r="T308">
        <f t="shared" si="50"/>
        <v>16.345200000000002</v>
      </c>
      <c r="U308">
        <f t="shared" si="51"/>
        <v>22.893087120000004</v>
      </c>
      <c r="X308" s="9"/>
      <c r="Y308" s="22">
        <v>0.299377</v>
      </c>
      <c r="Z308" s="22">
        <v>232.04400000000001</v>
      </c>
      <c r="AA308" s="22">
        <v>-1.7041000000000001E-2</v>
      </c>
      <c r="AB308" s="22">
        <v>298</v>
      </c>
      <c r="AC308" s="22">
        <v>0.29864499999999999</v>
      </c>
      <c r="AD308">
        <f t="shared" si="52"/>
        <v>17.041</v>
      </c>
      <c r="AE308">
        <f t="shared" si="53"/>
        <v>5.101683457</v>
      </c>
      <c r="AF308" s="9"/>
      <c r="AG308" s="22">
        <v>1.4006000000000001</v>
      </c>
      <c r="AH308" s="22">
        <v>364.37799999999999</v>
      </c>
      <c r="AI308" s="22">
        <v>-1.6305500000000001E-2</v>
      </c>
      <c r="AJ308" s="22">
        <v>298</v>
      </c>
      <c r="AK308" s="22">
        <v>1.39954</v>
      </c>
      <c r="AL308">
        <f t="shared" si="54"/>
        <v>16.305500000000002</v>
      </c>
      <c r="AM308">
        <f t="shared" si="55"/>
        <v>22.837483300000002</v>
      </c>
      <c r="AP308" s="9"/>
      <c r="AQ308" s="22">
        <v>0.299377</v>
      </c>
      <c r="AR308" s="22">
        <v>433.46800000000002</v>
      </c>
      <c r="AS308" s="22">
        <v>-1.7004399999999999E-2</v>
      </c>
      <c r="AT308" s="22">
        <v>298</v>
      </c>
      <c r="AU308" s="22">
        <v>0.29855300000000001</v>
      </c>
      <c r="AV308">
        <f t="shared" si="56"/>
        <v>17.0044</v>
      </c>
      <c r="AW308">
        <f t="shared" si="57"/>
        <v>5.0907262588000002</v>
      </c>
      <c r="AX308" s="9"/>
      <c r="AY308" s="22">
        <v>1.4006000000000001</v>
      </c>
      <c r="AZ308" s="22">
        <v>494.30099999999999</v>
      </c>
      <c r="BA308" s="22">
        <v>-1.6290300000000001E-2</v>
      </c>
      <c r="BB308" s="22">
        <v>298</v>
      </c>
      <c r="BC308" s="22">
        <v>1.40015</v>
      </c>
      <c r="BD308">
        <f t="shared" si="58"/>
        <v>16.290300000000002</v>
      </c>
      <c r="BE308">
        <f t="shared" si="59"/>
        <v>22.816194180000004</v>
      </c>
    </row>
    <row r="309" spans="6:57">
      <c r="F309" s="9"/>
      <c r="G309" s="22">
        <v>0.29434199999999999</v>
      </c>
      <c r="H309" s="22">
        <v>57.632100000000001</v>
      </c>
      <c r="I309" s="22">
        <v>6.1987300000000002E-2</v>
      </c>
      <c r="J309" s="22">
        <v>299</v>
      </c>
      <c r="K309" s="22">
        <v>7.9620399999999994E-2</v>
      </c>
      <c r="L309">
        <f t="shared" si="48"/>
        <v>-61.987300000000005</v>
      </c>
      <c r="M309">
        <f t="shared" si="49"/>
        <v>-18.245465856599999</v>
      </c>
      <c r="N309" s="9"/>
      <c r="O309" s="22">
        <v>1.40564</v>
      </c>
      <c r="P309" s="22">
        <v>168.559</v>
      </c>
      <c r="Q309" s="22">
        <v>-1.6333E-2</v>
      </c>
      <c r="R309" s="22">
        <v>299</v>
      </c>
      <c r="S309" s="22">
        <v>1.40472</v>
      </c>
      <c r="T309">
        <f t="shared" si="50"/>
        <v>16.333000000000002</v>
      </c>
      <c r="U309">
        <f t="shared" si="51"/>
        <v>22.958318120000001</v>
      </c>
      <c r="X309" s="9"/>
      <c r="Y309" s="22">
        <v>0.29434199999999999</v>
      </c>
      <c r="Z309" s="22">
        <v>232.14500000000001</v>
      </c>
      <c r="AA309" s="22">
        <v>-1.70441E-2</v>
      </c>
      <c r="AB309" s="22">
        <v>299</v>
      </c>
      <c r="AC309" s="22">
        <v>0.293549</v>
      </c>
      <c r="AD309">
        <f t="shared" si="52"/>
        <v>17.0441</v>
      </c>
      <c r="AE309">
        <f t="shared" si="53"/>
        <v>5.0167944821999999</v>
      </c>
      <c r="AF309" s="9"/>
      <c r="AG309" s="22">
        <v>1.40564</v>
      </c>
      <c r="AH309" s="22">
        <v>364.47800000000001</v>
      </c>
      <c r="AI309" s="22">
        <v>-1.6308599999999999E-2</v>
      </c>
      <c r="AJ309" s="22">
        <v>299</v>
      </c>
      <c r="AK309" s="22">
        <v>1.40442</v>
      </c>
      <c r="AL309">
        <f t="shared" si="54"/>
        <v>16.308599999999998</v>
      </c>
      <c r="AM309">
        <f t="shared" si="55"/>
        <v>22.924020503999998</v>
      </c>
      <c r="AP309" s="9"/>
      <c r="AQ309" s="22">
        <v>0.29434199999999999</v>
      </c>
      <c r="AR309" s="22">
        <v>433.56799999999998</v>
      </c>
      <c r="AS309" s="22">
        <v>-1.7010500000000001E-2</v>
      </c>
      <c r="AT309" s="22">
        <v>299</v>
      </c>
      <c r="AU309" s="22">
        <v>0.29360999999999998</v>
      </c>
      <c r="AV309">
        <f t="shared" si="56"/>
        <v>17.0105</v>
      </c>
      <c r="AW309">
        <f t="shared" si="57"/>
        <v>5.0069045909999996</v>
      </c>
      <c r="AX309" s="9"/>
      <c r="AY309" s="22">
        <v>1.40564</v>
      </c>
      <c r="AZ309" s="22">
        <v>494.40100000000001</v>
      </c>
      <c r="BA309" s="22">
        <v>-1.6284199999999999E-2</v>
      </c>
      <c r="BB309" s="22">
        <v>299</v>
      </c>
      <c r="BC309" s="22">
        <v>1.40442</v>
      </c>
      <c r="BD309">
        <f t="shared" si="58"/>
        <v>16.284199999999998</v>
      </c>
      <c r="BE309">
        <f t="shared" si="59"/>
        <v>22.889722887999998</v>
      </c>
    </row>
    <row r="310" spans="6:57">
      <c r="F310" s="9"/>
      <c r="G310" s="22">
        <v>0.28930699999999998</v>
      </c>
      <c r="H310" s="22">
        <v>57.732799999999997</v>
      </c>
      <c r="I310" s="22">
        <v>6.1962900000000001E-2</v>
      </c>
      <c r="J310" s="22">
        <v>300</v>
      </c>
      <c r="K310" s="22">
        <v>7.9681399999999999E-2</v>
      </c>
      <c r="L310">
        <f t="shared" si="48"/>
        <v>-61.962900000000005</v>
      </c>
      <c r="M310">
        <f t="shared" si="49"/>
        <v>-17.926300710300001</v>
      </c>
      <c r="N310" s="9"/>
      <c r="O310" s="22">
        <v>1.4106799999999999</v>
      </c>
      <c r="P310" s="22">
        <v>168.66</v>
      </c>
      <c r="Q310" s="22">
        <v>-1.6336099999999999E-2</v>
      </c>
      <c r="R310" s="22">
        <v>300</v>
      </c>
      <c r="S310" s="22">
        <v>1.40991</v>
      </c>
      <c r="T310">
        <f t="shared" si="50"/>
        <v>16.336099999999998</v>
      </c>
      <c r="U310">
        <f t="shared" si="51"/>
        <v>23.045009547999996</v>
      </c>
      <c r="X310" s="9"/>
      <c r="Y310" s="22">
        <v>0.28930699999999998</v>
      </c>
      <c r="Z310" s="22">
        <v>232.24600000000001</v>
      </c>
      <c r="AA310" s="22">
        <v>-1.7047099999999999E-2</v>
      </c>
      <c r="AB310" s="22">
        <v>300</v>
      </c>
      <c r="AC310" s="22">
        <v>0.28866599999999998</v>
      </c>
      <c r="AD310">
        <f t="shared" si="52"/>
        <v>17.0471</v>
      </c>
      <c r="AE310">
        <f t="shared" si="53"/>
        <v>4.9318453596999996</v>
      </c>
      <c r="AF310" s="9"/>
      <c r="AG310" s="22">
        <v>1.4106799999999999</v>
      </c>
      <c r="AH310" s="22">
        <v>364.57900000000001</v>
      </c>
      <c r="AI310" s="22">
        <v>-1.6308599999999999E-2</v>
      </c>
      <c r="AJ310" s="22">
        <v>300</v>
      </c>
      <c r="AK310" s="22">
        <v>1.40991</v>
      </c>
      <c r="AL310">
        <f t="shared" si="54"/>
        <v>16.308599999999998</v>
      </c>
      <c r="AM310">
        <f t="shared" si="55"/>
        <v>23.006215847999997</v>
      </c>
      <c r="AP310" s="9"/>
      <c r="AQ310" s="22">
        <v>0.28930699999999998</v>
      </c>
      <c r="AR310" s="22">
        <v>433.66899999999998</v>
      </c>
      <c r="AS310" s="22">
        <v>-1.7010500000000001E-2</v>
      </c>
      <c r="AT310" s="22">
        <v>300</v>
      </c>
      <c r="AU310" s="22">
        <v>0.28866599999999998</v>
      </c>
      <c r="AV310">
        <f t="shared" si="56"/>
        <v>17.0105</v>
      </c>
      <c r="AW310">
        <f t="shared" si="57"/>
        <v>4.9212567235</v>
      </c>
      <c r="AX310" s="9"/>
      <c r="AY310" s="22">
        <v>1.4106799999999999</v>
      </c>
      <c r="AZ310" s="22">
        <v>494.50200000000001</v>
      </c>
      <c r="BA310" s="22">
        <v>-1.6284199999999999E-2</v>
      </c>
      <c r="BB310" s="22">
        <v>300</v>
      </c>
      <c r="BC310" s="22">
        <v>1.40961</v>
      </c>
      <c r="BD310">
        <f t="shared" si="58"/>
        <v>16.284199999999998</v>
      </c>
      <c r="BE310">
        <f t="shared" si="59"/>
        <v>22.971795255999996</v>
      </c>
    </row>
    <row r="311" spans="6:57">
      <c r="F311" s="9"/>
      <c r="G311" s="22">
        <v>0.284271</v>
      </c>
      <c r="H311" s="22">
        <v>57.833500000000001</v>
      </c>
      <c r="I311" s="22">
        <v>6.1969000000000003E-2</v>
      </c>
      <c r="J311" s="22">
        <v>301</v>
      </c>
      <c r="K311" s="22">
        <v>7.9620399999999994E-2</v>
      </c>
      <c r="L311">
        <f t="shared" si="48"/>
        <v>-61.969000000000001</v>
      </c>
      <c r="M311">
        <f t="shared" si="49"/>
        <v>-17.615989598999999</v>
      </c>
      <c r="N311" s="9"/>
      <c r="O311" s="22">
        <v>1.41571</v>
      </c>
      <c r="P311" s="22">
        <v>168.76</v>
      </c>
      <c r="Q311" s="22">
        <v>-1.6326899999999998E-2</v>
      </c>
      <c r="R311" s="22">
        <v>301</v>
      </c>
      <c r="S311" s="22">
        <v>1.41449</v>
      </c>
      <c r="T311">
        <f t="shared" si="50"/>
        <v>16.326899999999998</v>
      </c>
      <c r="U311">
        <f t="shared" si="51"/>
        <v>23.114155598999996</v>
      </c>
      <c r="X311" s="9"/>
      <c r="Y311" s="22">
        <v>0.284271</v>
      </c>
      <c r="Z311" s="22">
        <v>232.346</v>
      </c>
      <c r="AA311" s="22">
        <v>-1.7047099999999999E-2</v>
      </c>
      <c r="AB311" s="22">
        <v>301</v>
      </c>
      <c r="AC311" s="22">
        <v>0.28372199999999997</v>
      </c>
      <c r="AD311">
        <f t="shared" si="52"/>
        <v>17.0471</v>
      </c>
      <c r="AE311">
        <f t="shared" si="53"/>
        <v>4.8459961640999998</v>
      </c>
      <c r="AF311" s="9"/>
      <c r="AG311" s="22">
        <v>1.41571</v>
      </c>
      <c r="AH311" s="22">
        <v>364.68</v>
      </c>
      <c r="AI311" s="22">
        <v>-1.6302500000000001E-2</v>
      </c>
      <c r="AJ311" s="22">
        <v>301</v>
      </c>
      <c r="AK311" s="22">
        <v>1.4154100000000001</v>
      </c>
      <c r="AL311">
        <f t="shared" si="54"/>
        <v>16.302500000000002</v>
      </c>
      <c r="AM311">
        <f t="shared" si="55"/>
        <v>23.079612275000002</v>
      </c>
      <c r="AP311" s="9"/>
      <c r="AQ311" s="22">
        <v>0.284271</v>
      </c>
      <c r="AR311" s="22">
        <v>433.77</v>
      </c>
      <c r="AS311" s="22">
        <v>-1.70166E-2</v>
      </c>
      <c r="AT311" s="22">
        <v>301</v>
      </c>
      <c r="AU311" s="22">
        <v>0.28360000000000002</v>
      </c>
      <c r="AV311">
        <f t="shared" si="56"/>
        <v>17.0166</v>
      </c>
      <c r="AW311">
        <f t="shared" si="57"/>
        <v>4.8373258985999996</v>
      </c>
      <c r="AX311" s="9"/>
      <c r="AY311" s="22">
        <v>1.41571</v>
      </c>
      <c r="AZ311" s="22">
        <v>494.60300000000001</v>
      </c>
      <c r="BA311" s="22">
        <v>-1.6275000000000001E-2</v>
      </c>
      <c r="BB311" s="22">
        <v>301</v>
      </c>
      <c r="BC311" s="22">
        <v>1.41418</v>
      </c>
      <c r="BD311">
        <f t="shared" si="58"/>
        <v>16.275000000000002</v>
      </c>
      <c r="BE311">
        <f t="shared" si="59"/>
        <v>23.040680250000005</v>
      </c>
    </row>
    <row r="312" spans="6:57">
      <c r="F312" s="9"/>
      <c r="G312" s="22">
        <v>0.27923599999999998</v>
      </c>
      <c r="H312" s="22">
        <v>57.934199999999997</v>
      </c>
      <c r="I312" s="22">
        <v>6.1962900000000001E-2</v>
      </c>
      <c r="J312" s="22">
        <v>302</v>
      </c>
      <c r="K312" s="22">
        <v>7.9650899999999997E-2</v>
      </c>
      <c r="L312">
        <f t="shared" si="48"/>
        <v>-61.962900000000005</v>
      </c>
      <c r="M312">
        <f t="shared" si="49"/>
        <v>-17.302272344399999</v>
      </c>
      <c r="N312" s="9"/>
      <c r="O312" s="22">
        <v>1.42075</v>
      </c>
      <c r="P312" s="22">
        <v>168.86099999999999</v>
      </c>
      <c r="Q312" s="22">
        <v>-1.6330000000000001E-2</v>
      </c>
      <c r="R312" s="22">
        <v>302</v>
      </c>
      <c r="S312" s="22">
        <v>1.41998</v>
      </c>
      <c r="T312">
        <f t="shared" si="50"/>
        <v>16.330000000000002</v>
      </c>
      <c r="U312">
        <f t="shared" si="51"/>
        <v>23.200847500000002</v>
      </c>
      <c r="X312" s="9"/>
      <c r="Y312" s="22">
        <v>0.27923599999999998</v>
      </c>
      <c r="Z312" s="22">
        <v>232.447</v>
      </c>
      <c r="AA312" s="22">
        <v>-1.7053200000000001E-2</v>
      </c>
      <c r="AB312" s="22">
        <v>302</v>
      </c>
      <c r="AC312" s="22">
        <v>0.27862500000000001</v>
      </c>
      <c r="AD312">
        <f t="shared" si="52"/>
        <v>17.0532</v>
      </c>
      <c r="AE312">
        <f t="shared" si="53"/>
        <v>4.7618673551999997</v>
      </c>
      <c r="AF312" s="9"/>
      <c r="AG312" s="22">
        <v>1.42075</v>
      </c>
      <c r="AH312" s="22">
        <v>364.78</v>
      </c>
      <c r="AI312" s="22">
        <v>-1.6296399999999999E-2</v>
      </c>
      <c r="AJ312" s="22">
        <v>302</v>
      </c>
      <c r="AK312" s="22">
        <v>1.41937</v>
      </c>
      <c r="AL312">
        <f t="shared" si="54"/>
        <v>16.296399999999998</v>
      </c>
      <c r="AM312">
        <f t="shared" si="55"/>
        <v>23.153110299999998</v>
      </c>
      <c r="AP312" s="9"/>
      <c r="AQ312" s="22">
        <v>0.27923599999999998</v>
      </c>
      <c r="AR312" s="22">
        <v>433.87</v>
      </c>
      <c r="AS312" s="22">
        <v>-1.70166E-2</v>
      </c>
      <c r="AT312" s="22">
        <v>302</v>
      </c>
      <c r="AU312" s="22">
        <v>0.27844200000000002</v>
      </c>
      <c r="AV312">
        <f t="shared" si="56"/>
        <v>17.0166</v>
      </c>
      <c r="AW312">
        <f t="shared" si="57"/>
        <v>4.7516473175999998</v>
      </c>
      <c r="AX312" s="9"/>
      <c r="AY312" s="22">
        <v>1.42075</v>
      </c>
      <c r="AZ312" s="22">
        <v>494.70299999999997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0.2742</v>
      </c>
      <c r="H313" s="22">
        <v>58.0349</v>
      </c>
      <c r="I313" s="22">
        <v>8.7130700000000005E-2</v>
      </c>
      <c r="J313" s="22">
        <v>303</v>
      </c>
      <c r="K313" s="22">
        <v>7.9894999999999994E-2</v>
      </c>
      <c r="L313">
        <f t="shared" si="48"/>
        <v>-87.130700000000004</v>
      </c>
      <c r="M313">
        <f t="shared" si="49"/>
        <v>-23.89123794</v>
      </c>
      <c r="N313" s="9"/>
      <c r="O313" s="22">
        <v>1.42578</v>
      </c>
      <c r="P313" s="22">
        <v>168.96199999999999</v>
      </c>
      <c r="Q313" s="22">
        <v>-1.6314700000000001E-2</v>
      </c>
      <c r="R313" s="22">
        <v>303</v>
      </c>
      <c r="S313" s="22">
        <v>1.42456</v>
      </c>
      <c r="T313">
        <f t="shared" si="50"/>
        <v>16.314700000000002</v>
      </c>
      <c r="U313">
        <f t="shared" si="51"/>
        <v>23.261172966000004</v>
      </c>
      <c r="X313" s="9"/>
      <c r="Y313" s="22">
        <v>0.2742</v>
      </c>
      <c r="Z313" s="22">
        <v>232.548</v>
      </c>
      <c r="AA313" s="22">
        <v>-1.7053200000000001E-2</v>
      </c>
      <c r="AB313" s="22">
        <v>303</v>
      </c>
      <c r="AC313" s="22">
        <v>0.273285</v>
      </c>
      <c r="AD313">
        <f t="shared" si="52"/>
        <v>17.0532</v>
      </c>
      <c r="AE313">
        <f t="shared" si="53"/>
        <v>4.6759874400000001</v>
      </c>
      <c r="AF313" s="9"/>
      <c r="AG313" s="22">
        <v>1.42578</v>
      </c>
      <c r="AH313" s="22">
        <v>364.88099999999997</v>
      </c>
      <c r="AI313" s="22">
        <v>-1.6290300000000001E-2</v>
      </c>
      <c r="AJ313" s="22">
        <v>303</v>
      </c>
      <c r="AK313" s="22">
        <v>1.42456</v>
      </c>
      <c r="AL313">
        <f t="shared" si="54"/>
        <v>16.290300000000002</v>
      </c>
      <c r="AM313">
        <f t="shared" si="55"/>
        <v>23.226383934000005</v>
      </c>
      <c r="AP313" s="9"/>
      <c r="AQ313" s="22">
        <v>0.2742</v>
      </c>
      <c r="AR313" s="22">
        <v>433.971</v>
      </c>
      <c r="AS313" s="22">
        <v>-1.7013500000000001E-2</v>
      </c>
      <c r="AT313" s="22">
        <v>303</v>
      </c>
      <c r="AU313" s="22">
        <v>0.27352900000000002</v>
      </c>
      <c r="AV313">
        <f t="shared" si="56"/>
        <v>17.013500000000001</v>
      </c>
      <c r="AW313">
        <f t="shared" si="57"/>
        <v>4.6651017000000001</v>
      </c>
      <c r="AX313" s="9"/>
      <c r="AY313" s="22">
        <v>1.42578</v>
      </c>
      <c r="AZ313" s="22">
        <v>494.80399999999997</v>
      </c>
      <c r="BA313" s="22">
        <v>-1.6259800000000001E-2</v>
      </c>
      <c r="BB313" s="22">
        <v>303</v>
      </c>
      <c r="BC313" s="22">
        <v>1.42456</v>
      </c>
      <c r="BD313">
        <f t="shared" si="58"/>
        <v>16.259800000000002</v>
      </c>
      <c r="BE313">
        <f t="shared" si="59"/>
        <v>23.182897644000004</v>
      </c>
    </row>
    <row r="314" spans="6:57">
      <c r="F314" s="9"/>
      <c r="G314" s="22">
        <v>0.26916499999999999</v>
      </c>
      <c r="H314" s="22">
        <v>58.135599999999997</v>
      </c>
      <c r="I314" s="22">
        <v>8.6740100000000001E-2</v>
      </c>
      <c r="J314" s="22">
        <v>304</v>
      </c>
      <c r="K314" s="22">
        <v>7.9925499999999997E-2</v>
      </c>
      <c r="L314">
        <f t="shared" si="48"/>
        <v>-86.740099999999998</v>
      </c>
      <c r="M314">
        <f t="shared" si="49"/>
        <v>-23.347399016499999</v>
      </c>
      <c r="N314" s="9"/>
      <c r="O314" s="22">
        <v>1.43082</v>
      </c>
      <c r="P314" s="22">
        <v>169.06200000000001</v>
      </c>
      <c r="Q314" s="22">
        <v>-1.6302500000000001E-2</v>
      </c>
      <c r="R314" s="22">
        <v>304</v>
      </c>
      <c r="S314" s="22">
        <v>1.4303600000000001</v>
      </c>
      <c r="T314">
        <f t="shared" si="50"/>
        <v>16.302500000000002</v>
      </c>
      <c r="U314">
        <f t="shared" si="51"/>
        <v>23.325943050000003</v>
      </c>
      <c r="X314" s="9"/>
      <c r="Y314" s="22">
        <v>0.26916499999999999</v>
      </c>
      <c r="Z314" s="22">
        <v>232.648</v>
      </c>
      <c r="AA314" s="22">
        <v>-1.7053200000000001E-2</v>
      </c>
      <c r="AB314" s="22">
        <v>304</v>
      </c>
      <c r="AC314" s="22">
        <v>0.26831100000000002</v>
      </c>
      <c r="AD314">
        <f t="shared" si="52"/>
        <v>17.0532</v>
      </c>
      <c r="AE314">
        <f t="shared" si="53"/>
        <v>4.5901245780000002</v>
      </c>
      <c r="AF314" s="9"/>
      <c r="AG314" s="22">
        <v>1.43082</v>
      </c>
      <c r="AH314" s="22">
        <v>364.98200000000003</v>
      </c>
      <c r="AI314" s="22">
        <v>-1.6290300000000001E-2</v>
      </c>
      <c r="AJ314" s="22">
        <v>304</v>
      </c>
      <c r="AK314" s="22">
        <v>1.4297500000000001</v>
      </c>
      <c r="AL314">
        <f t="shared" si="54"/>
        <v>16.290300000000002</v>
      </c>
      <c r="AM314">
        <f t="shared" si="55"/>
        <v>23.308487046000003</v>
      </c>
      <c r="AP314" s="9"/>
      <c r="AQ314" s="22">
        <v>0.26916499999999999</v>
      </c>
      <c r="AR314" s="22">
        <v>434.072</v>
      </c>
      <c r="AS314" s="22">
        <v>-1.7019699999999999E-2</v>
      </c>
      <c r="AT314" s="22">
        <v>304</v>
      </c>
      <c r="AU314" s="22">
        <v>0.26818799999999998</v>
      </c>
      <c r="AV314">
        <f t="shared" si="56"/>
        <v>17.0197</v>
      </c>
      <c r="AW314">
        <f t="shared" si="57"/>
        <v>4.5811075504999996</v>
      </c>
      <c r="AX314" s="9"/>
      <c r="AY314" s="22">
        <v>1.43082</v>
      </c>
      <c r="AZ314" s="22">
        <v>494.90499999999997</v>
      </c>
      <c r="BA314" s="22">
        <v>-1.6259800000000001E-2</v>
      </c>
      <c r="BB314" s="22">
        <v>304</v>
      </c>
      <c r="BC314" s="22">
        <v>1.4297500000000001</v>
      </c>
      <c r="BD314">
        <f t="shared" si="58"/>
        <v>16.259800000000002</v>
      </c>
      <c r="BE314">
        <f t="shared" si="59"/>
        <v>23.264847036000003</v>
      </c>
    </row>
    <row r="315" spans="6:57">
      <c r="F315" s="9"/>
      <c r="G315" s="22">
        <v>0.26412999999999998</v>
      </c>
      <c r="H315" s="22">
        <v>58.2363</v>
      </c>
      <c r="I315" s="22">
        <v>8.6343400000000001E-2</v>
      </c>
      <c r="J315" s="22">
        <v>305</v>
      </c>
      <c r="K315" s="22">
        <v>7.9925499999999997E-2</v>
      </c>
      <c r="L315">
        <f t="shared" si="48"/>
        <v>-86.343400000000003</v>
      </c>
      <c r="M315">
        <f t="shared" si="49"/>
        <v>-22.805882241999999</v>
      </c>
      <c r="N315" s="9"/>
      <c r="O315" s="22">
        <v>1.4358500000000001</v>
      </c>
      <c r="P315" s="22">
        <v>169.16300000000001</v>
      </c>
      <c r="Q315" s="22">
        <v>-1.6296399999999999E-2</v>
      </c>
      <c r="R315" s="22">
        <v>305</v>
      </c>
      <c r="S315" s="22">
        <v>1.4343300000000001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0.26412999999999998</v>
      </c>
      <c r="Z315" s="22">
        <v>232.749</v>
      </c>
      <c r="AA315" s="22">
        <v>-1.70563E-2</v>
      </c>
      <c r="AB315" s="22">
        <v>305</v>
      </c>
      <c r="AC315" s="22">
        <v>0.26345800000000003</v>
      </c>
      <c r="AD315">
        <f t="shared" si="52"/>
        <v>17.0563</v>
      </c>
      <c r="AE315">
        <f t="shared" si="53"/>
        <v>4.5050805189999998</v>
      </c>
      <c r="AF315" s="9"/>
      <c r="AG315" s="22">
        <v>1.4358500000000001</v>
      </c>
      <c r="AH315" s="22">
        <v>365.08199999999999</v>
      </c>
      <c r="AI315" s="22">
        <v>-1.6284199999999999E-2</v>
      </c>
      <c r="AJ315" s="22">
        <v>305</v>
      </c>
      <c r="AK315" s="22">
        <v>1.4352400000000001</v>
      </c>
      <c r="AL315">
        <f t="shared" si="54"/>
        <v>16.284199999999998</v>
      </c>
      <c r="AM315">
        <f t="shared" si="55"/>
        <v>23.381668569999999</v>
      </c>
      <c r="AP315" s="9"/>
      <c r="AQ315" s="22">
        <v>0.26412999999999998</v>
      </c>
      <c r="AR315" s="22">
        <v>434.173</v>
      </c>
      <c r="AS315" s="22">
        <v>-1.7022700000000002E-2</v>
      </c>
      <c r="AT315" s="22">
        <v>305</v>
      </c>
      <c r="AU315" s="22">
        <v>0.26333600000000001</v>
      </c>
      <c r="AV315">
        <f t="shared" si="56"/>
        <v>17.0227</v>
      </c>
      <c r="AW315">
        <f t="shared" si="57"/>
        <v>4.4962057509999998</v>
      </c>
      <c r="AX315" s="9"/>
      <c r="AY315" s="22">
        <v>1.4358500000000001</v>
      </c>
      <c r="AZ315" s="22">
        <v>495.00599999999997</v>
      </c>
      <c r="BA315" s="22">
        <v>-1.6244499999999999E-2</v>
      </c>
      <c r="BB315" s="22">
        <v>305</v>
      </c>
      <c r="BC315" s="22">
        <v>1.4349400000000001</v>
      </c>
      <c r="BD315">
        <f t="shared" si="58"/>
        <v>16.244499999999999</v>
      </c>
      <c r="BE315">
        <f t="shared" si="59"/>
        <v>23.324665324999998</v>
      </c>
    </row>
    <row r="316" spans="6:57">
      <c r="F316" s="9"/>
      <c r="G316" s="22">
        <v>0.25909399999999999</v>
      </c>
      <c r="H316" s="22">
        <v>58.337000000000003</v>
      </c>
      <c r="I316" s="22">
        <v>6.1932399999999999E-2</v>
      </c>
      <c r="J316" s="22">
        <v>306</v>
      </c>
      <c r="K316" s="22">
        <v>7.9650899999999997E-2</v>
      </c>
      <c r="L316">
        <f t="shared" si="48"/>
        <v>-61.932400000000001</v>
      </c>
      <c r="M316">
        <f t="shared" si="49"/>
        <v>-16.0463132456</v>
      </c>
      <c r="N316" s="9"/>
      <c r="O316" s="22">
        <v>1.44089</v>
      </c>
      <c r="P316" s="22">
        <v>169.26400000000001</v>
      </c>
      <c r="Q316" s="22">
        <v>-1.6299399999999999E-2</v>
      </c>
      <c r="R316" s="22">
        <v>306</v>
      </c>
      <c r="S316" s="22">
        <v>1.4395100000000001</v>
      </c>
      <c r="T316">
        <f t="shared" si="50"/>
        <v>16.299399999999999</v>
      </c>
      <c r="U316">
        <f t="shared" si="51"/>
        <v>23.485642465999998</v>
      </c>
      <c r="X316" s="9"/>
      <c r="Y316" s="22">
        <v>0.25909399999999999</v>
      </c>
      <c r="Z316" s="22">
        <v>232.85</v>
      </c>
      <c r="AA316" s="22">
        <v>-1.7059299999999999E-2</v>
      </c>
      <c r="AB316" s="22">
        <v>306</v>
      </c>
      <c r="AC316" s="22">
        <v>0.25836199999999998</v>
      </c>
      <c r="AD316">
        <f t="shared" si="52"/>
        <v>17.0593</v>
      </c>
      <c r="AE316">
        <f t="shared" si="53"/>
        <v>4.4199622741999995</v>
      </c>
      <c r="AF316" s="9"/>
      <c r="AG316" s="22">
        <v>1.44089</v>
      </c>
      <c r="AH316" s="22">
        <v>365.18299999999999</v>
      </c>
      <c r="AI316" s="22">
        <v>-1.6271999999999998E-2</v>
      </c>
      <c r="AJ316" s="22">
        <v>306</v>
      </c>
      <c r="AK316" s="22">
        <v>1.4401200000000001</v>
      </c>
      <c r="AL316">
        <f t="shared" si="54"/>
        <v>16.271999999999998</v>
      </c>
      <c r="AM316">
        <f t="shared" si="55"/>
        <v>23.446162079999997</v>
      </c>
      <c r="AP316" s="9"/>
      <c r="AQ316" s="22">
        <v>0.25909399999999999</v>
      </c>
      <c r="AR316" s="22">
        <v>434.27300000000002</v>
      </c>
      <c r="AS316" s="22">
        <v>-1.7031899999999999E-2</v>
      </c>
      <c r="AT316" s="22">
        <v>306</v>
      </c>
      <c r="AU316" s="22">
        <v>0.258301</v>
      </c>
      <c r="AV316">
        <f t="shared" si="56"/>
        <v>17.0319</v>
      </c>
      <c r="AW316">
        <f t="shared" si="57"/>
        <v>4.4128630985999999</v>
      </c>
      <c r="AX316" s="9"/>
      <c r="AY316" s="22">
        <v>1.44089</v>
      </c>
      <c r="AZ316" s="22">
        <v>495.10599999999999</v>
      </c>
      <c r="BA316" s="22">
        <v>-1.6247600000000001E-2</v>
      </c>
      <c r="BB316" s="22">
        <v>306</v>
      </c>
      <c r="BC316" s="22">
        <v>1.4398200000000001</v>
      </c>
      <c r="BD316">
        <f t="shared" si="58"/>
        <v>16.247600000000002</v>
      </c>
      <c r="BE316">
        <f t="shared" si="59"/>
        <v>23.411004364000004</v>
      </c>
    </row>
    <row r="317" spans="6:57">
      <c r="F317" s="9"/>
      <c r="G317" s="22">
        <v>0.25405899999999998</v>
      </c>
      <c r="H317" s="22">
        <v>58.4377</v>
      </c>
      <c r="I317" s="22">
        <v>6.1962900000000001E-2</v>
      </c>
      <c r="J317" s="22">
        <v>307</v>
      </c>
      <c r="K317" s="22">
        <v>7.9650899999999997E-2</v>
      </c>
      <c r="L317">
        <f t="shared" si="48"/>
        <v>-61.962900000000005</v>
      </c>
      <c r="M317">
        <f t="shared" si="49"/>
        <v>-15.7422324111</v>
      </c>
      <c r="N317" s="9"/>
      <c r="O317" s="22">
        <v>1.4459200000000001</v>
      </c>
      <c r="P317" s="22">
        <v>169.36500000000001</v>
      </c>
      <c r="Q317" s="22">
        <v>-1.62933E-2</v>
      </c>
      <c r="R317" s="22">
        <v>307</v>
      </c>
      <c r="S317" s="22">
        <v>1.4453100000000001</v>
      </c>
      <c r="T317">
        <f t="shared" si="50"/>
        <v>16.293299999999999</v>
      </c>
      <c r="U317">
        <f t="shared" si="51"/>
        <v>23.558808335999998</v>
      </c>
      <c r="X317" s="9"/>
      <c r="Y317" s="22">
        <v>0.25405899999999998</v>
      </c>
      <c r="Z317" s="22">
        <v>232.95099999999999</v>
      </c>
      <c r="AA317" s="22">
        <v>-1.7059299999999999E-2</v>
      </c>
      <c r="AB317" s="22">
        <v>307</v>
      </c>
      <c r="AC317" s="22">
        <v>0.25338699999999997</v>
      </c>
      <c r="AD317">
        <f t="shared" si="52"/>
        <v>17.0593</v>
      </c>
      <c r="AE317">
        <f t="shared" si="53"/>
        <v>4.3340686986999994</v>
      </c>
      <c r="AF317" s="9"/>
      <c r="AG317" s="22">
        <v>1.4459200000000001</v>
      </c>
      <c r="AH317" s="22">
        <v>365.28399999999999</v>
      </c>
      <c r="AI317" s="22">
        <v>-1.6262800000000001E-2</v>
      </c>
      <c r="AJ317" s="22">
        <v>307</v>
      </c>
      <c r="AK317" s="22">
        <v>1.4453100000000001</v>
      </c>
      <c r="AL317">
        <f t="shared" si="54"/>
        <v>16.262800000000002</v>
      </c>
      <c r="AM317">
        <f t="shared" si="55"/>
        <v>23.514707776000005</v>
      </c>
      <c r="AP317" s="9"/>
      <c r="AQ317" s="22">
        <v>0.25405899999999998</v>
      </c>
      <c r="AR317" s="22">
        <v>434.37400000000002</v>
      </c>
      <c r="AS317" s="22">
        <v>-1.70288E-2</v>
      </c>
      <c r="AT317" s="22">
        <v>307</v>
      </c>
      <c r="AU317" s="22">
        <v>0.25326500000000002</v>
      </c>
      <c r="AV317">
        <f t="shared" si="56"/>
        <v>17.0288</v>
      </c>
      <c r="AW317">
        <f t="shared" si="57"/>
        <v>4.3263198991999996</v>
      </c>
      <c r="AX317" s="9"/>
      <c r="AY317" s="22">
        <v>1.4459200000000001</v>
      </c>
      <c r="AZ317" s="22">
        <v>495.20699999999999</v>
      </c>
      <c r="BA317" s="22">
        <v>-1.6241499999999999E-2</v>
      </c>
      <c r="BB317" s="22">
        <v>307</v>
      </c>
      <c r="BC317" s="22">
        <v>1.4450099999999999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0.24902299999999999</v>
      </c>
      <c r="H318" s="22">
        <v>58.538400000000003</v>
      </c>
      <c r="I318" s="22">
        <v>6.2149000000000003E-2</v>
      </c>
      <c r="J318" s="22">
        <v>308</v>
      </c>
      <c r="K318" s="22">
        <v>7.9620399999999994E-2</v>
      </c>
      <c r="L318">
        <f t="shared" si="48"/>
        <v>-62.149000000000001</v>
      </c>
      <c r="M318">
        <f t="shared" si="49"/>
        <v>-15.476530427</v>
      </c>
      <c r="N318" s="9"/>
      <c r="O318" s="22">
        <v>1.45096</v>
      </c>
      <c r="P318" s="22">
        <v>169.465</v>
      </c>
      <c r="Q318" s="22">
        <v>-1.6284199999999999E-2</v>
      </c>
      <c r="R318" s="22">
        <v>308</v>
      </c>
      <c r="S318" s="22">
        <v>1.4501999999999999</v>
      </c>
      <c r="T318">
        <f t="shared" si="50"/>
        <v>16.284199999999998</v>
      </c>
      <c r="U318">
        <f t="shared" si="51"/>
        <v>23.627722832</v>
      </c>
      <c r="X318" s="9"/>
      <c r="Y318" s="22">
        <v>0.24902299999999999</v>
      </c>
      <c r="Z318" s="22">
        <v>233.05099999999999</v>
      </c>
      <c r="AA318" s="22">
        <v>-1.7065400000000001E-2</v>
      </c>
      <c r="AB318" s="22">
        <v>308</v>
      </c>
      <c r="AC318" s="22">
        <v>0.24835199999999999</v>
      </c>
      <c r="AD318">
        <f t="shared" si="52"/>
        <v>17.0654</v>
      </c>
      <c r="AE318">
        <f t="shared" si="53"/>
        <v>4.2496771041999999</v>
      </c>
      <c r="AF318" s="9"/>
      <c r="AG318" s="22">
        <v>1.45096</v>
      </c>
      <c r="AH318" s="22">
        <v>365.38499999999999</v>
      </c>
      <c r="AI318" s="22">
        <v>-1.6262800000000001E-2</v>
      </c>
      <c r="AJ318" s="22">
        <v>308</v>
      </c>
      <c r="AK318" s="22">
        <v>1.4504999999999999</v>
      </c>
      <c r="AL318">
        <f t="shared" si="54"/>
        <v>16.262800000000002</v>
      </c>
      <c r="AM318">
        <f t="shared" si="55"/>
        <v>23.596672288000004</v>
      </c>
      <c r="AP318" s="9"/>
      <c r="AQ318" s="22">
        <v>0.24902299999999999</v>
      </c>
      <c r="AR318" s="22">
        <v>434.47500000000002</v>
      </c>
      <c r="AS318" s="22">
        <v>-1.70288E-2</v>
      </c>
      <c r="AT318" s="22">
        <v>308</v>
      </c>
      <c r="AU318" s="22">
        <v>0.248138</v>
      </c>
      <c r="AV318">
        <f t="shared" si="56"/>
        <v>17.0288</v>
      </c>
      <c r="AW318">
        <f t="shared" si="57"/>
        <v>4.2405628624</v>
      </c>
      <c r="AX318" s="9"/>
      <c r="AY318" s="22">
        <v>1.45096</v>
      </c>
      <c r="AZ318" s="22">
        <v>495.30799999999999</v>
      </c>
      <c r="BA318" s="22">
        <v>-1.6244499999999999E-2</v>
      </c>
      <c r="BB318" s="22">
        <v>308</v>
      </c>
      <c r="BC318" s="22">
        <v>1.4504999999999999</v>
      </c>
      <c r="BD318">
        <f t="shared" si="58"/>
        <v>16.244499999999999</v>
      </c>
      <c r="BE318">
        <f t="shared" si="59"/>
        <v>23.570119719999997</v>
      </c>
    </row>
    <row r="319" spans="6:57">
      <c r="F319" s="9"/>
      <c r="G319" s="22">
        <v>0.24398800000000001</v>
      </c>
      <c r="H319" s="22">
        <v>58.639099999999999</v>
      </c>
      <c r="I319" s="22">
        <v>6.2026999999999999E-2</v>
      </c>
      <c r="J319" s="22">
        <v>309</v>
      </c>
      <c r="K319" s="22">
        <v>7.9650899999999997E-2</v>
      </c>
      <c r="L319">
        <f t="shared" si="48"/>
        <v>-62.027000000000001</v>
      </c>
      <c r="M319">
        <f t="shared" si="49"/>
        <v>-15.133843676000001</v>
      </c>
      <c r="N319" s="9"/>
      <c r="O319" s="22">
        <v>1.4559899999999999</v>
      </c>
      <c r="P319" s="22">
        <v>169.566</v>
      </c>
      <c r="Q319" s="22">
        <v>-1.6287200000000002E-2</v>
      </c>
      <c r="R319" s="22">
        <v>309</v>
      </c>
      <c r="S319" s="22">
        <v>1.4553799999999999</v>
      </c>
      <c r="T319">
        <f t="shared" si="50"/>
        <v>16.287200000000002</v>
      </c>
      <c r="U319">
        <f t="shared" si="51"/>
        <v>23.714000328000001</v>
      </c>
      <c r="X319" s="9"/>
      <c r="Y319" s="22">
        <v>0.24398800000000001</v>
      </c>
      <c r="Z319" s="22">
        <v>233.15199999999999</v>
      </c>
      <c r="AA319" s="22">
        <v>-1.70715E-2</v>
      </c>
      <c r="AB319" s="22">
        <v>309</v>
      </c>
      <c r="AC319" s="22">
        <v>0.243286</v>
      </c>
      <c r="AD319">
        <f t="shared" si="52"/>
        <v>17.0715</v>
      </c>
      <c r="AE319">
        <f t="shared" si="53"/>
        <v>4.1652411420000002</v>
      </c>
      <c r="AF319" s="9"/>
      <c r="AG319" s="22">
        <v>1.4559899999999999</v>
      </c>
      <c r="AH319" s="22">
        <v>365.48500000000001</v>
      </c>
      <c r="AI319" s="22">
        <v>-1.6247600000000001E-2</v>
      </c>
      <c r="AJ319" s="22">
        <v>309</v>
      </c>
      <c r="AK319" s="22">
        <v>1.4550799999999999</v>
      </c>
      <c r="AL319">
        <f t="shared" si="54"/>
        <v>16.247600000000002</v>
      </c>
      <c r="AM319">
        <f t="shared" si="55"/>
        <v>23.656343124000003</v>
      </c>
      <c r="AP319" s="9"/>
      <c r="AQ319" s="22">
        <v>0.24398800000000001</v>
      </c>
      <c r="AR319" s="22">
        <v>434.57499999999999</v>
      </c>
      <c r="AS319" s="22">
        <v>-1.7031899999999999E-2</v>
      </c>
      <c r="AT319" s="22">
        <v>309</v>
      </c>
      <c r="AU319" s="22">
        <v>0.24331700000000001</v>
      </c>
      <c r="AV319">
        <f t="shared" si="56"/>
        <v>17.0319</v>
      </c>
      <c r="AW319">
        <f t="shared" si="57"/>
        <v>4.1555792172000006</v>
      </c>
      <c r="AX319" s="9"/>
      <c r="AY319" s="22">
        <v>1.4559899999999999</v>
      </c>
      <c r="AZ319" s="22">
        <v>495.40800000000002</v>
      </c>
      <c r="BA319" s="22">
        <v>-1.6235400000000001E-2</v>
      </c>
      <c r="BB319" s="22">
        <v>309</v>
      </c>
      <c r="BC319" s="22">
        <v>1.4553799999999999</v>
      </c>
      <c r="BD319">
        <f t="shared" si="58"/>
        <v>16.235400000000002</v>
      </c>
      <c r="BE319">
        <f t="shared" si="59"/>
        <v>23.638580046000001</v>
      </c>
    </row>
    <row r="320" spans="6:57">
      <c r="F320" s="9"/>
      <c r="G320" s="22">
        <v>0.238953</v>
      </c>
      <c r="H320" s="22">
        <v>58.739899999999999</v>
      </c>
      <c r="I320" s="22">
        <v>6.2045299999999998E-2</v>
      </c>
      <c r="J320" s="22">
        <v>310</v>
      </c>
      <c r="K320" s="22">
        <v>7.9559299999999999E-2</v>
      </c>
      <c r="L320">
        <f t="shared" si="48"/>
        <v>-62.045299999999997</v>
      </c>
      <c r="M320">
        <f t="shared" si="49"/>
        <v>-14.8259105709</v>
      </c>
      <c r="N320" s="9"/>
      <c r="O320" s="22">
        <v>1.4610300000000001</v>
      </c>
      <c r="P320" s="22">
        <v>169.667</v>
      </c>
      <c r="Q320" s="22">
        <v>-1.62811E-2</v>
      </c>
      <c r="R320" s="22">
        <v>310</v>
      </c>
      <c r="S320" s="22">
        <v>1.4605699999999999</v>
      </c>
      <c r="T320">
        <f t="shared" si="50"/>
        <v>16.281099999999999</v>
      </c>
      <c r="U320">
        <f t="shared" si="51"/>
        <v>23.787175532999999</v>
      </c>
      <c r="X320" s="9"/>
      <c r="Y320" s="22">
        <v>0.238953</v>
      </c>
      <c r="Z320" s="22">
        <v>233.25299999999999</v>
      </c>
      <c r="AA320" s="22">
        <v>-1.70685E-2</v>
      </c>
      <c r="AB320" s="22">
        <v>310</v>
      </c>
      <c r="AC320" s="22">
        <v>0.23825099999999999</v>
      </c>
      <c r="AD320">
        <f t="shared" si="52"/>
        <v>17.0685</v>
      </c>
      <c r="AE320">
        <f t="shared" si="53"/>
        <v>4.0785692805</v>
      </c>
      <c r="AF320" s="9"/>
      <c r="AG320" s="22">
        <v>1.4610300000000001</v>
      </c>
      <c r="AH320" s="22">
        <v>365.58600000000001</v>
      </c>
      <c r="AI320" s="22">
        <v>-1.6244499999999999E-2</v>
      </c>
      <c r="AJ320" s="22">
        <v>310</v>
      </c>
      <c r="AK320" s="22">
        <v>1.46027</v>
      </c>
      <c r="AL320">
        <f t="shared" si="54"/>
        <v>16.244499999999999</v>
      </c>
      <c r="AM320">
        <f t="shared" si="55"/>
        <v>23.733701834999998</v>
      </c>
      <c r="AP320" s="9"/>
      <c r="AQ320" s="22">
        <v>0.238953</v>
      </c>
      <c r="AR320" s="22">
        <v>434.67599999999999</v>
      </c>
      <c r="AS320" s="22">
        <v>-1.7038000000000001E-2</v>
      </c>
      <c r="AT320" s="22">
        <v>310</v>
      </c>
      <c r="AU320" s="22">
        <v>0.23828099999999999</v>
      </c>
      <c r="AV320">
        <f t="shared" si="56"/>
        <v>17.038</v>
      </c>
      <c r="AW320">
        <f t="shared" si="57"/>
        <v>4.0712812139999999</v>
      </c>
      <c r="AX320" s="9"/>
      <c r="AY320" s="22">
        <v>1.4610300000000001</v>
      </c>
      <c r="AZ320" s="22">
        <v>495.50900000000001</v>
      </c>
      <c r="BA320" s="22">
        <v>-1.6220100000000001E-2</v>
      </c>
      <c r="BB320" s="22">
        <v>310</v>
      </c>
      <c r="BC320" s="22">
        <v>1.46027</v>
      </c>
      <c r="BD320">
        <f t="shared" si="58"/>
        <v>16.220100000000002</v>
      </c>
      <c r="BE320">
        <f t="shared" si="59"/>
        <v>23.698052703000005</v>
      </c>
    </row>
    <row r="321" spans="6:57">
      <c r="F321" s="9"/>
      <c r="G321" s="22">
        <v>0.23391700000000001</v>
      </c>
      <c r="H321" s="22">
        <v>58.840600000000002</v>
      </c>
      <c r="I321" s="22">
        <v>6.2033100000000001E-2</v>
      </c>
      <c r="J321" s="22">
        <v>311</v>
      </c>
      <c r="K321" s="22">
        <v>7.9620399999999994E-2</v>
      </c>
      <c r="L321">
        <f t="shared" si="48"/>
        <v>-62.033099999999997</v>
      </c>
      <c r="M321">
        <f t="shared" si="49"/>
        <v>-14.5105966527</v>
      </c>
      <c r="N321" s="9"/>
      <c r="O321" s="22">
        <v>1.4660599999999999</v>
      </c>
      <c r="P321" s="22">
        <v>169.767</v>
      </c>
      <c r="Q321" s="22">
        <v>-1.6268899999999999E-2</v>
      </c>
      <c r="R321" s="22">
        <v>311</v>
      </c>
      <c r="S321" s="22">
        <v>1.46515</v>
      </c>
      <c r="T321">
        <f t="shared" si="50"/>
        <v>16.268899999999999</v>
      </c>
      <c r="U321">
        <f t="shared" si="51"/>
        <v>23.851183533999997</v>
      </c>
      <c r="X321" s="9"/>
      <c r="Y321" s="22">
        <v>0.23391700000000001</v>
      </c>
      <c r="Z321" s="22">
        <v>233.35300000000001</v>
      </c>
      <c r="AA321" s="22">
        <v>-1.7074599999999999E-2</v>
      </c>
      <c r="AB321" s="22">
        <v>311</v>
      </c>
      <c r="AC321" s="22">
        <v>0.233154</v>
      </c>
      <c r="AD321">
        <f t="shared" si="52"/>
        <v>17.0746</v>
      </c>
      <c r="AE321">
        <f t="shared" si="53"/>
        <v>3.9940392082000002</v>
      </c>
      <c r="AF321" s="9"/>
      <c r="AG321" s="22">
        <v>1.4660599999999999</v>
      </c>
      <c r="AH321" s="22">
        <v>365.68700000000001</v>
      </c>
      <c r="AI321" s="22">
        <v>-1.62384E-2</v>
      </c>
      <c r="AJ321" s="22">
        <v>311</v>
      </c>
      <c r="AK321" s="22">
        <v>1.4654499999999999</v>
      </c>
      <c r="AL321">
        <f t="shared" si="54"/>
        <v>16.238399999999999</v>
      </c>
      <c r="AM321">
        <f t="shared" si="55"/>
        <v>23.806468703999997</v>
      </c>
      <c r="AP321" s="9"/>
      <c r="AQ321" s="22">
        <v>0.23391700000000001</v>
      </c>
      <c r="AR321" s="22">
        <v>434.77699999999999</v>
      </c>
      <c r="AS321" s="22">
        <v>-1.7038000000000001E-2</v>
      </c>
      <c r="AT321" s="22">
        <v>311</v>
      </c>
      <c r="AU321" s="22">
        <v>0.233154</v>
      </c>
      <c r="AV321">
        <f t="shared" si="56"/>
        <v>17.038</v>
      </c>
      <c r="AW321">
        <f t="shared" si="57"/>
        <v>3.9854778460000002</v>
      </c>
      <c r="AX321" s="9"/>
      <c r="AY321" s="22">
        <v>1.4660599999999999</v>
      </c>
      <c r="AZ321" s="22">
        <v>495.61</v>
      </c>
      <c r="BA321" s="22">
        <v>-1.6220100000000001E-2</v>
      </c>
      <c r="BB321" s="22">
        <v>311</v>
      </c>
      <c r="BC321" s="22">
        <v>1.46515</v>
      </c>
      <c r="BD321">
        <f t="shared" si="58"/>
        <v>16.220100000000002</v>
      </c>
      <c r="BE321">
        <f t="shared" si="59"/>
        <v>23.779639806000002</v>
      </c>
    </row>
    <row r="322" spans="6:57">
      <c r="F322" s="9"/>
      <c r="G322" s="22">
        <v>0.228882</v>
      </c>
      <c r="H322" s="22">
        <v>58.941299999999998</v>
      </c>
      <c r="I322" s="22">
        <v>6.2048300000000001E-2</v>
      </c>
      <c r="J322" s="22">
        <v>312</v>
      </c>
      <c r="K322" s="22">
        <v>7.9620399999999994E-2</v>
      </c>
      <c r="L322">
        <f t="shared" si="48"/>
        <v>-62.048299999999998</v>
      </c>
      <c r="M322">
        <f t="shared" si="49"/>
        <v>-14.2017390006</v>
      </c>
      <c r="N322" s="9"/>
      <c r="O322" s="22">
        <v>1.4711000000000001</v>
      </c>
      <c r="P322" s="22">
        <v>169.86799999999999</v>
      </c>
      <c r="Q322" s="22">
        <v>-1.6262800000000001E-2</v>
      </c>
      <c r="R322" s="22">
        <v>312</v>
      </c>
      <c r="S322" s="22">
        <v>1.4700299999999999</v>
      </c>
      <c r="T322">
        <f t="shared" si="50"/>
        <v>16.262800000000002</v>
      </c>
      <c r="U322">
        <f t="shared" si="51"/>
        <v>23.924205080000004</v>
      </c>
      <c r="X322" s="9"/>
      <c r="Y322" s="22">
        <v>0.228882</v>
      </c>
      <c r="Z322" s="22">
        <v>233.45400000000001</v>
      </c>
      <c r="AA322" s="22">
        <v>-1.70685E-2</v>
      </c>
      <c r="AB322" s="22">
        <v>312</v>
      </c>
      <c r="AC322" s="22">
        <v>0.22821</v>
      </c>
      <c r="AD322">
        <f t="shared" si="52"/>
        <v>17.0685</v>
      </c>
      <c r="AE322">
        <f t="shared" si="53"/>
        <v>3.9066724170000002</v>
      </c>
      <c r="AF322" s="9"/>
      <c r="AG322" s="22">
        <v>1.4711000000000001</v>
      </c>
      <c r="AH322" s="22">
        <v>365.78699999999998</v>
      </c>
      <c r="AI322" s="22">
        <v>-1.62262E-2</v>
      </c>
      <c r="AJ322" s="22">
        <v>312</v>
      </c>
      <c r="AK322" s="22">
        <v>1.46973</v>
      </c>
      <c r="AL322">
        <f t="shared" si="54"/>
        <v>16.226199999999999</v>
      </c>
      <c r="AM322">
        <f t="shared" si="55"/>
        <v>23.87036282</v>
      </c>
      <c r="AP322" s="9"/>
      <c r="AQ322" s="22">
        <v>0.228882</v>
      </c>
      <c r="AR322" s="22">
        <v>434.87799999999999</v>
      </c>
      <c r="AS322" s="22">
        <v>-1.7041000000000001E-2</v>
      </c>
      <c r="AT322" s="22">
        <v>312</v>
      </c>
      <c r="AU322" s="22">
        <v>0.22814899999999999</v>
      </c>
      <c r="AV322">
        <f t="shared" si="56"/>
        <v>17.041</v>
      </c>
      <c r="AW322">
        <f t="shared" si="57"/>
        <v>3.900378162</v>
      </c>
      <c r="AX322" s="9"/>
      <c r="AY322" s="22">
        <v>1.4711000000000001</v>
      </c>
      <c r="AZ322" s="22">
        <v>495.71</v>
      </c>
      <c r="BA322" s="22">
        <v>-1.6213999999999999E-2</v>
      </c>
      <c r="BB322" s="22">
        <v>312</v>
      </c>
      <c r="BC322" s="22">
        <v>1.4706399999999999</v>
      </c>
      <c r="BD322">
        <f t="shared" si="58"/>
        <v>16.213999999999999</v>
      </c>
      <c r="BE322">
        <f t="shared" si="59"/>
        <v>23.852415399999998</v>
      </c>
    </row>
    <row r="323" spans="6:57">
      <c r="F323" s="9"/>
      <c r="G323" s="22">
        <v>0.22384599999999999</v>
      </c>
      <c r="H323" s="22">
        <v>59.042000000000002</v>
      </c>
      <c r="I323" s="22">
        <v>6.2039200000000003E-2</v>
      </c>
      <c r="J323" s="22">
        <v>313</v>
      </c>
      <c r="K323" s="22">
        <v>7.9559299999999999E-2</v>
      </c>
      <c r="L323">
        <f t="shared" si="48"/>
        <v>-62.039200000000001</v>
      </c>
      <c r="M323">
        <f t="shared" si="49"/>
        <v>-13.887226763199999</v>
      </c>
      <c r="N323" s="9"/>
      <c r="O323" s="22">
        <v>1.47614</v>
      </c>
      <c r="P323" s="22">
        <v>169.96899999999999</v>
      </c>
      <c r="Q323" s="22">
        <v>-1.6262800000000001E-2</v>
      </c>
      <c r="R323" s="22">
        <v>313</v>
      </c>
      <c r="S323" s="22">
        <v>1.47522</v>
      </c>
      <c r="T323">
        <f t="shared" si="50"/>
        <v>16.262800000000002</v>
      </c>
      <c r="U323">
        <f t="shared" si="51"/>
        <v>24.006169592000003</v>
      </c>
      <c r="X323" s="9"/>
      <c r="Y323" s="22">
        <v>0.22384599999999999</v>
      </c>
      <c r="Z323" s="22">
        <v>233.55500000000001</v>
      </c>
      <c r="AA323" s="22">
        <v>-1.7077599999999998E-2</v>
      </c>
      <c r="AB323" s="22">
        <v>313</v>
      </c>
      <c r="AC323" s="22">
        <v>0.22311400000000001</v>
      </c>
      <c r="AD323">
        <f t="shared" si="52"/>
        <v>17.077599999999997</v>
      </c>
      <c r="AE323">
        <f t="shared" si="53"/>
        <v>3.8227524495999989</v>
      </c>
      <c r="AF323" s="9"/>
      <c r="AG323" s="22">
        <v>1.47614</v>
      </c>
      <c r="AH323" s="22">
        <v>365.88799999999998</v>
      </c>
      <c r="AI323" s="22">
        <v>-1.62384E-2</v>
      </c>
      <c r="AJ323" s="22">
        <v>313</v>
      </c>
      <c r="AK323" s="22">
        <v>1.47522</v>
      </c>
      <c r="AL323">
        <f t="shared" si="54"/>
        <v>16.238399999999999</v>
      </c>
      <c r="AM323">
        <f t="shared" si="55"/>
        <v>23.970151775999998</v>
      </c>
      <c r="AP323" s="9"/>
      <c r="AQ323" s="22">
        <v>0.22384599999999999</v>
      </c>
      <c r="AR323" s="22">
        <v>434.97800000000001</v>
      </c>
      <c r="AS323" s="22">
        <v>-1.70441E-2</v>
      </c>
      <c r="AT323" s="22">
        <v>313</v>
      </c>
      <c r="AU323" s="22">
        <v>0.22323599999999999</v>
      </c>
      <c r="AV323">
        <f t="shared" si="56"/>
        <v>17.0441</v>
      </c>
      <c r="AW323">
        <f t="shared" si="57"/>
        <v>3.8152536086</v>
      </c>
      <c r="AX323" s="9"/>
      <c r="AY323" s="22">
        <v>1.47614</v>
      </c>
      <c r="AZ323" s="22">
        <v>495.81099999999998</v>
      </c>
      <c r="BA323" s="22">
        <v>-1.62109E-2</v>
      </c>
      <c r="BB323" s="22">
        <v>313</v>
      </c>
      <c r="BC323" s="22">
        <v>1.47522</v>
      </c>
      <c r="BD323">
        <f t="shared" si="58"/>
        <v>16.210899999999999</v>
      </c>
      <c r="BE323">
        <f t="shared" si="59"/>
        <v>23.929557925999998</v>
      </c>
    </row>
    <row r="324" spans="6:57">
      <c r="F324" s="9"/>
      <c r="G324" s="22">
        <v>0.21881100000000001</v>
      </c>
      <c r="H324" s="22">
        <v>59.142699999999998</v>
      </c>
      <c r="I324" s="22">
        <v>6.2054400000000003E-2</v>
      </c>
      <c r="J324" s="22">
        <v>314</v>
      </c>
      <c r="K324" s="22">
        <v>7.9559299999999999E-2</v>
      </c>
      <c r="L324">
        <f t="shared" si="48"/>
        <v>-62.054400000000001</v>
      </c>
      <c r="M324">
        <f t="shared" si="49"/>
        <v>-13.578185318400001</v>
      </c>
      <c r="N324" s="9"/>
      <c r="O324" s="22">
        <v>1.4811700000000001</v>
      </c>
      <c r="P324" s="22">
        <v>170.07</v>
      </c>
      <c r="Q324" s="22">
        <v>-1.6253699999999999E-2</v>
      </c>
      <c r="R324" s="22">
        <v>314</v>
      </c>
      <c r="S324" s="22">
        <v>1.48041</v>
      </c>
      <c r="T324">
        <f t="shared" si="50"/>
        <v>16.253699999999998</v>
      </c>
      <c r="U324">
        <f t="shared" si="51"/>
        <v>24.074492829</v>
      </c>
      <c r="X324" s="9"/>
      <c r="Y324" s="22">
        <v>0.21881100000000001</v>
      </c>
      <c r="Z324" s="22">
        <v>233.65600000000001</v>
      </c>
      <c r="AA324" s="22">
        <v>-1.70837E-2</v>
      </c>
      <c r="AB324" s="22">
        <v>314</v>
      </c>
      <c r="AC324" s="22">
        <v>0.21798699999999999</v>
      </c>
      <c r="AD324">
        <f t="shared" si="52"/>
        <v>17.0837</v>
      </c>
      <c r="AE324">
        <f t="shared" si="53"/>
        <v>3.7381014807000001</v>
      </c>
      <c r="AF324" s="9"/>
      <c r="AG324" s="22">
        <v>1.4811700000000001</v>
      </c>
      <c r="AH324" s="22">
        <v>365.98899999999998</v>
      </c>
      <c r="AI324" s="22">
        <v>-1.62262E-2</v>
      </c>
      <c r="AJ324" s="22">
        <v>314</v>
      </c>
      <c r="AK324" s="22">
        <v>1.48071</v>
      </c>
      <c r="AL324">
        <f t="shared" si="54"/>
        <v>16.226199999999999</v>
      </c>
      <c r="AM324">
        <f t="shared" si="55"/>
        <v>24.033760653999998</v>
      </c>
      <c r="AP324" s="9"/>
      <c r="AQ324" s="22">
        <v>0.21881100000000001</v>
      </c>
      <c r="AR324" s="22">
        <v>435.07900000000001</v>
      </c>
      <c r="AS324" s="22">
        <v>-1.70441E-2</v>
      </c>
      <c r="AT324" s="22">
        <v>314</v>
      </c>
      <c r="AU324" s="22">
        <v>0.218079</v>
      </c>
      <c r="AV324">
        <f t="shared" si="56"/>
        <v>17.0441</v>
      </c>
      <c r="AW324">
        <f t="shared" si="57"/>
        <v>3.7294365651000003</v>
      </c>
      <c r="AX324" s="9"/>
      <c r="AY324" s="22">
        <v>1.4811700000000001</v>
      </c>
      <c r="AZ324" s="22">
        <v>495.91199999999998</v>
      </c>
      <c r="BA324" s="22">
        <v>-1.61957E-2</v>
      </c>
      <c r="BB324" s="22">
        <v>314</v>
      </c>
      <c r="BC324" s="22">
        <v>1.48102</v>
      </c>
      <c r="BD324">
        <f t="shared" si="58"/>
        <v>16.195699999999999</v>
      </c>
      <c r="BE324">
        <f t="shared" si="59"/>
        <v>23.988584968999998</v>
      </c>
    </row>
    <row r="325" spans="6:57">
      <c r="F325" s="9"/>
      <c r="G325" s="22">
        <v>0.21377599999999999</v>
      </c>
      <c r="H325" s="22">
        <v>59.243400000000001</v>
      </c>
      <c r="I325" s="22">
        <v>6.1959800000000002E-2</v>
      </c>
      <c r="J325" s="22">
        <v>315</v>
      </c>
      <c r="K325" s="22">
        <v>7.9559299999999999E-2</v>
      </c>
      <c r="L325">
        <f t="shared" si="48"/>
        <v>-61.959800000000001</v>
      </c>
      <c r="M325">
        <f t="shared" si="49"/>
        <v>-13.2455182048</v>
      </c>
      <c r="N325" s="9"/>
      <c r="O325" s="22">
        <v>1.48621</v>
      </c>
      <c r="P325" s="22">
        <v>170.17</v>
      </c>
      <c r="Q325" s="22">
        <v>-1.6244499999999999E-2</v>
      </c>
      <c r="R325" s="22">
        <v>315</v>
      </c>
      <c r="S325" s="22">
        <v>1.4859</v>
      </c>
      <c r="T325">
        <f t="shared" si="50"/>
        <v>16.244499999999999</v>
      </c>
      <c r="U325">
        <f t="shared" si="51"/>
        <v>24.142738344999998</v>
      </c>
      <c r="X325" s="9"/>
      <c r="Y325" s="22">
        <v>0.21377599999999999</v>
      </c>
      <c r="Z325" s="22">
        <v>233.756</v>
      </c>
      <c r="AA325" s="22">
        <v>-1.7080700000000001E-2</v>
      </c>
      <c r="AB325" s="22">
        <v>315</v>
      </c>
      <c r="AC325" s="22">
        <v>0.21310399999999999</v>
      </c>
      <c r="AD325">
        <f t="shared" si="52"/>
        <v>17.0807</v>
      </c>
      <c r="AE325">
        <f t="shared" si="53"/>
        <v>3.6514437231999999</v>
      </c>
      <c r="AF325" s="9"/>
      <c r="AG325" s="22">
        <v>1.48621</v>
      </c>
      <c r="AH325" s="22">
        <v>366.09</v>
      </c>
      <c r="AI325" s="22">
        <v>-1.6223100000000001E-2</v>
      </c>
      <c r="AJ325" s="22">
        <v>315</v>
      </c>
      <c r="AK325" s="22">
        <v>1.4856</v>
      </c>
      <c r="AL325">
        <f t="shared" si="54"/>
        <v>16.223100000000002</v>
      </c>
      <c r="AM325">
        <f t="shared" si="55"/>
        <v>24.110933451000005</v>
      </c>
      <c r="AP325" s="9"/>
      <c r="AQ325" s="22">
        <v>0.21377599999999999</v>
      </c>
      <c r="AR325" s="22">
        <v>435.18</v>
      </c>
      <c r="AS325" s="22">
        <v>-1.7050200000000001E-2</v>
      </c>
      <c r="AT325" s="22">
        <v>315</v>
      </c>
      <c r="AU325" s="22">
        <v>0.212921</v>
      </c>
      <c r="AV325">
        <f t="shared" si="56"/>
        <v>17.0502</v>
      </c>
      <c r="AW325">
        <f t="shared" si="57"/>
        <v>3.6449235552000001</v>
      </c>
      <c r="AX325" s="9"/>
      <c r="AY325" s="22">
        <v>1.48621</v>
      </c>
      <c r="AZ325" s="22">
        <v>496.01299999999998</v>
      </c>
      <c r="BA325" s="22">
        <v>-1.61957E-2</v>
      </c>
      <c r="BB325" s="22">
        <v>315</v>
      </c>
      <c r="BC325" s="22">
        <v>1.4856</v>
      </c>
      <c r="BD325">
        <f t="shared" si="58"/>
        <v>16.195699999999999</v>
      </c>
      <c r="BE325">
        <f t="shared" si="59"/>
        <v>24.070211297</v>
      </c>
    </row>
    <row r="326" spans="6:57">
      <c r="F326" s="9"/>
      <c r="G326" s="22">
        <v>0.20874000000000001</v>
      </c>
      <c r="H326" s="22">
        <v>59.344099999999997</v>
      </c>
      <c r="I326" s="22">
        <v>6.1978100000000001E-2</v>
      </c>
      <c r="J326" s="22">
        <v>316</v>
      </c>
      <c r="K326" s="22">
        <v>7.9498299999999994E-2</v>
      </c>
      <c r="L326">
        <f t="shared" si="48"/>
        <v>-61.978099999999998</v>
      </c>
      <c r="M326">
        <f t="shared" si="49"/>
        <v>-12.937308593999999</v>
      </c>
      <c r="N326" s="9"/>
      <c r="O326" s="22">
        <v>1.4912399999999999</v>
      </c>
      <c r="P326" s="22">
        <v>170.27099999999999</v>
      </c>
      <c r="Q326" s="22">
        <v>-1.6235400000000001E-2</v>
      </c>
      <c r="R326" s="22">
        <v>316</v>
      </c>
      <c r="S326" s="22">
        <v>1.49017</v>
      </c>
      <c r="T326">
        <f t="shared" si="50"/>
        <v>16.235400000000002</v>
      </c>
      <c r="U326">
        <f t="shared" si="51"/>
        <v>24.210877896000003</v>
      </c>
      <c r="X326" s="9"/>
      <c r="Y326" s="22">
        <v>0.20874000000000001</v>
      </c>
      <c r="Z326" s="22">
        <v>233.857</v>
      </c>
      <c r="AA326" s="22">
        <v>-1.7077599999999998E-2</v>
      </c>
      <c r="AB326" s="22">
        <v>316</v>
      </c>
      <c r="AC326" s="22">
        <v>0.208069</v>
      </c>
      <c r="AD326">
        <f t="shared" si="52"/>
        <v>17.077599999999997</v>
      </c>
      <c r="AE326">
        <f t="shared" si="53"/>
        <v>3.5647782239999994</v>
      </c>
      <c r="AF326" s="9"/>
      <c r="AG326" s="22">
        <v>1.4912399999999999</v>
      </c>
      <c r="AH326" s="22">
        <v>366.19</v>
      </c>
      <c r="AI326" s="22">
        <v>-1.6216999999999999E-2</v>
      </c>
      <c r="AJ326" s="22">
        <v>316</v>
      </c>
      <c r="AK326" s="22">
        <v>1.49048</v>
      </c>
      <c r="AL326">
        <f t="shared" si="54"/>
        <v>16.216999999999999</v>
      </c>
      <c r="AM326">
        <f t="shared" si="55"/>
        <v>24.183439079999996</v>
      </c>
      <c r="AP326" s="9"/>
      <c r="AQ326" s="22">
        <v>0.20874000000000001</v>
      </c>
      <c r="AR326" s="22">
        <v>435.28</v>
      </c>
      <c r="AS326" s="22">
        <v>-1.7050200000000001E-2</v>
      </c>
      <c r="AT326" s="22">
        <v>316</v>
      </c>
      <c r="AU326" s="22">
        <v>0.20816000000000001</v>
      </c>
      <c r="AV326">
        <f t="shared" si="56"/>
        <v>17.0502</v>
      </c>
      <c r="AW326">
        <f t="shared" si="57"/>
        <v>3.559058748</v>
      </c>
      <c r="AX326" s="9"/>
      <c r="AY326" s="22">
        <v>1.4912399999999999</v>
      </c>
      <c r="AZ326" s="22">
        <v>496.113</v>
      </c>
      <c r="BA326" s="22">
        <v>-1.6192600000000001E-2</v>
      </c>
      <c r="BB326" s="22">
        <v>316</v>
      </c>
      <c r="BC326" s="22">
        <v>1.49048</v>
      </c>
      <c r="BD326">
        <f t="shared" si="58"/>
        <v>16.192600000000002</v>
      </c>
      <c r="BE326">
        <f t="shared" si="59"/>
        <v>24.147052824000003</v>
      </c>
    </row>
    <row r="327" spans="6:57">
      <c r="F327" s="9"/>
      <c r="G327" s="22">
        <v>0.203705</v>
      </c>
      <c r="H327" s="22">
        <v>59.444800000000001</v>
      </c>
      <c r="I327" s="22">
        <v>6.2017799999999998E-2</v>
      </c>
      <c r="J327" s="22">
        <v>317</v>
      </c>
      <c r="K327" s="22">
        <v>7.9498299999999994E-2</v>
      </c>
      <c r="L327">
        <f t="shared" si="48"/>
        <v>-62.017800000000001</v>
      </c>
      <c r="M327">
        <f t="shared" si="49"/>
        <v>-12.633335948999999</v>
      </c>
      <c r="N327" s="9"/>
      <c r="O327" s="22">
        <v>1.4962800000000001</v>
      </c>
      <c r="P327" s="22">
        <v>170.37200000000001</v>
      </c>
      <c r="Q327" s="22">
        <v>-1.6229199999999999E-2</v>
      </c>
      <c r="R327" s="22">
        <v>317</v>
      </c>
      <c r="S327" s="22">
        <v>1.49475</v>
      </c>
      <c r="T327">
        <f t="shared" si="50"/>
        <v>16.229199999999999</v>
      </c>
      <c r="U327">
        <f t="shared" si="51"/>
        <v>24.283427375999999</v>
      </c>
      <c r="X327" s="9"/>
      <c r="Y327" s="22">
        <v>0.203705</v>
      </c>
      <c r="Z327" s="22">
        <v>233.958</v>
      </c>
      <c r="AA327" s="22">
        <v>-1.70837E-2</v>
      </c>
      <c r="AB327" s="22">
        <v>317</v>
      </c>
      <c r="AC327" s="22">
        <v>0.202789</v>
      </c>
      <c r="AD327">
        <f t="shared" si="52"/>
        <v>17.0837</v>
      </c>
      <c r="AE327">
        <f t="shared" si="53"/>
        <v>3.4800351085000001</v>
      </c>
      <c r="AF327" s="9"/>
      <c r="AG327" s="22">
        <v>1.4962800000000001</v>
      </c>
      <c r="AH327" s="22">
        <v>366.291</v>
      </c>
      <c r="AI327" s="22">
        <v>-1.61987E-2</v>
      </c>
      <c r="AJ327" s="22">
        <v>317</v>
      </c>
      <c r="AK327" s="22">
        <v>1.4950600000000001</v>
      </c>
      <c r="AL327">
        <f t="shared" si="54"/>
        <v>16.198699999999999</v>
      </c>
      <c r="AM327">
        <f t="shared" si="55"/>
        <v>24.237790835999999</v>
      </c>
      <c r="AP327" s="9"/>
      <c r="AQ327" s="22">
        <v>0.203705</v>
      </c>
      <c r="AR327" s="22">
        <v>435.38099999999997</v>
      </c>
      <c r="AS327" s="22">
        <v>-1.7053200000000001E-2</v>
      </c>
      <c r="AT327" s="22">
        <v>317</v>
      </c>
      <c r="AU327" s="22">
        <v>0.20318600000000001</v>
      </c>
      <c r="AV327">
        <f t="shared" si="56"/>
        <v>17.0532</v>
      </c>
      <c r="AW327">
        <f t="shared" si="57"/>
        <v>3.4738221060000001</v>
      </c>
      <c r="AX327" s="9"/>
      <c r="AY327" s="22">
        <v>1.4962800000000001</v>
      </c>
      <c r="AZ327" s="22">
        <v>496.214</v>
      </c>
      <c r="BA327" s="22">
        <v>-1.61835E-2</v>
      </c>
      <c r="BB327" s="22">
        <v>317</v>
      </c>
      <c r="BC327" s="22">
        <v>1.4950600000000001</v>
      </c>
      <c r="BD327">
        <f t="shared" si="58"/>
        <v>16.183499999999999</v>
      </c>
      <c r="BE327">
        <f t="shared" si="59"/>
        <v>24.215047379999998</v>
      </c>
    </row>
    <row r="328" spans="6:57">
      <c r="F328" s="9"/>
      <c r="G328" s="22">
        <v>0.19866900000000001</v>
      </c>
      <c r="H328" s="22">
        <v>59.545499999999997</v>
      </c>
      <c r="I328" s="22">
        <v>6.1971999999999999E-2</v>
      </c>
      <c r="J328" s="22">
        <v>318</v>
      </c>
      <c r="K328" s="22">
        <v>7.9589800000000002E-2</v>
      </c>
      <c r="L328">
        <f t="shared" si="48"/>
        <v>-61.972000000000001</v>
      </c>
      <c r="M328">
        <f t="shared" si="49"/>
        <v>-12.311915268000002</v>
      </c>
      <c r="N328" s="9"/>
      <c r="O328" s="22">
        <v>1.5013099999999999</v>
      </c>
      <c r="P328" s="22">
        <v>170.47200000000001</v>
      </c>
      <c r="Q328" s="22">
        <v>-1.6232300000000002E-2</v>
      </c>
      <c r="R328" s="22">
        <v>318</v>
      </c>
      <c r="S328" s="22">
        <v>1.4999400000000001</v>
      </c>
      <c r="T328">
        <f t="shared" si="50"/>
        <v>16.232300000000002</v>
      </c>
      <c r="U328">
        <f t="shared" si="51"/>
        <v>24.369714313000003</v>
      </c>
      <c r="X328" s="9"/>
      <c r="Y328" s="22">
        <v>0.19866900000000001</v>
      </c>
      <c r="Z328" s="22">
        <v>234.05799999999999</v>
      </c>
      <c r="AA328" s="22">
        <v>-1.7089799999999999E-2</v>
      </c>
      <c r="AB328" s="22">
        <v>318</v>
      </c>
      <c r="AC328" s="22">
        <v>0.19805900000000001</v>
      </c>
      <c r="AD328">
        <f t="shared" si="52"/>
        <v>17.0898</v>
      </c>
      <c r="AE328">
        <f t="shared" si="53"/>
        <v>3.3952134762000004</v>
      </c>
      <c r="AF328" s="9"/>
      <c r="AG328" s="22">
        <v>1.5013099999999999</v>
      </c>
      <c r="AH328" s="22">
        <v>366.392</v>
      </c>
      <c r="AI328" s="22">
        <v>-1.6192600000000001E-2</v>
      </c>
      <c r="AJ328" s="22">
        <v>318</v>
      </c>
      <c r="AK328" s="22">
        <v>1.4999400000000001</v>
      </c>
      <c r="AL328">
        <f t="shared" si="54"/>
        <v>16.192600000000002</v>
      </c>
      <c r="AM328">
        <f t="shared" si="55"/>
        <v>24.310112306000001</v>
      </c>
      <c r="AP328" s="9"/>
      <c r="AQ328" s="22">
        <v>0.19866900000000001</v>
      </c>
      <c r="AR328" s="22">
        <v>435.48200000000003</v>
      </c>
      <c r="AS328" s="22">
        <v>-1.7050200000000001E-2</v>
      </c>
      <c r="AT328" s="22">
        <v>318</v>
      </c>
      <c r="AU328" s="22">
        <v>0.19802900000000001</v>
      </c>
      <c r="AV328">
        <f t="shared" si="56"/>
        <v>17.0502</v>
      </c>
      <c r="AW328">
        <f t="shared" si="57"/>
        <v>3.3873461838000001</v>
      </c>
      <c r="AX328" s="9"/>
      <c r="AY328" s="22">
        <v>1.5013099999999999</v>
      </c>
      <c r="AZ328" s="22">
        <v>496.315</v>
      </c>
      <c r="BA328" s="22">
        <v>-1.6177400000000002E-2</v>
      </c>
      <c r="BB328" s="22">
        <v>318</v>
      </c>
      <c r="BC328" s="22">
        <v>1.50024</v>
      </c>
      <c r="BD328">
        <f t="shared" si="58"/>
        <v>16.177400000000002</v>
      </c>
      <c r="BE328">
        <f t="shared" si="59"/>
        <v>24.287292394000001</v>
      </c>
    </row>
    <row r="329" spans="6:57">
      <c r="F329" s="9"/>
      <c r="G329" s="22">
        <v>0.193634</v>
      </c>
      <c r="H329" s="22">
        <v>59.6462</v>
      </c>
      <c r="I329" s="22">
        <v>6.20758E-2</v>
      </c>
      <c r="J329" s="22">
        <v>319</v>
      </c>
      <c r="K329" s="22">
        <v>7.9589800000000002E-2</v>
      </c>
      <c r="L329">
        <f t="shared" si="48"/>
        <v>-62.075800000000001</v>
      </c>
      <c r="M329">
        <f t="shared" si="49"/>
        <v>-12.019985457200001</v>
      </c>
      <c r="N329" s="9"/>
      <c r="O329" s="22">
        <v>1.5063500000000001</v>
      </c>
      <c r="P329" s="22">
        <v>170.57300000000001</v>
      </c>
      <c r="Q329" s="22">
        <v>-1.6216999999999999E-2</v>
      </c>
      <c r="R329" s="22">
        <v>319</v>
      </c>
      <c r="S329" s="22">
        <v>1.5057400000000001</v>
      </c>
      <c r="T329">
        <f t="shared" si="50"/>
        <v>16.216999999999999</v>
      </c>
      <c r="U329">
        <f t="shared" si="51"/>
        <v>24.428477949999998</v>
      </c>
      <c r="X329" s="9"/>
      <c r="Y329" s="22">
        <v>0.193634</v>
      </c>
      <c r="Z329" s="22">
        <v>234.15899999999999</v>
      </c>
      <c r="AA329" s="22">
        <v>-1.7086799999999999E-2</v>
      </c>
      <c r="AB329" s="22">
        <v>319</v>
      </c>
      <c r="AC329" s="22">
        <v>0.192963</v>
      </c>
      <c r="AD329">
        <f t="shared" si="52"/>
        <v>17.0868</v>
      </c>
      <c r="AE329">
        <f t="shared" si="53"/>
        <v>3.3085854312</v>
      </c>
      <c r="AF329" s="9"/>
      <c r="AG329" s="22">
        <v>1.5063500000000001</v>
      </c>
      <c r="AH329" s="22">
        <v>366.49200000000002</v>
      </c>
      <c r="AI329" s="22">
        <v>-1.6189599999999998E-2</v>
      </c>
      <c r="AJ329" s="22">
        <v>319</v>
      </c>
      <c r="AK329" s="22">
        <v>1.5057400000000001</v>
      </c>
      <c r="AL329">
        <f t="shared" si="54"/>
        <v>16.189599999999999</v>
      </c>
      <c r="AM329">
        <f t="shared" si="55"/>
        <v>24.387203960000001</v>
      </c>
      <c r="AP329" s="9"/>
      <c r="AQ329" s="22">
        <v>0.193634</v>
      </c>
      <c r="AR329" s="22">
        <v>435.58199999999999</v>
      </c>
      <c r="AS329" s="22">
        <v>-1.7053200000000001E-2</v>
      </c>
      <c r="AT329" s="22">
        <v>319</v>
      </c>
      <c r="AU329" s="22">
        <v>0.192963</v>
      </c>
      <c r="AV329">
        <f t="shared" si="56"/>
        <v>17.0532</v>
      </c>
      <c r="AW329">
        <f t="shared" si="57"/>
        <v>3.3020793288000001</v>
      </c>
      <c r="AX329" s="9"/>
      <c r="AY329" s="22">
        <v>1.5063500000000001</v>
      </c>
      <c r="AZ329" s="22">
        <v>496.41500000000002</v>
      </c>
      <c r="BA329" s="22">
        <v>-1.6177400000000002E-2</v>
      </c>
      <c r="BB329" s="22">
        <v>319</v>
      </c>
      <c r="BC329" s="22">
        <v>1.5057400000000001</v>
      </c>
      <c r="BD329">
        <f t="shared" si="58"/>
        <v>16.177400000000002</v>
      </c>
      <c r="BE329">
        <f t="shared" si="59"/>
        <v>24.368826490000004</v>
      </c>
    </row>
    <row r="330" spans="6:57">
      <c r="F330" s="9"/>
      <c r="G330" s="22">
        <v>0.18859899999999999</v>
      </c>
      <c r="H330" s="22">
        <v>59.746899999999997</v>
      </c>
      <c r="I330" s="22">
        <v>6.2017799999999998E-2</v>
      </c>
      <c r="J330" s="22">
        <v>320</v>
      </c>
      <c r="K330" s="22">
        <v>7.9559299999999999E-2</v>
      </c>
      <c r="L330">
        <f t="shared" si="48"/>
        <v>-62.017800000000001</v>
      </c>
      <c r="M330">
        <f t="shared" si="49"/>
        <v>-11.6964950622</v>
      </c>
      <c r="N330" s="9"/>
      <c r="O330" s="22">
        <v>1.5113799999999999</v>
      </c>
      <c r="P330" s="22">
        <v>170.67400000000001</v>
      </c>
      <c r="Q330" s="22">
        <v>-1.6204799999999998E-2</v>
      </c>
      <c r="R330" s="22">
        <v>320</v>
      </c>
      <c r="S330" s="22">
        <v>1.5106200000000001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0.18859899999999999</v>
      </c>
      <c r="Z330" s="22">
        <v>234.26</v>
      </c>
      <c r="AA330" s="22">
        <v>-1.7089799999999999E-2</v>
      </c>
      <c r="AB330" s="22">
        <v>320</v>
      </c>
      <c r="AC330" s="22">
        <v>0.18795799999999999</v>
      </c>
      <c r="AD330">
        <f t="shared" si="52"/>
        <v>17.0898</v>
      </c>
      <c r="AE330">
        <f t="shared" si="53"/>
        <v>3.2231191901999998</v>
      </c>
      <c r="AF330" s="9"/>
      <c r="AG330" s="22">
        <v>1.5113799999999999</v>
      </c>
      <c r="AH330" s="22">
        <v>366.59300000000002</v>
      </c>
      <c r="AI330" s="22">
        <v>-1.6180400000000001E-2</v>
      </c>
      <c r="AJ330" s="22">
        <v>320</v>
      </c>
      <c r="AK330" s="22">
        <v>1.5100100000000001</v>
      </c>
      <c r="AL330">
        <f t="shared" si="54"/>
        <v>16.180400000000002</v>
      </c>
      <c r="AM330">
        <f t="shared" si="55"/>
        <v>24.454732952000004</v>
      </c>
      <c r="AP330" s="9"/>
      <c r="AQ330" s="22">
        <v>0.18859899999999999</v>
      </c>
      <c r="AR330" s="22">
        <v>435.68299999999999</v>
      </c>
      <c r="AS330" s="22">
        <v>-1.7059299999999999E-2</v>
      </c>
      <c r="AT330" s="22">
        <v>320</v>
      </c>
      <c r="AU330" s="22">
        <v>0.18786600000000001</v>
      </c>
      <c r="AV330">
        <f t="shared" si="56"/>
        <v>17.0593</v>
      </c>
      <c r="AW330">
        <f t="shared" si="57"/>
        <v>3.2173669207</v>
      </c>
      <c r="AX330" s="9"/>
      <c r="AY330" s="22">
        <v>1.5113799999999999</v>
      </c>
      <c r="AZ330" s="22">
        <v>496.51600000000002</v>
      </c>
      <c r="BA330" s="22">
        <v>-1.6165200000000001E-2</v>
      </c>
      <c r="BB330" s="22">
        <v>320</v>
      </c>
      <c r="BC330" s="22">
        <v>1.5109300000000001</v>
      </c>
      <c r="BD330">
        <f t="shared" si="58"/>
        <v>16.165200000000002</v>
      </c>
      <c r="BE330">
        <f t="shared" si="59"/>
        <v>24.431759976000002</v>
      </c>
    </row>
    <row r="331" spans="6:57">
      <c r="F331" s="9"/>
      <c r="G331" s="22">
        <v>0.183563</v>
      </c>
      <c r="H331" s="22">
        <v>59.8476</v>
      </c>
      <c r="I331" s="22">
        <v>6.19537E-2</v>
      </c>
      <c r="J331" s="22">
        <v>321</v>
      </c>
      <c r="K331" s="22">
        <v>7.9589800000000002E-2</v>
      </c>
      <c r="L331">
        <f t="shared" si="48"/>
        <v>-61.953699999999998</v>
      </c>
      <c r="M331">
        <f t="shared" si="49"/>
        <v>-11.3724070331</v>
      </c>
      <c r="N331" s="9"/>
      <c r="O331" s="22">
        <v>1.5164200000000001</v>
      </c>
      <c r="P331" s="22">
        <v>170.77500000000001</v>
      </c>
      <c r="Q331" s="22">
        <v>-1.61987E-2</v>
      </c>
      <c r="R331" s="22">
        <v>321</v>
      </c>
      <c r="S331" s="22">
        <v>1.5152000000000001</v>
      </c>
      <c r="T331">
        <f t="shared" si="50"/>
        <v>16.198699999999999</v>
      </c>
      <c r="U331">
        <f t="shared" si="51"/>
        <v>24.564032653999998</v>
      </c>
      <c r="X331" s="9"/>
      <c r="Y331" s="22">
        <v>0.183563</v>
      </c>
      <c r="Z331" s="22">
        <v>234.36099999999999</v>
      </c>
      <c r="AA331" s="22">
        <v>-1.7095900000000001E-2</v>
      </c>
      <c r="AB331" s="22">
        <v>321</v>
      </c>
      <c r="AC331" s="22">
        <v>0.18298300000000001</v>
      </c>
      <c r="AD331">
        <f t="shared" si="52"/>
        <v>17.0959</v>
      </c>
      <c r="AE331">
        <f t="shared" si="53"/>
        <v>3.1381746917000002</v>
      </c>
      <c r="AF331" s="9"/>
      <c r="AG331" s="22">
        <v>1.5164200000000001</v>
      </c>
      <c r="AH331" s="22">
        <v>366.69400000000002</v>
      </c>
      <c r="AI331" s="22">
        <v>-1.61713E-2</v>
      </c>
      <c r="AJ331" s="22">
        <v>321</v>
      </c>
      <c r="AK331" s="22">
        <v>1.5158100000000001</v>
      </c>
      <c r="AL331">
        <f t="shared" si="54"/>
        <v>16.171299999999999</v>
      </c>
      <c r="AM331">
        <f t="shared" si="55"/>
        <v>24.522482745999998</v>
      </c>
      <c r="AP331" s="9"/>
      <c r="AQ331" s="22">
        <v>0.183563</v>
      </c>
      <c r="AR331" s="22">
        <v>435.78399999999999</v>
      </c>
      <c r="AS331" s="22">
        <v>-1.7062399999999998E-2</v>
      </c>
      <c r="AT331" s="22">
        <v>321</v>
      </c>
      <c r="AU331" s="22">
        <v>0.182861</v>
      </c>
      <c r="AV331">
        <f t="shared" si="56"/>
        <v>17.062399999999997</v>
      </c>
      <c r="AW331">
        <f t="shared" si="57"/>
        <v>3.1320253311999995</v>
      </c>
      <c r="AX331" s="9"/>
      <c r="AY331" s="22">
        <v>1.5164200000000001</v>
      </c>
      <c r="AZ331" s="22">
        <v>496.61700000000002</v>
      </c>
      <c r="BA331" s="22">
        <v>-1.6149899999999998E-2</v>
      </c>
      <c r="BB331" s="22">
        <v>321</v>
      </c>
      <c r="BC331" s="22">
        <v>1.5152000000000001</v>
      </c>
      <c r="BD331">
        <f t="shared" si="58"/>
        <v>16.149899999999999</v>
      </c>
      <c r="BE331">
        <f t="shared" si="59"/>
        <v>24.490031358</v>
      </c>
    </row>
    <row r="332" spans="6:57">
      <c r="F332" s="9"/>
      <c r="G332" s="22">
        <v>0.17852799999999999</v>
      </c>
      <c r="H332" s="22">
        <v>59.948300000000003</v>
      </c>
      <c r="I332" s="22">
        <v>7.1319599999999997E-2</v>
      </c>
      <c r="J332" s="22">
        <v>322</v>
      </c>
      <c r="K332" s="22">
        <v>7.9650899999999997E-2</v>
      </c>
      <c r="L332">
        <f t="shared" ref="L332:L388" si="60">-I332/$F$2*1000</f>
        <v>-71.319599999999994</v>
      </c>
      <c r="M332">
        <f t="shared" ref="M332:M388" si="61">L332*G332</f>
        <v>-12.732545548799999</v>
      </c>
      <c r="N332" s="9"/>
      <c r="O332" s="22">
        <v>1.52145</v>
      </c>
      <c r="P332" s="22">
        <v>170.875</v>
      </c>
      <c r="Q332" s="22">
        <v>-1.6189599999999998E-2</v>
      </c>
      <c r="R332" s="22">
        <v>322</v>
      </c>
      <c r="S332" s="22">
        <v>1.5203899999999999</v>
      </c>
      <c r="T332">
        <f t="shared" ref="T332:T388" si="62">-Q332/$F$2*1000</f>
        <v>16.189599999999999</v>
      </c>
      <c r="U332">
        <f t="shared" ref="U332:U388" si="63">T332*O332</f>
        <v>24.631666919999997</v>
      </c>
      <c r="X332" s="9"/>
      <c r="Y332" s="22">
        <v>0.17852799999999999</v>
      </c>
      <c r="Z332" s="22">
        <v>234.46100000000001</v>
      </c>
      <c r="AA332" s="22">
        <v>-1.7092900000000001E-2</v>
      </c>
      <c r="AB332" s="22">
        <v>322</v>
      </c>
      <c r="AC332" s="22">
        <v>0.17785599999999999</v>
      </c>
      <c r="AD332">
        <f t="shared" ref="AD332:AD388" si="64">-AA332/$F$2*1000</f>
        <v>17.0929</v>
      </c>
      <c r="AE332">
        <f t="shared" ref="AE332:AE388" si="65">AD332*Y332</f>
        <v>3.0515612511999999</v>
      </c>
      <c r="AF332" s="9"/>
      <c r="AG332" s="22">
        <v>1.52145</v>
      </c>
      <c r="AH332" s="22">
        <v>366.79500000000002</v>
      </c>
      <c r="AI332" s="22">
        <v>-1.6165200000000001E-2</v>
      </c>
      <c r="AJ332" s="22">
        <v>322</v>
      </c>
      <c r="AK332" s="22">
        <v>1.5206900000000001</v>
      </c>
      <c r="AL332">
        <f t="shared" ref="AL332:AL388" si="66">-AI332/$F$2*1000</f>
        <v>16.165200000000002</v>
      </c>
      <c r="AM332">
        <f t="shared" ref="AM332:AM388" si="67">AL332*AG332</f>
        <v>24.594543540000004</v>
      </c>
      <c r="AP332" s="9"/>
      <c r="AQ332" s="22">
        <v>0.17852799999999999</v>
      </c>
      <c r="AR332" s="22">
        <v>435.88499999999999</v>
      </c>
      <c r="AS332" s="22">
        <v>-1.7065400000000001E-2</v>
      </c>
      <c r="AT332" s="22">
        <v>322</v>
      </c>
      <c r="AU332" s="22">
        <v>0.17776500000000001</v>
      </c>
      <c r="AV332">
        <f t="shared" ref="AV332:AV388" si="68">-AS332/$F$2*1000</f>
        <v>17.0654</v>
      </c>
      <c r="AW332">
        <f t="shared" ref="AW332:AW388" si="69">AV332*AQ332</f>
        <v>3.0466517311999999</v>
      </c>
      <c r="AX332" s="9"/>
      <c r="AY332" s="22">
        <v>1.52145</v>
      </c>
      <c r="AZ332" s="22">
        <v>496.71800000000002</v>
      </c>
      <c r="BA332" s="22">
        <v>-1.6137700000000001E-2</v>
      </c>
      <c r="BB332" s="22">
        <v>322</v>
      </c>
      <c r="BC332" s="22">
        <v>1.5203899999999999</v>
      </c>
      <c r="BD332">
        <f t="shared" ref="BD332:BD388" si="70">-BA332/$F$2*1000</f>
        <v>16.137700000000002</v>
      </c>
      <c r="BE332">
        <f t="shared" ref="BE332:BE388" si="71">BD332*AY332</f>
        <v>24.552703665000003</v>
      </c>
    </row>
    <row r="333" spans="6:57">
      <c r="F333" s="9"/>
      <c r="G333" s="22">
        <v>0.17349200000000001</v>
      </c>
      <c r="H333" s="22">
        <v>60.049100000000003</v>
      </c>
      <c r="I333" s="22">
        <v>7.0568800000000001E-2</v>
      </c>
      <c r="J333" s="22">
        <v>323</v>
      </c>
      <c r="K333" s="22">
        <v>7.9711900000000002E-2</v>
      </c>
      <c r="L333">
        <f t="shared" si="60"/>
        <v>-70.568799999999996</v>
      </c>
      <c r="M333">
        <f t="shared" si="61"/>
        <v>-12.243122249599999</v>
      </c>
      <c r="N333" s="9"/>
      <c r="O333" s="22">
        <v>1.5264899999999999</v>
      </c>
      <c r="P333" s="22">
        <v>170.976</v>
      </c>
      <c r="Q333" s="22">
        <v>-1.6180400000000001E-2</v>
      </c>
      <c r="R333" s="22">
        <v>323</v>
      </c>
      <c r="S333" s="22">
        <v>1.5255700000000001</v>
      </c>
      <c r="T333">
        <f t="shared" si="62"/>
        <v>16.180400000000002</v>
      </c>
      <c r="U333">
        <f t="shared" si="63"/>
        <v>24.699218796</v>
      </c>
      <c r="X333" s="9"/>
      <c r="Y333" s="22">
        <v>0.17349200000000001</v>
      </c>
      <c r="Z333" s="22">
        <v>234.56200000000001</v>
      </c>
      <c r="AA333" s="22">
        <v>-1.7102099999999999E-2</v>
      </c>
      <c r="AB333" s="22">
        <v>323</v>
      </c>
      <c r="AC333" s="22">
        <v>0.17276</v>
      </c>
      <c r="AD333">
        <f t="shared" si="64"/>
        <v>17.1021</v>
      </c>
      <c r="AE333">
        <f t="shared" si="65"/>
        <v>2.9670775332000003</v>
      </c>
      <c r="AF333" s="9"/>
      <c r="AG333" s="22">
        <v>1.5264899999999999</v>
      </c>
      <c r="AH333" s="22">
        <v>366.89499999999998</v>
      </c>
      <c r="AI333" s="22">
        <v>-1.6156E-2</v>
      </c>
      <c r="AJ333" s="22">
        <v>323</v>
      </c>
      <c r="AK333" s="22">
        <v>1.5258799999999999</v>
      </c>
      <c r="AL333">
        <f t="shared" si="66"/>
        <v>16.155999999999999</v>
      </c>
      <c r="AM333">
        <f t="shared" si="67"/>
        <v>24.661972439999996</v>
      </c>
      <c r="AP333" s="9"/>
      <c r="AQ333" s="22">
        <v>0.17349200000000001</v>
      </c>
      <c r="AR333" s="22">
        <v>435.98500000000001</v>
      </c>
      <c r="AS333" s="22">
        <v>-1.70715E-2</v>
      </c>
      <c r="AT333" s="22">
        <v>323</v>
      </c>
      <c r="AU333" s="22">
        <v>0.17276</v>
      </c>
      <c r="AV333">
        <f t="shared" si="68"/>
        <v>17.0715</v>
      </c>
      <c r="AW333">
        <f t="shared" si="69"/>
        <v>2.9617686780000003</v>
      </c>
      <c r="AX333" s="9"/>
      <c r="AY333" s="22">
        <v>1.5264899999999999</v>
      </c>
      <c r="AZ333" s="22">
        <v>496.81799999999998</v>
      </c>
      <c r="BA333" s="22">
        <v>-1.6131599999999999E-2</v>
      </c>
      <c r="BB333" s="22">
        <v>323</v>
      </c>
      <c r="BC333" s="22">
        <v>1.5255700000000001</v>
      </c>
      <c r="BD333">
        <f t="shared" si="70"/>
        <v>16.131599999999999</v>
      </c>
      <c r="BE333">
        <f t="shared" si="71"/>
        <v>24.624726083999995</v>
      </c>
    </row>
    <row r="334" spans="6:57">
      <c r="F334" s="9"/>
      <c r="G334" s="22">
        <v>0.168457</v>
      </c>
      <c r="H334" s="22">
        <v>60.149799999999999</v>
      </c>
      <c r="I334" s="22">
        <v>7.0581099999999994E-2</v>
      </c>
      <c r="J334" s="22">
        <v>324</v>
      </c>
      <c r="K334" s="22">
        <v>7.9681399999999999E-2</v>
      </c>
      <c r="L334">
        <f t="shared" si="60"/>
        <v>-70.581099999999992</v>
      </c>
      <c r="M334">
        <f t="shared" si="61"/>
        <v>-11.889880362699998</v>
      </c>
      <c r="N334" s="9"/>
      <c r="O334" s="22">
        <v>1.53152</v>
      </c>
      <c r="P334" s="22">
        <v>171.077</v>
      </c>
      <c r="Q334" s="22">
        <v>-1.6177400000000002E-2</v>
      </c>
      <c r="R334" s="22">
        <v>324</v>
      </c>
      <c r="S334" s="22">
        <v>1.5301499999999999</v>
      </c>
      <c r="T334">
        <f t="shared" si="62"/>
        <v>16.177400000000002</v>
      </c>
      <c r="U334">
        <f t="shared" si="63"/>
        <v>24.776011648000004</v>
      </c>
      <c r="X334" s="9"/>
      <c r="Y334" s="22">
        <v>0.168457</v>
      </c>
      <c r="Z334" s="22">
        <v>234.66300000000001</v>
      </c>
      <c r="AA334" s="22">
        <v>-1.7105100000000002E-2</v>
      </c>
      <c r="AB334" s="22">
        <v>324</v>
      </c>
      <c r="AC334" s="22">
        <v>0.167542</v>
      </c>
      <c r="AD334">
        <f t="shared" si="64"/>
        <v>17.1051</v>
      </c>
      <c r="AE334">
        <f t="shared" si="65"/>
        <v>2.8814738307000001</v>
      </c>
      <c r="AF334" s="9"/>
      <c r="AG334" s="22">
        <v>1.53152</v>
      </c>
      <c r="AH334" s="22">
        <v>366.99599999999998</v>
      </c>
      <c r="AI334" s="22">
        <v>-1.61438E-2</v>
      </c>
      <c r="AJ334" s="22">
        <v>324</v>
      </c>
      <c r="AK334" s="22">
        <v>1.5307599999999999</v>
      </c>
      <c r="AL334">
        <f t="shared" si="66"/>
        <v>16.143799999999999</v>
      </c>
      <c r="AM334">
        <f t="shared" si="67"/>
        <v>24.724552575999997</v>
      </c>
      <c r="AP334" s="9"/>
      <c r="AQ334" s="22">
        <v>0.168457</v>
      </c>
      <c r="AR334" s="22">
        <v>436.08600000000001</v>
      </c>
      <c r="AS334" s="22">
        <v>-1.70715E-2</v>
      </c>
      <c r="AT334" s="22">
        <v>324</v>
      </c>
      <c r="AU334" s="22">
        <v>0.167847</v>
      </c>
      <c r="AV334">
        <f t="shared" si="68"/>
        <v>17.0715</v>
      </c>
      <c r="AW334">
        <f t="shared" si="69"/>
        <v>2.8758136754999999</v>
      </c>
      <c r="AX334" s="9"/>
      <c r="AY334" s="22">
        <v>1.53152</v>
      </c>
      <c r="AZ334" s="22">
        <v>496.91899999999998</v>
      </c>
      <c r="BA334" s="22">
        <v>-1.6125500000000001E-2</v>
      </c>
      <c r="BB334" s="22">
        <v>324</v>
      </c>
      <c r="BC334" s="22">
        <v>1.5310699999999999</v>
      </c>
      <c r="BD334">
        <f t="shared" si="70"/>
        <v>16.125500000000002</v>
      </c>
      <c r="BE334">
        <f t="shared" si="71"/>
        <v>24.696525760000004</v>
      </c>
    </row>
    <row r="335" spans="6:57">
      <c r="F335" s="9"/>
      <c r="G335" s="22">
        <v>0.16342200000000001</v>
      </c>
      <c r="H335" s="22">
        <v>60.250500000000002</v>
      </c>
      <c r="I335" s="22">
        <v>7.0550500000000002E-2</v>
      </c>
      <c r="J335" s="22">
        <v>325</v>
      </c>
      <c r="K335" s="22">
        <v>7.9620399999999994E-2</v>
      </c>
      <c r="L335">
        <f t="shared" si="60"/>
        <v>-70.5505</v>
      </c>
      <c r="M335">
        <f t="shared" si="61"/>
        <v>-11.529503811000001</v>
      </c>
      <c r="N335" s="9"/>
      <c r="O335" s="22">
        <v>1.5365599999999999</v>
      </c>
      <c r="P335" s="22">
        <v>171.17699999999999</v>
      </c>
      <c r="Q335" s="22">
        <v>-1.6162099999999999E-2</v>
      </c>
      <c r="R335" s="22">
        <v>325</v>
      </c>
      <c r="S335" s="22">
        <v>1.5362499999999999</v>
      </c>
      <c r="T335">
        <f t="shared" si="62"/>
        <v>16.162099999999999</v>
      </c>
      <c r="U335">
        <f t="shared" si="63"/>
        <v>24.834036375999997</v>
      </c>
      <c r="X335" s="9"/>
      <c r="Y335" s="22">
        <v>0.16342200000000001</v>
      </c>
      <c r="Z335" s="22">
        <v>234.76300000000001</v>
      </c>
      <c r="AA335" s="22">
        <v>-1.71112E-2</v>
      </c>
      <c r="AB335" s="22">
        <v>325</v>
      </c>
      <c r="AC335" s="22">
        <v>0.162689</v>
      </c>
      <c r="AD335">
        <f t="shared" si="64"/>
        <v>17.1112</v>
      </c>
      <c r="AE335">
        <f t="shared" si="65"/>
        <v>2.7963465264000003</v>
      </c>
      <c r="AF335" s="9"/>
      <c r="AG335" s="22">
        <v>1.5365599999999999</v>
      </c>
      <c r="AH335" s="22">
        <v>367.09699999999998</v>
      </c>
      <c r="AI335" s="22">
        <v>-1.6134599999999999E-2</v>
      </c>
      <c r="AJ335" s="22">
        <v>325</v>
      </c>
      <c r="AK335" s="22">
        <v>1.5362499999999999</v>
      </c>
      <c r="AL335">
        <f t="shared" si="66"/>
        <v>16.134599999999999</v>
      </c>
      <c r="AM335">
        <f t="shared" si="67"/>
        <v>24.791780975999998</v>
      </c>
      <c r="AP335" s="9"/>
      <c r="AQ335" s="22">
        <v>0.16342200000000001</v>
      </c>
      <c r="AR335" s="22">
        <v>436.18700000000001</v>
      </c>
      <c r="AS335" s="22">
        <v>-1.7074599999999999E-2</v>
      </c>
      <c r="AT335" s="22">
        <v>325</v>
      </c>
      <c r="AU335" s="22">
        <v>0.162659</v>
      </c>
      <c r="AV335">
        <f t="shared" si="68"/>
        <v>17.0746</v>
      </c>
      <c r="AW335">
        <f t="shared" si="69"/>
        <v>2.7903652812000002</v>
      </c>
      <c r="AX335" s="9"/>
      <c r="AY335" s="22">
        <v>1.5365599999999999</v>
      </c>
      <c r="AZ335" s="22">
        <v>497.02</v>
      </c>
      <c r="BA335" s="22">
        <v>-1.6119399999999999E-2</v>
      </c>
      <c r="BB335" s="22">
        <v>325</v>
      </c>
      <c r="BC335" s="22">
        <v>1.5350299999999999</v>
      </c>
      <c r="BD335">
        <f t="shared" si="70"/>
        <v>16.119399999999999</v>
      </c>
      <c r="BE335">
        <f t="shared" si="71"/>
        <v>24.768425263999998</v>
      </c>
    </row>
    <row r="336" spans="6:57">
      <c r="F336" s="9"/>
      <c r="G336" s="22">
        <v>0.158386</v>
      </c>
      <c r="H336" s="22">
        <v>60.351199999999999</v>
      </c>
      <c r="I336" s="22">
        <v>7.0578000000000002E-2</v>
      </c>
      <c r="J336" s="22">
        <v>326</v>
      </c>
      <c r="K336" s="22">
        <v>7.9681399999999999E-2</v>
      </c>
      <c r="L336">
        <f t="shared" si="60"/>
        <v>-70.578000000000003</v>
      </c>
      <c r="M336">
        <f t="shared" si="61"/>
        <v>-11.178567108000001</v>
      </c>
      <c r="N336" s="9"/>
      <c r="O336" s="22">
        <v>1.5416000000000001</v>
      </c>
      <c r="P336" s="22">
        <v>171.27799999999999</v>
      </c>
      <c r="Q336" s="22">
        <v>-1.6153000000000001E-2</v>
      </c>
      <c r="R336" s="22">
        <v>326</v>
      </c>
      <c r="S336" s="22">
        <v>1.5408299999999999</v>
      </c>
      <c r="T336">
        <f t="shared" si="62"/>
        <v>16.153000000000002</v>
      </c>
      <c r="U336">
        <f t="shared" si="63"/>
        <v>24.901464800000007</v>
      </c>
      <c r="X336" s="9"/>
      <c r="Y336" s="22">
        <v>0.158386</v>
      </c>
      <c r="Z336" s="22">
        <v>234.864</v>
      </c>
      <c r="AA336" s="22">
        <v>-1.71112E-2</v>
      </c>
      <c r="AB336" s="22">
        <v>326</v>
      </c>
      <c r="AC336" s="22">
        <v>0.157776</v>
      </c>
      <c r="AD336">
        <f t="shared" si="64"/>
        <v>17.1112</v>
      </c>
      <c r="AE336">
        <f t="shared" si="65"/>
        <v>2.7101745232000001</v>
      </c>
      <c r="AF336" s="9"/>
      <c r="AG336" s="22">
        <v>1.5416000000000001</v>
      </c>
      <c r="AH336" s="22">
        <v>367.197</v>
      </c>
      <c r="AI336" s="22">
        <v>-1.6125500000000001E-2</v>
      </c>
      <c r="AJ336" s="22">
        <v>326</v>
      </c>
      <c r="AK336" s="22">
        <v>1.54175</v>
      </c>
      <c r="AL336">
        <f t="shared" si="66"/>
        <v>16.125500000000002</v>
      </c>
      <c r="AM336">
        <f t="shared" si="67"/>
        <v>24.859070800000005</v>
      </c>
      <c r="AP336" s="9"/>
      <c r="AQ336" s="22">
        <v>0.158386</v>
      </c>
      <c r="AR336" s="22">
        <v>436.28699999999998</v>
      </c>
      <c r="AS336" s="22">
        <v>-1.7074599999999999E-2</v>
      </c>
      <c r="AT336" s="22">
        <v>326</v>
      </c>
      <c r="AU336" s="22">
        <v>0.15792800000000001</v>
      </c>
      <c r="AV336">
        <f t="shared" si="68"/>
        <v>17.0746</v>
      </c>
      <c r="AW336">
        <f t="shared" si="69"/>
        <v>2.7043775956</v>
      </c>
      <c r="AX336" s="9"/>
      <c r="AY336" s="22">
        <v>1.5416000000000001</v>
      </c>
      <c r="AZ336" s="22">
        <v>497.12</v>
      </c>
      <c r="BA336" s="22">
        <v>-1.6098000000000001E-2</v>
      </c>
      <c r="BB336" s="22">
        <v>326</v>
      </c>
      <c r="BC336" s="22">
        <v>1.54114</v>
      </c>
      <c r="BD336">
        <f t="shared" si="70"/>
        <v>16.098000000000003</v>
      </c>
      <c r="BE336">
        <f t="shared" si="71"/>
        <v>24.816676800000007</v>
      </c>
    </row>
    <row r="337" spans="6:57">
      <c r="F337" s="9"/>
      <c r="G337" s="22">
        <v>0.15335099999999999</v>
      </c>
      <c r="H337" s="22">
        <v>60.451900000000002</v>
      </c>
      <c r="I337" s="22">
        <v>7.0519999999999999E-2</v>
      </c>
      <c r="J337" s="22">
        <v>327</v>
      </c>
      <c r="K337" s="22">
        <v>7.9650899999999997E-2</v>
      </c>
      <c r="L337">
        <f t="shared" si="60"/>
        <v>-70.52</v>
      </c>
      <c r="M337">
        <f t="shared" si="61"/>
        <v>-10.814312519999998</v>
      </c>
      <c r="N337" s="9"/>
      <c r="O337" s="22">
        <v>1.5466299999999999</v>
      </c>
      <c r="P337" s="22">
        <v>171.37899999999999</v>
      </c>
      <c r="Q337" s="22">
        <v>-1.6134599999999999E-2</v>
      </c>
      <c r="R337" s="22">
        <v>327</v>
      </c>
      <c r="S337" s="22">
        <v>1.54572</v>
      </c>
      <c r="T337">
        <f t="shared" si="62"/>
        <v>16.134599999999999</v>
      </c>
      <c r="U337">
        <f t="shared" si="63"/>
        <v>24.954256397999998</v>
      </c>
      <c r="X337" s="9"/>
      <c r="Y337" s="22">
        <v>0.15335099999999999</v>
      </c>
      <c r="Z337" s="22">
        <v>234.965</v>
      </c>
      <c r="AA337" s="22">
        <v>-1.71082E-2</v>
      </c>
      <c r="AB337" s="22">
        <v>327</v>
      </c>
      <c r="AC337" s="22">
        <v>0.15280199999999999</v>
      </c>
      <c r="AD337">
        <f t="shared" si="64"/>
        <v>17.1082</v>
      </c>
      <c r="AE337">
        <f t="shared" si="65"/>
        <v>2.6235595781999996</v>
      </c>
      <c r="AF337" s="9"/>
      <c r="AG337" s="22">
        <v>1.5466299999999999</v>
      </c>
      <c r="AH337" s="22">
        <v>367.298</v>
      </c>
      <c r="AI337" s="22">
        <v>-1.6110200000000002E-2</v>
      </c>
      <c r="AJ337" s="22">
        <v>327</v>
      </c>
      <c r="AK337" s="22">
        <v>1.54572</v>
      </c>
      <c r="AL337">
        <f t="shared" si="66"/>
        <v>16.110200000000003</v>
      </c>
      <c r="AM337">
        <f t="shared" si="67"/>
        <v>24.916518626000002</v>
      </c>
      <c r="AP337" s="9"/>
      <c r="AQ337" s="22">
        <v>0.15335099999999999</v>
      </c>
      <c r="AR337" s="22">
        <v>436.38799999999998</v>
      </c>
      <c r="AS337" s="22">
        <v>-1.7077599999999998E-2</v>
      </c>
      <c r="AT337" s="22">
        <v>327</v>
      </c>
      <c r="AU337" s="22">
        <v>0.15267900000000001</v>
      </c>
      <c r="AV337">
        <f t="shared" si="68"/>
        <v>17.077599999999997</v>
      </c>
      <c r="AW337">
        <f t="shared" si="69"/>
        <v>2.6188670375999994</v>
      </c>
      <c r="AX337" s="9"/>
      <c r="AY337" s="22">
        <v>1.5466299999999999</v>
      </c>
      <c r="AZ337" s="22">
        <v>497.221</v>
      </c>
      <c r="BA337" s="22">
        <v>-1.6095000000000002E-2</v>
      </c>
      <c r="BB337" s="22">
        <v>327</v>
      </c>
      <c r="BC337" s="22">
        <v>1.54541</v>
      </c>
      <c r="BD337">
        <f t="shared" si="70"/>
        <v>16.095000000000002</v>
      </c>
      <c r="BE337">
        <f t="shared" si="71"/>
        <v>24.893009850000002</v>
      </c>
    </row>
    <row r="338" spans="6:57">
      <c r="F338" s="9"/>
      <c r="G338" s="22">
        <v>0.148315</v>
      </c>
      <c r="H338" s="22">
        <v>60.552599999999998</v>
      </c>
      <c r="I338" s="22">
        <v>7.0519999999999999E-2</v>
      </c>
      <c r="J338" s="22">
        <v>328</v>
      </c>
      <c r="K338" s="22">
        <v>7.9742400000000005E-2</v>
      </c>
      <c r="L338">
        <f t="shared" si="60"/>
        <v>-70.52</v>
      </c>
      <c r="M338">
        <f t="shared" si="61"/>
        <v>-10.4591738</v>
      </c>
      <c r="N338" s="9"/>
      <c r="O338" s="22">
        <v>1.5516700000000001</v>
      </c>
      <c r="P338" s="22">
        <v>171.47900000000001</v>
      </c>
      <c r="Q338" s="22">
        <v>-1.6113300000000001E-2</v>
      </c>
      <c r="R338" s="22">
        <v>328</v>
      </c>
      <c r="S338" s="22">
        <v>1.5502899999999999</v>
      </c>
      <c r="T338">
        <f t="shared" si="62"/>
        <v>16.113299999999999</v>
      </c>
      <c r="U338">
        <f t="shared" si="63"/>
        <v>25.002524211000001</v>
      </c>
      <c r="X338" s="9"/>
      <c r="Y338" s="22">
        <v>0.148315</v>
      </c>
      <c r="Z338" s="22">
        <v>235.065</v>
      </c>
      <c r="AA338" s="22">
        <v>-1.7117299999999998E-2</v>
      </c>
      <c r="AB338" s="22">
        <v>328</v>
      </c>
      <c r="AC338" s="22">
        <v>0.14743000000000001</v>
      </c>
      <c r="AD338">
        <f t="shared" si="64"/>
        <v>17.1173</v>
      </c>
      <c r="AE338">
        <f t="shared" si="65"/>
        <v>2.5387523495000002</v>
      </c>
      <c r="AF338" s="9"/>
      <c r="AG338" s="22">
        <v>1.5516700000000001</v>
      </c>
      <c r="AH338" s="22">
        <v>367.399</v>
      </c>
      <c r="AI338" s="22">
        <v>-1.6091899999999999E-2</v>
      </c>
      <c r="AJ338" s="22">
        <v>328</v>
      </c>
      <c r="AK338" s="22">
        <v>1.5502899999999999</v>
      </c>
      <c r="AL338">
        <f t="shared" si="66"/>
        <v>16.091899999999999</v>
      </c>
      <c r="AM338">
        <f t="shared" si="67"/>
        <v>24.969318473000001</v>
      </c>
      <c r="AP338" s="9"/>
      <c r="AQ338" s="22">
        <v>0.148315</v>
      </c>
      <c r="AR338" s="22">
        <v>436.48899999999998</v>
      </c>
      <c r="AS338" s="22">
        <v>-1.7086799999999999E-2</v>
      </c>
      <c r="AT338" s="22">
        <v>328</v>
      </c>
      <c r="AU338" s="22">
        <v>0.14779700000000001</v>
      </c>
      <c r="AV338">
        <f t="shared" si="68"/>
        <v>17.0868</v>
      </c>
      <c r="AW338">
        <f t="shared" si="69"/>
        <v>2.5342287420000003</v>
      </c>
      <c r="AX338" s="9"/>
      <c r="AY338" s="22">
        <v>1.5516700000000001</v>
      </c>
      <c r="AZ338" s="22">
        <v>497.322</v>
      </c>
      <c r="BA338" s="22">
        <v>-1.60736E-2</v>
      </c>
      <c r="BB338" s="22">
        <v>328</v>
      </c>
      <c r="BC338" s="22">
        <v>1.5506</v>
      </c>
      <c r="BD338">
        <f t="shared" si="70"/>
        <v>16.073599999999999</v>
      </c>
      <c r="BE338">
        <f t="shared" si="71"/>
        <v>24.940922912000001</v>
      </c>
    </row>
    <row r="339" spans="6:57">
      <c r="F339" s="9"/>
      <c r="G339" s="22">
        <v>0.14327999999999999</v>
      </c>
      <c r="H339" s="22">
        <v>60.653300000000002</v>
      </c>
      <c r="I339" s="22">
        <v>7.0452899999999999E-2</v>
      </c>
      <c r="J339" s="22">
        <v>329</v>
      </c>
      <c r="K339" s="22">
        <v>7.9650899999999997E-2</v>
      </c>
      <c r="L339">
        <f t="shared" si="60"/>
        <v>-70.4529</v>
      </c>
      <c r="M339">
        <f t="shared" si="61"/>
        <v>-10.094491511999999</v>
      </c>
      <c r="N339" s="9"/>
      <c r="O339" s="22">
        <v>1.5567</v>
      </c>
      <c r="P339" s="22">
        <v>171.58</v>
      </c>
      <c r="Q339" s="22">
        <v>-1.6095000000000002E-2</v>
      </c>
      <c r="R339" s="22">
        <v>329</v>
      </c>
      <c r="S339" s="22">
        <v>1.55487</v>
      </c>
      <c r="T339">
        <f t="shared" si="62"/>
        <v>16.095000000000002</v>
      </c>
      <c r="U339">
        <f t="shared" si="63"/>
        <v>25.055086500000002</v>
      </c>
      <c r="X339" s="9"/>
      <c r="Y339" s="22">
        <v>0.14327999999999999</v>
      </c>
      <c r="Z339" s="22">
        <v>235.166</v>
      </c>
      <c r="AA339" s="22">
        <v>-1.71234E-2</v>
      </c>
      <c r="AB339" s="22">
        <v>329</v>
      </c>
      <c r="AC339" s="22">
        <v>0.14257800000000001</v>
      </c>
      <c r="AD339">
        <f t="shared" si="64"/>
        <v>17.1234</v>
      </c>
      <c r="AE339">
        <f t="shared" si="65"/>
        <v>2.4534407519999997</v>
      </c>
      <c r="AF339" s="9"/>
      <c r="AG339" s="22">
        <v>1.5567</v>
      </c>
      <c r="AH339" s="22">
        <v>367.49900000000002</v>
      </c>
      <c r="AI339" s="22">
        <v>-1.6076699999999999E-2</v>
      </c>
      <c r="AJ339" s="22">
        <v>329</v>
      </c>
      <c r="AK339" s="22">
        <v>1.55609</v>
      </c>
      <c r="AL339">
        <f t="shared" si="66"/>
        <v>16.076699999999999</v>
      </c>
      <c r="AM339">
        <f t="shared" si="67"/>
        <v>25.026598889999999</v>
      </c>
      <c r="AP339" s="9"/>
      <c r="AQ339" s="22">
        <v>0.14327999999999999</v>
      </c>
      <c r="AR339" s="22">
        <v>436.59</v>
      </c>
      <c r="AS339" s="22">
        <v>-1.7089799999999999E-2</v>
      </c>
      <c r="AT339" s="22">
        <v>329</v>
      </c>
      <c r="AU339" s="22">
        <v>0.142761</v>
      </c>
      <c r="AV339">
        <f t="shared" si="68"/>
        <v>17.0898</v>
      </c>
      <c r="AW339">
        <f t="shared" si="69"/>
        <v>2.4486265439999997</v>
      </c>
      <c r="AX339" s="9"/>
      <c r="AY339" s="22">
        <v>1.5567</v>
      </c>
      <c r="AZ339" s="22">
        <v>497.423</v>
      </c>
      <c r="BA339" s="22">
        <v>-1.6064499999999999E-2</v>
      </c>
      <c r="BB339" s="22">
        <v>329</v>
      </c>
      <c r="BC339" s="22">
        <v>1.55548</v>
      </c>
      <c r="BD339">
        <f t="shared" si="70"/>
        <v>16.064499999999999</v>
      </c>
      <c r="BE339">
        <f t="shared" si="71"/>
        <v>25.007607149999998</v>
      </c>
    </row>
    <row r="340" spans="6:57">
      <c r="F340" s="9"/>
      <c r="G340" s="22">
        <v>0.13824500000000001</v>
      </c>
      <c r="H340" s="22">
        <v>60.753999999999998</v>
      </c>
      <c r="I340" s="22">
        <v>7.0519999999999999E-2</v>
      </c>
      <c r="J340" s="22">
        <v>330</v>
      </c>
      <c r="K340" s="22">
        <v>7.9650899999999997E-2</v>
      </c>
      <c r="L340">
        <f t="shared" si="60"/>
        <v>-70.52</v>
      </c>
      <c r="M340">
        <f t="shared" si="61"/>
        <v>-9.7490374000000006</v>
      </c>
      <c r="N340" s="9"/>
      <c r="O340" s="22">
        <v>1.5617399999999999</v>
      </c>
      <c r="P340" s="22">
        <v>171.68100000000001</v>
      </c>
      <c r="Q340" s="22">
        <v>-1.60736E-2</v>
      </c>
      <c r="R340" s="22">
        <v>330</v>
      </c>
      <c r="S340" s="22">
        <v>1.56128</v>
      </c>
      <c r="T340">
        <f t="shared" si="62"/>
        <v>16.073599999999999</v>
      </c>
      <c r="U340">
        <f t="shared" si="63"/>
        <v>25.102784063999998</v>
      </c>
      <c r="X340" s="9"/>
      <c r="Y340" s="22">
        <v>0.13824500000000001</v>
      </c>
      <c r="Z340" s="22">
        <v>235.267</v>
      </c>
      <c r="AA340" s="22">
        <v>-1.71234E-2</v>
      </c>
      <c r="AB340" s="22">
        <v>330</v>
      </c>
      <c r="AC340" s="22">
        <v>0.137604</v>
      </c>
      <c r="AD340">
        <f t="shared" si="64"/>
        <v>17.1234</v>
      </c>
      <c r="AE340">
        <f t="shared" si="65"/>
        <v>2.3672244330000001</v>
      </c>
      <c r="AF340" s="9"/>
      <c r="AG340" s="22">
        <v>1.5617399999999999</v>
      </c>
      <c r="AH340" s="22">
        <v>367.6</v>
      </c>
      <c r="AI340" s="22">
        <v>-1.6067499999999998E-2</v>
      </c>
      <c r="AJ340" s="22">
        <v>330</v>
      </c>
      <c r="AK340" s="22">
        <v>1.56097</v>
      </c>
      <c r="AL340">
        <f t="shared" si="66"/>
        <v>16.067499999999999</v>
      </c>
      <c r="AM340">
        <f t="shared" si="67"/>
        <v>25.093257449999996</v>
      </c>
      <c r="AP340" s="9"/>
      <c r="AQ340" s="22">
        <v>0.13824500000000001</v>
      </c>
      <c r="AR340" s="22">
        <v>436.69</v>
      </c>
      <c r="AS340" s="22">
        <v>-1.7092900000000001E-2</v>
      </c>
      <c r="AT340" s="22">
        <v>330</v>
      </c>
      <c r="AU340" s="22">
        <v>0.137543</v>
      </c>
      <c r="AV340">
        <f t="shared" si="68"/>
        <v>17.0929</v>
      </c>
      <c r="AW340">
        <f t="shared" si="69"/>
        <v>2.3630079605000001</v>
      </c>
      <c r="AX340" s="9"/>
      <c r="AY340" s="22">
        <v>1.5617399999999999</v>
      </c>
      <c r="AZ340" s="22">
        <v>497.52300000000002</v>
      </c>
      <c r="BA340" s="22">
        <v>-1.6052199999999999E-2</v>
      </c>
      <c r="BB340" s="22">
        <v>330</v>
      </c>
      <c r="BC340" s="22">
        <v>1.56067</v>
      </c>
      <c r="BD340">
        <f t="shared" si="70"/>
        <v>16.052199999999999</v>
      </c>
      <c r="BE340">
        <f t="shared" si="71"/>
        <v>25.069362827999996</v>
      </c>
    </row>
    <row r="341" spans="6:57">
      <c r="F341" s="9"/>
      <c r="G341" s="22">
        <v>0.13320899999999999</v>
      </c>
      <c r="H341" s="22">
        <v>60.854700000000001</v>
      </c>
      <c r="I341" s="22">
        <v>7.0486499999999994E-2</v>
      </c>
      <c r="J341" s="22">
        <v>331</v>
      </c>
      <c r="K341" s="22">
        <v>7.9711900000000002E-2</v>
      </c>
      <c r="L341">
        <f t="shared" si="60"/>
        <v>-70.486499999999992</v>
      </c>
      <c r="M341">
        <f t="shared" si="61"/>
        <v>-9.3894361784999987</v>
      </c>
      <c r="N341" s="9"/>
      <c r="O341" s="22">
        <v>1.56677</v>
      </c>
      <c r="P341" s="22">
        <v>171.78200000000001</v>
      </c>
      <c r="Q341" s="22">
        <v>-1.6055300000000002E-2</v>
      </c>
      <c r="R341" s="22">
        <v>331</v>
      </c>
      <c r="S341" s="22">
        <v>1.56616</v>
      </c>
      <c r="T341">
        <f t="shared" si="62"/>
        <v>16.055300000000003</v>
      </c>
      <c r="U341">
        <f t="shared" si="63"/>
        <v>25.154962381000004</v>
      </c>
      <c r="X341" s="9"/>
      <c r="Y341" s="22">
        <v>0.13320899999999999</v>
      </c>
      <c r="Z341" s="22">
        <v>235.36799999999999</v>
      </c>
      <c r="AA341" s="22">
        <v>-1.7129499999999999E-2</v>
      </c>
      <c r="AB341" s="22">
        <v>331</v>
      </c>
      <c r="AC341" s="22">
        <v>0.13256799999999999</v>
      </c>
      <c r="AD341">
        <f t="shared" si="64"/>
        <v>17.1295</v>
      </c>
      <c r="AE341">
        <f t="shared" si="65"/>
        <v>2.2818035654999997</v>
      </c>
      <c r="AF341" s="9"/>
      <c r="AG341" s="22">
        <v>1.56677</v>
      </c>
      <c r="AH341" s="22">
        <v>367.70100000000002</v>
      </c>
      <c r="AI341" s="22">
        <v>-1.60492E-2</v>
      </c>
      <c r="AJ341" s="22">
        <v>331</v>
      </c>
      <c r="AK341" s="22">
        <v>1.56586</v>
      </c>
      <c r="AL341">
        <f t="shared" si="66"/>
        <v>16.049199999999999</v>
      </c>
      <c r="AM341">
        <f t="shared" si="67"/>
        <v>25.145405084</v>
      </c>
      <c r="AP341" s="9"/>
      <c r="AQ341" s="22">
        <v>0.13320899999999999</v>
      </c>
      <c r="AR341" s="22">
        <v>436.791</v>
      </c>
      <c r="AS341" s="22">
        <v>-1.7089799999999999E-2</v>
      </c>
      <c r="AT341" s="22">
        <v>331</v>
      </c>
      <c r="AU341" s="22">
        <v>0.13250700000000001</v>
      </c>
      <c r="AV341">
        <f t="shared" si="68"/>
        <v>17.0898</v>
      </c>
      <c r="AW341">
        <f t="shared" si="69"/>
        <v>2.2765151682</v>
      </c>
      <c r="AX341" s="9"/>
      <c r="AY341" s="22">
        <v>1.56677</v>
      </c>
      <c r="AZ341" s="22">
        <v>497.62400000000002</v>
      </c>
      <c r="BA341" s="22">
        <v>-1.6024799999999999E-2</v>
      </c>
      <c r="BB341" s="22">
        <v>331</v>
      </c>
      <c r="BC341" s="22">
        <v>1.56616</v>
      </c>
      <c r="BD341">
        <f t="shared" si="70"/>
        <v>16.024799999999999</v>
      </c>
      <c r="BE341">
        <f t="shared" si="71"/>
        <v>25.107175895999998</v>
      </c>
    </row>
    <row r="342" spans="6:57">
      <c r="F342" s="9"/>
      <c r="G342" s="22">
        <v>0.12817400000000001</v>
      </c>
      <c r="H342" s="22">
        <v>60.955399999999997</v>
      </c>
      <c r="I342" s="22">
        <v>7.04071E-2</v>
      </c>
      <c r="J342" s="22">
        <v>332</v>
      </c>
      <c r="K342" s="22">
        <v>7.9681399999999999E-2</v>
      </c>
      <c r="L342">
        <f t="shared" si="60"/>
        <v>-70.4071</v>
      </c>
      <c r="M342">
        <f t="shared" si="61"/>
        <v>-9.0243596354000015</v>
      </c>
      <c r="N342" s="9"/>
      <c r="O342" s="22">
        <v>1.5718099999999999</v>
      </c>
      <c r="P342" s="22">
        <v>171.88200000000001</v>
      </c>
      <c r="Q342" s="22">
        <v>-1.60339E-2</v>
      </c>
      <c r="R342" s="22">
        <v>332</v>
      </c>
      <c r="S342" s="22">
        <v>1.57074</v>
      </c>
      <c r="T342">
        <f t="shared" si="62"/>
        <v>16.033899999999999</v>
      </c>
      <c r="U342">
        <f t="shared" si="63"/>
        <v>25.202244358999998</v>
      </c>
      <c r="X342" s="9"/>
      <c r="Y342" s="22">
        <v>0.12817400000000001</v>
      </c>
      <c r="Z342" s="22">
        <v>235.46799999999999</v>
      </c>
      <c r="AA342" s="22">
        <v>-1.71234E-2</v>
      </c>
      <c r="AB342" s="22">
        <v>332</v>
      </c>
      <c r="AC342" s="22">
        <v>0.12762499999999999</v>
      </c>
      <c r="AD342">
        <f t="shared" si="64"/>
        <v>17.1234</v>
      </c>
      <c r="AE342">
        <f t="shared" si="65"/>
        <v>2.1947746716000003</v>
      </c>
      <c r="AF342" s="9"/>
      <c r="AG342" s="22">
        <v>1.5718099999999999</v>
      </c>
      <c r="AH342" s="22">
        <v>367.80200000000002</v>
      </c>
      <c r="AI342" s="22">
        <v>-1.60217E-2</v>
      </c>
      <c r="AJ342" s="22">
        <v>332</v>
      </c>
      <c r="AK342" s="22">
        <v>1.56982</v>
      </c>
      <c r="AL342">
        <f t="shared" si="66"/>
        <v>16.021699999999999</v>
      </c>
      <c r="AM342">
        <f t="shared" si="67"/>
        <v>25.183068276999997</v>
      </c>
      <c r="AP342" s="9"/>
      <c r="AQ342" s="22">
        <v>0.12817400000000001</v>
      </c>
      <c r="AR342" s="22">
        <v>436.892</v>
      </c>
      <c r="AS342" s="22">
        <v>-1.7089799999999999E-2</v>
      </c>
      <c r="AT342" s="22">
        <v>332</v>
      </c>
      <c r="AU342" s="22">
        <v>0.12753300000000001</v>
      </c>
      <c r="AV342">
        <f t="shared" si="68"/>
        <v>17.0898</v>
      </c>
      <c r="AW342">
        <f t="shared" si="69"/>
        <v>2.1904680252000004</v>
      </c>
      <c r="AX342" s="9"/>
      <c r="AY342" s="22">
        <v>1.5718099999999999</v>
      </c>
      <c r="AZ342" s="22">
        <v>497.72500000000002</v>
      </c>
      <c r="BA342" s="22">
        <v>-1.6012599999999998E-2</v>
      </c>
      <c r="BB342" s="22">
        <v>332</v>
      </c>
      <c r="BC342" s="22">
        <v>1.57074</v>
      </c>
      <c r="BD342">
        <f t="shared" si="70"/>
        <v>16.012599999999999</v>
      </c>
      <c r="BE342">
        <f t="shared" si="71"/>
        <v>25.168764805999999</v>
      </c>
    </row>
    <row r="343" spans="6:57">
      <c r="F343" s="9"/>
      <c r="G343" s="22">
        <v>0.123138</v>
      </c>
      <c r="H343" s="22">
        <v>61.056100000000001</v>
      </c>
      <c r="I343" s="22">
        <v>7.0358299999999999E-2</v>
      </c>
      <c r="J343" s="22">
        <v>333</v>
      </c>
      <c r="K343" s="22">
        <v>7.9620399999999994E-2</v>
      </c>
      <c r="L343">
        <f t="shared" si="60"/>
        <v>-70.3583</v>
      </c>
      <c r="M343">
        <f t="shared" si="61"/>
        <v>-8.6637803453999993</v>
      </c>
      <c r="N343" s="9"/>
      <c r="O343" s="22">
        <v>1.57684</v>
      </c>
      <c r="P343" s="22">
        <v>171.983</v>
      </c>
      <c r="Q343" s="22">
        <v>-1.6012599999999998E-2</v>
      </c>
      <c r="R343" s="22">
        <v>333</v>
      </c>
      <c r="S343" s="22">
        <v>1.5759300000000001</v>
      </c>
      <c r="T343">
        <f t="shared" si="62"/>
        <v>16.012599999999999</v>
      </c>
      <c r="U343">
        <f t="shared" si="63"/>
        <v>25.249308184</v>
      </c>
      <c r="X343" s="9"/>
      <c r="Y343" s="22">
        <v>0.123138</v>
      </c>
      <c r="Z343" s="22">
        <v>235.56899999999999</v>
      </c>
      <c r="AA343" s="22">
        <v>-1.7126499999999999E-2</v>
      </c>
      <c r="AB343" s="22">
        <v>333</v>
      </c>
      <c r="AC343" s="22">
        <v>0.12262000000000001</v>
      </c>
      <c r="AD343">
        <f t="shared" si="64"/>
        <v>17.1265</v>
      </c>
      <c r="AE343">
        <f t="shared" si="65"/>
        <v>2.1089229569999999</v>
      </c>
      <c r="AF343" s="9"/>
      <c r="AG343" s="22">
        <v>1.57684</v>
      </c>
      <c r="AH343" s="22">
        <v>367.90199999999999</v>
      </c>
      <c r="AI343" s="22">
        <v>-1.6003400000000001E-2</v>
      </c>
      <c r="AJ343" s="22">
        <v>333</v>
      </c>
      <c r="AK343" s="22">
        <v>1.5759300000000001</v>
      </c>
      <c r="AL343">
        <f t="shared" si="66"/>
        <v>16.003399999999999</v>
      </c>
      <c r="AM343">
        <f t="shared" si="67"/>
        <v>25.234801256000001</v>
      </c>
      <c r="AP343" s="9"/>
      <c r="AQ343" s="22">
        <v>0.123138</v>
      </c>
      <c r="AR343" s="22">
        <v>436.99200000000002</v>
      </c>
      <c r="AS343" s="22">
        <v>-1.7092900000000001E-2</v>
      </c>
      <c r="AT343" s="22">
        <v>333</v>
      </c>
      <c r="AU343" s="22">
        <v>0.122528</v>
      </c>
      <c r="AV343">
        <f t="shared" si="68"/>
        <v>17.0929</v>
      </c>
      <c r="AW343">
        <f t="shared" si="69"/>
        <v>2.1047855202000001</v>
      </c>
      <c r="AX343" s="9"/>
      <c r="AY343" s="22">
        <v>1.57684</v>
      </c>
      <c r="AZ343" s="22">
        <v>497.82499999999999</v>
      </c>
      <c r="BA343" s="22">
        <v>-1.5988200000000001E-2</v>
      </c>
      <c r="BB343" s="22">
        <v>333</v>
      </c>
      <c r="BC343" s="22">
        <v>1.5759300000000001</v>
      </c>
      <c r="BD343">
        <f t="shared" si="70"/>
        <v>15.988200000000001</v>
      </c>
      <c r="BE343">
        <f t="shared" si="71"/>
        <v>25.210833288</v>
      </c>
    </row>
    <row r="344" spans="6:57">
      <c r="F344" s="9"/>
      <c r="G344" s="22">
        <v>0.118103</v>
      </c>
      <c r="H344" s="22">
        <v>61.156799999999997</v>
      </c>
      <c r="I344" s="22">
        <v>7.0355200000000007E-2</v>
      </c>
      <c r="J344" s="22">
        <v>334</v>
      </c>
      <c r="K344" s="22">
        <v>7.9620399999999994E-2</v>
      </c>
      <c r="L344">
        <f t="shared" si="60"/>
        <v>-70.355200000000011</v>
      </c>
      <c r="M344">
        <f t="shared" si="61"/>
        <v>-8.3091601856000015</v>
      </c>
      <c r="N344" s="9"/>
      <c r="O344" s="22">
        <v>1.58188</v>
      </c>
      <c r="P344" s="22">
        <v>172.084</v>
      </c>
      <c r="Q344" s="22">
        <v>-1.5979E-2</v>
      </c>
      <c r="R344" s="22">
        <v>334</v>
      </c>
      <c r="S344" s="22">
        <v>1.58081</v>
      </c>
      <c r="T344">
        <f t="shared" si="62"/>
        <v>15.979000000000001</v>
      </c>
      <c r="U344">
        <f t="shared" si="63"/>
        <v>25.27686052</v>
      </c>
      <c r="X344" s="9"/>
      <c r="Y344" s="22">
        <v>0.118103</v>
      </c>
      <c r="Z344" s="22">
        <v>235.67</v>
      </c>
      <c r="AA344" s="22">
        <v>-1.7126499999999999E-2</v>
      </c>
      <c r="AB344" s="22">
        <v>334</v>
      </c>
      <c r="AC344" s="22">
        <v>0.117615</v>
      </c>
      <c r="AD344">
        <f t="shared" si="64"/>
        <v>17.1265</v>
      </c>
      <c r="AE344">
        <f t="shared" si="65"/>
        <v>2.0226910294999998</v>
      </c>
      <c r="AF344" s="9"/>
      <c r="AG344" s="22">
        <v>1.58188</v>
      </c>
      <c r="AH344" s="22">
        <v>368.00299999999999</v>
      </c>
      <c r="AI344" s="22">
        <v>-1.5976000000000001E-2</v>
      </c>
      <c r="AJ344" s="22">
        <v>334</v>
      </c>
      <c r="AK344" s="22">
        <v>1.58081</v>
      </c>
      <c r="AL344">
        <f t="shared" si="66"/>
        <v>15.976000000000001</v>
      </c>
      <c r="AM344">
        <f t="shared" si="67"/>
        <v>25.27211488</v>
      </c>
      <c r="AP344" s="9"/>
      <c r="AQ344" s="22">
        <v>0.118103</v>
      </c>
      <c r="AR344" s="22">
        <v>437.09300000000002</v>
      </c>
      <c r="AS344" s="22">
        <v>-1.7102099999999999E-2</v>
      </c>
      <c r="AT344" s="22">
        <v>334</v>
      </c>
      <c r="AU344" s="22">
        <v>0.11734</v>
      </c>
      <c r="AV344">
        <f t="shared" si="68"/>
        <v>17.1021</v>
      </c>
      <c r="AW344">
        <f t="shared" si="69"/>
        <v>2.0198093162999999</v>
      </c>
      <c r="AX344" s="9"/>
      <c r="AY344" s="22">
        <v>1.58188</v>
      </c>
      <c r="AZ344" s="22">
        <v>497.92599999999999</v>
      </c>
      <c r="BA344" s="22">
        <v>-1.5972900000000002E-2</v>
      </c>
      <c r="BB344" s="22">
        <v>334</v>
      </c>
      <c r="BC344" s="22">
        <v>1.5805100000000001</v>
      </c>
      <c r="BD344">
        <f t="shared" si="70"/>
        <v>15.972900000000001</v>
      </c>
      <c r="BE344">
        <f t="shared" si="71"/>
        <v>25.267211052</v>
      </c>
    </row>
    <row r="345" spans="6:57">
      <c r="F345" s="9"/>
      <c r="G345" s="22">
        <v>0.113068</v>
      </c>
      <c r="H345" s="22">
        <v>61.257599999999996</v>
      </c>
      <c r="I345" s="22">
        <v>7.0294200000000001E-2</v>
      </c>
      <c r="J345" s="22">
        <v>335</v>
      </c>
      <c r="K345" s="22">
        <v>7.9620399999999994E-2</v>
      </c>
      <c r="L345">
        <f t="shared" si="60"/>
        <v>-70.294200000000004</v>
      </c>
      <c r="M345">
        <f t="shared" si="61"/>
        <v>-7.9480246056000006</v>
      </c>
      <c r="N345" s="9"/>
      <c r="O345" s="22">
        <v>1.58691</v>
      </c>
      <c r="P345" s="22">
        <v>172.184</v>
      </c>
      <c r="Q345" s="22">
        <v>-1.5948500000000001E-2</v>
      </c>
      <c r="R345" s="22">
        <v>335</v>
      </c>
      <c r="S345" s="22">
        <v>1.58569</v>
      </c>
      <c r="T345">
        <f t="shared" si="62"/>
        <v>15.948500000000001</v>
      </c>
      <c r="U345">
        <f t="shared" si="63"/>
        <v>25.308834135000001</v>
      </c>
      <c r="X345" s="9"/>
      <c r="Y345" s="22">
        <v>0.113068</v>
      </c>
      <c r="Z345" s="22">
        <v>235.77</v>
      </c>
      <c r="AA345" s="22">
        <v>-1.7135600000000001E-2</v>
      </c>
      <c r="AB345" s="22">
        <v>335</v>
      </c>
      <c r="AC345" s="22">
        <v>0.112396</v>
      </c>
      <c r="AD345">
        <f t="shared" si="64"/>
        <v>17.1356</v>
      </c>
      <c r="AE345">
        <f t="shared" si="65"/>
        <v>1.9374880208</v>
      </c>
      <c r="AF345" s="9"/>
      <c r="AG345" s="22">
        <v>1.58691</v>
      </c>
      <c r="AH345" s="22">
        <v>368.10399999999998</v>
      </c>
      <c r="AI345" s="22">
        <v>-1.5948500000000001E-2</v>
      </c>
      <c r="AJ345" s="22">
        <v>335</v>
      </c>
      <c r="AK345" s="22">
        <v>1.5863</v>
      </c>
      <c r="AL345">
        <f t="shared" si="66"/>
        <v>15.948500000000001</v>
      </c>
      <c r="AM345">
        <f t="shared" si="67"/>
        <v>25.308834135000001</v>
      </c>
      <c r="AP345" s="9"/>
      <c r="AQ345" s="22">
        <v>0.113068</v>
      </c>
      <c r="AR345" s="22">
        <v>437.19400000000002</v>
      </c>
      <c r="AS345" s="22">
        <v>-1.7105100000000002E-2</v>
      </c>
      <c r="AT345" s="22">
        <v>335</v>
      </c>
      <c r="AU345" s="22">
        <v>0.112457</v>
      </c>
      <c r="AV345">
        <f t="shared" si="68"/>
        <v>17.1051</v>
      </c>
      <c r="AW345">
        <f t="shared" si="69"/>
        <v>1.9340394468</v>
      </c>
      <c r="AX345" s="9"/>
      <c r="AY345" s="22">
        <v>1.58691</v>
      </c>
      <c r="AZ345" s="22">
        <v>498.02699999999999</v>
      </c>
      <c r="BA345" s="22">
        <v>-1.59515E-2</v>
      </c>
      <c r="BB345" s="22">
        <v>335</v>
      </c>
      <c r="BC345" s="22">
        <v>1.5860000000000001</v>
      </c>
      <c r="BD345">
        <f t="shared" si="70"/>
        <v>15.951500000000001</v>
      </c>
      <c r="BE345">
        <f t="shared" si="71"/>
        <v>25.313594865000002</v>
      </c>
    </row>
    <row r="346" spans="6:57">
      <c r="F346" s="9"/>
      <c r="G346" s="22">
        <v>0.108032</v>
      </c>
      <c r="H346" s="22">
        <v>61.3583</v>
      </c>
      <c r="I346" s="22">
        <v>7.0285E-2</v>
      </c>
      <c r="J346" s="22">
        <v>336</v>
      </c>
      <c r="K346" s="22">
        <v>7.9589800000000002E-2</v>
      </c>
      <c r="L346">
        <f t="shared" si="60"/>
        <v>-70.284999999999997</v>
      </c>
      <c r="M346">
        <f t="shared" si="61"/>
        <v>-7.5930291199999997</v>
      </c>
      <c r="N346" s="9"/>
      <c r="O346" s="22">
        <v>1.59195</v>
      </c>
      <c r="P346" s="22">
        <v>172.285</v>
      </c>
      <c r="Q346" s="22">
        <v>-1.59119E-2</v>
      </c>
      <c r="R346" s="22">
        <v>336</v>
      </c>
      <c r="S346" s="22">
        <v>1.5911900000000001</v>
      </c>
      <c r="T346">
        <f t="shared" si="62"/>
        <v>15.911899999999999</v>
      </c>
      <c r="U346">
        <f t="shared" si="63"/>
        <v>25.330949205</v>
      </c>
      <c r="X346" s="9"/>
      <c r="Y346" s="22">
        <v>0.108032</v>
      </c>
      <c r="Z346" s="22">
        <v>235.87100000000001</v>
      </c>
      <c r="AA346" s="22">
        <v>-1.71387E-2</v>
      </c>
      <c r="AB346" s="22">
        <v>336</v>
      </c>
      <c r="AC346" s="22">
        <v>0.107117</v>
      </c>
      <c r="AD346">
        <f t="shared" si="64"/>
        <v>17.1387</v>
      </c>
      <c r="AE346">
        <f t="shared" si="65"/>
        <v>1.8515280384000001</v>
      </c>
      <c r="AF346" s="9"/>
      <c r="AG346" s="22">
        <v>1.59195</v>
      </c>
      <c r="AH346" s="22">
        <v>368.20400000000001</v>
      </c>
      <c r="AI346" s="22">
        <v>-1.5930199999999999E-2</v>
      </c>
      <c r="AJ346" s="22">
        <v>336</v>
      </c>
      <c r="AK346" s="22">
        <v>1.5914900000000001</v>
      </c>
      <c r="AL346">
        <f t="shared" si="66"/>
        <v>15.930199999999999</v>
      </c>
      <c r="AM346">
        <f t="shared" si="67"/>
        <v>25.36008189</v>
      </c>
      <c r="AP346" s="9"/>
      <c r="AQ346" s="22">
        <v>0.108032</v>
      </c>
      <c r="AR346" s="22">
        <v>437.29500000000002</v>
      </c>
      <c r="AS346" s="22">
        <v>-1.7105100000000002E-2</v>
      </c>
      <c r="AT346" s="22">
        <v>336</v>
      </c>
      <c r="AU346" s="22">
        <v>0.107361</v>
      </c>
      <c r="AV346">
        <f t="shared" si="68"/>
        <v>17.1051</v>
      </c>
      <c r="AW346">
        <f t="shared" si="69"/>
        <v>1.8478981632</v>
      </c>
      <c r="AX346" s="9"/>
      <c r="AY346" s="22">
        <v>1.59195</v>
      </c>
      <c r="AZ346" s="22">
        <v>498.12700000000001</v>
      </c>
      <c r="BA346" s="22">
        <v>-1.59271E-2</v>
      </c>
      <c r="BB346" s="22">
        <v>336</v>
      </c>
      <c r="BC346" s="22">
        <v>1.5908800000000001</v>
      </c>
      <c r="BD346">
        <f t="shared" si="70"/>
        <v>15.927099999999999</v>
      </c>
      <c r="BE346">
        <f t="shared" si="71"/>
        <v>25.355146845</v>
      </c>
    </row>
    <row r="347" spans="6:57">
      <c r="F347" s="9"/>
      <c r="G347" s="22">
        <v>0.10299700000000001</v>
      </c>
      <c r="H347" s="22">
        <v>61.459000000000003</v>
      </c>
      <c r="I347" s="22">
        <v>7.0248400000000003E-2</v>
      </c>
      <c r="J347" s="22">
        <v>337</v>
      </c>
      <c r="K347" s="22">
        <v>7.9620399999999994E-2</v>
      </c>
      <c r="L347">
        <f t="shared" si="60"/>
        <v>-70.248400000000004</v>
      </c>
      <c r="M347">
        <f t="shared" si="61"/>
        <v>-7.2353744548000005</v>
      </c>
      <c r="N347" s="9"/>
      <c r="O347" s="22">
        <v>1.5969800000000001</v>
      </c>
      <c r="P347" s="22">
        <v>172.386</v>
      </c>
      <c r="Q347" s="22">
        <v>-1.5866100000000001E-2</v>
      </c>
      <c r="R347" s="22">
        <v>337</v>
      </c>
      <c r="S347" s="22">
        <v>1.5957600000000001</v>
      </c>
      <c r="T347">
        <f t="shared" si="62"/>
        <v>15.866100000000001</v>
      </c>
      <c r="U347">
        <f t="shared" si="63"/>
        <v>25.337844378000003</v>
      </c>
      <c r="X347" s="9"/>
      <c r="Y347" s="22">
        <v>0.10299700000000001</v>
      </c>
      <c r="Z347" s="22">
        <v>235.97200000000001</v>
      </c>
      <c r="AA347" s="22">
        <v>-1.7135600000000001E-2</v>
      </c>
      <c r="AB347" s="22">
        <v>337</v>
      </c>
      <c r="AC347" s="22">
        <v>0.10241699999999999</v>
      </c>
      <c r="AD347">
        <f t="shared" si="64"/>
        <v>17.1356</v>
      </c>
      <c r="AE347">
        <f t="shared" si="65"/>
        <v>1.7649153932000001</v>
      </c>
      <c r="AF347" s="9"/>
      <c r="AG347" s="22">
        <v>1.5969800000000001</v>
      </c>
      <c r="AH347" s="22">
        <v>368.30500000000001</v>
      </c>
      <c r="AI347" s="22">
        <v>-1.5887499999999999E-2</v>
      </c>
      <c r="AJ347" s="22">
        <v>337</v>
      </c>
      <c r="AK347" s="22">
        <v>1.5960700000000001</v>
      </c>
      <c r="AL347">
        <f t="shared" si="66"/>
        <v>15.887499999999999</v>
      </c>
      <c r="AM347">
        <f t="shared" si="67"/>
        <v>25.37201975</v>
      </c>
      <c r="AP347" s="9"/>
      <c r="AQ347" s="22">
        <v>0.10299700000000001</v>
      </c>
      <c r="AR347" s="22">
        <v>437.39499999999998</v>
      </c>
      <c r="AS347" s="22">
        <v>-1.71082E-2</v>
      </c>
      <c r="AT347" s="22">
        <v>337</v>
      </c>
      <c r="AU347" s="22">
        <v>0.102295</v>
      </c>
      <c r="AV347">
        <f t="shared" si="68"/>
        <v>17.1082</v>
      </c>
      <c r="AW347">
        <f t="shared" si="69"/>
        <v>1.7620932754</v>
      </c>
      <c r="AX347" s="9"/>
      <c r="AY347" s="22">
        <v>1.5969800000000001</v>
      </c>
      <c r="AZ347" s="22">
        <v>498.22800000000001</v>
      </c>
      <c r="BA347" s="22">
        <v>-1.5890499999999998E-2</v>
      </c>
      <c r="BB347" s="22">
        <v>337</v>
      </c>
      <c r="BC347" s="22">
        <v>1.5960700000000001</v>
      </c>
      <c r="BD347">
        <f t="shared" si="70"/>
        <v>15.890499999999998</v>
      </c>
      <c r="BE347">
        <f t="shared" si="71"/>
        <v>25.376810689999996</v>
      </c>
    </row>
    <row r="348" spans="6:57">
      <c r="F348" s="9"/>
      <c r="G348" s="22">
        <v>9.7961400000000004E-2</v>
      </c>
      <c r="H348" s="22">
        <v>61.559699999999999</v>
      </c>
      <c r="I348" s="22">
        <v>7.0266700000000001E-2</v>
      </c>
      <c r="J348" s="22">
        <v>338</v>
      </c>
      <c r="K348" s="22">
        <v>7.9589800000000002E-2</v>
      </c>
      <c r="L348">
        <f t="shared" si="60"/>
        <v>-70.2667</v>
      </c>
      <c r="M348">
        <f t="shared" si="61"/>
        <v>-6.8834243053800002</v>
      </c>
      <c r="N348" s="9"/>
      <c r="O348" s="22">
        <v>1.60202</v>
      </c>
      <c r="P348" s="22">
        <v>172.48699999999999</v>
      </c>
      <c r="Q348" s="22">
        <v>-1.58417E-2</v>
      </c>
      <c r="R348" s="22">
        <v>338</v>
      </c>
      <c r="S348" s="22">
        <v>1.6003400000000001</v>
      </c>
      <c r="T348">
        <f t="shared" si="62"/>
        <v>15.841699999999999</v>
      </c>
      <c r="U348">
        <f t="shared" si="63"/>
        <v>25.378720233999999</v>
      </c>
      <c r="X348" s="9"/>
      <c r="Y348" s="22">
        <v>9.7961400000000004E-2</v>
      </c>
      <c r="Z348" s="22">
        <v>236.07300000000001</v>
      </c>
      <c r="AA348" s="22">
        <v>-1.7141699999999999E-2</v>
      </c>
      <c r="AB348" s="22">
        <v>338</v>
      </c>
      <c r="AC348" s="22">
        <v>9.7168000000000004E-2</v>
      </c>
      <c r="AD348">
        <f t="shared" si="64"/>
        <v>17.1417</v>
      </c>
      <c r="AE348">
        <f t="shared" si="65"/>
        <v>1.67922493038</v>
      </c>
      <c r="AF348" s="9"/>
      <c r="AG348" s="22">
        <v>1.60202</v>
      </c>
      <c r="AH348" s="22">
        <v>368.40600000000001</v>
      </c>
      <c r="AI348" s="22">
        <v>-1.5853900000000001E-2</v>
      </c>
      <c r="AJ348" s="22">
        <v>338</v>
      </c>
      <c r="AK348" s="22">
        <v>1.6009500000000001</v>
      </c>
      <c r="AL348">
        <f t="shared" si="66"/>
        <v>15.853900000000001</v>
      </c>
      <c r="AM348">
        <f t="shared" si="67"/>
        <v>25.398264878000003</v>
      </c>
      <c r="AP348" s="9"/>
      <c r="AQ348" s="22">
        <v>9.7961400000000004E-2</v>
      </c>
      <c r="AR348" s="22">
        <v>437.49599999999998</v>
      </c>
      <c r="AS348" s="22">
        <v>-1.71112E-2</v>
      </c>
      <c r="AT348" s="22">
        <v>338</v>
      </c>
      <c r="AU348" s="22">
        <v>9.7137500000000002E-2</v>
      </c>
      <c r="AV348">
        <f t="shared" si="68"/>
        <v>17.1112</v>
      </c>
      <c r="AW348">
        <f t="shared" si="69"/>
        <v>1.67623710768</v>
      </c>
      <c r="AX348" s="9"/>
      <c r="AY348" s="22">
        <v>1.60202</v>
      </c>
      <c r="AZ348" s="22">
        <v>498.32900000000001</v>
      </c>
      <c r="BA348" s="22">
        <v>-1.5866100000000001E-2</v>
      </c>
      <c r="BB348" s="22">
        <v>338</v>
      </c>
      <c r="BC348" s="22">
        <v>1.6006499999999999</v>
      </c>
      <c r="BD348">
        <f t="shared" si="70"/>
        <v>15.866100000000001</v>
      </c>
      <c r="BE348">
        <f t="shared" si="71"/>
        <v>25.417809522000002</v>
      </c>
    </row>
    <row r="349" spans="6:57">
      <c r="F349" s="9"/>
      <c r="G349" s="22">
        <v>9.2925999999999995E-2</v>
      </c>
      <c r="H349" s="22">
        <v>61.660400000000003</v>
      </c>
      <c r="I349" s="22">
        <v>7.0285E-2</v>
      </c>
      <c r="J349" s="22">
        <v>339</v>
      </c>
      <c r="K349" s="22">
        <v>7.9559299999999999E-2</v>
      </c>
      <c r="L349">
        <f t="shared" si="60"/>
        <v>-70.284999999999997</v>
      </c>
      <c r="M349">
        <f t="shared" si="61"/>
        <v>-6.5313039099999992</v>
      </c>
      <c r="N349" s="9"/>
      <c r="O349" s="22">
        <v>1.6070599999999999</v>
      </c>
      <c r="P349" s="22">
        <v>172.58699999999999</v>
      </c>
      <c r="Q349" s="22">
        <v>-1.5786700000000001E-2</v>
      </c>
      <c r="R349" s="22">
        <v>339</v>
      </c>
      <c r="S349" s="22">
        <v>1.6064499999999999</v>
      </c>
      <c r="T349">
        <f t="shared" si="62"/>
        <v>15.786700000000002</v>
      </c>
      <c r="U349">
        <f t="shared" si="63"/>
        <v>25.370174102</v>
      </c>
      <c r="X349" s="9"/>
      <c r="Y349" s="22">
        <v>9.2925999999999995E-2</v>
      </c>
      <c r="Z349" s="22">
        <v>236.173</v>
      </c>
      <c r="AA349" s="22">
        <v>-1.71387E-2</v>
      </c>
      <c r="AB349" s="22">
        <v>339</v>
      </c>
      <c r="AC349" s="22">
        <v>9.2254600000000006E-2</v>
      </c>
      <c r="AD349">
        <f t="shared" si="64"/>
        <v>17.1387</v>
      </c>
      <c r="AE349">
        <f t="shared" si="65"/>
        <v>1.5926308361999999</v>
      </c>
      <c r="AF349" s="9"/>
      <c r="AG349" s="22">
        <v>1.6070599999999999</v>
      </c>
      <c r="AH349" s="22">
        <v>368.50700000000001</v>
      </c>
      <c r="AI349" s="22">
        <v>-1.5826400000000001E-2</v>
      </c>
      <c r="AJ349" s="22">
        <v>339</v>
      </c>
      <c r="AK349" s="22">
        <v>1.6061399999999999</v>
      </c>
      <c r="AL349">
        <f t="shared" si="66"/>
        <v>15.826400000000001</v>
      </c>
      <c r="AM349">
        <f t="shared" si="67"/>
        <v>25.433974384000003</v>
      </c>
      <c r="AP349" s="9"/>
      <c r="AQ349" s="22">
        <v>9.2925999999999995E-2</v>
      </c>
      <c r="AR349" s="22">
        <v>437.59699999999998</v>
      </c>
      <c r="AS349" s="22">
        <v>-1.7120400000000001E-2</v>
      </c>
      <c r="AT349" s="22">
        <v>339</v>
      </c>
      <c r="AU349" s="22">
        <v>9.2224100000000003E-2</v>
      </c>
      <c r="AV349">
        <f t="shared" si="68"/>
        <v>17.1204</v>
      </c>
      <c r="AW349">
        <f t="shared" si="69"/>
        <v>1.5909302904</v>
      </c>
      <c r="AX349" s="9"/>
      <c r="AY349" s="22">
        <v>1.6070599999999999</v>
      </c>
      <c r="AZ349" s="22">
        <v>498.43</v>
      </c>
      <c r="BA349" s="22">
        <v>-1.5817299999999999E-2</v>
      </c>
      <c r="BB349" s="22">
        <v>339</v>
      </c>
      <c r="BC349" s="22">
        <v>1.6061399999999999</v>
      </c>
      <c r="BD349">
        <f t="shared" si="70"/>
        <v>15.817299999999999</v>
      </c>
      <c r="BE349">
        <f t="shared" si="71"/>
        <v>25.419350137999999</v>
      </c>
    </row>
    <row r="350" spans="6:57">
      <c r="F350" s="9"/>
      <c r="G350" s="22">
        <v>8.7890599999999999E-2</v>
      </c>
      <c r="H350" s="22">
        <v>61.761099999999999</v>
      </c>
      <c r="I350" s="22">
        <v>7.0220900000000003E-2</v>
      </c>
      <c r="J350" s="22">
        <v>340</v>
      </c>
      <c r="K350" s="22">
        <v>7.9559299999999999E-2</v>
      </c>
      <c r="L350">
        <f t="shared" si="60"/>
        <v>-70.2209</v>
      </c>
      <c r="M350">
        <f t="shared" si="61"/>
        <v>-6.1717570335399996</v>
      </c>
      <c r="N350" s="9"/>
      <c r="O350" s="22">
        <v>1.61209</v>
      </c>
      <c r="P350" s="22">
        <v>172.68799999999999</v>
      </c>
      <c r="Q350" s="22">
        <v>-1.57349E-2</v>
      </c>
      <c r="R350" s="22">
        <v>340</v>
      </c>
      <c r="S350" s="22">
        <v>1.6107199999999999</v>
      </c>
      <c r="T350">
        <f t="shared" si="62"/>
        <v>15.7349</v>
      </c>
      <c r="U350">
        <f t="shared" si="63"/>
        <v>25.366074941000001</v>
      </c>
      <c r="X350" s="9"/>
      <c r="Y350" s="22">
        <v>8.7890599999999999E-2</v>
      </c>
      <c r="Z350" s="22">
        <v>236.274</v>
      </c>
      <c r="AA350" s="22">
        <v>-1.7141699999999999E-2</v>
      </c>
      <c r="AB350" s="22">
        <v>340</v>
      </c>
      <c r="AC350" s="22">
        <v>8.6761500000000005E-2</v>
      </c>
      <c r="AD350">
        <f t="shared" si="64"/>
        <v>17.1417</v>
      </c>
      <c r="AE350">
        <f t="shared" si="65"/>
        <v>1.50659429802</v>
      </c>
      <c r="AF350" s="9"/>
      <c r="AG350" s="22">
        <v>1.61209</v>
      </c>
      <c r="AH350" s="22">
        <v>368.60700000000003</v>
      </c>
      <c r="AI350" s="22">
        <v>-1.5783700000000001E-2</v>
      </c>
      <c r="AJ350" s="22">
        <v>340</v>
      </c>
      <c r="AK350" s="22">
        <v>1.6110199999999999</v>
      </c>
      <c r="AL350">
        <f t="shared" si="66"/>
        <v>15.783700000000001</v>
      </c>
      <c r="AM350">
        <f t="shared" si="67"/>
        <v>25.444744933000003</v>
      </c>
      <c r="AP350" s="9"/>
      <c r="AQ350" s="22">
        <v>8.7890599999999999E-2</v>
      </c>
      <c r="AR350" s="22">
        <v>437.697</v>
      </c>
      <c r="AS350" s="22">
        <v>-1.7120400000000001E-2</v>
      </c>
      <c r="AT350" s="22">
        <v>340</v>
      </c>
      <c r="AU350" s="22">
        <v>8.7280300000000005E-2</v>
      </c>
      <c r="AV350">
        <f t="shared" si="68"/>
        <v>17.1204</v>
      </c>
      <c r="AW350">
        <f t="shared" si="69"/>
        <v>1.5047222282399999</v>
      </c>
      <c r="AX350" s="9"/>
      <c r="AY350" s="22">
        <v>1.61209</v>
      </c>
      <c r="AZ350" s="22">
        <v>498.53</v>
      </c>
      <c r="BA350" s="22">
        <v>-1.5783700000000001E-2</v>
      </c>
      <c r="BB350" s="22">
        <v>340</v>
      </c>
      <c r="BC350" s="22">
        <v>1.6113299999999999</v>
      </c>
      <c r="BD350">
        <f t="shared" si="70"/>
        <v>15.783700000000001</v>
      </c>
      <c r="BE350">
        <f t="shared" si="71"/>
        <v>25.444744933000003</v>
      </c>
    </row>
    <row r="351" spans="6:57">
      <c r="F351" s="9"/>
      <c r="G351" s="22">
        <v>8.2855200000000004E-2</v>
      </c>
      <c r="H351" s="22">
        <v>61.861800000000002</v>
      </c>
      <c r="I351" s="22">
        <v>7.0193500000000006E-2</v>
      </c>
      <c r="J351" s="22">
        <v>341</v>
      </c>
      <c r="K351" s="22">
        <v>7.9589800000000002E-2</v>
      </c>
      <c r="L351">
        <f t="shared" si="60"/>
        <v>-70.1935</v>
      </c>
      <c r="M351">
        <f t="shared" si="61"/>
        <v>-5.8158964812000002</v>
      </c>
      <c r="N351" s="9"/>
      <c r="O351" s="22">
        <v>1.61713</v>
      </c>
      <c r="P351" s="22">
        <v>172.78899999999999</v>
      </c>
      <c r="Q351" s="22">
        <v>-1.5689100000000001E-2</v>
      </c>
      <c r="R351" s="22">
        <v>341</v>
      </c>
      <c r="S351" s="22">
        <v>1.61591</v>
      </c>
      <c r="T351">
        <f t="shared" si="62"/>
        <v>15.689100000000002</v>
      </c>
      <c r="U351">
        <f t="shared" si="63"/>
        <v>25.371314283</v>
      </c>
      <c r="X351" s="9"/>
      <c r="Y351" s="22">
        <v>8.2855200000000004E-2</v>
      </c>
      <c r="Z351" s="22">
        <v>236.375</v>
      </c>
      <c r="AA351" s="22">
        <v>-1.7147800000000001E-2</v>
      </c>
      <c r="AB351" s="22">
        <v>341</v>
      </c>
      <c r="AC351" s="22">
        <v>8.2275399999999999E-2</v>
      </c>
      <c r="AD351">
        <f t="shared" si="64"/>
        <v>17.1478</v>
      </c>
      <c r="AE351">
        <f t="shared" si="65"/>
        <v>1.4207843985600002</v>
      </c>
      <c r="AF351" s="9"/>
      <c r="AG351" s="22">
        <v>1.61713</v>
      </c>
      <c r="AH351" s="22">
        <v>368.70800000000003</v>
      </c>
      <c r="AI351" s="22">
        <v>-1.5741000000000002E-2</v>
      </c>
      <c r="AJ351" s="22">
        <v>341</v>
      </c>
      <c r="AK351" s="22">
        <v>1.6162099999999999</v>
      </c>
      <c r="AL351">
        <f t="shared" si="66"/>
        <v>15.741000000000001</v>
      </c>
      <c r="AM351">
        <f t="shared" si="67"/>
        <v>25.455243330000002</v>
      </c>
      <c r="AP351" s="9"/>
      <c r="AQ351" s="22">
        <v>8.2855200000000004E-2</v>
      </c>
      <c r="AR351" s="22">
        <v>437.798</v>
      </c>
      <c r="AS351" s="22">
        <v>-1.7126499999999999E-2</v>
      </c>
      <c r="AT351" s="22">
        <v>341</v>
      </c>
      <c r="AU351" s="22">
        <v>8.2183800000000001E-2</v>
      </c>
      <c r="AV351">
        <f t="shared" si="68"/>
        <v>17.1265</v>
      </c>
      <c r="AW351">
        <f t="shared" si="69"/>
        <v>1.4190195828000001</v>
      </c>
      <c r="AX351" s="9"/>
      <c r="AY351" s="22">
        <v>1.61713</v>
      </c>
      <c r="AZ351" s="22">
        <v>498.63099999999997</v>
      </c>
      <c r="BA351" s="22">
        <v>-1.5744000000000001E-2</v>
      </c>
      <c r="BB351" s="22">
        <v>341</v>
      </c>
      <c r="BC351" s="22">
        <v>1.61591</v>
      </c>
      <c r="BD351">
        <f t="shared" si="70"/>
        <v>15.744000000000002</v>
      </c>
      <c r="BE351">
        <f t="shared" si="71"/>
        <v>25.460094720000001</v>
      </c>
    </row>
    <row r="352" spans="6:57">
      <c r="F352" s="9"/>
      <c r="G352" s="22">
        <v>7.7819799999999995E-2</v>
      </c>
      <c r="H352" s="22">
        <v>61.962499999999999</v>
      </c>
      <c r="I352" s="22">
        <v>6.8771399999999996E-2</v>
      </c>
      <c r="J352" s="22">
        <v>342</v>
      </c>
      <c r="K352" s="22">
        <v>7.8887899999999997E-2</v>
      </c>
      <c r="L352">
        <f t="shared" si="60"/>
        <v>-68.7714</v>
      </c>
      <c r="M352">
        <f t="shared" si="61"/>
        <v>-5.3517765937199995</v>
      </c>
      <c r="N352" s="9"/>
      <c r="O352" s="22">
        <v>1.62216</v>
      </c>
      <c r="P352" s="22">
        <v>172.88900000000001</v>
      </c>
      <c r="Q352" s="22">
        <v>-1.5640299999999999E-2</v>
      </c>
      <c r="R352" s="22">
        <v>342</v>
      </c>
      <c r="S352" s="22">
        <v>1.6214</v>
      </c>
      <c r="T352">
        <f t="shared" si="62"/>
        <v>15.6403</v>
      </c>
      <c r="U352">
        <f t="shared" si="63"/>
        <v>25.371069047999999</v>
      </c>
      <c r="X352" s="9"/>
      <c r="Y352" s="22">
        <v>7.7819799999999995E-2</v>
      </c>
      <c r="Z352" s="22">
        <v>236.47499999999999</v>
      </c>
      <c r="AA352" s="22">
        <v>-1.7147800000000001E-2</v>
      </c>
      <c r="AB352" s="22">
        <v>342</v>
      </c>
      <c r="AC352" s="22">
        <v>7.72095E-2</v>
      </c>
      <c r="AD352">
        <f t="shared" si="64"/>
        <v>17.1478</v>
      </c>
      <c r="AE352">
        <f t="shared" si="65"/>
        <v>1.3344383664399999</v>
      </c>
      <c r="AF352" s="9"/>
      <c r="AG352" s="22">
        <v>1.62216</v>
      </c>
      <c r="AH352" s="22">
        <v>368.80900000000003</v>
      </c>
      <c r="AI352" s="22">
        <v>-1.5695199999999999E-2</v>
      </c>
      <c r="AJ352" s="22">
        <v>342</v>
      </c>
      <c r="AK352" s="22">
        <v>1.62079</v>
      </c>
      <c r="AL352">
        <f t="shared" si="66"/>
        <v>15.6952</v>
      </c>
      <c r="AM352">
        <f t="shared" si="67"/>
        <v>25.460125632</v>
      </c>
      <c r="AP352" s="9"/>
      <c r="AQ352" s="22">
        <v>7.7819799999999995E-2</v>
      </c>
      <c r="AR352" s="22">
        <v>437.899</v>
      </c>
      <c r="AS352" s="22">
        <v>-1.7114299999999999E-2</v>
      </c>
      <c r="AT352" s="22">
        <v>342</v>
      </c>
      <c r="AU352" s="22">
        <v>7.6995800000000003E-2</v>
      </c>
      <c r="AV352">
        <f t="shared" si="68"/>
        <v>17.1143</v>
      </c>
      <c r="AW352">
        <f t="shared" si="69"/>
        <v>1.3318314031399998</v>
      </c>
      <c r="AX352" s="9"/>
      <c r="AY352" s="22">
        <v>1.62216</v>
      </c>
      <c r="AZ352" s="22">
        <v>498.73200000000003</v>
      </c>
      <c r="BA352" s="22">
        <v>-1.56921E-2</v>
      </c>
      <c r="BB352" s="22">
        <v>342</v>
      </c>
      <c r="BC352" s="22">
        <v>1.6210899999999999</v>
      </c>
      <c r="BD352">
        <f t="shared" si="70"/>
        <v>15.6921</v>
      </c>
      <c r="BE352">
        <f t="shared" si="71"/>
        <v>25.455096936</v>
      </c>
    </row>
    <row r="353" spans="6:57">
      <c r="F353" s="9"/>
      <c r="G353" s="22">
        <v>7.2784399999999999E-2</v>
      </c>
      <c r="H353" s="22">
        <v>62.063200000000002</v>
      </c>
      <c r="I353" s="22">
        <v>-1.8356299999999999E-2</v>
      </c>
      <c r="J353" s="22">
        <v>343</v>
      </c>
      <c r="K353" s="22">
        <v>7.2174100000000005E-2</v>
      </c>
      <c r="L353">
        <f t="shared" si="60"/>
        <v>18.356299999999997</v>
      </c>
      <c r="M353">
        <f t="shared" si="61"/>
        <v>1.3360522817199998</v>
      </c>
      <c r="N353" s="9"/>
      <c r="O353" s="22">
        <v>1.6272</v>
      </c>
      <c r="P353" s="22">
        <v>172.99</v>
      </c>
      <c r="Q353" s="22">
        <v>-1.55792E-2</v>
      </c>
      <c r="R353" s="22">
        <v>343</v>
      </c>
      <c r="S353" s="22">
        <v>1.6256699999999999</v>
      </c>
      <c r="T353">
        <f t="shared" si="62"/>
        <v>15.5792</v>
      </c>
      <c r="U353">
        <f t="shared" si="63"/>
        <v>25.35047424</v>
      </c>
      <c r="X353" s="9"/>
      <c r="Y353" s="22">
        <v>7.2784399999999999E-2</v>
      </c>
      <c r="Z353" s="22">
        <v>236.57599999999999</v>
      </c>
      <c r="AA353" s="22">
        <v>-1.7147800000000001E-2</v>
      </c>
      <c r="AB353" s="22">
        <v>343</v>
      </c>
      <c r="AC353" s="22">
        <v>7.2112999999999997E-2</v>
      </c>
      <c r="AD353">
        <f t="shared" si="64"/>
        <v>17.1478</v>
      </c>
      <c r="AE353">
        <f t="shared" si="65"/>
        <v>1.2480923343199999</v>
      </c>
      <c r="AF353" s="9"/>
      <c r="AG353" s="22">
        <v>1.6272</v>
      </c>
      <c r="AH353" s="22">
        <v>368.90899999999999</v>
      </c>
      <c r="AI353" s="22">
        <v>-1.5634200000000001E-2</v>
      </c>
      <c r="AJ353" s="22">
        <v>343</v>
      </c>
      <c r="AK353" s="22">
        <v>1.62659</v>
      </c>
      <c r="AL353">
        <f t="shared" si="66"/>
        <v>15.634200000000002</v>
      </c>
      <c r="AM353">
        <f t="shared" si="67"/>
        <v>25.439970240000001</v>
      </c>
      <c r="AP353" s="9"/>
      <c r="AQ353" s="22">
        <v>7.2784399999999999E-2</v>
      </c>
      <c r="AR353" s="22">
        <v>437.99900000000002</v>
      </c>
      <c r="AS353" s="22">
        <v>-1.7120400000000001E-2</v>
      </c>
      <c r="AT353" s="22">
        <v>343</v>
      </c>
      <c r="AU353" s="22">
        <v>7.2052000000000005E-2</v>
      </c>
      <c r="AV353">
        <f t="shared" si="68"/>
        <v>17.1204</v>
      </c>
      <c r="AW353">
        <f t="shared" si="69"/>
        <v>1.2460980417600001</v>
      </c>
      <c r="AX353" s="9"/>
      <c r="AY353" s="22">
        <v>1.6272</v>
      </c>
      <c r="AZ353" s="22">
        <v>498.83199999999999</v>
      </c>
      <c r="BA353" s="22">
        <v>-1.56372E-2</v>
      </c>
      <c r="BB353" s="22">
        <v>343</v>
      </c>
      <c r="BC353" s="22">
        <v>1.6262799999999999</v>
      </c>
      <c r="BD353">
        <f t="shared" si="70"/>
        <v>15.6372</v>
      </c>
      <c r="BE353">
        <f t="shared" si="71"/>
        <v>25.444851839999998</v>
      </c>
    </row>
    <row r="354" spans="6:57">
      <c r="F354" s="9"/>
      <c r="G354" s="22">
        <v>6.7749000000000004E-2</v>
      </c>
      <c r="H354" s="22">
        <v>62.163899999999998</v>
      </c>
      <c r="I354" s="22">
        <v>-1.8301399999999999E-2</v>
      </c>
      <c r="J354" s="22">
        <v>344</v>
      </c>
      <c r="K354" s="22">
        <v>6.7810099999999998E-2</v>
      </c>
      <c r="L354">
        <f t="shared" si="60"/>
        <v>18.301399999999997</v>
      </c>
      <c r="M354">
        <f t="shared" si="61"/>
        <v>1.2399015485999998</v>
      </c>
      <c r="N354" s="9"/>
      <c r="O354" s="22">
        <v>1.6322300000000001</v>
      </c>
      <c r="P354" s="22">
        <v>173.09100000000001</v>
      </c>
      <c r="Q354" s="22">
        <v>-1.5509E-2</v>
      </c>
      <c r="R354" s="22">
        <v>344</v>
      </c>
      <c r="S354" s="22">
        <v>1.6311599999999999</v>
      </c>
      <c r="T354">
        <f t="shared" si="62"/>
        <v>15.509</v>
      </c>
      <c r="U354">
        <f t="shared" si="63"/>
        <v>25.314255070000002</v>
      </c>
      <c r="X354" s="9"/>
      <c r="Y354" s="22">
        <v>6.7749000000000004E-2</v>
      </c>
      <c r="Z354" s="22">
        <v>236.67699999999999</v>
      </c>
      <c r="AA354" s="22">
        <v>-1.7156999999999999E-2</v>
      </c>
      <c r="AB354" s="22">
        <v>344</v>
      </c>
      <c r="AC354" s="22">
        <v>6.7047099999999998E-2</v>
      </c>
      <c r="AD354">
        <f t="shared" si="64"/>
        <v>17.157</v>
      </c>
      <c r="AE354">
        <f t="shared" si="65"/>
        <v>1.162369593</v>
      </c>
      <c r="AF354" s="9"/>
      <c r="AG354" s="22">
        <v>1.6322300000000001</v>
      </c>
      <c r="AH354" s="22">
        <v>369.01</v>
      </c>
      <c r="AI354" s="22">
        <v>-1.55792E-2</v>
      </c>
      <c r="AJ354" s="22">
        <v>344</v>
      </c>
      <c r="AK354" s="22">
        <v>1.63147</v>
      </c>
      <c r="AL354">
        <f t="shared" si="66"/>
        <v>15.5792</v>
      </c>
      <c r="AM354">
        <f t="shared" si="67"/>
        <v>25.428837616000003</v>
      </c>
      <c r="AP354" s="9"/>
      <c r="AQ354" s="22">
        <v>6.7749000000000004E-2</v>
      </c>
      <c r="AR354" s="22">
        <v>438.1</v>
      </c>
      <c r="AS354" s="22">
        <v>-1.7126499999999999E-2</v>
      </c>
      <c r="AT354" s="22">
        <v>344</v>
      </c>
      <c r="AU354" s="22">
        <v>6.7108200000000007E-2</v>
      </c>
      <c r="AV354">
        <f t="shared" si="68"/>
        <v>17.1265</v>
      </c>
      <c r="AW354">
        <f t="shared" si="69"/>
        <v>1.1603032485</v>
      </c>
      <c r="AX354" s="9"/>
      <c r="AY354" s="22">
        <v>1.6322300000000001</v>
      </c>
      <c r="AZ354" s="22">
        <v>498.93299999999999</v>
      </c>
      <c r="BA354" s="22">
        <v>-1.5564E-2</v>
      </c>
      <c r="BB354" s="22">
        <v>344</v>
      </c>
      <c r="BC354" s="22">
        <v>1.63147</v>
      </c>
      <c r="BD354">
        <f t="shared" si="70"/>
        <v>15.564</v>
      </c>
      <c r="BE354">
        <f t="shared" si="71"/>
        <v>25.404027720000002</v>
      </c>
    </row>
    <row r="355" spans="6:57">
      <c r="F355" s="9"/>
      <c r="G355" s="22">
        <v>6.2713599999999994E-2</v>
      </c>
      <c r="H355" s="22">
        <v>62.264600000000002</v>
      </c>
      <c r="I355" s="22">
        <v>-1.82556E-2</v>
      </c>
      <c r="J355" s="22">
        <v>345</v>
      </c>
      <c r="K355" s="22">
        <v>6.2042199999999999E-2</v>
      </c>
      <c r="L355">
        <f t="shared" si="60"/>
        <v>18.255600000000001</v>
      </c>
      <c r="M355">
        <f t="shared" si="61"/>
        <v>1.1448743961599999</v>
      </c>
      <c r="N355" s="9"/>
      <c r="O355" s="22">
        <v>1.63727</v>
      </c>
      <c r="P355" s="22">
        <v>173.19200000000001</v>
      </c>
      <c r="Q355" s="22">
        <v>-1.5429699999999999E-2</v>
      </c>
      <c r="R355" s="22">
        <v>345</v>
      </c>
      <c r="S355" s="22">
        <v>1.63635</v>
      </c>
      <c r="T355">
        <f t="shared" si="62"/>
        <v>15.429699999999999</v>
      </c>
      <c r="U355">
        <f t="shared" si="63"/>
        <v>25.262584918999998</v>
      </c>
      <c r="X355" s="9"/>
      <c r="Y355" s="22">
        <v>6.2713599999999994E-2</v>
      </c>
      <c r="Z355" s="22">
        <v>236.77799999999999</v>
      </c>
      <c r="AA355" s="22">
        <v>-1.7163100000000001E-2</v>
      </c>
      <c r="AB355" s="22">
        <v>345</v>
      </c>
      <c r="AC355" s="22">
        <v>6.2133800000000003E-2</v>
      </c>
      <c r="AD355">
        <f t="shared" si="64"/>
        <v>17.1631</v>
      </c>
      <c r="AE355">
        <f t="shared" si="65"/>
        <v>1.07635978816</v>
      </c>
      <c r="AF355" s="9"/>
      <c r="AG355" s="22">
        <v>1.63727</v>
      </c>
      <c r="AH355" s="22">
        <v>369.11099999999999</v>
      </c>
      <c r="AI355" s="22">
        <v>-1.5518199999999999E-2</v>
      </c>
      <c r="AJ355" s="22">
        <v>345</v>
      </c>
      <c r="AK355" s="22">
        <v>1.63605</v>
      </c>
      <c r="AL355">
        <f t="shared" si="66"/>
        <v>15.5182</v>
      </c>
      <c r="AM355">
        <f t="shared" si="67"/>
        <v>25.407483314</v>
      </c>
      <c r="AP355" s="9"/>
      <c r="AQ355" s="22">
        <v>6.2713599999999994E-2</v>
      </c>
      <c r="AR355" s="22">
        <v>438.20100000000002</v>
      </c>
      <c r="AS355" s="22">
        <v>-1.71234E-2</v>
      </c>
      <c r="AT355" s="22">
        <v>345</v>
      </c>
      <c r="AU355" s="22">
        <v>6.21033E-2</v>
      </c>
      <c r="AV355">
        <f t="shared" si="68"/>
        <v>17.1234</v>
      </c>
      <c r="AW355">
        <f t="shared" si="69"/>
        <v>1.0738700582399998</v>
      </c>
      <c r="AX355" s="9"/>
      <c r="AY355" s="22">
        <v>1.63727</v>
      </c>
      <c r="AZ355" s="22">
        <v>499.03399999999999</v>
      </c>
      <c r="BA355" s="22">
        <v>-1.55151E-2</v>
      </c>
      <c r="BB355" s="22">
        <v>345</v>
      </c>
      <c r="BC355" s="22">
        <v>1.63605</v>
      </c>
      <c r="BD355">
        <f t="shared" si="70"/>
        <v>15.5151</v>
      </c>
      <c r="BE355">
        <f t="shared" si="71"/>
        <v>25.402407777000001</v>
      </c>
    </row>
    <row r="356" spans="6:57">
      <c r="F356" s="9"/>
      <c r="G356" s="22">
        <v>5.7678199999999999E-2</v>
      </c>
      <c r="H356" s="22">
        <v>62.365299999999998</v>
      </c>
      <c r="I356" s="22">
        <v>-1.8231199999999999E-2</v>
      </c>
      <c r="J356" s="22">
        <v>346</v>
      </c>
      <c r="K356" s="22">
        <v>5.6945799999999998E-2</v>
      </c>
      <c r="L356">
        <f t="shared" si="60"/>
        <v>18.231200000000001</v>
      </c>
      <c r="M356">
        <f t="shared" si="61"/>
        <v>1.05154279984</v>
      </c>
      <c r="N356" s="9"/>
      <c r="O356" s="22">
        <v>1.6423000000000001</v>
      </c>
      <c r="P356" s="22">
        <v>173.292</v>
      </c>
      <c r="Q356" s="22">
        <v>-1.5350300000000001E-2</v>
      </c>
      <c r="R356" s="22">
        <v>346</v>
      </c>
      <c r="S356" s="22">
        <v>1.64124</v>
      </c>
      <c r="T356">
        <f t="shared" si="62"/>
        <v>15.350300000000001</v>
      </c>
      <c r="U356">
        <f t="shared" si="63"/>
        <v>25.209797690000002</v>
      </c>
      <c r="X356" s="9"/>
      <c r="Y356" s="22">
        <v>5.7678199999999999E-2</v>
      </c>
      <c r="Z356" s="22">
        <v>236.87799999999999</v>
      </c>
      <c r="AA356" s="22">
        <v>-1.7160000000000002E-2</v>
      </c>
      <c r="AB356" s="22">
        <v>346</v>
      </c>
      <c r="AC356" s="22">
        <v>5.6976300000000001E-2</v>
      </c>
      <c r="AD356">
        <f t="shared" si="64"/>
        <v>17.16</v>
      </c>
      <c r="AE356">
        <f t="shared" si="65"/>
        <v>0.98975791199999996</v>
      </c>
      <c r="AF356" s="9"/>
      <c r="AG356" s="22">
        <v>1.6423000000000001</v>
      </c>
      <c r="AH356" s="22">
        <v>369.21199999999999</v>
      </c>
      <c r="AI356" s="22">
        <v>-1.5448E-2</v>
      </c>
      <c r="AJ356" s="22">
        <v>346</v>
      </c>
      <c r="AK356" s="22">
        <v>1.64124</v>
      </c>
      <c r="AL356">
        <f t="shared" si="66"/>
        <v>15.448</v>
      </c>
      <c r="AM356">
        <f t="shared" si="67"/>
        <v>25.370250400000003</v>
      </c>
      <c r="AP356" s="9"/>
      <c r="AQ356" s="22">
        <v>5.7678199999999999E-2</v>
      </c>
      <c r="AR356" s="22">
        <v>438.30200000000002</v>
      </c>
      <c r="AS356" s="22">
        <v>-1.7132600000000001E-2</v>
      </c>
      <c r="AT356" s="22">
        <v>346</v>
      </c>
      <c r="AU356" s="22">
        <v>5.7037400000000002E-2</v>
      </c>
      <c r="AV356">
        <f t="shared" si="68"/>
        <v>17.1326</v>
      </c>
      <c r="AW356">
        <f t="shared" si="69"/>
        <v>0.98817752932000003</v>
      </c>
      <c r="AX356" s="9"/>
      <c r="AY356" s="22">
        <v>1.6423000000000001</v>
      </c>
      <c r="AZ356" s="22">
        <v>499.13499999999999</v>
      </c>
      <c r="BA356" s="22">
        <v>-1.5444899999999999E-2</v>
      </c>
      <c r="BB356" s="22">
        <v>346</v>
      </c>
      <c r="BC356" s="22">
        <v>1.64124</v>
      </c>
      <c r="BD356">
        <f t="shared" si="70"/>
        <v>15.444899999999999</v>
      </c>
      <c r="BE356">
        <f t="shared" si="71"/>
        <v>25.365159269999999</v>
      </c>
    </row>
    <row r="357" spans="6:57">
      <c r="F357" s="9"/>
      <c r="G357" s="22">
        <v>5.2642799999999997E-2</v>
      </c>
      <c r="H357" s="22">
        <v>62.466000000000001</v>
      </c>
      <c r="I357" s="22">
        <v>-1.82037E-2</v>
      </c>
      <c r="J357" s="22">
        <v>347</v>
      </c>
      <c r="K357" s="22">
        <v>5.2459699999999998E-2</v>
      </c>
      <c r="L357">
        <f t="shared" si="60"/>
        <v>18.203700000000001</v>
      </c>
      <c r="M357">
        <f t="shared" si="61"/>
        <v>0.95829373835999998</v>
      </c>
      <c r="N357" s="9"/>
      <c r="O357" s="22">
        <v>1.64734</v>
      </c>
      <c r="P357" s="22">
        <v>173.393</v>
      </c>
      <c r="Q357" s="22">
        <v>-1.5255700000000001E-2</v>
      </c>
      <c r="R357" s="22">
        <v>347</v>
      </c>
      <c r="S357" s="22">
        <v>1.64612</v>
      </c>
      <c r="T357">
        <f t="shared" si="62"/>
        <v>15.255700000000001</v>
      </c>
      <c r="U357">
        <f t="shared" si="63"/>
        <v>25.131324838000001</v>
      </c>
      <c r="X357" s="9"/>
      <c r="Y357" s="22">
        <v>5.2642799999999997E-2</v>
      </c>
      <c r="Z357" s="22">
        <v>236.97900000000001</v>
      </c>
      <c r="AA357" s="22">
        <v>-1.7163100000000001E-2</v>
      </c>
      <c r="AB357" s="22">
        <v>347</v>
      </c>
      <c r="AC357" s="22">
        <v>5.2154499999999999E-2</v>
      </c>
      <c r="AD357">
        <f t="shared" si="64"/>
        <v>17.1631</v>
      </c>
      <c r="AE357">
        <f t="shared" si="65"/>
        <v>0.90351364067999995</v>
      </c>
      <c r="AF357" s="9"/>
      <c r="AG357" s="22">
        <v>1.64734</v>
      </c>
      <c r="AH357" s="22">
        <v>369.31200000000001</v>
      </c>
      <c r="AI357" s="22">
        <v>-1.53778E-2</v>
      </c>
      <c r="AJ357" s="22">
        <v>347</v>
      </c>
      <c r="AK357" s="22">
        <v>1.64673</v>
      </c>
      <c r="AL357">
        <f t="shared" si="66"/>
        <v>15.377800000000001</v>
      </c>
      <c r="AM357">
        <f t="shared" si="67"/>
        <v>25.332465052</v>
      </c>
      <c r="AP357" s="9"/>
      <c r="AQ357" s="22">
        <v>5.2642799999999997E-2</v>
      </c>
      <c r="AR357" s="22">
        <v>438.40199999999999</v>
      </c>
      <c r="AS357" s="22">
        <v>-1.7129499999999999E-2</v>
      </c>
      <c r="AT357" s="22">
        <v>347</v>
      </c>
      <c r="AU357" s="22">
        <v>5.2093500000000001E-2</v>
      </c>
      <c r="AV357">
        <f t="shared" si="68"/>
        <v>17.1295</v>
      </c>
      <c r="AW357">
        <f t="shared" si="69"/>
        <v>0.90174484259999999</v>
      </c>
      <c r="AX357" s="9"/>
      <c r="AY357" s="22">
        <v>1.64734</v>
      </c>
      <c r="AZ357" s="22">
        <v>499.23500000000001</v>
      </c>
      <c r="BA357" s="22">
        <v>-1.5374799999999999E-2</v>
      </c>
      <c r="BB357" s="22">
        <v>347</v>
      </c>
      <c r="BC357" s="22">
        <v>1.64612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4.7607400000000001E-2</v>
      </c>
      <c r="H358" s="22">
        <v>62.566800000000001</v>
      </c>
      <c r="I358" s="22">
        <v>-1.8179299999999999E-2</v>
      </c>
      <c r="J358" s="22">
        <v>348</v>
      </c>
      <c r="K358" s="22">
        <v>4.7152699999999999E-2</v>
      </c>
      <c r="L358">
        <f t="shared" si="60"/>
        <v>18.179299999999998</v>
      </c>
      <c r="M358">
        <f t="shared" si="61"/>
        <v>0.86546920681999995</v>
      </c>
      <c r="N358" s="9"/>
      <c r="O358" s="22">
        <v>1.6523699999999999</v>
      </c>
      <c r="P358" s="22">
        <v>173.494</v>
      </c>
      <c r="Q358" s="22">
        <v>-1.5155E-2</v>
      </c>
      <c r="R358" s="22">
        <v>348</v>
      </c>
      <c r="S358" s="22">
        <v>1.6513100000000001</v>
      </c>
      <c r="T358">
        <f t="shared" si="62"/>
        <v>15.154999999999999</v>
      </c>
      <c r="U358">
        <f t="shared" si="63"/>
        <v>25.041667349999997</v>
      </c>
      <c r="X358" s="9"/>
      <c r="Y358" s="22">
        <v>4.7607400000000001E-2</v>
      </c>
      <c r="Z358" s="22">
        <v>237.08</v>
      </c>
      <c r="AA358" s="22">
        <v>-1.7163100000000001E-2</v>
      </c>
      <c r="AB358" s="22">
        <v>348</v>
      </c>
      <c r="AC358" s="22">
        <v>4.7412099999999999E-2</v>
      </c>
      <c r="AD358">
        <f t="shared" si="64"/>
        <v>17.1631</v>
      </c>
      <c r="AE358">
        <f t="shared" si="65"/>
        <v>0.81709056694000004</v>
      </c>
      <c r="AF358" s="9"/>
      <c r="AG358" s="22">
        <v>1.6523699999999999</v>
      </c>
      <c r="AH358" s="22">
        <v>369.41300000000001</v>
      </c>
      <c r="AI358" s="22">
        <v>-1.53046E-2</v>
      </c>
      <c r="AJ358" s="22">
        <v>348</v>
      </c>
      <c r="AK358" s="22">
        <v>1.65161</v>
      </c>
      <c r="AL358">
        <f t="shared" si="66"/>
        <v>15.304600000000001</v>
      </c>
      <c r="AM358">
        <f t="shared" si="67"/>
        <v>25.288861902000001</v>
      </c>
      <c r="AP358" s="9"/>
      <c r="AQ358" s="22">
        <v>4.7607400000000001E-2</v>
      </c>
      <c r="AR358" s="22">
        <v>438.50299999999999</v>
      </c>
      <c r="AS358" s="22">
        <v>-1.7129499999999999E-2</v>
      </c>
      <c r="AT358" s="22">
        <v>348</v>
      </c>
      <c r="AU358" s="22">
        <v>4.75159E-2</v>
      </c>
      <c r="AV358">
        <f t="shared" si="68"/>
        <v>17.1295</v>
      </c>
      <c r="AW358">
        <f t="shared" si="69"/>
        <v>0.81549095830000007</v>
      </c>
      <c r="AX358" s="9"/>
      <c r="AY358" s="22">
        <v>1.6523699999999999</v>
      </c>
      <c r="AZ358" s="22">
        <v>499.33600000000001</v>
      </c>
      <c r="BA358" s="22">
        <v>-1.52893E-2</v>
      </c>
      <c r="BB358" s="22">
        <v>348</v>
      </c>
      <c r="BC358" s="22">
        <v>1.65161</v>
      </c>
      <c r="BD358">
        <f t="shared" si="70"/>
        <v>15.289300000000001</v>
      </c>
      <c r="BE358">
        <f t="shared" si="71"/>
        <v>25.263580641000001</v>
      </c>
    </row>
    <row r="359" spans="6:57">
      <c r="F359" s="9"/>
      <c r="G359" s="22">
        <v>4.2571999999999999E-2</v>
      </c>
      <c r="H359" s="22">
        <v>62.667499999999997</v>
      </c>
      <c r="I359" s="22">
        <v>-1.8154900000000002E-2</v>
      </c>
      <c r="J359" s="22">
        <v>349</v>
      </c>
      <c r="K359" s="22">
        <v>4.2590299999999998E-2</v>
      </c>
      <c r="L359">
        <f t="shared" si="60"/>
        <v>18.154900000000001</v>
      </c>
      <c r="M359">
        <f t="shared" si="61"/>
        <v>0.77289040279999999</v>
      </c>
      <c r="N359" s="9"/>
      <c r="O359" s="22">
        <v>1.65741</v>
      </c>
      <c r="P359" s="22">
        <v>173.59399999999999</v>
      </c>
      <c r="Q359" s="22">
        <v>-1.50574E-2</v>
      </c>
      <c r="R359" s="22">
        <v>349</v>
      </c>
      <c r="S359" s="22">
        <v>1.6561900000000001</v>
      </c>
      <c r="T359">
        <f t="shared" si="62"/>
        <v>15.057399999999999</v>
      </c>
      <c r="U359">
        <f t="shared" si="63"/>
        <v>24.956285334</v>
      </c>
      <c r="X359" s="9"/>
      <c r="Y359" s="22">
        <v>4.2571999999999999E-2</v>
      </c>
      <c r="Z359" s="22">
        <v>237.18</v>
      </c>
      <c r="AA359" s="22">
        <v>-1.7169199999999999E-2</v>
      </c>
      <c r="AB359" s="22">
        <v>349</v>
      </c>
      <c r="AC359" s="22">
        <v>4.2532300000000002E-2</v>
      </c>
      <c r="AD359">
        <f t="shared" si="64"/>
        <v>17.1692</v>
      </c>
      <c r="AE359">
        <f t="shared" si="65"/>
        <v>0.73092718239999999</v>
      </c>
      <c r="AF359" s="9"/>
      <c r="AG359" s="22">
        <v>1.65741</v>
      </c>
      <c r="AH359" s="22">
        <v>369.51400000000001</v>
      </c>
      <c r="AI359" s="22">
        <v>-1.5206900000000001E-2</v>
      </c>
      <c r="AJ359" s="22">
        <v>349</v>
      </c>
      <c r="AK359" s="22">
        <v>1.65588</v>
      </c>
      <c r="AL359">
        <f t="shared" si="66"/>
        <v>15.206900000000001</v>
      </c>
      <c r="AM359">
        <f t="shared" si="67"/>
        <v>25.204068129000003</v>
      </c>
      <c r="AP359" s="9"/>
      <c r="AQ359" s="22">
        <v>4.2571999999999999E-2</v>
      </c>
      <c r="AR359" s="22">
        <v>438.60399999999998</v>
      </c>
      <c r="AS359" s="22">
        <v>-1.71387E-2</v>
      </c>
      <c r="AT359" s="22">
        <v>349</v>
      </c>
      <c r="AU359" s="22">
        <v>4.2355299999999999E-2</v>
      </c>
      <c r="AV359">
        <f t="shared" si="68"/>
        <v>17.1387</v>
      </c>
      <c r="AW359">
        <f t="shared" si="69"/>
        <v>0.72962873640000003</v>
      </c>
      <c r="AX359" s="9"/>
      <c r="AY359" s="22">
        <v>1.65741</v>
      </c>
      <c r="AZ359" s="22">
        <v>499.43700000000001</v>
      </c>
      <c r="BA359" s="22">
        <v>-1.51886E-2</v>
      </c>
      <c r="BB359" s="22">
        <v>349</v>
      </c>
      <c r="BC359" s="22">
        <v>1.6568000000000001</v>
      </c>
      <c r="BD359">
        <f t="shared" si="70"/>
        <v>15.188599999999999</v>
      </c>
      <c r="BE359">
        <f t="shared" si="71"/>
        <v>25.173737526</v>
      </c>
    </row>
    <row r="360" spans="6:57">
      <c r="F360" s="9"/>
      <c r="G360" s="22">
        <v>3.7536600000000003E-2</v>
      </c>
      <c r="H360" s="22">
        <v>62.7682</v>
      </c>
      <c r="I360" s="22">
        <v>-1.8136599999999999E-2</v>
      </c>
      <c r="J360" s="22">
        <v>350</v>
      </c>
      <c r="K360" s="22">
        <v>3.7338299999999998E-2</v>
      </c>
      <c r="L360">
        <f t="shared" si="60"/>
        <v>18.136599999999998</v>
      </c>
      <c r="M360">
        <f t="shared" si="61"/>
        <v>0.68078629956000003</v>
      </c>
      <c r="N360" s="9"/>
      <c r="O360" s="22">
        <v>1.66245</v>
      </c>
      <c r="P360" s="22">
        <v>173.69499999999999</v>
      </c>
      <c r="Q360" s="22">
        <v>-1.4938399999999999E-2</v>
      </c>
      <c r="R360" s="22">
        <v>350</v>
      </c>
      <c r="S360" s="22">
        <v>1.66168</v>
      </c>
      <c r="T360">
        <f t="shared" si="62"/>
        <v>14.9384</v>
      </c>
      <c r="U360">
        <f t="shared" si="63"/>
        <v>24.83434308</v>
      </c>
      <c r="X360" s="9"/>
      <c r="Y360" s="22">
        <v>3.7536600000000003E-2</v>
      </c>
      <c r="Z360" s="22">
        <v>237.28100000000001</v>
      </c>
      <c r="AA360" s="22">
        <v>-1.7178300000000001E-2</v>
      </c>
      <c r="AB360" s="22">
        <v>350</v>
      </c>
      <c r="AC360" s="22">
        <v>3.7484700000000003E-2</v>
      </c>
      <c r="AD360">
        <f t="shared" si="64"/>
        <v>17.1783</v>
      </c>
      <c r="AE360">
        <f t="shared" si="65"/>
        <v>0.64481497578000002</v>
      </c>
      <c r="AF360" s="9"/>
      <c r="AG360" s="22">
        <v>1.66245</v>
      </c>
      <c r="AH360" s="22">
        <v>369.61399999999998</v>
      </c>
      <c r="AI360" s="22">
        <v>-1.51031E-2</v>
      </c>
      <c r="AJ360" s="22">
        <v>350</v>
      </c>
      <c r="AK360" s="22">
        <v>1.66168</v>
      </c>
      <c r="AL360">
        <f t="shared" si="66"/>
        <v>15.1031</v>
      </c>
      <c r="AM360">
        <f t="shared" si="67"/>
        <v>25.108148594999999</v>
      </c>
      <c r="AP360" s="9"/>
      <c r="AQ360" s="22">
        <v>3.7536600000000003E-2</v>
      </c>
      <c r="AR360" s="22">
        <v>438.70400000000001</v>
      </c>
      <c r="AS360" s="22">
        <v>-1.71387E-2</v>
      </c>
      <c r="AT360" s="22">
        <v>350</v>
      </c>
      <c r="AU360" s="22">
        <v>3.7206999999999997E-2</v>
      </c>
      <c r="AV360">
        <f t="shared" si="68"/>
        <v>17.1387</v>
      </c>
      <c r="AW360">
        <f t="shared" si="69"/>
        <v>0.64332852642000005</v>
      </c>
      <c r="AX360" s="9"/>
      <c r="AY360" s="22">
        <v>1.66245</v>
      </c>
      <c r="AZ360" s="22">
        <v>499.53699999999998</v>
      </c>
      <c r="BA360" s="22">
        <v>-1.5084800000000001E-2</v>
      </c>
      <c r="BB360" s="22">
        <v>350</v>
      </c>
      <c r="BC360" s="22">
        <v>1.6619900000000001</v>
      </c>
      <c r="BD360">
        <f t="shared" si="70"/>
        <v>15.084800000000001</v>
      </c>
      <c r="BE360">
        <f t="shared" si="71"/>
        <v>25.077725760000003</v>
      </c>
    </row>
    <row r="361" spans="6:57">
      <c r="F361" s="9"/>
      <c r="G361" s="22">
        <v>3.2501200000000001E-2</v>
      </c>
      <c r="H361" s="22">
        <v>62.868899999999996</v>
      </c>
      <c r="I361" s="22">
        <v>-1.81213E-2</v>
      </c>
      <c r="J361" s="22">
        <v>351</v>
      </c>
      <c r="K361" s="22">
        <v>3.2257099999999997E-2</v>
      </c>
      <c r="L361">
        <f t="shared" si="60"/>
        <v>18.121300000000002</v>
      </c>
      <c r="M361">
        <f t="shared" si="61"/>
        <v>0.58896399556000012</v>
      </c>
      <c r="N361" s="9"/>
      <c r="O361" s="22">
        <v>1.6674800000000001</v>
      </c>
      <c r="P361" s="22">
        <v>173.79599999999999</v>
      </c>
      <c r="Q361" s="22">
        <v>-1.4816299999999999E-2</v>
      </c>
      <c r="R361" s="22">
        <v>351</v>
      </c>
      <c r="S361" s="22">
        <v>1.6671800000000001</v>
      </c>
      <c r="T361">
        <f t="shared" si="62"/>
        <v>14.8163</v>
      </c>
      <c r="U361">
        <f t="shared" si="63"/>
        <v>24.705883924000002</v>
      </c>
      <c r="X361" s="9"/>
      <c r="Y361" s="22">
        <v>3.2501200000000001E-2</v>
      </c>
      <c r="Z361" s="22">
        <v>237.38200000000001</v>
      </c>
      <c r="AA361" s="22">
        <v>-1.7175300000000001E-2</v>
      </c>
      <c r="AB361" s="22">
        <v>351</v>
      </c>
      <c r="AC361" s="22">
        <v>3.22449E-2</v>
      </c>
      <c r="AD361">
        <f t="shared" si="64"/>
        <v>17.1753</v>
      </c>
      <c r="AE361">
        <f t="shared" si="65"/>
        <v>0.55821786035999998</v>
      </c>
      <c r="AF361" s="9"/>
      <c r="AG361" s="22">
        <v>1.6674800000000001</v>
      </c>
      <c r="AH361" s="22">
        <v>369.71499999999997</v>
      </c>
      <c r="AI361" s="22">
        <v>-1.4975E-2</v>
      </c>
      <c r="AJ361" s="22">
        <v>351</v>
      </c>
      <c r="AK361" s="22">
        <v>1.66656</v>
      </c>
      <c r="AL361">
        <f t="shared" si="66"/>
        <v>14.975</v>
      </c>
      <c r="AM361">
        <f t="shared" si="67"/>
        <v>24.970513</v>
      </c>
      <c r="AP361" s="9"/>
      <c r="AQ361" s="22">
        <v>3.2501200000000001E-2</v>
      </c>
      <c r="AR361" s="22">
        <v>438.80500000000001</v>
      </c>
      <c r="AS361" s="22">
        <v>-1.7135600000000001E-2</v>
      </c>
      <c r="AT361" s="22">
        <v>351</v>
      </c>
      <c r="AU361" s="22">
        <v>3.2318100000000002E-2</v>
      </c>
      <c r="AV361">
        <f t="shared" si="68"/>
        <v>17.1356</v>
      </c>
      <c r="AW361">
        <f t="shared" si="69"/>
        <v>0.55692756271999999</v>
      </c>
      <c r="AX361" s="9"/>
      <c r="AY361" s="22">
        <v>1.6674800000000001</v>
      </c>
      <c r="AZ361" s="22">
        <v>499.63799999999998</v>
      </c>
      <c r="BA361" s="22">
        <v>-1.49841E-2</v>
      </c>
      <c r="BB361" s="22">
        <v>351</v>
      </c>
      <c r="BC361" s="22">
        <v>1.66656</v>
      </c>
      <c r="BD361">
        <f t="shared" si="70"/>
        <v>14.9841</v>
      </c>
      <c r="BE361">
        <f t="shared" si="71"/>
        <v>24.985687068000001</v>
      </c>
    </row>
    <row r="362" spans="6:57">
      <c r="F362" s="9"/>
      <c r="G362" s="22">
        <v>2.7465799999999999E-2</v>
      </c>
      <c r="H362" s="22">
        <v>62.9696</v>
      </c>
      <c r="I362" s="22">
        <v>-1.81061E-2</v>
      </c>
      <c r="J362" s="22">
        <v>352</v>
      </c>
      <c r="K362" s="22">
        <v>2.75421E-2</v>
      </c>
      <c r="L362">
        <f t="shared" si="60"/>
        <v>18.106100000000001</v>
      </c>
      <c r="M362">
        <f t="shared" si="61"/>
        <v>0.49729852138000002</v>
      </c>
      <c r="N362" s="9"/>
      <c r="O362" s="22">
        <v>1.67252</v>
      </c>
      <c r="P362" s="22">
        <v>173.89599999999999</v>
      </c>
      <c r="Q362" s="22">
        <v>-1.46637E-2</v>
      </c>
      <c r="R362" s="22">
        <v>352</v>
      </c>
      <c r="S362" s="22">
        <v>1.6714500000000001</v>
      </c>
      <c r="T362">
        <f t="shared" si="62"/>
        <v>14.6637</v>
      </c>
      <c r="U362">
        <f t="shared" si="63"/>
        <v>24.525331524000002</v>
      </c>
      <c r="X362" s="9"/>
      <c r="Y362" s="22">
        <v>2.7465799999999999E-2</v>
      </c>
      <c r="Z362" s="22">
        <v>237.482</v>
      </c>
      <c r="AA362" s="22">
        <v>-1.7178300000000001E-2</v>
      </c>
      <c r="AB362" s="22">
        <v>352</v>
      </c>
      <c r="AC362" s="22">
        <v>2.7084400000000002E-2</v>
      </c>
      <c r="AD362">
        <f t="shared" si="64"/>
        <v>17.1783</v>
      </c>
      <c r="AE362">
        <f t="shared" si="65"/>
        <v>0.47181575213999999</v>
      </c>
      <c r="AF362" s="9"/>
      <c r="AG362" s="22">
        <v>1.67252</v>
      </c>
      <c r="AH362" s="22">
        <v>369.81599999999997</v>
      </c>
      <c r="AI362" s="22">
        <v>-1.4843800000000001E-2</v>
      </c>
      <c r="AJ362" s="22">
        <v>352</v>
      </c>
      <c r="AK362" s="22">
        <v>1.6711400000000001</v>
      </c>
      <c r="AL362">
        <f t="shared" si="66"/>
        <v>14.8438</v>
      </c>
      <c r="AM362">
        <f t="shared" si="67"/>
        <v>24.826552375999999</v>
      </c>
      <c r="AP362" s="9"/>
      <c r="AQ362" s="22">
        <v>2.7465799999999999E-2</v>
      </c>
      <c r="AR362" s="22">
        <v>438.90600000000001</v>
      </c>
      <c r="AS362" s="22">
        <v>-1.7135600000000001E-2</v>
      </c>
      <c r="AT362" s="22">
        <v>352</v>
      </c>
      <c r="AU362" s="22">
        <v>2.73621E-2</v>
      </c>
      <c r="AV362">
        <f t="shared" si="68"/>
        <v>17.1356</v>
      </c>
      <c r="AW362">
        <f t="shared" si="69"/>
        <v>0.47064296247999998</v>
      </c>
      <c r="AX362" s="9"/>
      <c r="AY362" s="22">
        <v>1.67252</v>
      </c>
      <c r="AZ362" s="22">
        <v>499.73899999999998</v>
      </c>
      <c r="BA362" s="22">
        <v>-1.48682E-2</v>
      </c>
      <c r="BB362" s="22">
        <v>352</v>
      </c>
      <c r="BC362" s="22">
        <v>1.6717500000000001</v>
      </c>
      <c r="BD362">
        <f t="shared" si="70"/>
        <v>14.8682</v>
      </c>
      <c r="BE362">
        <f t="shared" si="71"/>
        <v>24.867361863999999</v>
      </c>
    </row>
    <row r="363" spans="6:57">
      <c r="F363" s="9"/>
      <c r="G363" s="22">
        <v>2.24304E-2</v>
      </c>
      <c r="H363" s="22">
        <v>63.070300000000003</v>
      </c>
      <c r="I363" s="22">
        <v>-1.8090800000000001E-2</v>
      </c>
      <c r="J363" s="22">
        <v>353</v>
      </c>
      <c r="K363" s="22">
        <v>2.24304E-2</v>
      </c>
      <c r="L363">
        <f t="shared" si="60"/>
        <v>18.090800000000002</v>
      </c>
      <c r="M363">
        <f t="shared" si="61"/>
        <v>0.40578388032000001</v>
      </c>
      <c r="N363" s="9"/>
      <c r="O363" s="22">
        <v>1.6775500000000001</v>
      </c>
      <c r="P363" s="22">
        <v>173.99700000000001</v>
      </c>
      <c r="Q363" s="22">
        <v>-1.4508099999999999E-2</v>
      </c>
      <c r="R363" s="22">
        <v>353</v>
      </c>
      <c r="S363" s="22">
        <v>1.6763300000000001</v>
      </c>
      <c r="T363">
        <f t="shared" si="62"/>
        <v>14.508099999999999</v>
      </c>
      <c r="U363">
        <f t="shared" si="63"/>
        <v>24.338063155</v>
      </c>
      <c r="X363" s="9"/>
      <c r="Y363" s="22">
        <v>2.24304E-2</v>
      </c>
      <c r="Z363" s="22">
        <v>237.583</v>
      </c>
      <c r="AA363" s="22">
        <v>-1.7181399999999999E-2</v>
      </c>
      <c r="AB363" s="22">
        <v>353</v>
      </c>
      <c r="AC363" s="22">
        <v>2.2302200000000001E-2</v>
      </c>
      <c r="AD363">
        <f t="shared" si="64"/>
        <v>17.1814</v>
      </c>
      <c r="AE363">
        <f t="shared" si="65"/>
        <v>0.38538567456</v>
      </c>
      <c r="AF363" s="9"/>
      <c r="AG363" s="22">
        <v>1.6775500000000001</v>
      </c>
      <c r="AH363" s="22">
        <v>369.916</v>
      </c>
      <c r="AI363" s="22">
        <v>-1.47034E-2</v>
      </c>
      <c r="AJ363" s="22">
        <v>353</v>
      </c>
      <c r="AK363" s="22">
        <v>1.6763300000000001</v>
      </c>
      <c r="AL363">
        <f t="shared" si="66"/>
        <v>14.7034</v>
      </c>
      <c r="AM363">
        <f t="shared" si="67"/>
        <v>24.665688670000002</v>
      </c>
      <c r="AP363" s="9"/>
      <c r="AQ363" s="22">
        <v>2.24304E-2</v>
      </c>
      <c r="AR363" s="22">
        <v>439.00700000000001</v>
      </c>
      <c r="AS363" s="22">
        <v>-1.71387E-2</v>
      </c>
      <c r="AT363" s="22">
        <v>353</v>
      </c>
      <c r="AU363" s="22">
        <v>2.2247300000000001E-2</v>
      </c>
      <c r="AV363">
        <f t="shared" si="68"/>
        <v>17.1387</v>
      </c>
      <c r="AW363">
        <f t="shared" si="69"/>
        <v>0.38442789647999998</v>
      </c>
      <c r="AX363" s="9"/>
      <c r="AY363" s="22">
        <v>1.6775500000000001</v>
      </c>
      <c r="AZ363" s="22">
        <v>499.84</v>
      </c>
      <c r="BA363" s="22">
        <v>-1.4727799999999999E-2</v>
      </c>
      <c r="BB363" s="22">
        <v>353</v>
      </c>
      <c r="BC363" s="22">
        <v>1.6769400000000001</v>
      </c>
      <c r="BD363">
        <f t="shared" si="70"/>
        <v>14.727799999999998</v>
      </c>
      <c r="BE363">
        <f t="shared" si="71"/>
        <v>24.70662089</v>
      </c>
    </row>
    <row r="364" spans="6:57">
      <c r="F364" s="9"/>
      <c r="G364" s="22">
        <v>1.7395000000000001E-2</v>
      </c>
      <c r="H364" s="22">
        <v>63.170999999999999</v>
      </c>
      <c r="I364" s="22">
        <v>-1.8081699999999999E-2</v>
      </c>
      <c r="J364" s="22">
        <v>354</v>
      </c>
      <c r="K364" s="22">
        <v>1.7080700000000001E-2</v>
      </c>
      <c r="L364">
        <f t="shared" si="60"/>
        <v>18.081699999999998</v>
      </c>
      <c r="M364">
        <f t="shared" si="61"/>
        <v>0.31453117149999998</v>
      </c>
      <c r="N364" s="9"/>
      <c r="O364" s="22">
        <v>1.68259</v>
      </c>
      <c r="P364" s="22">
        <v>174.09800000000001</v>
      </c>
      <c r="Q364" s="22">
        <v>-1.4324999999999999E-2</v>
      </c>
      <c r="R364" s="22">
        <v>354</v>
      </c>
      <c r="S364" s="22">
        <v>1.6815199999999999</v>
      </c>
      <c r="T364">
        <f t="shared" si="62"/>
        <v>14.324999999999999</v>
      </c>
      <c r="U364">
        <f t="shared" si="63"/>
        <v>24.10310175</v>
      </c>
      <c r="X364" s="9"/>
      <c r="Y364" s="22">
        <v>1.7395000000000001E-2</v>
      </c>
      <c r="Z364" s="22">
        <v>237.684</v>
      </c>
      <c r="AA364" s="22">
        <v>-1.7184399999999999E-2</v>
      </c>
      <c r="AB364" s="22">
        <v>354</v>
      </c>
      <c r="AC364" s="22">
        <v>1.73676E-2</v>
      </c>
      <c r="AD364">
        <f t="shared" si="64"/>
        <v>17.1844</v>
      </c>
      <c r="AE364">
        <f t="shared" si="65"/>
        <v>0.29892263800000002</v>
      </c>
      <c r="AF364" s="9"/>
      <c r="AG364" s="22">
        <v>1.68259</v>
      </c>
      <c r="AH364" s="22">
        <v>370.017</v>
      </c>
      <c r="AI364" s="22">
        <v>-1.4559900000000001E-2</v>
      </c>
      <c r="AJ364" s="22">
        <v>354</v>
      </c>
      <c r="AK364" s="22">
        <v>1.6818200000000001</v>
      </c>
      <c r="AL364">
        <f t="shared" si="66"/>
        <v>14.559900000000001</v>
      </c>
      <c r="AM364">
        <f t="shared" si="67"/>
        <v>24.498342141000002</v>
      </c>
      <c r="AP364" s="9"/>
      <c r="AQ364" s="22">
        <v>1.7395000000000001E-2</v>
      </c>
      <c r="AR364" s="22">
        <v>439.10700000000003</v>
      </c>
      <c r="AS364" s="22">
        <v>-1.7144800000000002E-2</v>
      </c>
      <c r="AT364" s="22">
        <v>354</v>
      </c>
      <c r="AU364" s="22">
        <v>1.7215000000000001E-2</v>
      </c>
      <c r="AV364">
        <f t="shared" si="68"/>
        <v>17.1448</v>
      </c>
      <c r="AW364">
        <f t="shared" si="69"/>
        <v>0.298233796</v>
      </c>
      <c r="AX364" s="9"/>
      <c r="AY364" s="22">
        <v>1.68259</v>
      </c>
      <c r="AZ364" s="22">
        <v>499.94</v>
      </c>
      <c r="BA364" s="22">
        <v>-1.4572099999999999E-2</v>
      </c>
      <c r="BB364" s="22">
        <v>354</v>
      </c>
      <c r="BC364" s="22">
        <v>1.6824300000000001</v>
      </c>
      <c r="BD364">
        <f t="shared" si="70"/>
        <v>14.572099999999999</v>
      </c>
      <c r="BE364">
        <f t="shared" si="71"/>
        <v>24.518869738999999</v>
      </c>
    </row>
    <row r="365" spans="6:57">
      <c r="F365" s="9"/>
      <c r="G365" s="22">
        <v>1.23596E-2</v>
      </c>
      <c r="H365" s="22">
        <v>63.271700000000003</v>
      </c>
      <c r="I365" s="22">
        <v>-1.8069499999999999E-2</v>
      </c>
      <c r="J365" s="22">
        <v>355</v>
      </c>
      <c r="K365" s="22">
        <v>1.25763E-2</v>
      </c>
      <c r="L365">
        <f t="shared" si="60"/>
        <v>18.069499999999998</v>
      </c>
      <c r="M365">
        <f t="shared" si="61"/>
        <v>0.22333179219999996</v>
      </c>
      <c r="N365" s="9"/>
      <c r="O365" s="22">
        <v>1.6876199999999999</v>
      </c>
      <c r="P365" s="22">
        <v>174.19900000000001</v>
      </c>
      <c r="Q365" s="22">
        <v>-1.4135699999999999E-2</v>
      </c>
      <c r="R365" s="22">
        <v>355</v>
      </c>
      <c r="S365" s="22">
        <v>1.6860999999999999</v>
      </c>
      <c r="T365">
        <f t="shared" si="62"/>
        <v>14.1357</v>
      </c>
      <c r="U365">
        <f t="shared" si="63"/>
        <v>23.855690033999998</v>
      </c>
      <c r="X365" s="9"/>
      <c r="Y365" s="22">
        <v>1.23596E-2</v>
      </c>
      <c r="Z365" s="22">
        <v>237.785</v>
      </c>
      <c r="AA365" s="22">
        <v>-1.7184399999999999E-2</v>
      </c>
      <c r="AB365" s="22">
        <v>355</v>
      </c>
      <c r="AC365" s="22">
        <v>1.22162E-2</v>
      </c>
      <c r="AD365">
        <f t="shared" si="64"/>
        <v>17.1844</v>
      </c>
      <c r="AE365">
        <f t="shared" si="65"/>
        <v>0.21239231023999999</v>
      </c>
      <c r="AF365" s="9"/>
      <c r="AG365" s="22">
        <v>1.6876199999999999</v>
      </c>
      <c r="AH365" s="22">
        <v>370.11799999999999</v>
      </c>
      <c r="AI365" s="22">
        <v>-1.4382900000000001E-2</v>
      </c>
      <c r="AJ365" s="22">
        <v>355</v>
      </c>
      <c r="AK365" s="22">
        <v>1.6873199999999999</v>
      </c>
      <c r="AL365">
        <f t="shared" si="66"/>
        <v>14.382900000000001</v>
      </c>
      <c r="AM365">
        <f t="shared" si="67"/>
        <v>24.272869698000001</v>
      </c>
      <c r="AP365" s="9"/>
      <c r="AQ365" s="22">
        <v>1.23596E-2</v>
      </c>
      <c r="AR365" s="22">
        <v>439.20800000000003</v>
      </c>
      <c r="AS365" s="22">
        <v>-1.7147800000000001E-2</v>
      </c>
      <c r="AT365" s="22">
        <v>355</v>
      </c>
      <c r="AU365" s="22">
        <v>1.21338E-2</v>
      </c>
      <c r="AV365">
        <f t="shared" si="68"/>
        <v>17.1478</v>
      </c>
      <c r="AW365">
        <f t="shared" si="69"/>
        <v>0.21193994888000001</v>
      </c>
      <c r="AX365" s="9"/>
      <c r="AY365" s="22">
        <v>1.6876199999999999</v>
      </c>
      <c r="AZ365" s="22">
        <v>500.041</v>
      </c>
      <c r="BA365" s="22">
        <v>-1.44073E-2</v>
      </c>
      <c r="BB365" s="22">
        <v>355</v>
      </c>
      <c r="BC365" s="22">
        <v>1.6867099999999999</v>
      </c>
      <c r="BD365">
        <f t="shared" si="70"/>
        <v>14.407299999999999</v>
      </c>
      <c r="BE365">
        <f t="shared" si="71"/>
        <v>24.314047625999997</v>
      </c>
    </row>
    <row r="366" spans="6:57">
      <c r="F366" s="9"/>
      <c r="G366" s="22">
        <v>7.3242200000000002E-3</v>
      </c>
      <c r="H366" s="22">
        <v>63.372399999999999</v>
      </c>
      <c r="I366" s="22">
        <v>-1.8057299999999998E-2</v>
      </c>
      <c r="J366" s="22">
        <v>356</v>
      </c>
      <c r="K366" s="22">
        <v>7.0282000000000001E-3</v>
      </c>
      <c r="L366">
        <f t="shared" si="60"/>
        <v>18.057299999999998</v>
      </c>
      <c r="M366">
        <f t="shared" si="61"/>
        <v>0.132255637806</v>
      </c>
      <c r="N366" s="9"/>
      <c r="O366" s="22">
        <v>1.6926600000000001</v>
      </c>
      <c r="P366" s="22">
        <v>174.29900000000001</v>
      </c>
      <c r="Q366" s="22">
        <v>-1.38733E-2</v>
      </c>
      <c r="R366" s="22">
        <v>356</v>
      </c>
      <c r="S366" s="22">
        <v>1.6921999999999999</v>
      </c>
      <c r="T366">
        <f t="shared" si="62"/>
        <v>13.8733</v>
      </c>
      <c r="U366">
        <f t="shared" si="63"/>
        <v>23.482779978</v>
      </c>
      <c r="X366" s="9"/>
      <c r="Y366" s="22">
        <v>7.3242200000000002E-3</v>
      </c>
      <c r="Z366" s="22">
        <v>237.88499999999999</v>
      </c>
      <c r="AA366" s="22">
        <v>-1.7178300000000001E-2</v>
      </c>
      <c r="AB366" s="22">
        <v>356</v>
      </c>
      <c r="AC366" s="22">
        <v>7.0770299999999998E-3</v>
      </c>
      <c r="AD366">
        <f t="shared" si="64"/>
        <v>17.1783</v>
      </c>
      <c r="AE366">
        <f t="shared" si="65"/>
        <v>0.12581764842600002</v>
      </c>
      <c r="AF366" s="9"/>
      <c r="AG366" s="22">
        <v>1.6926600000000001</v>
      </c>
      <c r="AH366" s="22">
        <v>370.21899999999999</v>
      </c>
      <c r="AI366" s="22">
        <v>-1.41876E-2</v>
      </c>
      <c r="AJ366" s="22">
        <v>356</v>
      </c>
      <c r="AK366" s="22">
        <v>1.6915899999999999</v>
      </c>
      <c r="AL366">
        <f t="shared" si="66"/>
        <v>14.1876</v>
      </c>
      <c r="AM366">
        <f t="shared" si="67"/>
        <v>24.014783015999999</v>
      </c>
      <c r="AP366" s="9"/>
      <c r="AQ366" s="22">
        <v>7.3242200000000002E-3</v>
      </c>
      <c r="AR366" s="22">
        <v>439.30900000000003</v>
      </c>
      <c r="AS366" s="22">
        <v>-1.71509E-2</v>
      </c>
      <c r="AT366" s="22">
        <v>356</v>
      </c>
      <c r="AU366" s="22">
        <v>7.14417E-3</v>
      </c>
      <c r="AV366">
        <f t="shared" si="68"/>
        <v>17.1509</v>
      </c>
      <c r="AW366">
        <f t="shared" si="69"/>
        <v>0.125616964798</v>
      </c>
      <c r="AX366" s="9"/>
      <c r="AY366" s="22">
        <v>1.6926600000000001</v>
      </c>
      <c r="AZ366" s="22">
        <v>500.142</v>
      </c>
      <c r="BA366" s="22">
        <v>-1.42151E-2</v>
      </c>
      <c r="BB366" s="22">
        <v>356</v>
      </c>
      <c r="BC366" s="22">
        <v>1.6921999999999999</v>
      </c>
      <c r="BD366">
        <f t="shared" si="70"/>
        <v>14.2151</v>
      </c>
      <c r="BE366">
        <f t="shared" si="71"/>
        <v>24.061331165999999</v>
      </c>
    </row>
    <row r="367" spans="6:57">
      <c r="F367" s="9"/>
      <c r="G367" s="22">
        <v>2.28882E-3</v>
      </c>
      <c r="H367" s="22">
        <v>63.473100000000002</v>
      </c>
      <c r="I367" s="22">
        <v>-1.8048100000000001E-2</v>
      </c>
      <c r="J367" s="22">
        <v>357</v>
      </c>
      <c r="K367" s="22">
        <v>1.7181399999999999E-3</v>
      </c>
      <c r="L367">
        <f t="shared" si="60"/>
        <v>18.048100000000002</v>
      </c>
      <c r="M367">
        <f t="shared" si="61"/>
        <v>4.1308852242000003E-2</v>
      </c>
      <c r="N367" s="9"/>
      <c r="O367" s="22">
        <v>1.6976899999999999</v>
      </c>
      <c r="P367" s="22">
        <v>174.4</v>
      </c>
      <c r="Q367" s="22">
        <v>-1.36078E-2</v>
      </c>
      <c r="R367" s="22">
        <v>357</v>
      </c>
      <c r="S367" s="22">
        <v>1.69678</v>
      </c>
      <c r="T367">
        <f t="shared" si="62"/>
        <v>13.607799999999999</v>
      </c>
      <c r="U367">
        <f t="shared" si="63"/>
        <v>23.101825981999998</v>
      </c>
      <c r="X367" s="9"/>
      <c r="Y367" s="22">
        <v>2.28882E-3</v>
      </c>
      <c r="Z367" s="22">
        <v>237.98599999999999</v>
      </c>
      <c r="AA367" s="22">
        <v>-1.7184399999999999E-2</v>
      </c>
      <c r="AB367" s="22">
        <v>357</v>
      </c>
      <c r="AC367" s="22">
        <v>1.9104E-3</v>
      </c>
      <c r="AD367">
        <f t="shared" si="64"/>
        <v>17.1844</v>
      </c>
      <c r="AE367">
        <f t="shared" si="65"/>
        <v>3.9331998408000002E-2</v>
      </c>
      <c r="AF367" s="9"/>
      <c r="AG367" s="22">
        <v>1.6976899999999999</v>
      </c>
      <c r="AH367" s="22">
        <v>370.31900000000002</v>
      </c>
      <c r="AI367" s="22">
        <v>-1.3958699999999999E-2</v>
      </c>
      <c r="AJ367" s="22">
        <v>357</v>
      </c>
      <c r="AK367" s="22">
        <v>1.69678</v>
      </c>
      <c r="AL367">
        <f t="shared" si="66"/>
        <v>13.958699999999999</v>
      </c>
      <c r="AM367">
        <f t="shared" si="67"/>
        <v>23.697545402999996</v>
      </c>
      <c r="AP367" s="9"/>
      <c r="AQ367" s="22">
        <v>2.28882E-3</v>
      </c>
      <c r="AR367" s="22">
        <v>439.40899999999999</v>
      </c>
      <c r="AS367" s="22">
        <v>-1.71509E-2</v>
      </c>
      <c r="AT367" s="22">
        <v>357</v>
      </c>
      <c r="AU367" s="22">
        <v>2.04163E-3</v>
      </c>
      <c r="AV367">
        <f t="shared" si="68"/>
        <v>17.1509</v>
      </c>
      <c r="AW367">
        <f t="shared" si="69"/>
        <v>3.9255322937999999E-2</v>
      </c>
      <c r="AX367" s="9"/>
      <c r="AY367" s="22">
        <v>1.6976899999999999</v>
      </c>
      <c r="AZ367" s="22">
        <v>500.24200000000002</v>
      </c>
      <c r="BA367" s="22">
        <v>-1.40015E-2</v>
      </c>
      <c r="BB367" s="22">
        <v>357</v>
      </c>
      <c r="BC367" s="22">
        <v>1.6964699999999999</v>
      </c>
      <c r="BD367">
        <f t="shared" si="70"/>
        <v>14.0015</v>
      </c>
      <c r="BE367">
        <f t="shared" si="71"/>
        <v>23.770206535</v>
      </c>
    </row>
    <row r="368" spans="6:57">
      <c r="F368" s="9"/>
      <c r="G368" s="22">
        <v>-2.7465800000000002E-3</v>
      </c>
      <c r="H368" s="22">
        <v>63.573799999999999</v>
      </c>
      <c r="I368" s="22">
        <v>-1.80389E-2</v>
      </c>
      <c r="J368" s="22">
        <v>358</v>
      </c>
      <c r="K368" s="22">
        <v>-2.9205300000000002E-3</v>
      </c>
      <c r="L368">
        <f t="shared" si="60"/>
        <v>18.038900000000002</v>
      </c>
      <c r="M368">
        <f t="shared" si="61"/>
        <v>-4.9545281962000011E-2</v>
      </c>
      <c r="N368" s="9"/>
      <c r="O368" s="22">
        <v>1.7027300000000001</v>
      </c>
      <c r="P368" s="22">
        <v>174.501</v>
      </c>
      <c r="Q368" s="22">
        <v>-1.3281299999999999E-2</v>
      </c>
      <c r="R368" s="22">
        <v>358</v>
      </c>
      <c r="S368" s="22">
        <v>1.70197</v>
      </c>
      <c r="T368">
        <f t="shared" si="62"/>
        <v>13.2813</v>
      </c>
      <c r="U368">
        <f t="shared" si="63"/>
        <v>22.614467949000002</v>
      </c>
      <c r="X368" s="9"/>
      <c r="Y368" s="22">
        <v>-2.7465800000000002E-3</v>
      </c>
      <c r="Z368" s="22">
        <v>238.08699999999999</v>
      </c>
      <c r="AA368" s="22">
        <v>-1.71936E-2</v>
      </c>
      <c r="AB368" s="22">
        <v>358</v>
      </c>
      <c r="AC368" s="22">
        <v>-3.04871E-3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370.42</v>
      </c>
      <c r="AI368" s="22">
        <v>-1.37054E-2</v>
      </c>
      <c r="AJ368" s="22">
        <v>358</v>
      </c>
      <c r="AK368" s="22">
        <v>1.70197</v>
      </c>
      <c r="AL368">
        <f t="shared" si="66"/>
        <v>13.705399999999999</v>
      </c>
      <c r="AM368">
        <f t="shared" si="67"/>
        <v>23.336595742</v>
      </c>
      <c r="AP368" s="9"/>
      <c r="AQ368" s="22">
        <v>-2.7465800000000002E-3</v>
      </c>
      <c r="AR368" s="22">
        <v>439.51</v>
      </c>
      <c r="AS368" s="22">
        <v>-1.7147800000000001E-2</v>
      </c>
      <c r="AT368" s="22">
        <v>358</v>
      </c>
      <c r="AU368" s="22">
        <v>-3.0365000000000001E-3</v>
      </c>
      <c r="AV368">
        <f t="shared" si="68"/>
        <v>17.1478</v>
      </c>
      <c r="AW368">
        <f t="shared" si="69"/>
        <v>-4.7097804524000003E-2</v>
      </c>
      <c r="AX368" s="9"/>
      <c r="AY368" s="22">
        <v>1.7027300000000001</v>
      </c>
      <c r="AZ368" s="22">
        <v>500.34300000000002</v>
      </c>
      <c r="BA368" s="22">
        <v>-1.37421E-2</v>
      </c>
      <c r="BB368" s="22">
        <v>358</v>
      </c>
      <c r="BC368" s="22">
        <v>1.7022699999999999</v>
      </c>
      <c r="BD368">
        <f t="shared" si="70"/>
        <v>13.742100000000001</v>
      </c>
      <c r="BE368">
        <f t="shared" si="71"/>
        <v>23.399085933000002</v>
      </c>
    </row>
    <row r="369" spans="6:57">
      <c r="F369" s="9"/>
      <c r="G369" s="22">
        <v>-7.78198E-3</v>
      </c>
      <c r="H369" s="22">
        <v>63.674500000000002</v>
      </c>
      <c r="I369" s="22">
        <v>-1.8029799999999999E-2</v>
      </c>
      <c r="J369" s="22">
        <v>359</v>
      </c>
      <c r="K369" s="22">
        <v>-8.3312999999999998E-3</v>
      </c>
      <c r="L369">
        <f t="shared" si="60"/>
        <v>18.029799999999998</v>
      </c>
      <c r="M369">
        <f t="shared" si="61"/>
        <v>-0.14030754300399997</v>
      </c>
      <c r="N369" s="9"/>
      <c r="O369" s="22">
        <v>1.7077599999999999</v>
      </c>
      <c r="P369" s="22">
        <v>174.601</v>
      </c>
      <c r="Q369" s="22">
        <v>-1.29639E-2</v>
      </c>
      <c r="R369" s="22">
        <v>359</v>
      </c>
      <c r="S369" s="22">
        <v>1.70685</v>
      </c>
      <c r="T369">
        <f t="shared" si="62"/>
        <v>12.963900000000001</v>
      </c>
      <c r="U369">
        <f t="shared" si="63"/>
        <v>22.139229864000001</v>
      </c>
      <c r="X369" s="9"/>
      <c r="Y369" s="22">
        <v>-7.78198E-3</v>
      </c>
      <c r="Z369" s="22">
        <v>238.18700000000001</v>
      </c>
      <c r="AA369" s="22">
        <v>-1.71906E-2</v>
      </c>
      <c r="AB369" s="22">
        <v>359</v>
      </c>
      <c r="AC369" s="22">
        <v>-8.2122800000000006E-3</v>
      </c>
      <c r="AD369">
        <f t="shared" si="64"/>
        <v>17.1906</v>
      </c>
      <c r="AE369">
        <f t="shared" si="65"/>
        <v>-0.13377690538799999</v>
      </c>
      <c r="AF369" s="9"/>
      <c r="AG369" s="22">
        <v>1.7077599999999999</v>
      </c>
      <c r="AH369" s="22">
        <v>370.52100000000002</v>
      </c>
      <c r="AI369" s="22">
        <v>-1.3427700000000001E-2</v>
      </c>
      <c r="AJ369" s="22">
        <v>359</v>
      </c>
      <c r="AK369" s="22">
        <v>1.7071499999999999</v>
      </c>
      <c r="AL369">
        <f t="shared" si="66"/>
        <v>13.427700000000002</v>
      </c>
      <c r="AM369">
        <f t="shared" si="67"/>
        <v>22.931288952000003</v>
      </c>
      <c r="AP369" s="9"/>
      <c r="AQ369" s="22">
        <v>-7.78198E-3</v>
      </c>
      <c r="AR369" s="22">
        <v>439.61099999999999</v>
      </c>
      <c r="AS369" s="22">
        <v>-1.7147800000000001E-2</v>
      </c>
      <c r="AT369" s="22">
        <v>359</v>
      </c>
      <c r="AU369" s="22">
        <v>-8.0718999999999999E-3</v>
      </c>
      <c r="AV369">
        <f t="shared" si="68"/>
        <v>17.1478</v>
      </c>
      <c r="AW369">
        <f t="shared" si="69"/>
        <v>-0.133443836644</v>
      </c>
      <c r="AX369" s="9"/>
      <c r="AY369" s="22">
        <v>1.7077599999999999</v>
      </c>
      <c r="AZ369" s="22">
        <v>500.44400000000002</v>
      </c>
      <c r="BA369" s="22">
        <v>-1.34857E-2</v>
      </c>
      <c r="BB369" s="22">
        <v>359</v>
      </c>
      <c r="BC369" s="22">
        <v>1.70685</v>
      </c>
      <c r="BD369">
        <f t="shared" si="70"/>
        <v>13.4857</v>
      </c>
      <c r="BE369">
        <f t="shared" si="71"/>
        <v>23.030339031999997</v>
      </c>
    </row>
    <row r="370" spans="6:57">
      <c r="F370" s="9"/>
      <c r="G370" s="22">
        <v>-1.28174E-2</v>
      </c>
      <c r="H370" s="22">
        <v>63.775300000000001</v>
      </c>
      <c r="I370" s="22">
        <v>-1.8017600000000002E-2</v>
      </c>
      <c r="J370" s="22">
        <v>360</v>
      </c>
      <c r="K370" s="22">
        <v>-1.31866E-2</v>
      </c>
      <c r="L370">
        <f t="shared" si="60"/>
        <v>18.017600000000002</v>
      </c>
      <c r="M370">
        <f t="shared" si="61"/>
        <v>-0.23093878624000003</v>
      </c>
      <c r="N370" s="9"/>
      <c r="O370" s="22">
        <v>1.7128000000000001</v>
      </c>
      <c r="P370" s="22">
        <v>174.702</v>
      </c>
      <c r="Q370" s="22">
        <v>-1.2539700000000001E-2</v>
      </c>
      <c r="R370" s="22">
        <v>360</v>
      </c>
      <c r="S370" s="22">
        <v>1.71234</v>
      </c>
      <c r="T370">
        <f t="shared" si="62"/>
        <v>12.539700000000002</v>
      </c>
      <c r="U370">
        <f t="shared" si="63"/>
        <v>21.477998160000006</v>
      </c>
      <c r="X370" s="9"/>
      <c r="Y370" s="22">
        <v>-1.28174E-2</v>
      </c>
      <c r="Z370" s="22">
        <v>238.28800000000001</v>
      </c>
      <c r="AA370" s="22">
        <v>-1.7187500000000001E-2</v>
      </c>
      <c r="AB370" s="22">
        <v>360</v>
      </c>
      <c r="AC370" s="22">
        <v>-1.3336199999999999E-2</v>
      </c>
      <c r="AD370">
        <f t="shared" si="64"/>
        <v>17.1875</v>
      </c>
      <c r="AE370">
        <f t="shared" si="65"/>
        <v>-0.2202990625</v>
      </c>
      <c r="AF370" s="9"/>
      <c r="AG370" s="22">
        <v>1.7128000000000001</v>
      </c>
      <c r="AH370" s="22">
        <v>370.62099999999998</v>
      </c>
      <c r="AI370" s="22">
        <v>-1.3110399999999999E-2</v>
      </c>
      <c r="AJ370" s="22">
        <v>360</v>
      </c>
      <c r="AK370" s="22">
        <v>1.71234</v>
      </c>
      <c r="AL370">
        <f t="shared" si="66"/>
        <v>13.1104</v>
      </c>
      <c r="AM370">
        <f t="shared" si="67"/>
        <v>22.455493120000003</v>
      </c>
      <c r="AP370" s="9"/>
      <c r="AQ370" s="22">
        <v>-1.28174E-2</v>
      </c>
      <c r="AR370" s="22">
        <v>439.71199999999999</v>
      </c>
      <c r="AS370" s="22">
        <v>-1.7160000000000002E-2</v>
      </c>
      <c r="AT370" s="22">
        <v>360</v>
      </c>
      <c r="AU370" s="22">
        <v>-1.31287E-2</v>
      </c>
      <c r="AV370">
        <f t="shared" si="68"/>
        <v>17.16</v>
      </c>
      <c r="AW370">
        <f t="shared" si="69"/>
        <v>-0.219946584</v>
      </c>
      <c r="AX370" s="9"/>
      <c r="AY370" s="22">
        <v>1.7128000000000001</v>
      </c>
      <c r="AZ370" s="22">
        <v>500.54399999999998</v>
      </c>
      <c r="BA370" s="22">
        <v>-1.31775E-2</v>
      </c>
      <c r="BB370" s="22">
        <v>360</v>
      </c>
      <c r="BC370" s="22">
        <v>1.71143</v>
      </c>
      <c r="BD370">
        <f t="shared" si="70"/>
        <v>13.1775</v>
      </c>
      <c r="BE370">
        <f t="shared" si="71"/>
        <v>22.570422000000001</v>
      </c>
    </row>
    <row r="371" spans="6:57">
      <c r="F371" s="9"/>
      <c r="G371" s="22">
        <v>-1.7852799999999999E-2</v>
      </c>
      <c r="H371" s="22">
        <v>63.875999999999998</v>
      </c>
      <c r="I371" s="22">
        <v>-1.80115E-2</v>
      </c>
      <c r="J371" s="22">
        <v>361</v>
      </c>
      <c r="K371" s="22">
        <v>-1.79688E-2</v>
      </c>
      <c r="L371">
        <f t="shared" si="60"/>
        <v>18.011499999999998</v>
      </c>
      <c r="M371">
        <f t="shared" si="61"/>
        <v>-0.32155570719999993</v>
      </c>
      <c r="N371" s="9"/>
      <c r="O371" s="22">
        <v>1.71783</v>
      </c>
      <c r="P371" s="22">
        <v>174.803</v>
      </c>
      <c r="Q371" s="22">
        <v>-1.2069699999999999E-2</v>
      </c>
      <c r="R371" s="22">
        <v>361</v>
      </c>
      <c r="S371" s="22">
        <v>1.71631</v>
      </c>
      <c r="T371">
        <f t="shared" si="62"/>
        <v>12.069699999999999</v>
      </c>
      <c r="U371">
        <f t="shared" si="63"/>
        <v>20.733692751</v>
      </c>
      <c r="X371" s="9"/>
      <c r="Y371" s="22">
        <v>-1.7852799999999999E-2</v>
      </c>
      <c r="Z371" s="22">
        <v>238.38900000000001</v>
      </c>
      <c r="AA371" s="22">
        <v>-1.7199699999999998E-2</v>
      </c>
      <c r="AB371" s="22">
        <v>361</v>
      </c>
      <c r="AC371" s="22">
        <v>-1.81732E-2</v>
      </c>
      <c r="AD371">
        <f t="shared" si="64"/>
        <v>17.1997</v>
      </c>
      <c r="AE371">
        <f t="shared" si="65"/>
        <v>-0.30706280415999998</v>
      </c>
      <c r="AF371" s="9"/>
      <c r="AG371" s="22">
        <v>1.71783</v>
      </c>
      <c r="AH371" s="22">
        <v>370.72199999999998</v>
      </c>
      <c r="AI371" s="22">
        <v>-1.27075E-2</v>
      </c>
      <c r="AJ371" s="22">
        <v>361</v>
      </c>
      <c r="AK371" s="22">
        <v>1.71661</v>
      </c>
      <c r="AL371">
        <f t="shared" si="66"/>
        <v>12.7075</v>
      </c>
      <c r="AM371">
        <f t="shared" si="67"/>
        <v>21.829324724999999</v>
      </c>
      <c r="AP371" s="9"/>
      <c r="AQ371" s="22">
        <v>-1.7852799999999999E-2</v>
      </c>
      <c r="AR371" s="22">
        <v>439.81200000000001</v>
      </c>
      <c r="AS371" s="22">
        <v>-1.7163100000000001E-2</v>
      </c>
      <c r="AT371" s="22">
        <v>361</v>
      </c>
      <c r="AU371" s="22">
        <v>-1.8158000000000001E-2</v>
      </c>
      <c r="AV371">
        <f t="shared" si="68"/>
        <v>17.1631</v>
      </c>
      <c r="AW371">
        <f t="shared" si="69"/>
        <v>-0.30640939167999998</v>
      </c>
      <c r="AX371" s="9"/>
      <c r="AY371" s="22">
        <v>1.71783</v>
      </c>
      <c r="AZ371" s="22">
        <v>500.64499999999998</v>
      </c>
      <c r="BA371" s="22">
        <v>-1.2820399999999999E-2</v>
      </c>
      <c r="BB371" s="22">
        <v>361</v>
      </c>
      <c r="BC371" s="22">
        <v>1.71661</v>
      </c>
      <c r="BD371">
        <f t="shared" si="70"/>
        <v>12.820399999999999</v>
      </c>
      <c r="BE371">
        <f t="shared" si="71"/>
        <v>22.023267731999997</v>
      </c>
    </row>
    <row r="372" spans="6:57">
      <c r="F372" s="9"/>
      <c r="G372" s="22">
        <v>-2.2888200000000001E-2</v>
      </c>
      <c r="H372" s="22">
        <v>63.976700000000001</v>
      </c>
      <c r="I372" s="22">
        <v>-1.7999299999999999E-2</v>
      </c>
      <c r="J372" s="22">
        <v>362</v>
      </c>
      <c r="K372" s="22">
        <v>-2.31659E-2</v>
      </c>
      <c r="L372">
        <f t="shared" si="60"/>
        <v>17.999299999999998</v>
      </c>
      <c r="M372">
        <f t="shared" si="61"/>
        <v>-0.41197157825999997</v>
      </c>
      <c r="N372" s="9"/>
      <c r="O372" s="22">
        <v>1.7228699999999999</v>
      </c>
      <c r="P372" s="22">
        <v>174.904</v>
      </c>
      <c r="Q372" s="22">
        <v>-1.14746E-2</v>
      </c>
      <c r="R372" s="22">
        <v>362</v>
      </c>
      <c r="S372" s="22">
        <v>1.72211</v>
      </c>
      <c r="T372">
        <f t="shared" si="62"/>
        <v>11.474600000000001</v>
      </c>
      <c r="U372">
        <f t="shared" si="63"/>
        <v>19.769244101999998</v>
      </c>
      <c r="X372" s="9"/>
      <c r="Y372" s="22">
        <v>-2.2888200000000001E-2</v>
      </c>
      <c r="Z372" s="22">
        <v>238.49</v>
      </c>
      <c r="AA372" s="22">
        <v>-1.71936E-2</v>
      </c>
      <c r="AB372" s="22">
        <v>362</v>
      </c>
      <c r="AC372" s="22">
        <v>-2.32056E-2</v>
      </c>
      <c r="AD372">
        <f t="shared" si="64"/>
        <v>17.1936</v>
      </c>
      <c r="AE372">
        <f t="shared" si="65"/>
        <v>-0.39353055551999999</v>
      </c>
      <c r="AF372" s="9"/>
      <c r="AG372" s="22">
        <v>1.7228699999999999</v>
      </c>
      <c r="AH372" s="22">
        <v>370.82299999999998</v>
      </c>
      <c r="AI372" s="22">
        <v>-1.22559E-2</v>
      </c>
      <c r="AJ372" s="22">
        <v>362</v>
      </c>
      <c r="AK372" s="22">
        <v>1.7218</v>
      </c>
      <c r="AL372">
        <f t="shared" si="66"/>
        <v>12.2559</v>
      </c>
      <c r="AM372">
        <f t="shared" si="67"/>
        <v>21.115322432999999</v>
      </c>
      <c r="AP372" s="9"/>
      <c r="AQ372" s="22">
        <v>-2.2888200000000001E-2</v>
      </c>
      <c r="AR372" s="22">
        <v>439.91300000000001</v>
      </c>
      <c r="AS372" s="22">
        <v>-1.7163100000000001E-2</v>
      </c>
      <c r="AT372" s="22">
        <v>362</v>
      </c>
      <c r="AU372" s="22">
        <v>-2.3230000000000001E-2</v>
      </c>
      <c r="AV372">
        <f t="shared" si="68"/>
        <v>17.1631</v>
      </c>
      <c r="AW372">
        <f t="shared" si="69"/>
        <v>-0.39283246542</v>
      </c>
      <c r="AX372" s="9"/>
      <c r="AY372" s="22">
        <v>1.7228699999999999</v>
      </c>
      <c r="AZ372" s="22">
        <v>500.74599999999998</v>
      </c>
      <c r="BA372" s="22">
        <v>-1.24054E-2</v>
      </c>
      <c r="BB372" s="22">
        <v>362</v>
      </c>
      <c r="BC372" s="22">
        <v>1.72211</v>
      </c>
      <c r="BD372">
        <f t="shared" si="70"/>
        <v>12.4054</v>
      </c>
      <c r="BE372">
        <f t="shared" si="71"/>
        <v>21.372891497999998</v>
      </c>
    </row>
    <row r="373" spans="6:57">
      <c r="F373" s="9"/>
      <c r="G373" s="22">
        <v>-2.79236E-2</v>
      </c>
      <c r="H373" s="22">
        <v>64.077399999999997</v>
      </c>
      <c r="I373" s="22">
        <v>-1.7990099999999998E-2</v>
      </c>
      <c r="J373" s="22">
        <v>363</v>
      </c>
      <c r="K373" s="22">
        <v>-2.83051E-2</v>
      </c>
      <c r="L373">
        <f t="shared" si="60"/>
        <v>17.990099999999998</v>
      </c>
      <c r="M373">
        <f t="shared" si="61"/>
        <v>-0.50234835635999997</v>
      </c>
      <c r="N373" s="9"/>
      <c r="O373" s="22">
        <v>1.7279100000000001</v>
      </c>
      <c r="P373" s="22">
        <v>175.00399999999999</v>
      </c>
      <c r="Q373" s="22">
        <v>-1.0714700000000001E-2</v>
      </c>
      <c r="R373" s="22">
        <v>363</v>
      </c>
      <c r="S373" s="22">
        <v>1.72729</v>
      </c>
      <c r="T373">
        <f t="shared" si="62"/>
        <v>10.714700000000001</v>
      </c>
      <c r="U373">
        <f t="shared" si="63"/>
        <v>18.514037277</v>
      </c>
      <c r="X373" s="9"/>
      <c r="Y373" s="22">
        <v>-2.79236E-2</v>
      </c>
      <c r="Z373" s="22">
        <v>238.59</v>
      </c>
      <c r="AA373" s="22">
        <v>-1.7199699999999998E-2</v>
      </c>
      <c r="AB373" s="22">
        <v>363</v>
      </c>
      <c r="AC373" s="22">
        <v>-2.8408800000000001E-2</v>
      </c>
      <c r="AD373">
        <f t="shared" si="64"/>
        <v>17.1997</v>
      </c>
      <c r="AE373">
        <f t="shared" si="65"/>
        <v>-0.48027754292000002</v>
      </c>
      <c r="AF373" s="9"/>
      <c r="AG373" s="22">
        <v>1.7279100000000001</v>
      </c>
      <c r="AH373" s="22">
        <v>370.92399999999998</v>
      </c>
      <c r="AI373" s="22">
        <v>-1.17401E-2</v>
      </c>
      <c r="AJ373" s="22">
        <v>363</v>
      </c>
      <c r="AK373" s="22">
        <v>1.72638</v>
      </c>
      <c r="AL373">
        <f t="shared" si="66"/>
        <v>11.7401</v>
      </c>
      <c r="AM373">
        <f t="shared" si="67"/>
        <v>20.285836191000001</v>
      </c>
      <c r="AP373" s="9"/>
      <c r="AQ373" s="22">
        <v>-2.79236E-2</v>
      </c>
      <c r="AR373" s="22">
        <v>440.01400000000001</v>
      </c>
      <c r="AS373" s="22">
        <v>-1.7169199999999999E-2</v>
      </c>
      <c r="AT373" s="22">
        <v>363</v>
      </c>
      <c r="AU373" s="22">
        <v>-2.8295899999999999E-2</v>
      </c>
      <c r="AV373">
        <f t="shared" si="68"/>
        <v>17.1692</v>
      </c>
      <c r="AW373">
        <f t="shared" si="69"/>
        <v>-0.47942587312000001</v>
      </c>
      <c r="AX373" s="9"/>
      <c r="AY373" s="22">
        <v>1.7279100000000001</v>
      </c>
      <c r="AZ373" s="22">
        <v>500.84699999999998</v>
      </c>
      <c r="BA373" s="22">
        <v>-1.1920200000000001E-2</v>
      </c>
      <c r="BB373" s="22">
        <v>363</v>
      </c>
      <c r="BC373" s="22">
        <v>1.72638</v>
      </c>
      <c r="BD373">
        <f t="shared" si="70"/>
        <v>11.920200000000001</v>
      </c>
      <c r="BE373">
        <f t="shared" si="71"/>
        <v>20.597032782000003</v>
      </c>
    </row>
    <row r="374" spans="6:57">
      <c r="F374" s="9"/>
      <c r="G374" s="22">
        <v>-3.2959000000000002E-2</v>
      </c>
      <c r="H374" s="22">
        <v>64.178100000000001</v>
      </c>
      <c r="I374" s="22">
        <v>-1.7981E-2</v>
      </c>
      <c r="J374" s="22">
        <v>364</v>
      </c>
      <c r="K374" s="22">
        <v>-3.3206199999999998E-2</v>
      </c>
      <c r="L374">
        <f t="shared" si="60"/>
        <v>17.981000000000002</v>
      </c>
      <c r="M374">
        <f t="shared" si="61"/>
        <v>-0.59263577900000008</v>
      </c>
      <c r="N374" s="9"/>
      <c r="O374" s="22">
        <v>1.7329399999999999</v>
      </c>
      <c r="P374" s="22">
        <v>175.10499999999999</v>
      </c>
      <c r="Q374" s="22">
        <v>-9.7473100000000003E-3</v>
      </c>
      <c r="R374" s="22">
        <v>364</v>
      </c>
      <c r="S374" s="22">
        <v>1.7321800000000001</v>
      </c>
      <c r="T374">
        <f t="shared" si="62"/>
        <v>9.7473100000000006</v>
      </c>
      <c r="U374">
        <f t="shared" si="63"/>
        <v>16.891503391400001</v>
      </c>
      <c r="X374" s="9"/>
      <c r="Y374" s="22">
        <v>-3.2959000000000002E-2</v>
      </c>
      <c r="Z374" s="22">
        <v>238.691</v>
      </c>
      <c r="AA374" s="22">
        <v>-1.72058E-2</v>
      </c>
      <c r="AB374" s="22">
        <v>364</v>
      </c>
      <c r="AC374" s="22">
        <v>-3.3337400000000003E-2</v>
      </c>
      <c r="AD374">
        <f t="shared" si="64"/>
        <v>17.2058</v>
      </c>
      <c r="AE374">
        <f t="shared" si="65"/>
        <v>-0.56708596220000007</v>
      </c>
      <c r="AF374" s="9"/>
      <c r="AG374" s="22">
        <v>1.7329399999999999</v>
      </c>
      <c r="AH374" s="22">
        <v>371.024</v>
      </c>
      <c r="AI374" s="22">
        <v>-1.10291E-2</v>
      </c>
      <c r="AJ374" s="22">
        <v>364</v>
      </c>
      <c r="AK374" s="22">
        <v>1.73248</v>
      </c>
      <c r="AL374">
        <f t="shared" si="66"/>
        <v>11.0291</v>
      </c>
      <c r="AM374">
        <f t="shared" si="67"/>
        <v>19.112768553999999</v>
      </c>
      <c r="AP374" s="9"/>
      <c r="AQ374" s="22">
        <v>-3.2959000000000002E-2</v>
      </c>
      <c r="AR374" s="22">
        <v>440.11399999999998</v>
      </c>
      <c r="AS374" s="22">
        <v>-1.7163100000000001E-2</v>
      </c>
      <c r="AT374" s="22">
        <v>364</v>
      </c>
      <c r="AU374" s="22">
        <v>-3.3404499999999997E-2</v>
      </c>
      <c r="AV374">
        <f t="shared" si="68"/>
        <v>17.1631</v>
      </c>
      <c r="AW374">
        <f t="shared" si="69"/>
        <v>-0.56567861289999999</v>
      </c>
      <c r="AX374" s="9"/>
      <c r="AY374" s="22">
        <v>1.7329399999999999</v>
      </c>
      <c r="AZ374" s="22">
        <v>500.947</v>
      </c>
      <c r="BA374" s="22">
        <v>-1.13098E-2</v>
      </c>
      <c r="BB374" s="22">
        <v>364</v>
      </c>
      <c r="BC374" s="22">
        <v>1.7321800000000001</v>
      </c>
      <c r="BD374">
        <f t="shared" si="70"/>
        <v>11.309799999999999</v>
      </c>
      <c r="BE374">
        <f t="shared" si="71"/>
        <v>19.599204811999996</v>
      </c>
    </row>
    <row r="375" spans="6:57">
      <c r="F375" s="9"/>
      <c r="G375" s="22">
        <v>-3.7994399999999998E-2</v>
      </c>
      <c r="H375" s="22">
        <v>64.278800000000004</v>
      </c>
      <c r="I375" s="22">
        <v>-1.7974899999999999E-2</v>
      </c>
      <c r="J375" s="22">
        <v>365</v>
      </c>
      <c r="K375" s="22">
        <v>-3.8363599999999998E-2</v>
      </c>
      <c r="L375">
        <f t="shared" si="60"/>
        <v>17.974899999999998</v>
      </c>
      <c r="M375">
        <f t="shared" si="61"/>
        <v>-0.6829455405599999</v>
      </c>
      <c r="N375" s="9"/>
      <c r="O375" s="22">
        <v>1.7379800000000001</v>
      </c>
      <c r="P375" s="22">
        <v>175.20599999999999</v>
      </c>
      <c r="Q375" s="22">
        <v>-8.3282500000000006E-3</v>
      </c>
      <c r="R375" s="22">
        <v>365</v>
      </c>
      <c r="S375" s="22">
        <v>1.73706</v>
      </c>
      <c r="T375">
        <f t="shared" si="62"/>
        <v>8.3282500000000006</v>
      </c>
      <c r="U375">
        <f t="shared" si="63"/>
        <v>14.474331935000002</v>
      </c>
      <c r="X375" s="9"/>
      <c r="Y375" s="22">
        <v>-3.7994399999999998E-2</v>
      </c>
      <c r="Z375" s="22">
        <v>238.792</v>
      </c>
      <c r="AA375" s="22">
        <v>-1.72058E-2</v>
      </c>
      <c r="AB375" s="22">
        <v>365</v>
      </c>
      <c r="AC375" s="22">
        <v>-3.8348399999999998E-2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371.125</v>
      </c>
      <c r="AI375" s="22">
        <v>-1.0113499999999999E-2</v>
      </c>
      <c r="AJ375" s="22">
        <v>365</v>
      </c>
      <c r="AK375" s="22">
        <v>1.73706</v>
      </c>
      <c r="AL375">
        <f t="shared" si="66"/>
        <v>10.113499999999998</v>
      </c>
      <c r="AM375">
        <f t="shared" si="67"/>
        <v>17.577060729999999</v>
      </c>
      <c r="AP375" s="9"/>
      <c r="AQ375" s="22">
        <v>-3.7994399999999998E-2</v>
      </c>
      <c r="AR375" s="22">
        <v>440.21499999999997</v>
      </c>
      <c r="AS375" s="22">
        <v>-1.7169199999999999E-2</v>
      </c>
      <c r="AT375" s="22">
        <v>365</v>
      </c>
      <c r="AU375" s="22">
        <v>-3.8287399999999999E-2</v>
      </c>
      <c r="AV375">
        <f t="shared" si="68"/>
        <v>17.1692</v>
      </c>
      <c r="AW375">
        <f t="shared" si="69"/>
        <v>-0.65233345247999996</v>
      </c>
      <c r="AX375" s="9"/>
      <c r="AY375" s="22">
        <v>1.7379800000000001</v>
      </c>
      <c r="AZ375" s="22">
        <v>501.048</v>
      </c>
      <c r="BA375" s="22">
        <v>-1.0543800000000001E-2</v>
      </c>
      <c r="BB375" s="22">
        <v>365</v>
      </c>
      <c r="BC375" s="22">
        <v>1.7367600000000001</v>
      </c>
      <c r="BD375">
        <f t="shared" si="70"/>
        <v>10.543800000000001</v>
      </c>
      <c r="BE375">
        <f t="shared" si="71"/>
        <v>18.324913524000003</v>
      </c>
    </row>
    <row r="376" spans="6:57">
      <c r="F376" s="9"/>
      <c r="G376" s="22">
        <v>-4.30298E-2</v>
      </c>
      <c r="H376" s="22">
        <v>64.379499999999993</v>
      </c>
      <c r="I376" s="22">
        <v>-1.79718E-2</v>
      </c>
      <c r="J376" s="22">
        <v>366</v>
      </c>
      <c r="K376" s="22">
        <v>-4.3484500000000002E-2</v>
      </c>
      <c r="L376">
        <f t="shared" si="60"/>
        <v>17.971799999999998</v>
      </c>
      <c r="M376">
        <f t="shared" si="61"/>
        <v>-0.77332295963999997</v>
      </c>
      <c r="N376" s="9"/>
      <c r="O376" s="22">
        <v>1.7430099999999999</v>
      </c>
      <c r="P376" s="22">
        <v>175.30600000000001</v>
      </c>
      <c r="Q376" s="22">
        <v>-6.3232399999999999E-3</v>
      </c>
      <c r="R376" s="22">
        <v>366</v>
      </c>
      <c r="S376" s="22">
        <v>1.7422500000000001</v>
      </c>
      <c r="T376">
        <f t="shared" si="62"/>
        <v>6.3232400000000002</v>
      </c>
      <c r="U376">
        <f t="shared" si="63"/>
        <v>11.0214705524</v>
      </c>
      <c r="X376" s="9"/>
      <c r="Y376" s="22">
        <v>-4.30298E-2</v>
      </c>
      <c r="Z376" s="22">
        <v>238.892</v>
      </c>
      <c r="AA376" s="22">
        <v>-1.72058E-2</v>
      </c>
      <c r="AB376" s="22">
        <v>366</v>
      </c>
      <c r="AC376" s="22">
        <v>-4.3414300000000003E-2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371.226</v>
      </c>
      <c r="AI376" s="22">
        <v>-8.8684100000000002E-3</v>
      </c>
      <c r="AJ376" s="22">
        <v>366</v>
      </c>
      <c r="AK376" s="22">
        <v>1.7416400000000001</v>
      </c>
      <c r="AL376">
        <f t="shared" si="66"/>
        <v>8.8684100000000008</v>
      </c>
      <c r="AM376">
        <f t="shared" si="67"/>
        <v>15.457727314100001</v>
      </c>
      <c r="AP376" s="9"/>
      <c r="AQ376" s="22">
        <v>-4.30298E-2</v>
      </c>
      <c r="AR376" s="22">
        <v>440.31599999999997</v>
      </c>
      <c r="AS376" s="22">
        <v>-1.7172199999999999E-2</v>
      </c>
      <c r="AT376" s="22">
        <v>366</v>
      </c>
      <c r="AU376" s="22">
        <v>-4.3447899999999998E-2</v>
      </c>
      <c r="AV376">
        <f t="shared" si="68"/>
        <v>17.1722</v>
      </c>
      <c r="AW376">
        <f t="shared" si="69"/>
        <v>-0.73891633156000003</v>
      </c>
      <c r="AX376" s="9"/>
      <c r="AY376" s="22">
        <v>1.7430099999999999</v>
      </c>
      <c r="AZ376" s="22">
        <v>501.149</v>
      </c>
      <c r="BA376" s="22">
        <v>-9.5642100000000001E-3</v>
      </c>
      <c r="BB376" s="22">
        <v>366</v>
      </c>
      <c r="BC376" s="22">
        <v>1.7416400000000001</v>
      </c>
      <c r="BD376">
        <f t="shared" si="70"/>
        <v>9.5642099999999992</v>
      </c>
      <c r="BE376">
        <f t="shared" si="71"/>
        <v>16.670513672099997</v>
      </c>
    </row>
    <row r="377" spans="6:57">
      <c r="F377" s="9"/>
      <c r="G377" s="22">
        <v>-4.8065200000000002E-2</v>
      </c>
      <c r="H377" s="22">
        <v>64.480199999999996</v>
      </c>
      <c r="I377" s="22">
        <v>-1.7962599999999999E-2</v>
      </c>
      <c r="J377" s="22">
        <v>367</v>
      </c>
      <c r="K377" s="22">
        <v>-4.8584000000000002E-2</v>
      </c>
      <c r="L377">
        <f t="shared" si="60"/>
        <v>17.962599999999998</v>
      </c>
      <c r="M377">
        <f t="shared" si="61"/>
        <v>-0.86337596151999996</v>
      </c>
      <c r="N377" s="9"/>
      <c r="O377" s="22">
        <v>1.7480500000000001</v>
      </c>
      <c r="P377" s="22">
        <v>175.40700000000001</v>
      </c>
      <c r="Q377" s="22">
        <v>-3.3194000000000001E-3</v>
      </c>
      <c r="R377" s="22">
        <v>367</v>
      </c>
      <c r="S377" s="22">
        <v>1.7468300000000001</v>
      </c>
      <c r="T377">
        <f t="shared" si="62"/>
        <v>3.3193999999999999</v>
      </c>
      <c r="U377">
        <f t="shared" si="63"/>
        <v>5.8024771700000004</v>
      </c>
      <c r="X377" s="9"/>
      <c r="Y377" s="22">
        <v>-4.8065200000000002E-2</v>
      </c>
      <c r="Z377" s="22">
        <v>238.99299999999999</v>
      </c>
      <c r="AA377" s="22">
        <v>-1.7211899999999999E-2</v>
      </c>
      <c r="AB377" s="22">
        <v>367</v>
      </c>
      <c r="AC377" s="22">
        <v>-4.8400899999999997E-2</v>
      </c>
      <c r="AD377">
        <f t="shared" si="64"/>
        <v>17.2119</v>
      </c>
      <c r="AE377">
        <f t="shared" si="65"/>
        <v>-0.82729341588000005</v>
      </c>
      <c r="AF377" s="9"/>
      <c r="AG377" s="22">
        <v>1.7480500000000001</v>
      </c>
      <c r="AH377" s="22">
        <v>371.32600000000002</v>
      </c>
      <c r="AI377" s="22">
        <v>-7.17163E-3</v>
      </c>
      <c r="AJ377" s="22">
        <v>367</v>
      </c>
      <c r="AK377" s="22">
        <v>1.7468300000000001</v>
      </c>
      <c r="AL377">
        <f t="shared" si="66"/>
        <v>7.1716300000000004</v>
      </c>
      <c r="AM377">
        <f t="shared" si="67"/>
        <v>12.536367821500001</v>
      </c>
      <c r="AP377" s="9"/>
      <c r="AQ377" s="22">
        <v>-4.8065200000000002E-2</v>
      </c>
      <c r="AR377" s="22">
        <v>440.416</v>
      </c>
      <c r="AS377" s="22">
        <v>-1.7178300000000001E-2</v>
      </c>
      <c r="AT377" s="22">
        <v>367</v>
      </c>
      <c r="AU377" s="22">
        <v>-4.8532100000000002E-2</v>
      </c>
      <c r="AV377">
        <f t="shared" si="68"/>
        <v>17.1783</v>
      </c>
      <c r="AW377">
        <f t="shared" si="69"/>
        <v>-0.82567842516000001</v>
      </c>
      <c r="AX377" s="9"/>
      <c r="AY377" s="22">
        <v>1.7480500000000001</v>
      </c>
      <c r="AZ377" s="22">
        <v>501.24900000000002</v>
      </c>
      <c r="BA377" s="22">
        <v>-8.1726100000000003E-3</v>
      </c>
      <c r="BB377" s="22">
        <v>367</v>
      </c>
      <c r="BC377" s="22">
        <v>1.7474400000000001</v>
      </c>
      <c r="BD377">
        <f t="shared" si="70"/>
        <v>8.1726100000000006</v>
      </c>
      <c r="BE377">
        <f t="shared" si="71"/>
        <v>14.286130910500002</v>
      </c>
    </row>
    <row r="378" spans="6:57">
      <c r="F378" s="9"/>
      <c r="G378" s="22">
        <v>-5.3100599999999998E-2</v>
      </c>
      <c r="H378" s="22">
        <v>64.5809</v>
      </c>
      <c r="I378" s="22">
        <v>-1.79565E-2</v>
      </c>
      <c r="J378" s="22">
        <v>368</v>
      </c>
      <c r="K378" s="22">
        <v>-5.3192099999999999E-2</v>
      </c>
      <c r="L378">
        <f t="shared" si="60"/>
        <v>17.956500000000002</v>
      </c>
      <c r="M378">
        <f t="shared" si="61"/>
        <v>-0.95350092390000007</v>
      </c>
      <c r="N378" s="9"/>
      <c r="O378" s="22">
        <v>1.75308</v>
      </c>
      <c r="P378" s="22">
        <v>175.50800000000001</v>
      </c>
      <c r="Q378" s="22">
        <v>9.7045900000000001E-4</v>
      </c>
      <c r="R378" s="22">
        <v>368</v>
      </c>
      <c r="S378" s="22">
        <v>1.7526200000000001</v>
      </c>
      <c r="T378">
        <f t="shared" si="62"/>
        <v>-0.97045899999999996</v>
      </c>
      <c r="U378">
        <f t="shared" si="63"/>
        <v>-1.7012922637199999</v>
      </c>
      <c r="X378" s="9"/>
      <c r="Y378" s="22">
        <v>-5.3100599999999998E-2</v>
      </c>
      <c r="Z378" s="22">
        <v>239.09399999999999</v>
      </c>
      <c r="AA378" s="22">
        <v>-1.7218000000000001E-2</v>
      </c>
      <c r="AB378" s="22">
        <v>368</v>
      </c>
      <c r="AC378" s="22">
        <v>-5.3863500000000002E-2</v>
      </c>
      <c r="AD378">
        <f t="shared" si="64"/>
        <v>17.218</v>
      </c>
      <c r="AE378">
        <f t="shared" si="65"/>
        <v>-0.91428613079999999</v>
      </c>
      <c r="AF378" s="9"/>
      <c r="AG378" s="22">
        <v>1.75308</v>
      </c>
      <c r="AH378" s="22">
        <v>371.42700000000002</v>
      </c>
      <c r="AI378" s="22">
        <v>-4.3521100000000002E-3</v>
      </c>
      <c r="AJ378" s="22">
        <v>368</v>
      </c>
      <c r="AK378" s="22">
        <v>1.7520100000000001</v>
      </c>
      <c r="AL378">
        <f t="shared" si="66"/>
        <v>4.3521100000000006</v>
      </c>
      <c r="AM378">
        <f t="shared" si="67"/>
        <v>7.6295969988000012</v>
      </c>
      <c r="AP378" s="9"/>
      <c r="AQ378" s="22">
        <v>-5.3100599999999998E-2</v>
      </c>
      <c r="AR378" s="22">
        <v>440.517</v>
      </c>
      <c r="AS378" s="22">
        <v>-1.7175300000000001E-2</v>
      </c>
      <c r="AT378" s="22">
        <v>368</v>
      </c>
      <c r="AU378" s="22">
        <v>-5.3680400000000003E-2</v>
      </c>
      <c r="AV378">
        <f t="shared" si="68"/>
        <v>17.1753</v>
      </c>
      <c r="AW378">
        <f t="shared" si="69"/>
        <v>-0.91201873517999998</v>
      </c>
      <c r="AX378" s="9"/>
      <c r="AY378" s="22">
        <v>1.75308</v>
      </c>
      <c r="AZ378" s="22">
        <v>501.35</v>
      </c>
      <c r="BA378" s="22">
        <v>-6.3781699999999998E-3</v>
      </c>
      <c r="BB378" s="22">
        <v>368</v>
      </c>
      <c r="BC378" s="22">
        <v>1.7520100000000001</v>
      </c>
      <c r="BD378">
        <f t="shared" si="70"/>
        <v>6.3781699999999999</v>
      </c>
      <c r="BE378">
        <f t="shared" si="71"/>
        <v>11.181442263599999</v>
      </c>
    </row>
    <row r="379" spans="6:57">
      <c r="F379" s="9"/>
      <c r="G379" s="22">
        <v>-5.8136E-2</v>
      </c>
      <c r="H379" s="22">
        <v>64.681600000000003</v>
      </c>
      <c r="I379" s="22">
        <v>-1.7950399999999998E-2</v>
      </c>
      <c r="J379" s="22">
        <v>369</v>
      </c>
      <c r="K379" s="22">
        <v>-5.86548E-2</v>
      </c>
      <c r="L379">
        <f t="shared" si="60"/>
        <v>17.950399999999998</v>
      </c>
      <c r="M379">
        <f t="shared" si="61"/>
        <v>-1.0435644544</v>
      </c>
      <c r="N379" s="9"/>
      <c r="O379" s="22">
        <v>1.7581199999999999</v>
      </c>
      <c r="P379" s="22">
        <v>175.60900000000001</v>
      </c>
      <c r="Q379" s="22">
        <v>7.7178999999999998E-3</v>
      </c>
      <c r="R379" s="22">
        <v>369</v>
      </c>
      <c r="S379" s="22">
        <v>1.7568999999999999</v>
      </c>
      <c r="T379">
        <f t="shared" si="62"/>
        <v>-7.7179000000000002</v>
      </c>
      <c r="U379">
        <f t="shared" si="63"/>
        <v>-13.568994348</v>
      </c>
      <c r="X379" s="9"/>
      <c r="Y379" s="22">
        <v>-5.8136E-2</v>
      </c>
      <c r="Z379" s="22">
        <v>239.19399999999999</v>
      </c>
      <c r="AA379" s="22">
        <v>-1.7215000000000001E-2</v>
      </c>
      <c r="AB379" s="22">
        <v>369</v>
      </c>
      <c r="AC379" s="22">
        <v>-5.8837899999999999E-2</v>
      </c>
      <c r="AD379">
        <f t="shared" si="64"/>
        <v>17.215</v>
      </c>
      <c r="AE379">
        <f t="shared" si="65"/>
        <v>-1.00081124</v>
      </c>
      <c r="AF379" s="9"/>
      <c r="AG379" s="22">
        <v>1.7581199999999999</v>
      </c>
      <c r="AH379" s="22">
        <v>371.52800000000002</v>
      </c>
      <c r="AI379" s="22">
        <v>1.6574100000000001E-4</v>
      </c>
      <c r="AJ379" s="22">
        <v>369</v>
      </c>
      <c r="AK379" s="22">
        <v>1.7575099999999999</v>
      </c>
      <c r="AL379">
        <f t="shared" si="66"/>
        <v>-0.165741</v>
      </c>
      <c r="AM379">
        <f t="shared" si="67"/>
        <v>-0.29139256691999998</v>
      </c>
      <c r="AP379" s="9"/>
      <c r="AQ379" s="22">
        <v>-5.8136E-2</v>
      </c>
      <c r="AR379" s="22">
        <v>440.61799999999999</v>
      </c>
      <c r="AS379" s="22">
        <v>-1.7187500000000001E-2</v>
      </c>
      <c r="AT379" s="22">
        <v>369</v>
      </c>
      <c r="AU379" s="22">
        <v>-5.8807400000000003E-2</v>
      </c>
      <c r="AV379">
        <f t="shared" si="68"/>
        <v>17.1875</v>
      </c>
      <c r="AW379">
        <f t="shared" si="69"/>
        <v>-0.99921249999999995</v>
      </c>
      <c r="AX379" s="9"/>
      <c r="AY379" s="22">
        <v>1.7581199999999999</v>
      </c>
      <c r="AZ379" s="22">
        <v>501.45100000000002</v>
      </c>
      <c r="BA379" s="22">
        <v>-3.7722799999999998E-3</v>
      </c>
      <c r="BB379" s="22">
        <v>369</v>
      </c>
      <c r="BC379" s="22">
        <v>1.7572000000000001</v>
      </c>
      <c r="BD379">
        <f t="shared" si="70"/>
        <v>3.7722799999999999</v>
      </c>
      <c r="BE379">
        <f t="shared" si="71"/>
        <v>6.6321209135999997</v>
      </c>
    </row>
    <row r="380" spans="6:57">
      <c r="F380" s="9"/>
      <c r="G380" s="22">
        <v>-6.3171400000000003E-2</v>
      </c>
      <c r="H380" s="22">
        <v>64.782300000000006</v>
      </c>
      <c r="I380" s="22">
        <v>-1.79413E-2</v>
      </c>
      <c r="J380" s="22">
        <v>370</v>
      </c>
      <c r="K380" s="22">
        <v>-6.36597E-2</v>
      </c>
      <c r="L380">
        <f t="shared" si="60"/>
        <v>17.941300000000002</v>
      </c>
      <c r="M380">
        <f t="shared" si="61"/>
        <v>-1.1333770388200002</v>
      </c>
      <c r="N380" s="9"/>
      <c r="O380" s="22">
        <v>1.76315</v>
      </c>
      <c r="P380" s="22">
        <v>175.709</v>
      </c>
      <c r="Q380" s="22">
        <v>1.6308599999999999E-2</v>
      </c>
      <c r="R380" s="22">
        <v>370</v>
      </c>
      <c r="S380" s="22">
        <v>1.7620800000000001</v>
      </c>
      <c r="T380">
        <f t="shared" si="62"/>
        <v>-16.308599999999998</v>
      </c>
      <c r="U380">
        <f t="shared" si="63"/>
        <v>-28.754508089999998</v>
      </c>
      <c r="X380" s="9"/>
      <c r="Y380" s="22">
        <v>-6.3171400000000003E-2</v>
      </c>
      <c r="Z380" s="22">
        <v>239.29499999999999</v>
      </c>
      <c r="AA380" s="22">
        <v>-1.7218000000000001E-2</v>
      </c>
      <c r="AB380" s="22">
        <v>370</v>
      </c>
      <c r="AC380" s="22">
        <v>-6.3690200000000002E-2</v>
      </c>
      <c r="AD380">
        <f t="shared" si="64"/>
        <v>17.218</v>
      </c>
      <c r="AE380">
        <f t="shared" si="65"/>
        <v>-1.0876851652000001</v>
      </c>
      <c r="AF380" s="9"/>
      <c r="AG380" s="22">
        <v>1.76315</v>
      </c>
      <c r="AH380" s="22">
        <v>371.62799999999999</v>
      </c>
      <c r="AI380" s="22">
        <v>6.4666699999999999E-3</v>
      </c>
      <c r="AJ380" s="22">
        <v>370</v>
      </c>
      <c r="AK380" s="22">
        <v>1.7623899999999999</v>
      </c>
      <c r="AL380">
        <f t="shared" si="66"/>
        <v>-6.4666699999999997</v>
      </c>
      <c r="AM380">
        <f t="shared" si="67"/>
        <v>-11.4017092105</v>
      </c>
      <c r="AP380" s="9"/>
      <c r="AQ380" s="22">
        <v>-6.3171400000000003E-2</v>
      </c>
      <c r="AR380" s="22">
        <v>440.71899999999999</v>
      </c>
      <c r="AS380" s="22">
        <v>-1.7184399999999999E-2</v>
      </c>
      <c r="AT380" s="22">
        <v>370</v>
      </c>
      <c r="AU380" s="22">
        <v>-6.3720700000000005E-2</v>
      </c>
      <c r="AV380">
        <f t="shared" si="68"/>
        <v>17.1844</v>
      </c>
      <c r="AW380">
        <f t="shared" si="69"/>
        <v>-1.0855626061600001</v>
      </c>
      <c r="AX380" s="9"/>
      <c r="AY380" s="22">
        <v>1.76315</v>
      </c>
      <c r="AZ380" s="22">
        <v>501.55200000000002</v>
      </c>
      <c r="BA380" s="25">
        <v>-5.0048799999999996E-6</v>
      </c>
      <c r="BB380" s="22">
        <v>370</v>
      </c>
      <c r="BC380" s="22">
        <v>1.7620800000000001</v>
      </c>
      <c r="BD380">
        <f t="shared" si="70"/>
        <v>5.0048799999999997E-3</v>
      </c>
      <c r="BE380">
        <f t="shared" si="71"/>
        <v>8.8243541719999988E-3</v>
      </c>
    </row>
    <row r="381" spans="6:57">
      <c r="F381" s="9"/>
      <c r="G381" s="22">
        <v>-6.8206799999999998E-2</v>
      </c>
      <c r="H381" s="22">
        <v>64.882999999999996</v>
      </c>
      <c r="I381" s="22">
        <v>-1.7935199999999998E-2</v>
      </c>
      <c r="J381" s="22">
        <v>371</v>
      </c>
      <c r="K381" s="22">
        <v>-6.8634000000000001E-2</v>
      </c>
      <c r="L381">
        <f t="shared" si="60"/>
        <v>17.935199999999998</v>
      </c>
      <c r="M381">
        <f t="shared" si="61"/>
        <v>-1.2233025993599997</v>
      </c>
      <c r="N381" s="9"/>
      <c r="O381" s="22">
        <v>1.7681899999999999</v>
      </c>
      <c r="P381" s="22">
        <v>175.81</v>
      </c>
      <c r="Q381" s="22">
        <v>2.5543199999999999E-2</v>
      </c>
      <c r="R381" s="22">
        <v>371</v>
      </c>
      <c r="S381" s="22">
        <v>1.7669699999999999</v>
      </c>
      <c r="T381">
        <f t="shared" si="62"/>
        <v>-25.543199999999999</v>
      </c>
      <c r="U381">
        <f t="shared" si="63"/>
        <v>-45.165230807999997</v>
      </c>
      <c r="X381" s="9"/>
      <c r="Y381" s="22">
        <v>-6.8206799999999998E-2</v>
      </c>
      <c r="Z381" s="22">
        <v>239.39599999999999</v>
      </c>
      <c r="AA381" s="22">
        <v>-1.7218000000000001E-2</v>
      </c>
      <c r="AB381" s="22">
        <v>371</v>
      </c>
      <c r="AC381" s="22">
        <v>-6.8695099999999995E-2</v>
      </c>
      <c r="AD381">
        <f t="shared" si="64"/>
        <v>17.218</v>
      </c>
      <c r="AE381">
        <f t="shared" si="65"/>
        <v>-1.1743846823999999</v>
      </c>
      <c r="AF381" s="9"/>
      <c r="AG381" s="22">
        <v>1.7681899999999999</v>
      </c>
      <c r="AH381" s="22">
        <v>371.72899999999998</v>
      </c>
      <c r="AI381" s="22">
        <v>1.43433E-2</v>
      </c>
      <c r="AJ381" s="22">
        <v>371</v>
      </c>
      <c r="AK381" s="22">
        <v>1.7669699999999999</v>
      </c>
      <c r="AL381">
        <f t="shared" si="66"/>
        <v>-14.343299999999999</v>
      </c>
      <c r="AM381">
        <f t="shared" si="67"/>
        <v>-25.361679626999997</v>
      </c>
      <c r="AP381" s="9"/>
      <c r="AQ381" s="22">
        <v>-6.8206799999999998E-2</v>
      </c>
      <c r="AR381" s="22">
        <v>440.81900000000002</v>
      </c>
      <c r="AS381" s="22">
        <v>-1.7187500000000001E-2</v>
      </c>
      <c r="AT381" s="22">
        <v>371</v>
      </c>
      <c r="AU381" s="22">
        <v>-6.8786600000000003E-2</v>
      </c>
      <c r="AV381">
        <f t="shared" si="68"/>
        <v>17.1875</v>
      </c>
      <c r="AW381">
        <f t="shared" si="69"/>
        <v>-1.172304375</v>
      </c>
      <c r="AX381" s="9"/>
      <c r="AY381" s="22">
        <v>1.7681899999999999</v>
      </c>
      <c r="AZ381" s="22">
        <v>501.65199999999999</v>
      </c>
      <c r="BA381" s="22">
        <v>5.8563199999999999E-3</v>
      </c>
      <c r="BB381" s="22">
        <v>371</v>
      </c>
      <c r="BC381" s="22">
        <v>1.7681899999999999</v>
      </c>
      <c r="BD381">
        <f t="shared" si="70"/>
        <v>-5.8563200000000002</v>
      </c>
      <c r="BE381">
        <f t="shared" si="71"/>
        <v>-10.355086460799999</v>
      </c>
    </row>
    <row r="382" spans="6:57">
      <c r="F382" s="9"/>
      <c r="G382" s="22">
        <v>-7.3242199999999993E-2</v>
      </c>
      <c r="H382" s="22">
        <v>64.983699999999999</v>
      </c>
      <c r="I382" s="22">
        <v>-1.79291E-2</v>
      </c>
      <c r="J382" s="22">
        <v>372</v>
      </c>
      <c r="K382" s="22">
        <v>-7.3638899999999993E-2</v>
      </c>
      <c r="L382">
        <f t="shared" si="60"/>
        <v>17.929099999999998</v>
      </c>
      <c r="M382">
        <f t="shared" si="61"/>
        <v>-1.3131667280199997</v>
      </c>
      <c r="N382" s="9"/>
      <c r="O382" s="22">
        <v>1.77322</v>
      </c>
      <c r="P382" s="22">
        <v>175.911</v>
      </c>
      <c r="Q382" s="22">
        <v>3.5104400000000001E-2</v>
      </c>
      <c r="R382" s="22">
        <v>372</v>
      </c>
      <c r="S382" s="22">
        <v>1.77216</v>
      </c>
      <c r="T382">
        <f t="shared" si="62"/>
        <v>-35.104399999999998</v>
      </c>
      <c r="U382">
        <f t="shared" si="63"/>
        <v>-62.247824168000001</v>
      </c>
      <c r="X382" s="9"/>
      <c r="Y382" s="22">
        <v>-7.3242199999999993E-2</v>
      </c>
      <c r="Z382" s="22">
        <v>239.49700000000001</v>
      </c>
      <c r="AA382" s="22">
        <v>-1.7227200000000002E-2</v>
      </c>
      <c r="AB382" s="22">
        <v>372</v>
      </c>
      <c r="AC382" s="22">
        <v>-7.3791499999999996E-2</v>
      </c>
      <c r="AD382">
        <f t="shared" si="64"/>
        <v>17.2272</v>
      </c>
      <c r="AE382">
        <f t="shared" si="65"/>
        <v>-1.2617580278399998</v>
      </c>
      <c r="AF382" s="9"/>
      <c r="AG382" s="22">
        <v>1.77322</v>
      </c>
      <c r="AH382" s="22">
        <v>371.83</v>
      </c>
      <c r="AI382" s="22">
        <v>2.3950200000000001E-2</v>
      </c>
      <c r="AJ382" s="22">
        <v>372</v>
      </c>
      <c r="AK382" s="22">
        <v>1.7724599999999999</v>
      </c>
      <c r="AL382">
        <f t="shared" si="66"/>
        <v>-23.950200000000002</v>
      </c>
      <c r="AM382">
        <f t="shared" si="67"/>
        <v>-42.468973644000002</v>
      </c>
      <c r="AP382" s="9"/>
      <c r="AQ382" s="22">
        <v>-7.3242199999999993E-2</v>
      </c>
      <c r="AR382" s="22">
        <v>440.92</v>
      </c>
      <c r="AS382" s="22">
        <v>-1.7187500000000001E-2</v>
      </c>
      <c r="AT382" s="22">
        <v>372</v>
      </c>
      <c r="AU382" s="22">
        <v>-7.3760999999999993E-2</v>
      </c>
      <c r="AV382">
        <f t="shared" si="68"/>
        <v>17.1875</v>
      </c>
      <c r="AW382">
        <f t="shared" si="69"/>
        <v>-1.2588503124999999</v>
      </c>
      <c r="AX382" s="9"/>
      <c r="AY382" s="22">
        <v>1.77322</v>
      </c>
      <c r="AZ382" s="22">
        <v>501.75299999999999</v>
      </c>
      <c r="BA382" s="22">
        <v>1.38916E-2</v>
      </c>
      <c r="BB382" s="22">
        <v>372</v>
      </c>
      <c r="BC382" s="22">
        <v>1.77216</v>
      </c>
      <c r="BD382">
        <f t="shared" si="70"/>
        <v>-13.8916</v>
      </c>
      <c r="BE382">
        <f t="shared" si="71"/>
        <v>-24.632862952</v>
      </c>
    </row>
    <row r="383" spans="6:57">
      <c r="F383" s="9"/>
      <c r="G383" s="22">
        <v>-7.8277600000000003E-2</v>
      </c>
      <c r="H383" s="22">
        <v>65.084500000000006</v>
      </c>
      <c r="I383" s="22">
        <v>-1.79291E-2</v>
      </c>
      <c r="J383" s="22">
        <v>373</v>
      </c>
      <c r="K383" s="22">
        <v>-7.8735399999999997E-2</v>
      </c>
      <c r="L383">
        <f t="shared" si="60"/>
        <v>17.929099999999998</v>
      </c>
      <c r="M383">
        <f t="shared" si="61"/>
        <v>-1.40344691816</v>
      </c>
      <c r="N383" s="9"/>
      <c r="O383" s="22">
        <v>1.77826</v>
      </c>
      <c r="P383" s="22">
        <v>176.011</v>
      </c>
      <c r="Q383" s="22">
        <v>4.5217899999999998E-2</v>
      </c>
      <c r="R383" s="22">
        <v>373</v>
      </c>
      <c r="S383" s="22">
        <v>1.7773399999999999</v>
      </c>
      <c r="T383">
        <f t="shared" si="62"/>
        <v>-45.2179</v>
      </c>
      <c r="U383">
        <f t="shared" si="63"/>
        <v>-80.409182853999994</v>
      </c>
      <c r="X383" s="9"/>
      <c r="Y383" s="22">
        <v>-7.8277600000000003E-2</v>
      </c>
      <c r="Z383" s="22">
        <v>239.59700000000001</v>
      </c>
      <c r="AA383" s="22">
        <v>-1.7224099999999999E-2</v>
      </c>
      <c r="AB383" s="22">
        <v>373</v>
      </c>
      <c r="AC383" s="22">
        <v>-7.87659E-2</v>
      </c>
      <c r="AD383">
        <f t="shared" si="64"/>
        <v>17.2241</v>
      </c>
      <c r="AE383">
        <f t="shared" si="65"/>
        <v>-1.34826121016</v>
      </c>
      <c r="AF383" s="9"/>
      <c r="AG383" s="22">
        <v>1.77826</v>
      </c>
      <c r="AH383" s="22">
        <v>371.93099999999998</v>
      </c>
      <c r="AI383" s="22">
        <v>3.4564200000000003E-2</v>
      </c>
      <c r="AJ383" s="22">
        <v>373</v>
      </c>
      <c r="AK383" s="22">
        <v>1.7779499999999999</v>
      </c>
      <c r="AL383">
        <f t="shared" si="66"/>
        <v>-34.564200000000007</v>
      </c>
      <c r="AM383">
        <f t="shared" si="67"/>
        <v>-61.464134292000011</v>
      </c>
      <c r="AP383" s="9"/>
      <c r="AQ383" s="22">
        <v>-7.8277600000000003E-2</v>
      </c>
      <c r="AR383" s="22">
        <v>441.02100000000002</v>
      </c>
      <c r="AS383" s="22">
        <v>-1.71906E-2</v>
      </c>
      <c r="AT383" s="22">
        <v>373</v>
      </c>
      <c r="AU383" s="22">
        <v>-7.8857399999999994E-2</v>
      </c>
      <c r="AV383">
        <f t="shared" si="68"/>
        <v>17.1906</v>
      </c>
      <c r="AW383">
        <f t="shared" si="69"/>
        <v>-1.34563891056</v>
      </c>
      <c r="AX383" s="9"/>
      <c r="AY383" s="22">
        <v>1.77826</v>
      </c>
      <c r="AZ383" s="22">
        <v>501.85399999999998</v>
      </c>
      <c r="BA383" s="22">
        <v>2.27966E-2</v>
      </c>
      <c r="BB383" s="22">
        <v>373</v>
      </c>
      <c r="BC383" s="22">
        <v>1.77765</v>
      </c>
      <c r="BD383">
        <f t="shared" si="70"/>
        <v>-22.796600000000002</v>
      </c>
      <c r="BE383">
        <f t="shared" si="71"/>
        <v>-40.538281916000003</v>
      </c>
    </row>
    <row r="384" spans="6:57">
      <c r="F384" s="9"/>
      <c r="G384" s="22">
        <v>-8.3312999999999998E-2</v>
      </c>
      <c r="H384" s="22">
        <v>65.185199999999995</v>
      </c>
      <c r="I384" s="22">
        <v>-1.7926000000000001E-2</v>
      </c>
      <c r="J384" s="22">
        <v>374</v>
      </c>
      <c r="K384" s="22">
        <v>-8.4106399999999998E-2</v>
      </c>
      <c r="L384">
        <f t="shared" si="60"/>
        <v>17.926000000000002</v>
      </c>
      <c r="M384">
        <f t="shared" si="61"/>
        <v>-1.4934688380000001</v>
      </c>
      <c r="N384" s="9"/>
      <c r="O384" s="22">
        <v>1.78329</v>
      </c>
      <c r="P384" s="22">
        <v>176.11199999999999</v>
      </c>
      <c r="Q384" s="22">
        <v>5.4910300000000002E-2</v>
      </c>
      <c r="R384" s="22">
        <v>374</v>
      </c>
      <c r="S384" s="22">
        <v>1.7825299999999999</v>
      </c>
      <c r="T384">
        <f t="shared" si="62"/>
        <v>-54.910299999999999</v>
      </c>
      <c r="U384">
        <f t="shared" si="63"/>
        <v>-97.920988887000007</v>
      </c>
      <c r="X384" s="9"/>
      <c r="Y384" s="22">
        <v>-8.3312999999999998E-2</v>
      </c>
      <c r="Z384" s="22">
        <v>239.69800000000001</v>
      </c>
      <c r="AA384" s="22">
        <v>-1.72211E-2</v>
      </c>
      <c r="AB384" s="22">
        <v>374</v>
      </c>
      <c r="AC384" s="22">
        <v>-8.3831799999999998E-2</v>
      </c>
      <c r="AD384">
        <f t="shared" si="64"/>
        <v>17.2211</v>
      </c>
      <c r="AE384">
        <f t="shared" si="65"/>
        <v>-1.4347415043</v>
      </c>
      <c r="AF384" s="9"/>
      <c r="AG384" s="22">
        <v>1.78329</v>
      </c>
      <c r="AH384" s="22">
        <v>372.03100000000001</v>
      </c>
      <c r="AI384" s="22">
        <v>4.5141599999999997E-2</v>
      </c>
      <c r="AJ384" s="22">
        <v>374</v>
      </c>
      <c r="AK384" s="22">
        <v>1.7831399999999999</v>
      </c>
      <c r="AL384">
        <f t="shared" si="66"/>
        <v>-45.141599999999997</v>
      </c>
      <c r="AM384">
        <f t="shared" si="67"/>
        <v>-80.500563864</v>
      </c>
      <c r="AP384" s="9"/>
      <c r="AQ384" s="22">
        <v>-8.3312999999999998E-2</v>
      </c>
      <c r="AR384" s="22">
        <v>441.12099999999998</v>
      </c>
      <c r="AS384" s="22">
        <v>-1.71906E-2</v>
      </c>
      <c r="AT384" s="22">
        <v>374</v>
      </c>
      <c r="AU384" s="22">
        <v>-8.3862300000000001E-2</v>
      </c>
      <c r="AV384">
        <f t="shared" si="68"/>
        <v>17.1906</v>
      </c>
      <c r="AW384">
        <f t="shared" si="69"/>
        <v>-1.4322004578</v>
      </c>
      <c r="AX384" s="9"/>
      <c r="AY384" s="22">
        <v>1.78329</v>
      </c>
      <c r="AZ384" s="22">
        <v>501.95400000000001</v>
      </c>
      <c r="BA384" s="22">
        <v>3.2257099999999997E-2</v>
      </c>
      <c r="BB384" s="22">
        <v>374</v>
      </c>
      <c r="BC384" s="22">
        <v>1.7825299999999999</v>
      </c>
      <c r="BD384">
        <f t="shared" si="70"/>
        <v>-32.257099999999994</v>
      </c>
      <c r="BE384">
        <f t="shared" si="71"/>
        <v>-57.523763858999992</v>
      </c>
    </row>
    <row r="385" spans="6:57">
      <c r="F385" s="9"/>
      <c r="G385" s="22">
        <v>-8.8348399999999994E-2</v>
      </c>
      <c r="H385" s="22">
        <v>65.285899999999998</v>
      </c>
      <c r="I385" s="22">
        <v>-1.7919899999999999E-2</v>
      </c>
      <c r="J385" s="22">
        <v>375</v>
      </c>
      <c r="K385" s="22">
        <v>-8.8958700000000002E-2</v>
      </c>
      <c r="L385">
        <f t="shared" si="60"/>
        <v>17.919899999999998</v>
      </c>
      <c r="M385">
        <f t="shared" si="61"/>
        <v>-1.5831944931599997</v>
      </c>
      <c r="N385" s="9"/>
      <c r="O385" s="22">
        <v>1.78833</v>
      </c>
      <c r="P385" s="22">
        <v>176.21299999999999</v>
      </c>
      <c r="Q385" s="22">
        <v>6.4868200000000001E-2</v>
      </c>
      <c r="R385" s="22">
        <v>375</v>
      </c>
      <c r="S385" s="22">
        <v>1.7865</v>
      </c>
      <c r="T385">
        <f t="shared" si="62"/>
        <v>-64.868200000000002</v>
      </c>
      <c r="U385">
        <f t="shared" si="63"/>
        <v>-116.005748106</v>
      </c>
      <c r="X385" s="9"/>
      <c r="Y385" s="22">
        <v>-8.8348399999999994E-2</v>
      </c>
      <c r="Z385" s="22">
        <v>239.79900000000001</v>
      </c>
      <c r="AA385" s="22">
        <v>-1.7224099999999999E-2</v>
      </c>
      <c r="AB385" s="22">
        <v>375</v>
      </c>
      <c r="AC385" s="22">
        <v>-8.8958700000000002E-2</v>
      </c>
      <c r="AD385">
        <f t="shared" si="64"/>
        <v>17.2241</v>
      </c>
      <c r="AE385">
        <f t="shared" si="65"/>
        <v>-1.5217216764399999</v>
      </c>
      <c r="AF385" s="9"/>
      <c r="AG385" s="22">
        <v>1.78833</v>
      </c>
      <c r="AH385" s="22">
        <v>372.13200000000001</v>
      </c>
      <c r="AI385" s="22">
        <v>5.6317100000000002E-2</v>
      </c>
      <c r="AJ385" s="22">
        <v>375</v>
      </c>
      <c r="AK385" s="22">
        <v>1.78772</v>
      </c>
      <c r="AL385">
        <f t="shared" si="66"/>
        <v>-56.317100000000003</v>
      </c>
      <c r="AM385">
        <f t="shared" si="67"/>
        <v>-100.71355944300001</v>
      </c>
      <c r="AP385" s="9"/>
      <c r="AQ385" s="22">
        <v>-8.8348399999999994E-2</v>
      </c>
      <c r="AR385" s="22">
        <v>441.22199999999998</v>
      </c>
      <c r="AS385" s="22">
        <v>-1.71906E-2</v>
      </c>
      <c r="AT385" s="22">
        <v>375</v>
      </c>
      <c r="AU385" s="22">
        <v>-8.8989299999999993E-2</v>
      </c>
      <c r="AV385">
        <f t="shared" si="68"/>
        <v>17.1906</v>
      </c>
      <c r="AW385">
        <f t="shared" si="69"/>
        <v>-1.5187620050399999</v>
      </c>
      <c r="AX385" s="9"/>
      <c r="AY385" s="22">
        <v>1.78833</v>
      </c>
      <c r="AZ385" s="22">
        <v>502.05500000000001</v>
      </c>
      <c r="BA385" s="22">
        <v>4.1900600000000003E-2</v>
      </c>
      <c r="BB385" s="22">
        <v>375</v>
      </c>
      <c r="BC385" s="22">
        <v>1.78711</v>
      </c>
      <c r="BD385">
        <f t="shared" si="70"/>
        <v>-41.900600000000004</v>
      </c>
      <c r="BE385">
        <f t="shared" si="71"/>
        <v>-74.932099998000012</v>
      </c>
    </row>
    <row r="386" spans="6:57">
      <c r="F386" s="9"/>
      <c r="G386" s="22">
        <v>-9.3383800000000003E-2</v>
      </c>
      <c r="H386" s="22">
        <v>65.386600000000001</v>
      </c>
      <c r="I386" s="22">
        <v>-1.7913800000000001E-2</v>
      </c>
      <c r="J386" s="22">
        <v>376</v>
      </c>
      <c r="K386" s="22">
        <v>-9.3902600000000003E-2</v>
      </c>
      <c r="L386">
        <f t="shared" si="60"/>
        <v>17.913800000000002</v>
      </c>
      <c r="M386">
        <f t="shared" si="61"/>
        <v>-1.6728587164400002</v>
      </c>
      <c r="N386" s="9"/>
      <c r="O386" s="22">
        <v>1.7933699999999999</v>
      </c>
      <c r="P386" s="22">
        <v>176.31299999999999</v>
      </c>
      <c r="Q386" s="22">
        <v>8.0963099999999996E-2</v>
      </c>
      <c r="R386" s="22">
        <v>376</v>
      </c>
      <c r="S386" s="22">
        <v>1.79291</v>
      </c>
      <c r="T386">
        <f t="shared" si="62"/>
        <v>-80.963099999999997</v>
      </c>
      <c r="U386">
        <f t="shared" si="63"/>
        <v>-145.19679464699999</v>
      </c>
      <c r="X386" s="9"/>
      <c r="Y386" s="22">
        <v>-9.3383800000000003E-2</v>
      </c>
      <c r="Z386" s="22">
        <v>239.899</v>
      </c>
      <c r="AA386" s="22">
        <v>-1.72333E-2</v>
      </c>
      <c r="AB386" s="22">
        <v>376</v>
      </c>
      <c r="AC386" s="22">
        <v>-9.4116199999999997E-2</v>
      </c>
      <c r="AD386">
        <f t="shared" si="64"/>
        <v>17.2333</v>
      </c>
      <c r="AE386">
        <f t="shared" si="65"/>
        <v>-1.60931104054</v>
      </c>
      <c r="AF386" s="9"/>
      <c r="AG386" s="22">
        <v>1.7933699999999999</v>
      </c>
      <c r="AH386" s="22">
        <v>372.233</v>
      </c>
      <c r="AI386" s="22">
        <v>6.7724599999999996E-2</v>
      </c>
      <c r="AJ386" s="22">
        <v>376</v>
      </c>
      <c r="AK386" s="22">
        <v>1.79321</v>
      </c>
      <c r="AL386">
        <f t="shared" si="66"/>
        <v>-67.724599999999995</v>
      </c>
      <c r="AM386">
        <f t="shared" si="67"/>
        <v>-121.45526590199998</v>
      </c>
      <c r="AP386" s="9"/>
      <c r="AQ386" s="22">
        <v>-9.3383800000000003E-2</v>
      </c>
      <c r="AR386" s="22">
        <v>441.32299999999998</v>
      </c>
      <c r="AS386" s="22">
        <v>-1.7196699999999999E-2</v>
      </c>
      <c r="AT386" s="22">
        <v>376</v>
      </c>
      <c r="AU386" s="22">
        <v>-9.3994099999999997E-2</v>
      </c>
      <c r="AV386">
        <f t="shared" si="68"/>
        <v>17.1967</v>
      </c>
      <c r="AW386">
        <f t="shared" si="69"/>
        <v>-1.60589319346</v>
      </c>
      <c r="AX386" s="9"/>
      <c r="AY386" s="22">
        <v>1.7933699999999999</v>
      </c>
      <c r="AZ386" s="22">
        <v>502.15600000000001</v>
      </c>
      <c r="BA386" s="22">
        <v>5.1776099999999999E-2</v>
      </c>
      <c r="BB386" s="22">
        <v>376</v>
      </c>
      <c r="BC386" s="22">
        <v>1.79291</v>
      </c>
      <c r="BD386">
        <f t="shared" si="70"/>
        <v>-51.7761</v>
      </c>
      <c r="BE386">
        <f t="shared" si="71"/>
        <v>-92.853704456999992</v>
      </c>
    </row>
    <row r="387" spans="6:57">
      <c r="F387" s="9"/>
      <c r="G387" s="22">
        <v>-9.8419199999999998E-2</v>
      </c>
      <c r="H387" s="22">
        <v>65.487300000000005</v>
      </c>
      <c r="I387" s="22">
        <v>-1.7910800000000001E-2</v>
      </c>
      <c r="J387" s="22">
        <v>377</v>
      </c>
      <c r="K387" s="22">
        <v>-9.9060099999999998E-2</v>
      </c>
      <c r="L387">
        <f t="shared" si="60"/>
        <v>17.910800000000002</v>
      </c>
      <c r="M387">
        <f t="shared" si="61"/>
        <v>-1.7627666073600001</v>
      </c>
      <c r="N387" s="9"/>
      <c r="O387" s="22">
        <v>1.7984</v>
      </c>
      <c r="P387" s="22">
        <v>176.41399999999999</v>
      </c>
      <c r="Q387" s="22">
        <v>9.1888399999999995E-2</v>
      </c>
      <c r="R387" s="22">
        <v>377</v>
      </c>
      <c r="S387" s="22">
        <v>1.79779</v>
      </c>
      <c r="T387">
        <f t="shared" si="62"/>
        <v>-91.88839999999999</v>
      </c>
      <c r="U387">
        <f t="shared" si="63"/>
        <v>-165.25209855999998</v>
      </c>
      <c r="X387" s="9"/>
      <c r="Y387" s="22">
        <v>-9.8419199999999998E-2</v>
      </c>
      <c r="Z387" s="22">
        <v>240</v>
      </c>
      <c r="AA387" s="22">
        <v>-1.7230200000000001E-2</v>
      </c>
      <c r="AB387" s="22">
        <v>377</v>
      </c>
      <c r="AC387" s="22">
        <v>-9.9029500000000006E-2</v>
      </c>
      <c r="AD387">
        <f t="shared" si="64"/>
        <v>17.2302</v>
      </c>
      <c r="AE387">
        <f t="shared" si="65"/>
        <v>-1.69578249984</v>
      </c>
      <c r="AF387" s="9"/>
      <c r="AG387" s="22">
        <v>1.7984</v>
      </c>
      <c r="AH387" s="22">
        <v>372.33300000000003</v>
      </c>
      <c r="AI387" s="22">
        <v>7.9589800000000002E-2</v>
      </c>
      <c r="AJ387" s="22">
        <v>377</v>
      </c>
      <c r="AK387" s="22">
        <v>1.79779</v>
      </c>
      <c r="AL387">
        <f t="shared" si="66"/>
        <v>-79.589799999999997</v>
      </c>
      <c r="AM387">
        <f t="shared" si="67"/>
        <v>-143.13429632</v>
      </c>
      <c r="AP387" s="9"/>
      <c r="AQ387" s="22">
        <v>-9.8419199999999998E-2</v>
      </c>
      <c r="AR387" s="22">
        <v>441.42399999999998</v>
      </c>
      <c r="AS387" s="22">
        <v>-1.7196699999999999E-2</v>
      </c>
      <c r="AT387" s="22">
        <v>377</v>
      </c>
      <c r="AU387" s="22">
        <v>-9.8968500000000001E-2</v>
      </c>
      <c r="AV387">
        <f t="shared" si="68"/>
        <v>17.1967</v>
      </c>
      <c r="AW387">
        <f t="shared" si="69"/>
        <v>-1.6924854566400001</v>
      </c>
      <c r="AX387" s="9"/>
      <c r="AY387" s="22">
        <v>1.7984</v>
      </c>
      <c r="AZ387" s="22">
        <v>502.25700000000001</v>
      </c>
      <c r="BA387" s="22">
        <v>6.13678E-2</v>
      </c>
      <c r="BB387" s="22">
        <v>377</v>
      </c>
      <c r="BC387" s="22">
        <v>1.79779</v>
      </c>
      <c r="BD387">
        <f t="shared" si="70"/>
        <v>-61.367800000000003</v>
      </c>
      <c r="BE387">
        <f t="shared" si="71"/>
        <v>-110.36385152000001</v>
      </c>
    </row>
    <row r="388" spans="6:57">
      <c r="F388" s="9"/>
      <c r="G388" s="22">
        <v>-0.10345500000000001</v>
      </c>
      <c r="H388" s="22">
        <v>65.587999999999994</v>
      </c>
      <c r="I388" s="22">
        <v>-1.7907699999999999E-2</v>
      </c>
      <c r="J388" s="22">
        <v>378</v>
      </c>
      <c r="K388" s="22">
        <v>-0.10409499999999999</v>
      </c>
      <c r="L388">
        <f t="shared" si="60"/>
        <v>17.907699999999998</v>
      </c>
      <c r="M388">
        <f t="shared" si="61"/>
        <v>-1.8526411034999999</v>
      </c>
      <c r="N388" s="9"/>
      <c r="O388" s="22">
        <v>1.8034399999999999</v>
      </c>
      <c r="P388" s="22">
        <v>176.51499999999999</v>
      </c>
      <c r="Q388" s="22">
        <v>0.102356</v>
      </c>
      <c r="R388" s="22">
        <v>378</v>
      </c>
      <c r="S388" s="22">
        <v>1.80267</v>
      </c>
      <c r="T388">
        <f t="shared" si="62"/>
        <v>-102.35600000000001</v>
      </c>
      <c r="U388">
        <f t="shared" si="63"/>
        <v>-184.59290464</v>
      </c>
      <c r="X388" s="9"/>
      <c r="Y388" s="22">
        <v>-0.10345500000000001</v>
      </c>
      <c r="Z388" s="22">
        <v>240.101</v>
      </c>
      <c r="AA388" s="22">
        <v>-1.72363E-2</v>
      </c>
      <c r="AB388" s="22">
        <v>378</v>
      </c>
      <c r="AC388" s="22">
        <v>-0.104034</v>
      </c>
      <c r="AD388">
        <f t="shared" si="64"/>
        <v>17.2363</v>
      </c>
      <c r="AE388">
        <f t="shared" si="65"/>
        <v>-1.7831814165000002</v>
      </c>
      <c r="AF388" s="9"/>
      <c r="AG388" s="22">
        <v>1.8034399999999999</v>
      </c>
      <c r="AH388" s="22">
        <v>372.43400000000003</v>
      </c>
      <c r="AI388" s="22">
        <v>9.1308600000000004E-2</v>
      </c>
      <c r="AJ388" s="22">
        <v>378</v>
      </c>
      <c r="AK388" s="22">
        <v>1.80298</v>
      </c>
      <c r="AL388">
        <f t="shared" si="66"/>
        <v>-91.308599999999998</v>
      </c>
      <c r="AM388">
        <f t="shared" si="67"/>
        <v>-164.66958158399999</v>
      </c>
      <c r="AP388" s="9"/>
      <c r="AQ388" s="22">
        <v>-0.10345500000000001</v>
      </c>
      <c r="AR388" s="22">
        <v>441.524</v>
      </c>
      <c r="AS388" s="22">
        <v>-1.7202800000000001E-2</v>
      </c>
      <c r="AT388" s="22">
        <v>378</v>
      </c>
      <c r="AU388" s="22">
        <v>-0.103973</v>
      </c>
      <c r="AV388">
        <f t="shared" si="68"/>
        <v>17.2028</v>
      </c>
      <c r="AW388">
        <f t="shared" si="69"/>
        <v>-1.779715674</v>
      </c>
      <c r="AX388" s="9"/>
      <c r="AY388" s="22">
        <v>1.8034399999999999</v>
      </c>
      <c r="AZ388" s="22">
        <v>502.35700000000003</v>
      </c>
      <c r="BA388" s="22">
        <v>7.5927700000000001E-2</v>
      </c>
      <c r="BB388" s="22">
        <v>378</v>
      </c>
      <c r="BC388" s="22">
        <v>1.80298</v>
      </c>
      <c r="BD388">
        <f t="shared" si="70"/>
        <v>-75.927700000000002</v>
      </c>
      <c r="BE388">
        <f t="shared" si="71"/>
        <v>-136.93105128799999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20230201T090000</v>
      </c>
      <c r="B3">
        <f ca="1">INDEX(INDIRECT(A3&amp;"!A11"):INDIRECT(A3&amp;"!A21"),MATCH(E3,INDIRECT(A3&amp;"!D11"):INDIRECT(A3&amp;"!D21"),0))</f>
        <v>1.7558914590463466</v>
      </c>
      <c r="C3">
        <f ca="1">INDEX(INDIRECT(A3&amp;"!B11"):INDIRECT(A3&amp;"!B21"),MATCH(E3,INDIRECT(A3&amp;"!D11"):INDIRECT(A3&amp;"!D21"),0))</f>
        <v>17.155338591037811</v>
      </c>
      <c r="D3">
        <f ca="1">INDEX(INDIRECT(A3&amp;"!C11"):INDIRECT(A3&amp;"!C21"),MATCH(E3,INDIRECT(A3&amp;"!D11"):INDIRECT(A3&amp;"!D21"),0))</f>
        <v>0.84436246884683774</v>
      </c>
      <c r="E3">
        <f t="shared" ref="E3" ca="1" si="0">MAX(INDIRECT(A3&amp; "!D11"),INDIRECT(A3 &amp; "!D13"),INDIRECT(A3 &amp; "!D15"),INDIRECT(A3 &amp; "!D17"),INDIRECT(A3 &amp; "!D19"),INDIRECT(A3 &amp; "!D21"))</f>
        <v>25.434656774999997</v>
      </c>
      <c r="G3">
        <f ca="1">INDEX(INDIRECT(A3&amp;"!A12"):INDIRECT(A3&amp;"!A22"),MATCH(J3,INDIRECT(A3&amp;"!D12"):INDIRECT(A3&amp;"!D22"),0))</f>
        <v>1.75730822807348</v>
      </c>
      <c r="H3">
        <f ca="1">INDEX(INDIRECT(A3&amp;"!B12"):INDIRECT(A3&amp;"!B22"),MATCH(J3,INDIRECT(A3&amp;"!D12"):INDIRECT(A3&amp;"!D22"),0))</f>
        <v>17.151180743653597</v>
      </c>
      <c r="I3">
        <f ca="1">INDEX(INDIRECT(A3&amp;"!C12"):INDIRECT(A3&amp;"!C22"),MATCH(J3,INDIRECT(A3&amp;"!D12"):INDIRECT(A3&amp;"!D22"),0))</f>
        <v>0.84473127994714603</v>
      </c>
      <c r="J3">
        <f t="shared" ref="J3" ca="1" si="1">MAX(INDIRECT(A3&amp; "!D12"),INDIRECT(A3 &amp; "!D14"),INDIRECT(A3 &amp; "!D16"),INDIRECT(A3 &amp; "!D18"),INDIRECT(A3 &amp; "!D20"),,INDIRECT(A3 &amp; "!D22"))</f>
        <v>25.460125632000004</v>
      </c>
      <c r="L3">
        <f ca="1">INDEX(INDIRECT(A3&amp;"!E11"):INDIRECT(A3&amp;"!E21"),MATCH(E3,INDIRECT(A3&amp;"!D11"):INDIRECT(A3&amp;"!D21"),0))</f>
        <v>9.9913002208972868E-2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2023-02-01T10:15:21Z</dcterms:modified>
</cp:coreProperties>
</file>