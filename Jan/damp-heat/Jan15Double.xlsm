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6485142\Desktop\data\module-stability\Jan\damp-heat\"/>
    </mc:Choice>
  </mc:AlternateContent>
  <bookViews>
    <workbookView xWindow="-105" yWindow="-105" windowWidth="19440" windowHeight="15600" tabRatio="760" activeTab="1"/>
  </bookViews>
  <sheets>
    <sheet name="NEW" sheetId="64" r:id="rId1"/>
    <sheet name="20230213T210000" sheetId="65" r:id="rId2"/>
    <sheet name="20230214T210000" sheetId="66" r:id="rId3"/>
    <sheet name="Sheet2" sheetId="63" r:id="rId4"/>
  </sheets>
  <definedNames>
    <definedName name="sheetnames">GET.WORKBOOK(1)&amp;T(NOW())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 s="1"/>
  <c r="BD99" i="66"/>
  <c r="BE99" i="66"/>
  <c r="BD100" i="66"/>
  <c r="BE100" i="66" s="1"/>
  <c r="BD101" i="66"/>
  <c r="BE101" i="66"/>
  <c r="BD102" i="66"/>
  <c r="BE102" i="66" s="1"/>
  <c r="BD103" i="66"/>
  <c r="BE103" i="66" s="1"/>
  <c r="BD104" i="66"/>
  <c r="BE104" i="66" s="1"/>
  <c r="BD105" i="66"/>
  <c r="BE105" i="66"/>
  <c r="BD106" i="66"/>
  <c r="BE106" i="66"/>
  <c r="BD107" i="66"/>
  <c r="BE107" i="66"/>
  <c r="BD108" i="66"/>
  <c r="BE108" i="66" s="1"/>
  <c r="BD109" i="66"/>
  <c r="BE109" i="66"/>
  <c r="BD110" i="66"/>
  <c r="BE110" i="66" s="1"/>
  <c r="BD111" i="66"/>
  <c r="BE111" i="66"/>
  <c r="BD112" i="66"/>
  <c r="BE112" i="66" s="1"/>
  <c r="BD113" i="66"/>
  <c r="BE113" i="66"/>
  <c r="BD114" i="66"/>
  <c r="BE114" i="66"/>
  <c r="BD115" i="66"/>
  <c r="BE115" i="66"/>
  <c r="BD116" i="66"/>
  <c r="BE116" i="66" s="1"/>
  <c r="BD117" i="66"/>
  <c r="BE117" i="66"/>
  <c r="BD118" i="66"/>
  <c r="BE118" i="66" s="1"/>
  <c r="BD119" i="66"/>
  <c r="BE119" i="66"/>
  <c r="BD120" i="66"/>
  <c r="BE120" i="66" s="1"/>
  <c r="BD121" i="66"/>
  <c r="BE121" i="66" s="1"/>
  <c r="BD122" i="66"/>
  <c r="BE122" i="66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/>
  <c r="AV13" i="66"/>
  <c r="AW13" i="66" s="1"/>
  <c r="AV14" i="66"/>
  <c r="AW14" i="66"/>
  <c r="AV15" i="66"/>
  <c r="AW15" i="66" s="1"/>
  <c r="AV16" i="66"/>
  <c r="AW16" i="66"/>
  <c r="AV17" i="66"/>
  <c r="AW17" i="66" s="1"/>
  <c r="AV18" i="66"/>
  <c r="AW18" i="66"/>
  <c r="AV19" i="66"/>
  <c r="AW19" i="66" s="1"/>
  <c r="AV20" i="66"/>
  <c r="AW20" i="66"/>
  <c r="AV21" i="66"/>
  <c r="AW21" i="66" s="1"/>
  <c r="AV22" i="66"/>
  <c r="AW22" i="66"/>
  <c r="AV23" i="66"/>
  <c r="AW23" i="66" s="1"/>
  <c r="AV24" i="66"/>
  <c r="AW24" i="66"/>
  <c r="AV25" i="66"/>
  <c r="AW25" i="66" s="1"/>
  <c r="AV26" i="66"/>
  <c r="AW26" i="66"/>
  <c r="AV27" i="66"/>
  <c r="AW27" i="66" s="1"/>
  <c r="AV28" i="66"/>
  <c r="AW28" i="66"/>
  <c r="AV29" i="66"/>
  <c r="AW29" i="66" s="1"/>
  <c r="AV30" i="66"/>
  <c r="AW30" i="66"/>
  <c r="AV31" i="66"/>
  <c r="AW31" i="66" s="1"/>
  <c r="AV32" i="66"/>
  <c r="AW32" i="66"/>
  <c r="AV33" i="66"/>
  <c r="AW33" i="66" s="1"/>
  <c r="AV34" i="66"/>
  <c r="AW34" i="66"/>
  <c r="AV35" i="66"/>
  <c r="AW35" i="66" s="1"/>
  <c r="AV36" i="66"/>
  <c r="AW36" i="66"/>
  <c r="AV37" i="66"/>
  <c r="AW37" i="66" s="1"/>
  <c r="AV38" i="66"/>
  <c r="AW38" i="66"/>
  <c r="AV39" i="66"/>
  <c r="AW39" i="66" s="1"/>
  <c r="AV40" i="66"/>
  <c r="AW40" i="66"/>
  <c r="AV41" i="66"/>
  <c r="AW41" i="66" s="1"/>
  <c r="AV42" i="66"/>
  <c r="AW42" i="66"/>
  <c r="AV43" i="66"/>
  <c r="AW43" i="66" s="1"/>
  <c r="AV44" i="66"/>
  <c r="AW44" i="66"/>
  <c r="AV45" i="66"/>
  <c r="AW45" i="66" s="1"/>
  <c r="AV46" i="66"/>
  <c r="AW46" i="66"/>
  <c r="AV47" i="66"/>
  <c r="AW47" i="66" s="1"/>
  <c r="AV48" i="66"/>
  <c r="AW48" i="66"/>
  <c r="AV49" i="66"/>
  <c r="AW49" i="66" s="1"/>
  <c r="AV50" i="66"/>
  <c r="AW50" i="66"/>
  <c r="AV51" i="66"/>
  <c r="AW51" i="66" s="1"/>
  <c r="AV52" i="66"/>
  <c r="AW52" i="66"/>
  <c r="AV53" i="66"/>
  <c r="AW53" i="66" s="1"/>
  <c r="AV54" i="66"/>
  <c r="AW54" i="66"/>
  <c r="AV55" i="66"/>
  <c r="AW55" i="66" s="1"/>
  <c r="AV56" i="66"/>
  <c r="AW56" i="66"/>
  <c r="AV57" i="66"/>
  <c r="AW57" i="66" s="1"/>
  <c r="AV58" i="66"/>
  <c r="AW58" i="66"/>
  <c r="AV59" i="66"/>
  <c r="AW59" i="66" s="1"/>
  <c r="AV60" i="66"/>
  <c r="AW60" i="66"/>
  <c r="AV61" i="66"/>
  <c r="AW61" i="66" s="1"/>
  <c r="AV62" i="66"/>
  <c r="AW62" i="66"/>
  <c r="AV63" i="66"/>
  <c r="AW63" i="66" s="1"/>
  <c r="AV64" i="66"/>
  <c r="AW64" i="66"/>
  <c r="AV65" i="66"/>
  <c r="AW65" i="66" s="1"/>
  <c r="AV66" i="66"/>
  <c r="AW66" i="66"/>
  <c r="AV67" i="66"/>
  <c r="AW67" i="66" s="1"/>
  <c r="AV68" i="66"/>
  <c r="AW68" i="66"/>
  <c r="AV69" i="66"/>
  <c r="AW69" i="66" s="1"/>
  <c r="AV70" i="66"/>
  <c r="AW70" i="66"/>
  <c r="AV71" i="66"/>
  <c r="AW71" i="66" s="1"/>
  <c r="AV72" i="66"/>
  <c r="AW72" i="66"/>
  <c r="AV73" i="66"/>
  <c r="AW73" i="66" s="1"/>
  <c r="AV74" i="66"/>
  <c r="AW74" i="66"/>
  <c r="AV75" i="66"/>
  <c r="AW75" i="66" s="1"/>
  <c r="AV76" i="66"/>
  <c r="AW76" i="66"/>
  <c r="AV77" i="66"/>
  <c r="AW77" i="66"/>
  <c r="AV78" i="66"/>
  <c r="AW78" i="66"/>
  <c r="AV79" i="66"/>
  <c r="AW79" i="66" s="1"/>
  <c r="AV80" i="66"/>
  <c r="AW80" i="66"/>
  <c r="AV81" i="66"/>
  <c r="AW81" i="66" s="1"/>
  <c r="AV82" i="66"/>
  <c r="AW82" i="66"/>
  <c r="AV83" i="66"/>
  <c r="AW83" i="66" s="1"/>
  <c r="AV84" i="66"/>
  <c r="AW84" i="66"/>
  <c r="AV85" i="66"/>
  <c r="AW85" i="66" s="1"/>
  <c r="AV86" i="66"/>
  <c r="AW86" i="66" s="1"/>
  <c r="AV87" i="66"/>
  <c r="AW87" i="66" s="1"/>
  <c r="AV88" i="66"/>
  <c r="AW88" i="66"/>
  <c r="AV89" i="66"/>
  <c r="AW89" i="66" s="1"/>
  <c r="AV90" i="66"/>
  <c r="AW90" i="66" s="1"/>
  <c r="AV91" i="66"/>
  <c r="AW91" i="66" s="1"/>
  <c r="AV92" i="66"/>
  <c r="AW92" i="66"/>
  <c r="AV93" i="66"/>
  <c r="AW93" i="66" s="1"/>
  <c r="AV94" i="66"/>
  <c r="AW94" i="66"/>
  <c r="AV95" i="66"/>
  <c r="AW95" i="66" s="1"/>
  <c r="AV96" i="66"/>
  <c r="AW96" i="66"/>
  <c r="AV97" i="66"/>
  <c r="AW97" i="66" s="1"/>
  <c r="AV98" i="66"/>
  <c r="AW98" i="66"/>
  <c r="AV99" i="66"/>
  <c r="AW99" i="66" s="1"/>
  <c r="AV100" i="66"/>
  <c r="AW100" i="66"/>
  <c r="AV101" i="66"/>
  <c r="AW101" i="66" s="1"/>
  <c r="AV102" i="66"/>
  <c r="AW102" i="66" s="1"/>
  <c r="AV103" i="66"/>
  <c r="AW103" i="66" s="1"/>
  <c r="AV104" i="66"/>
  <c r="AW104" i="66"/>
  <c r="AV105" i="66"/>
  <c r="AW105" i="66" s="1"/>
  <c r="AV106" i="66"/>
  <c r="AW106" i="66" s="1"/>
  <c r="AV107" i="66"/>
  <c r="AW107" i="66" s="1"/>
  <c r="AV108" i="66"/>
  <c r="AW108" i="66"/>
  <c r="AV109" i="66"/>
  <c r="AW109" i="66" s="1"/>
  <c r="AV110" i="66"/>
  <c r="AW110" i="66"/>
  <c r="AV111" i="66"/>
  <c r="AW111" i="66" s="1"/>
  <c r="AV112" i="66"/>
  <c r="AW112" i="66"/>
  <c r="AV113" i="66"/>
  <c r="AW113" i="66" s="1"/>
  <c r="AV114" i="66"/>
  <c r="AW114" i="66"/>
  <c r="AV115" i="66"/>
  <c r="AW115" i="66" s="1"/>
  <c r="AV116" i="66"/>
  <c r="AW116" i="66"/>
  <c r="AV117" i="66"/>
  <c r="AW117" i="66" s="1"/>
  <c r="AV118" i="66"/>
  <c r="AW118" i="66" s="1"/>
  <c r="AV119" i="66"/>
  <c r="AW119" i="66" s="1"/>
  <c r="AV120" i="66"/>
  <c r="AW120" i="66"/>
  <c r="AV121" i="66"/>
  <c r="AW121" i="66" s="1"/>
  <c r="AV122" i="66"/>
  <c r="AW122" i="66" s="1"/>
  <c r="AV123" i="66"/>
  <c r="AW123" i="66" s="1"/>
  <c r="AV124" i="66"/>
  <c r="AW124" i="66"/>
  <c r="AV125" i="66"/>
  <c r="AW125" i="66" s="1"/>
  <c r="AV126" i="66"/>
  <c r="AW126" i="66"/>
  <c r="AV127" i="66"/>
  <c r="AW127" i="66" s="1"/>
  <c r="AV128" i="66"/>
  <c r="AW128" i="66"/>
  <c r="AV129" i="66"/>
  <c r="AW129" i="66" s="1"/>
  <c r="AV130" i="66"/>
  <c r="AW130" i="66"/>
  <c r="AV131" i="66"/>
  <c r="AW131" i="66" s="1"/>
  <c r="AV132" i="66"/>
  <c r="AW132" i="66"/>
  <c r="AV133" i="66"/>
  <c r="AW133" i="66" s="1"/>
  <c r="AV134" i="66"/>
  <c r="AW134" i="66" s="1"/>
  <c r="AV135" i="66"/>
  <c r="AW135" i="66" s="1"/>
  <c r="AV136" i="66"/>
  <c r="AW136" i="66"/>
  <c r="AV137" i="66"/>
  <c r="AW137" i="66" s="1"/>
  <c r="AV138" i="66"/>
  <c r="AW138" i="66" s="1"/>
  <c r="AV139" i="66"/>
  <c r="AW139" i="66" s="1"/>
  <c r="AV140" i="66"/>
  <c r="AW140" i="66"/>
  <c r="AV141" i="66"/>
  <c r="AW141" i="66" s="1"/>
  <c r="AV142" i="66"/>
  <c r="AW142" i="66"/>
  <c r="AV143" i="66"/>
  <c r="AW143" i="66" s="1"/>
  <c r="AV144" i="66"/>
  <c r="AW144" i="66"/>
  <c r="AV145" i="66"/>
  <c r="AW145" i="66" s="1"/>
  <c r="AV146" i="66"/>
  <c r="AW146" i="66"/>
  <c r="AV147" i="66"/>
  <c r="AW147" i="66" s="1"/>
  <c r="AV148" i="66"/>
  <c r="AW148" i="66"/>
  <c r="AV149" i="66"/>
  <c r="AW149" i="66" s="1"/>
  <c r="AV150" i="66"/>
  <c r="AW150" i="66" s="1"/>
  <c r="AV151" i="66"/>
  <c r="AW151" i="66" s="1"/>
  <c r="AV152" i="66"/>
  <c r="AW152" i="66"/>
  <c r="AV153" i="66"/>
  <c r="AW153" i="66" s="1"/>
  <c r="AV154" i="66"/>
  <c r="AW154" i="66" s="1"/>
  <c r="AV155" i="66"/>
  <c r="AW155" i="66" s="1"/>
  <c r="AV156" i="66"/>
  <c r="AW156" i="66"/>
  <c r="AV157" i="66"/>
  <c r="AW157" i="66" s="1"/>
  <c r="AV158" i="66"/>
  <c r="AW158" i="66"/>
  <c r="AV159" i="66"/>
  <c r="AW159" i="66" s="1"/>
  <c r="AV160" i="66"/>
  <c r="AW160" i="66"/>
  <c r="AV161" i="66"/>
  <c r="AW161" i="66" s="1"/>
  <c r="AV162" i="66"/>
  <c r="AW162" i="66"/>
  <c r="AV163" i="66"/>
  <c r="AW163" i="66" s="1"/>
  <c r="AV164" i="66"/>
  <c r="AW164" i="66" s="1"/>
  <c r="AV165" i="66"/>
  <c r="AW165" i="66" s="1"/>
  <c r="AV166" i="66"/>
  <c r="AW166" i="66"/>
  <c r="AV167" i="66"/>
  <c r="AW167" i="66" s="1"/>
  <c r="AV168" i="66"/>
  <c r="AW168" i="66" s="1"/>
  <c r="AV169" i="66"/>
  <c r="AW169" i="66" s="1"/>
  <c r="AV170" i="66"/>
  <c r="AW170" i="66"/>
  <c r="AV171" i="66"/>
  <c r="AW171" i="66" s="1"/>
  <c r="AV172" i="66"/>
  <c r="AW172" i="66" s="1"/>
  <c r="AV173" i="66"/>
  <c r="AW173" i="66" s="1"/>
  <c r="AV174" i="66"/>
  <c r="AW174" i="66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/>
  <c r="AV191" i="66"/>
  <c r="AW191" i="66" s="1"/>
  <c r="AV192" i="66"/>
  <c r="AW192" i="66" s="1"/>
  <c r="AV193" i="66"/>
  <c r="AW193" i="66" s="1"/>
  <c r="AV194" i="66"/>
  <c r="AW194" i="66"/>
  <c r="AV195" i="66"/>
  <c r="AW195" i="66" s="1"/>
  <c r="AV196" i="66"/>
  <c r="AW196" i="66" s="1"/>
  <c r="AV197" i="66"/>
  <c r="AW197" i="66" s="1"/>
  <c r="AV198" i="66"/>
  <c r="AW198" i="66"/>
  <c r="AV199" i="66"/>
  <c r="AW199" i="66" s="1"/>
  <c r="AV200" i="66"/>
  <c r="AW200" i="66" s="1"/>
  <c r="AV201" i="66"/>
  <c r="AW201" i="66" s="1"/>
  <c r="AV202" i="66"/>
  <c r="AW202" i="66"/>
  <c r="AV203" i="66"/>
  <c r="AW203" i="66" s="1"/>
  <c r="AV204" i="66"/>
  <c r="AW204" i="66" s="1"/>
  <c r="AV205" i="66"/>
  <c r="AW205" i="66" s="1"/>
  <c r="AV206" i="66"/>
  <c r="AW206" i="66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/>
  <c r="AV223" i="66"/>
  <c r="AW223" i="66" s="1"/>
  <c r="AV224" i="66"/>
  <c r="AW224" i="66" s="1"/>
  <c r="AV225" i="66"/>
  <c r="AW225" i="66" s="1"/>
  <c r="AV226" i="66"/>
  <c r="AW226" i="66"/>
  <c r="AV227" i="66"/>
  <c r="AW227" i="66" s="1"/>
  <c r="AV228" i="66"/>
  <c r="AW228" i="66" s="1"/>
  <c r="AV229" i="66"/>
  <c r="AW229" i="66" s="1"/>
  <c r="AV230" i="66"/>
  <c r="AW230" i="66"/>
  <c r="AV231" i="66"/>
  <c r="AW231" i="66" s="1"/>
  <c r="AV232" i="66"/>
  <c r="AW232" i="66" s="1"/>
  <c r="AV233" i="66"/>
  <c r="AW233" i="66" s="1"/>
  <c r="AV234" i="66"/>
  <c r="AW234" i="66"/>
  <c r="AV235" i="66"/>
  <c r="AW235" i="66" s="1"/>
  <c r="AV236" i="66"/>
  <c r="AW236" i="66" s="1"/>
  <c r="AV237" i="66"/>
  <c r="AW237" i="66" s="1"/>
  <c r="AV238" i="66"/>
  <c r="AW238" i="66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/>
  <c r="AV255" i="66"/>
  <c r="AW255" i="66" s="1"/>
  <c r="AV256" i="66"/>
  <c r="AW256" i="66" s="1"/>
  <c r="AV257" i="66"/>
  <c r="AW257" i="66" s="1"/>
  <c r="AV258" i="66"/>
  <c r="AW258" i="66"/>
  <c r="AV259" i="66"/>
  <c r="AW259" i="66" s="1"/>
  <c r="AV260" i="66"/>
  <c r="AW260" i="66" s="1"/>
  <c r="AV261" i="66"/>
  <c r="AW261" i="66" s="1"/>
  <c r="AV262" i="66"/>
  <c r="AW262" i="66"/>
  <c r="AV263" i="66"/>
  <c r="AW263" i="66" s="1"/>
  <c r="AV264" i="66"/>
  <c r="AW264" i="66" s="1"/>
  <c r="AV265" i="66"/>
  <c r="AW265" i="66"/>
  <c r="AV266" i="66"/>
  <c r="AW266" i="66"/>
  <c r="AV267" i="66"/>
  <c r="AW267" i="66" s="1"/>
  <c r="AV268" i="66"/>
  <c r="AW268" i="66" s="1"/>
  <c r="AV269" i="66"/>
  <c r="AW269" i="66" s="1"/>
  <c r="AV270" i="66"/>
  <c r="AW270" i="66"/>
  <c r="AV271" i="66"/>
  <c r="AW271" i="66" s="1"/>
  <c r="AV272" i="66"/>
  <c r="AW272" i="66" s="1"/>
  <c r="AV273" i="66"/>
  <c r="AW273" i="66" s="1"/>
  <c r="AV274" i="66"/>
  <c r="AW274" i="66"/>
  <c r="AV275" i="66"/>
  <c r="AW275" i="66" s="1"/>
  <c r="AV276" i="66"/>
  <c r="AW276" i="66" s="1"/>
  <c r="AV277" i="66"/>
  <c r="AW277" i="66" s="1"/>
  <c r="AV278" i="66"/>
  <c r="AW278" i="66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/>
  <c r="AV299" i="66"/>
  <c r="AW299" i="66" s="1"/>
  <c r="AV300" i="66"/>
  <c r="AW300" i="66" s="1"/>
  <c r="AV301" i="66"/>
  <c r="AW301" i="66" s="1"/>
  <c r="AV302" i="66"/>
  <c r="AW302" i="66"/>
  <c r="AV303" i="66"/>
  <c r="AW303" i="66" s="1"/>
  <c r="AV304" i="66"/>
  <c r="AW304" i="66" s="1"/>
  <c r="AV305" i="66"/>
  <c r="AW305" i="66" s="1"/>
  <c r="AV306" i="66"/>
  <c r="AW306" i="66"/>
  <c r="AV307" i="66"/>
  <c r="AW307" i="66" s="1"/>
  <c r="AV308" i="66"/>
  <c r="AW308" i="66" s="1"/>
  <c r="AV309" i="66"/>
  <c r="AW309" i="66" s="1"/>
  <c r="AV310" i="66"/>
  <c r="AW310" i="66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/>
  <c r="AV331" i="66"/>
  <c r="AW331" i="66" s="1"/>
  <c r="AV332" i="66"/>
  <c r="AW332" i="66" s="1"/>
  <c r="AV333" i="66"/>
  <c r="AW333" i="66" s="1"/>
  <c r="AV334" i="66"/>
  <c r="AW334" i="66"/>
  <c r="AV335" i="66"/>
  <c r="AW335" i="66" s="1"/>
  <c r="AV336" i="66"/>
  <c r="AW336" i="66" s="1"/>
  <c r="AV337" i="66"/>
  <c r="AW337" i="66" s="1"/>
  <c r="AV338" i="66"/>
  <c r="AW338" i="66"/>
  <c r="AV339" i="66"/>
  <c r="AW339" i="66" s="1"/>
  <c r="AV340" i="66"/>
  <c r="AW340" i="66" s="1"/>
  <c r="AV341" i="66"/>
  <c r="AW341" i="66" s="1"/>
  <c r="AV342" i="66"/>
  <c r="AW342" i="66"/>
  <c r="AV343" i="66"/>
  <c r="AW343" i="66" s="1"/>
  <c r="AV344" i="66"/>
  <c r="AW344" i="66" s="1"/>
  <c r="AV345" i="66"/>
  <c r="AW345" i="66" s="1"/>
  <c r="AV346" i="66"/>
  <c r="AW346" i="66" s="1"/>
  <c r="AV347" i="66"/>
  <c r="AW347" i="66"/>
  <c r="AV348" i="66"/>
  <c r="AW348" i="66"/>
  <c r="AV349" i="66"/>
  <c r="AW349" i="66"/>
  <c r="AV350" i="66"/>
  <c r="AW350" i="66" s="1"/>
  <c r="AV351" i="66"/>
  <c r="AW351" i="66"/>
  <c r="AV352" i="66"/>
  <c r="AW352" i="66"/>
  <c r="AV353" i="66"/>
  <c r="AW353" i="66"/>
  <c r="AV354" i="66"/>
  <c r="AW354" i="66" s="1"/>
  <c r="AV355" i="66"/>
  <c r="AW355" i="66"/>
  <c r="AV356" i="66"/>
  <c r="AW356" i="66"/>
  <c r="AV357" i="66"/>
  <c r="AW357" i="66"/>
  <c r="AV358" i="66"/>
  <c r="AW358" i="66" s="1"/>
  <c r="AV359" i="66"/>
  <c r="AW359" i="66"/>
  <c r="AV360" i="66"/>
  <c r="AW360" i="66"/>
  <c r="AV361" i="66"/>
  <c r="AW361" i="66"/>
  <c r="AV362" i="66"/>
  <c r="AW362" i="66" s="1"/>
  <c r="AV363" i="66"/>
  <c r="AW363" i="66"/>
  <c r="AV364" i="66"/>
  <c r="AW364" i="66"/>
  <c r="AV365" i="66"/>
  <c r="AW365" i="66"/>
  <c r="AV366" i="66"/>
  <c r="AW366" i="66" s="1"/>
  <c r="AV367" i="66"/>
  <c r="AW367" i="66"/>
  <c r="AV368" i="66"/>
  <c r="AW368" i="66"/>
  <c r="AV369" i="66"/>
  <c r="AW369" i="66"/>
  <c r="AV370" i="66"/>
  <c r="AW370" i="66" s="1"/>
  <c r="AV371" i="66"/>
  <c r="AW371" i="66"/>
  <c r="AV372" i="66"/>
  <c r="AW372" i="66"/>
  <c r="AV373" i="66"/>
  <c r="AW373" i="66"/>
  <c r="AV374" i="66"/>
  <c r="AW374" i="66" s="1"/>
  <c r="AV375" i="66"/>
  <c r="AW375" i="66"/>
  <c r="AV376" i="66"/>
  <c r="AW376" i="66"/>
  <c r="AV377" i="66"/>
  <c r="AW377" i="66"/>
  <c r="AV378" i="66"/>
  <c r="AW378" i="66" s="1"/>
  <c r="AV379" i="66"/>
  <c r="AW379" i="66"/>
  <c r="AV380" i="66"/>
  <c r="AW380" i="66"/>
  <c r="AV381" i="66"/>
  <c r="AW381" i="66"/>
  <c r="AV382" i="66"/>
  <c r="AW382" i="66" s="1"/>
  <c r="AV383" i="66"/>
  <c r="AW383" i="66"/>
  <c r="AV384" i="66"/>
  <c r="AW384" i="66"/>
  <c r="AV385" i="66"/>
  <c r="AW385" i="66"/>
  <c r="AV386" i="66"/>
  <c r="AW386" i="66" s="1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/>
  <c r="AL184" i="66"/>
  <c r="AM184" i="66"/>
  <c r="AL185" i="66"/>
  <c r="AM185" i="66"/>
  <c r="AL186" i="66"/>
  <c r="AM186" i="66" s="1"/>
  <c r="AL187" i="66"/>
  <c r="AM187" i="66"/>
  <c r="AL188" i="66"/>
  <c r="AM188" i="66"/>
  <c r="AL189" i="66"/>
  <c r="AM189" i="66"/>
  <c r="AL190" i="66"/>
  <c r="AM190" i="66" s="1"/>
  <c r="AL191" i="66"/>
  <c r="AM191" i="66"/>
  <c r="AL192" i="66"/>
  <c r="AM192" i="66"/>
  <c r="AL193" i="66"/>
  <c r="AM193" i="66"/>
  <c r="AL194" i="66"/>
  <c r="AM194" i="66" s="1"/>
  <c r="AL195" i="66"/>
  <c r="AM195" i="66"/>
  <c r="AL196" i="66"/>
  <c r="AM196" i="66"/>
  <c r="AL197" i="66"/>
  <c r="AM197" i="66"/>
  <c r="AL198" i="66"/>
  <c r="AM198" i="66" s="1"/>
  <c r="AL199" i="66"/>
  <c r="AM199" i="66"/>
  <c r="AL200" i="66"/>
  <c r="AM200" i="66"/>
  <c r="AL201" i="66"/>
  <c r="AM201" i="66"/>
  <c r="AL202" i="66"/>
  <c r="AM202" i="66" s="1"/>
  <c r="AL203" i="66"/>
  <c r="AM203" i="66"/>
  <c r="AL204" i="66"/>
  <c r="AM204" i="66"/>
  <c r="AL205" i="66"/>
  <c r="AM205" i="66"/>
  <c r="AL206" i="66"/>
  <c r="AM206" i="66" s="1"/>
  <c r="AL207" i="66"/>
  <c r="AM207" i="66"/>
  <c r="AL208" i="66"/>
  <c r="AM208" i="66"/>
  <c r="AL209" i="66"/>
  <c r="AM209" i="66"/>
  <c r="AL210" i="66"/>
  <c r="AM210" i="66" s="1"/>
  <c r="AL211" i="66"/>
  <c r="AM211" i="66"/>
  <c r="AL212" i="66"/>
  <c r="AM212" i="66"/>
  <c r="AL213" i="66"/>
  <c r="AM213" i="66"/>
  <c r="AL214" i="66"/>
  <c r="AM214" i="66" s="1"/>
  <c r="AL215" i="66"/>
  <c r="AM215" i="66"/>
  <c r="AL216" i="66"/>
  <c r="AM216" i="66"/>
  <c r="AL217" i="66"/>
  <c r="AM217" i="66"/>
  <c r="AL218" i="66"/>
  <c r="AM218" i="66" s="1"/>
  <c r="AL219" i="66"/>
  <c r="AM219" i="66"/>
  <c r="AL220" i="66"/>
  <c r="AM220" i="66"/>
  <c r="AL221" i="66"/>
  <c r="AM221" i="66"/>
  <c r="AL222" i="66"/>
  <c r="AM222" i="66" s="1"/>
  <c r="AL223" i="66"/>
  <c r="AM223" i="66"/>
  <c r="AL224" i="66"/>
  <c r="AM224" i="66"/>
  <c r="AL225" i="66"/>
  <c r="AM225" i="66"/>
  <c r="AL226" i="66"/>
  <c r="AM226" i="66" s="1"/>
  <c r="AL227" i="66"/>
  <c r="AM227" i="66"/>
  <c r="AL228" i="66"/>
  <c r="AM228" i="66"/>
  <c r="AL229" i="66"/>
  <c r="AM229" i="66"/>
  <c r="AL230" i="66"/>
  <c r="AM230" i="66" s="1"/>
  <c r="AL231" i="66"/>
  <c r="AM231" i="66"/>
  <c r="AL232" i="66"/>
  <c r="AM232" i="66"/>
  <c r="AL233" i="66"/>
  <c r="AM233" i="66"/>
  <c r="AL234" i="66"/>
  <c r="AM234" i="66" s="1"/>
  <c r="AL235" i="66"/>
  <c r="AM235" i="66"/>
  <c r="AL236" i="66"/>
  <c r="AM236" i="66"/>
  <c r="AL237" i="66"/>
  <c r="AM237" i="66"/>
  <c r="AL238" i="66"/>
  <c r="AM238" i="66" s="1"/>
  <c r="AL239" i="66"/>
  <c r="AM239" i="66"/>
  <c r="AL240" i="66"/>
  <c r="AM240" i="66"/>
  <c r="AL241" i="66"/>
  <c r="AM241" i="66"/>
  <c r="AL242" i="66"/>
  <c r="AM242" i="66" s="1"/>
  <c r="AL243" i="66"/>
  <c r="AM243" i="66"/>
  <c r="AL244" i="66"/>
  <c r="AM244" i="66"/>
  <c r="AL245" i="66"/>
  <c r="AM245" i="66"/>
  <c r="AL246" i="66"/>
  <c r="AM246" i="66" s="1"/>
  <c r="AL247" i="66"/>
  <c r="AM247" i="66"/>
  <c r="AL248" i="66"/>
  <c r="AM248" i="66"/>
  <c r="AL249" i="66"/>
  <c r="AM249" i="66" s="1"/>
  <c r="AL250" i="66"/>
  <c r="AM250" i="66" s="1"/>
  <c r="AL251" i="66"/>
  <c r="AM251" i="66"/>
  <c r="AL252" i="66"/>
  <c r="AM252" i="66"/>
  <c r="AL253" i="66"/>
  <c r="AM253" i="66" s="1"/>
  <c r="AL254" i="66"/>
  <c r="AM254" i="66" s="1"/>
  <c r="AL255" i="66"/>
  <c r="AM255" i="66" s="1"/>
  <c r="AL256" i="66"/>
  <c r="AM256" i="66"/>
  <c r="AL257" i="66"/>
  <c r="AM257" i="66"/>
  <c r="AL258" i="66"/>
  <c r="AM258" i="66"/>
  <c r="AL259" i="66"/>
  <c r="AM259" i="66" s="1"/>
  <c r="AL260" i="66"/>
  <c r="AM260" i="66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 s="1"/>
  <c r="AD184" i="66"/>
  <c r="AE184" i="66"/>
  <c r="AD185" i="66"/>
  <c r="AE185" i="66"/>
  <c r="AD186" i="66"/>
  <c r="AE186" i="66"/>
  <c r="AD187" i="66"/>
  <c r="AE187" i="66" s="1"/>
  <c r="AD188" i="66"/>
  <c r="AE188" i="66"/>
  <c r="AD189" i="66"/>
  <c r="AE189" i="66"/>
  <c r="AD190" i="66"/>
  <c r="AE190" i="66"/>
  <c r="AD191" i="66"/>
  <c r="AE191" i="66" s="1"/>
  <c r="AD192" i="66"/>
  <c r="AE192" i="66"/>
  <c r="AD193" i="66"/>
  <c r="AE193" i="66"/>
  <c r="AD194" i="66"/>
  <c r="AE194" i="66"/>
  <c r="AD195" i="66"/>
  <c r="AE195" i="66" s="1"/>
  <c r="AD196" i="66"/>
  <c r="AE196" i="66"/>
  <c r="AD197" i="66"/>
  <c r="AE197" i="66"/>
  <c r="AD198" i="66"/>
  <c r="AE198" i="66"/>
  <c r="AD199" i="66"/>
  <c r="AE199" i="66" s="1"/>
  <c r="AD200" i="66"/>
  <c r="AE200" i="66"/>
  <c r="AD201" i="66"/>
  <c r="AE201" i="66"/>
  <c r="AD202" i="66"/>
  <c r="AE202" i="66"/>
  <c r="AD203" i="66"/>
  <c r="AE203" i="66" s="1"/>
  <c r="AD204" i="66"/>
  <c r="AE204" i="66"/>
  <c r="AD205" i="66"/>
  <c r="AE205" i="66"/>
  <c r="AD206" i="66"/>
  <c r="AE206" i="66"/>
  <c r="AD207" i="66"/>
  <c r="AE207" i="66" s="1"/>
  <c r="AD208" i="66"/>
  <c r="AE208" i="66"/>
  <c r="AD209" i="66"/>
  <c r="AE209" i="66"/>
  <c r="AD210" i="66"/>
  <c r="AE210" i="66"/>
  <c r="AD211" i="66"/>
  <c r="AE211" i="66" s="1"/>
  <c r="AD212" i="66"/>
  <c r="AE212" i="66"/>
  <c r="AD213" i="66"/>
  <c r="AE213" i="66"/>
  <c r="AD214" i="66"/>
  <c r="AE214" i="66"/>
  <c r="AD215" i="66"/>
  <c r="AE215" i="66" s="1"/>
  <c r="AD216" i="66"/>
  <c r="AE216" i="66"/>
  <c r="AD217" i="66"/>
  <c r="AE217" i="66"/>
  <c r="AD218" i="66"/>
  <c r="AE218" i="66"/>
  <c r="AD219" i="66"/>
  <c r="AE219" i="66" s="1"/>
  <c r="AD220" i="66"/>
  <c r="AE220" i="66"/>
  <c r="AD221" i="66"/>
  <c r="AE221" i="66"/>
  <c r="AD222" i="66"/>
  <c r="AE222" i="66"/>
  <c r="AD223" i="66"/>
  <c r="AE223" i="66" s="1"/>
  <c r="AD224" i="66"/>
  <c r="AE224" i="66"/>
  <c r="AD225" i="66"/>
  <c r="AE225" i="66"/>
  <c r="AD226" i="66"/>
  <c r="AE226" i="66"/>
  <c r="AD227" i="66"/>
  <c r="AE227" i="66" s="1"/>
  <c r="AD228" i="66"/>
  <c r="AE228" i="66"/>
  <c r="AD229" i="66"/>
  <c r="AE229" i="66"/>
  <c r="AD230" i="66"/>
  <c r="AE230" i="66"/>
  <c r="AD231" i="66"/>
  <c r="AE231" i="66" s="1"/>
  <c r="AD232" i="66"/>
  <c r="AE232" i="66"/>
  <c r="AD233" i="66"/>
  <c r="AE233" i="66"/>
  <c r="AD234" i="66"/>
  <c r="AE234" i="66"/>
  <c r="AD235" i="66"/>
  <c r="AE235" i="66" s="1"/>
  <c r="AD236" i="66"/>
  <c r="AE236" i="66"/>
  <c r="AD237" i="66"/>
  <c r="AE237" i="66"/>
  <c r="AD238" i="66"/>
  <c r="AE238" i="66"/>
  <c r="AD239" i="66"/>
  <c r="AE239" i="66" s="1"/>
  <c r="AD240" i="66"/>
  <c r="AE240" i="66"/>
  <c r="AD241" i="66"/>
  <c r="AE241" i="66"/>
  <c r="AD242" i="66"/>
  <c r="AE242" i="66"/>
  <c r="AD243" i="66"/>
  <c r="AE243" i="66" s="1"/>
  <c r="AD244" i="66"/>
  <c r="AE244" i="66"/>
  <c r="AD245" i="66"/>
  <c r="AE245" i="66"/>
  <c r="AD246" i="66"/>
  <c r="AE246" i="66"/>
  <c r="AD247" i="66"/>
  <c r="AE247" i="66" s="1"/>
  <c r="AD248" i="66"/>
  <c r="AE248" i="66"/>
  <c r="AD249" i="66"/>
  <c r="AE249" i="66"/>
  <c r="AD250" i="66"/>
  <c r="AE250" i="66"/>
  <c r="AD251" i="66"/>
  <c r="AE251" i="66" s="1"/>
  <c r="AD252" i="66"/>
  <c r="AE252" i="66"/>
  <c r="AD253" i="66"/>
  <c r="AE253" i="66"/>
  <c r="AD254" i="66"/>
  <c r="AE254" i="66"/>
  <c r="AD255" i="66"/>
  <c r="AE255" i="66" s="1"/>
  <c r="AD256" i="66"/>
  <c r="AE256" i="66"/>
  <c r="AD257" i="66"/>
  <c r="AE257" i="66"/>
  <c r="AD258" i="66"/>
  <c r="AE258" i="66"/>
  <c r="AD259" i="66"/>
  <c r="AE259" i="66" s="1"/>
  <c r="AD260" i="66"/>
  <c r="AE260" i="66"/>
  <c r="AD261" i="66"/>
  <c r="AE261" i="66"/>
  <c r="AD262" i="66"/>
  <c r="AE262" i="66"/>
  <c r="AD263" i="66"/>
  <c r="AE263" i="66" s="1"/>
  <c r="AD264" i="66"/>
  <c r="AE264" i="66"/>
  <c r="AD265" i="66"/>
  <c r="AE265" i="66"/>
  <c r="AD266" i="66"/>
  <c r="AE266" i="66"/>
  <c r="AD267" i="66"/>
  <c r="AE267" i="66" s="1"/>
  <c r="AD268" i="66"/>
  <c r="AE268" i="66"/>
  <c r="AD269" i="66"/>
  <c r="AE269" i="66"/>
  <c r="AD270" i="66"/>
  <c r="AE270" i="66"/>
  <c r="AD271" i="66"/>
  <c r="AE271" i="66" s="1"/>
  <c r="AD272" i="66"/>
  <c r="AE272" i="66"/>
  <c r="AD273" i="66"/>
  <c r="AE273" i="66"/>
  <c r="AD274" i="66"/>
  <c r="AE274" i="66"/>
  <c r="AD275" i="66"/>
  <c r="AE275" i="66" s="1"/>
  <c r="AD276" i="66"/>
  <c r="AE276" i="66"/>
  <c r="AD277" i="66"/>
  <c r="AE277" i="66"/>
  <c r="AD278" i="66"/>
  <c r="AE278" i="66"/>
  <c r="AD279" i="66"/>
  <c r="AE279" i="66" s="1"/>
  <c r="AD280" i="66"/>
  <c r="AE280" i="66"/>
  <c r="AD281" i="66"/>
  <c r="AE281" i="66"/>
  <c r="AD282" i="66"/>
  <c r="AE282" i="66"/>
  <c r="AD283" i="66"/>
  <c r="AE283" i="66" s="1"/>
  <c r="AD284" i="66"/>
  <c r="AE284" i="66"/>
  <c r="AD285" i="66"/>
  <c r="AE285" i="66"/>
  <c r="AD286" i="66"/>
  <c r="AE286" i="66"/>
  <c r="AD287" i="66"/>
  <c r="AE287" i="66" s="1"/>
  <c r="AD288" i="66"/>
  <c r="AE288" i="66"/>
  <c r="AD289" i="66"/>
  <c r="AE289" i="66"/>
  <c r="AD290" i="66"/>
  <c r="AE290" i="66"/>
  <c r="AD291" i="66"/>
  <c r="AE291" i="66" s="1"/>
  <c r="AD292" i="66"/>
  <c r="AE292" i="66"/>
  <c r="AD293" i="66"/>
  <c r="AE293" i="66"/>
  <c r="AD294" i="66"/>
  <c r="AE294" i="66"/>
  <c r="AD295" i="66"/>
  <c r="AE295" i="66" s="1"/>
  <c r="AD296" i="66"/>
  <c r="AE296" i="66"/>
  <c r="AD297" i="66"/>
  <c r="AE297" i="66"/>
  <c r="AD298" i="66"/>
  <c r="AE298" i="66"/>
  <c r="AD299" i="66"/>
  <c r="AE299" i="66" s="1"/>
  <c r="AD300" i="66"/>
  <c r="AE300" i="66"/>
  <c r="AD301" i="66"/>
  <c r="AE301" i="66"/>
  <c r="AD302" i="66"/>
  <c r="AE302" i="66"/>
  <c r="AD303" i="66"/>
  <c r="AE303" i="66" s="1"/>
  <c r="AD304" i="66"/>
  <c r="AE304" i="66"/>
  <c r="AD305" i="66"/>
  <c r="AE305" i="66"/>
  <c r="AD306" i="66"/>
  <c r="AE306" i="66"/>
  <c r="AD307" i="66"/>
  <c r="AE307" i="66" s="1"/>
  <c r="AD308" i="66"/>
  <c r="AE308" i="66"/>
  <c r="AD309" i="66"/>
  <c r="AE309" i="66"/>
  <c r="AD310" i="66"/>
  <c r="AE310" i="66"/>
  <c r="AD311" i="66"/>
  <c r="AE311" i="66" s="1"/>
  <c r="AD312" i="66"/>
  <c r="AE312" i="66"/>
  <c r="AD313" i="66"/>
  <c r="AE313" i="66"/>
  <c r="AD314" i="66"/>
  <c r="AE314" i="66"/>
  <c r="AD315" i="66"/>
  <c r="AE315" i="66" s="1"/>
  <c r="AD316" i="66"/>
  <c r="AE316" i="66"/>
  <c r="AD317" i="66"/>
  <c r="AE317" i="66"/>
  <c r="AD318" i="66"/>
  <c r="AE318" i="66"/>
  <c r="AD319" i="66"/>
  <c r="AE319" i="66" s="1"/>
  <c r="AD320" i="66"/>
  <c r="AE320" i="66"/>
  <c r="AD321" i="66"/>
  <c r="AE321" i="66"/>
  <c r="AD322" i="66"/>
  <c r="AE322" i="66"/>
  <c r="AD323" i="66"/>
  <c r="AE323" i="66" s="1"/>
  <c r="AD324" i="66"/>
  <c r="AE324" i="66"/>
  <c r="AD325" i="66"/>
  <c r="AE325" i="66"/>
  <c r="AD326" i="66"/>
  <c r="AE326" i="66"/>
  <c r="AD327" i="66"/>
  <c r="AE327" i="66" s="1"/>
  <c r="AD328" i="66"/>
  <c r="AE328" i="66"/>
  <c r="AD329" i="66"/>
  <c r="AE329" i="66"/>
  <c r="AD330" i="66"/>
  <c r="AE330" i="66"/>
  <c r="AD331" i="66"/>
  <c r="AE331" i="66" s="1"/>
  <c r="AD332" i="66"/>
  <c r="AE332" i="66"/>
  <c r="AD333" i="66"/>
  <c r="AE333" i="66"/>
  <c r="AD334" i="66"/>
  <c r="AE334" i="66"/>
  <c r="AD335" i="66"/>
  <c r="AE335" i="66" s="1"/>
  <c r="AD336" i="66"/>
  <c r="AE336" i="66"/>
  <c r="AD337" i="66"/>
  <c r="AE337" i="66"/>
  <c r="AD338" i="66"/>
  <c r="AE338" i="66"/>
  <c r="AD339" i="66"/>
  <c r="AE339" i="66" s="1"/>
  <c r="AD340" i="66"/>
  <c r="AE340" i="66"/>
  <c r="AD341" i="66"/>
  <c r="AE341" i="66"/>
  <c r="AD342" i="66"/>
  <c r="AE342" i="66"/>
  <c r="AD343" i="66"/>
  <c r="AE343" i="66" s="1"/>
  <c r="AD344" i="66"/>
  <c r="AE344" i="66"/>
  <c r="AD345" i="66"/>
  <c r="AE345" i="66"/>
  <c r="AD346" i="66"/>
  <c r="AE346" i="66"/>
  <c r="AD347" i="66"/>
  <c r="AE347" i="66" s="1"/>
  <c r="AD348" i="66"/>
  <c r="AE348" i="66"/>
  <c r="AD349" i="66"/>
  <c r="AE349" i="66"/>
  <c r="AD350" i="66"/>
  <c r="AE350" i="66"/>
  <c r="AD351" i="66"/>
  <c r="AE351" i="66" s="1"/>
  <c r="AD352" i="66"/>
  <c r="AE352" i="66"/>
  <c r="AD353" i="66"/>
  <c r="AE353" i="66"/>
  <c r="AD354" i="66"/>
  <c r="AE354" i="66"/>
  <c r="AD355" i="66"/>
  <c r="AE355" i="66" s="1"/>
  <c r="AD356" i="66"/>
  <c r="AE356" i="66"/>
  <c r="AD357" i="66"/>
  <c r="AE357" i="66"/>
  <c r="AD358" i="66"/>
  <c r="AE358" i="66"/>
  <c r="AD359" i="66"/>
  <c r="AE359" i="66" s="1"/>
  <c r="AD360" i="66"/>
  <c r="AE360" i="66"/>
  <c r="AD361" i="66"/>
  <c r="AE361" i="66"/>
  <c r="AD362" i="66"/>
  <c r="AE362" i="66"/>
  <c r="AD363" i="66"/>
  <c r="AE363" i="66" s="1"/>
  <c r="AD364" i="66"/>
  <c r="AE364" i="66"/>
  <c r="AD365" i="66"/>
  <c r="AE365" i="66"/>
  <c r="AD366" i="66"/>
  <c r="AE366" i="66"/>
  <c r="AD367" i="66"/>
  <c r="AE367" i="66" s="1"/>
  <c r="AD368" i="66"/>
  <c r="AE368" i="66"/>
  <c r="AD369" i="66"/>
  <c r="AE369" i="66"/>
  <c r="AD370" i="66"/>
  <c r="AE370" i="66"/>
  <c r="AD371" i="66"/>
  <c r="AE371" i="66" s="1"/>
  <c r="AD372" i="66"/>
  <c r="AE372" i="66"/>
  <c r="AD373" i="66"/>
  <c r="AE373" i="66"/>
  <c r="AD374" i="66"/>
  <c r="AE374" i="66"/>
  <c r="AD375" i="66"/>
  <c r="AE375" i="66" s="1"/>
  <c r="AD376" i="66"/>
  <c r="AE376" i="66"/>
  <c r="AD377" i="66"/>
  <c r="AE377" i="66"/>
  <c r="AD378" i="66"/>
  <c r="AE378" i="66"/>
  <c r="AD379" i="66"/>
  <c r="AE379" i="66" s="1"/>
  <c r="AD380" i="66"/>
  <c r="AE380" i="66"/>
  <c r="AD381" i="66"/>
  <c r="AE381" i="66"/>
  <c r="AD382" i="66"/>
  <c r="AE382" i="66"/>
  <c r="AD383" i="66"/>
  <c r="AE383" i="66" s="1"/>
  <c r="AD384" i="66"/>
  <c r="AE384" i="66"/>
  <c r="AD385" i="66"/>
  <c r="AE385" i="66"/>
  <c r="AD386" i="66"/>
  <c r="AE386" i="66"/>
  <c r="AD387" i="66"/>
  <c r="AE387" i="66" s="1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/>
  <c r="L353" i="66"/>
  <c r="M353" i="66"/>
  <c r="L354" i="66"/>
  <c r="M354" i="66" s="1"/>
  <c r="L355" i="66"/>
  <c r="M355" i="66" s="1"/>
  <c r="L356" i="66"/>
  <c r="M356" i="66"/>
  <c r="L357" i="66"/>
  <c r="M357" i="66"/>
  <c r="L358" i="66"/>
  <c r="M358" i="66" s="1"/>
  <c r="L359" i="66"/>
  <c r="M359" i="66" s="1"/>
  <c r="L360" i="66"/>
  <c r="M360" i="66"/>
  <c r="L361" i="66"/>
  <c r="M361" i="66"/>
  <c r="L362" i="66"/>
  <c r="M362" i="66" s="1"/>
  <c r="L363" i="66"/>
  <c r="M363" i="66" s="1"/>
  <c r="L364" i="66"/>
  <c r="M364" i="66"/>
  <c r="L365" i="66"/>
  <c r="M365" i="66"/>
  <c r="L366" i="66"/>
  <c r="M366" i="66" s="1"/>
  <c r="L367" i="66"/>
  <c r="M367" i="66" s="1"/>
  <c r="L368" i="66"/>
  <c r="M368" i="66"/>
  <c r="L369" i="66"/>
  <c r="M369" i="66"/>
  <c r="L370" i="66"/>
  <c r="M370" i="66" s="1"/>
  <c r="L371" i="66"/>
  <c r="M371" i="66" s="1"/>
  <c r="L372" i="66"/>
  <c r="M372" i="66"/>
  <c r="L373" i="66"/>
  <c r="M373" i="66"/>
  <c r="L374" i="66"/>
  <c r="M374" i="66" s="1"/>
  <c r="L375" i="66"/>
  <c r="M375" i="66" s="1"/>
  <c r="L376" i="66"/>
  <c r="M376" i="66"/>
  <c r="L377" i="66"/>
  <c r="M377" i="66"/>
  <c r="L378" i="66"/>
  <c r="M378" i="66" s="1"/>
  <c r="L379" i="66"/>
  <c r="M379" i="66" s="1"/>
  <c r="L380" i="66"/>
  <c r="M380" i="66"/>
  <c r="L381" i="66"/>
  <c r="M381" i="66"/>
  <c r="L382" i="66"/>
  <c r="M382" i="66" s="1"/>
  <c r="L383" i="66"/>
  <c r="M383" i="66" s="1"/>
  <c r="L384" i="66"/>
  <c r="M384" i="66"/>
  <c r="L385" i="66"/>
  <c r="M385" i="66" s="1"/>
  <c r="L386" i="66"/>
  <c r="M386" i="66" s="1"/>
  <c r="L387" i="66"/>
  <c r="M387" i="66"/>
  <c r="L388" i="66"/>
  <c r="M388" i="66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N7" i="66"/>
  <c r="BD7" i="66"/>
  <c r="AV7" i="66"/>
  <c r="AU7" i="66" s="1"/>
  <c r="AL7" i="66"/>
  <c r="AD7" i="66"/>
  <c r="AC7" i="66" s="1"/>
  <c r="T7" i="66"/>
  <c r="S7" i="66" s="1"/>
  <c r="L7" i="66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 s="1"/>
  <c r="CN6" i="66"/>
  <c r="CM6" i="66" s="1"/>
  <c r="CF6" i="66"/>
  <c r="CE6" i="66" s="1"/>
  <c r="BN6" i="66"/>
  <c r="BM6" i="66" s="1"/>
  <c r="BD6" i="66"/>
  <c r="BC6" i="66" s="1"/>
  <c r="AV6" i="66"/>
  <c r="AL6" i="66"/>
  <c r="AK6" i="66" s="1"/>
  <c r="AD6" i="66"/>
  <c r="T6" i="66"/>
  <c r="S6" i="66" s="1"/>
  <c r="L6" i="66"/>
  <c r="FH5" i="66"/>
  <c r="EZ5" i="66"/>
  <c r="DY5" i="66"/>
  <c r="DQ5" i="66"/>
  <c r="DG5" i="66"/>
  <c r="CY5" i="66"/>
  <c r="CO5" i="66"/>
  <c r="CG5" i="66"/>
  <c r="FD4" i="66"/>
  <c r="FF4" i="66" s="1"/>
  <c r="EX4" i="66"/>
  <c r="EV4" i="66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E4" i="66"/>
  <c r="CC4" i="66"/>
  <c r="BM4" i="66"/>
  <c r="BK4" i="66"/>
  <c r="BA4" i="66"/>
  <c r="BC4" i="66" s="1"/>
  <c r="AS4" i="66"/>
  <c r="AU4" i="66" s="1"/>
  <c r="AA4" i="66"/>
  <c r="AC4" i="66" s="1"/>
  <c r="FH3" i="66"/>
  <c r="FD3" i="66"/>
  <c r="EZ3" i="66"/>
  <c r="EX3" i="66"/>
  <c r="EV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C3" i="66"/>
  <c r="BO3" i="66"/>
  <c r="BK3" i="66"/>
  <c r="BM3" i="66" s="1"/>
  <c r="BA3" i="66"/>
  <c r="AS3" i="66"/>
  <c r="AU3" i="66" s="1"/>
  <c r="AI3" i="66"/>
  <c r="AA3" i="66"/>
  <c r="A4" i="63" a="1"/>
  <c r="BW5" i="66" l="1"/>
  <c r="EQ5" i="66"/>
  <c r="I3" i="66"/>
  <c r="K3" i="66" s="1"/>
  <c r="EV6" i="66"/>
  <c r="AI4" i="66"/>
  <c r="AK4" i="66" s="1"/>
  <c r="EQ3" i="66"/>
  <c r="Q3" i="66"/>
  <c r="CU6" i="66"/>
  <c r="A21" i="66" s="1"/>
  <c r="EM4" i="66"/>
  <c r="EO4" i="66" s="1"/>
  <c r="BM7" i="66"/>
  <c r="BK6" i="66"/>
  <c r="A17" i="66" s="1"/>
  <c r="BS3" i="66"/>
  <c r="K6" i="66"/>
  <c r="BV6" i="66"/>
  <c r="BU6" i="66" s="1"/>
  <c r="K7" i="66"/>
  <c r="BU7" i="66"/>
  <c r="BV9" i="66" s="1"/>
  <c r="B18" i="66" s="1"/>
  <c r="BW3" i="66"/>
  <c r="EE6" i="66"/>
  <c r="O2" i="66"/>
  <c r="BS4" i="66"/>
  <c r="BU4" i="66" s="1"/>
  <c r="CE3" i="66"/>
  <c r="CC6" i="66" s="1"/>
  <c r="A19" i="66" s="1"/>
  <c r="I4" i="66"/>
  <c r="K4" i="66" s="1"/>
  <c r="DM6" i="66"/>
  <c r="EM3" i="66"/>
  <c r="EO3" i="66" s="1"/>
  <c r="EM6" i="66" s="1"/>
  <c r="EP4" i="66" s="1"/>
  <c r="EP2" i="66" s="1"/>
  <c r="Q4" i="66"/>
  <c r="S4" i="66" s="1"/>
  <c r="BO5" i="66"/>
  <c r="EI5" i="66"/>
  <c r="AU6" i="66"/>
  <c r="AQ2" i="66" s="1"/>
  <c r="AK7" i="66"/>
  <c r="AG2" i="66" s="1"/>
  <c r="BC7" i="66"/>
  <c r="AE9" i="66"/>
  <c r="AE7" i="66" s="1"/>
  <c r="AW9" i="66"/>
  <c r="AW3" i="66" s="1"/>
  <c r="A4" i="63"/>
  <c r="BE9" i="66"/>
  <c r="AY2" i="66"/>
  <c r="AS6" i="66"/>
  <c r="A15" i="66" s="1"/>
  <c r="AM9" i="66"/>
  <c r="AE3" i="66"/>
  <c r="AE5" i="66"/>
  <c r="AC6" i="66"/>
  <c r="Y2" i="66" s="1"/>
  <c r="AC3" i="66"/>
  <c r="AA6" i="66" s="1"/>
  <c r="A13" i="66" s="1"/>
  <c r="U9" i="66"/>
  <c r="M9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FF3" i="66"/>
  <c r="FD6" i="66" s="1"/>
  <c r="FG4" i="66" s="1"/>
  <c r="FG2" i="66" s="1"/>
  <c r="G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CN9" i="66"/>
  <c r="B20" i="66" s="1"/>
  <c r="DF9" i="66"/>
  <c r="B22" i="66" s="1"/>
  <c r="DX9" i="66"/>
  <c r="E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/>
  <c r="BD186" i="65"/>
  <c r="BE186" i="65" s="1"/>
  <c r="BD187" i="65"/>
  <c r="BE187" i="65" s="1"/>
  <c r="BD188" i="65"/>
  <c r="BE188" i="65" s="1"/>
  <c r="BD189" i="65"/>
  <c r="BE189" i="65"/>
  <c r="BD190" i="65"/>
  <c r="BE190" i="65" s="1"/>
  <c r="BD191" i="65"/>
  <c r="BE191" i="65" s="1"/>
  <c r="BD192" i="65"/>
  <c r="BE192" i="65" s="1"/>
  <c r="BD193" i="65"/>
  <c r="BE193" i="65"/>
  <c r="BD194" i="65"/>
  <c r="BE194" i="65" s="1"/>
  <c r="BD195" i="65"/>
  <c r="BE195" i="65" s="1"/>
  <c r="BD196" i="65"/>
  <c r="BE196" i="65" s="1"/>
  <c r="BD197" i="65"/>
  <c r="BE197" i="65"/>
  <c r="BD198" i="65"/>
  <c r="BE198" i="65" s="1"/>
  <c r="BD199" i="65"/>
  <c r="BE199" i="65" s="1"/>
  <c r="BD200" i="65"/>
  <c r="BE200" i="65" s="1"/>
  <c r="BD201" i="65"/>
  <c r="BE201" i="65"/>
  <c r="BD202" i="65"/>
  <c r="BE202" i="65" s="1"/>
  <c r="BD203" i="65"/>
  <c r="BE203" i="65" s="1"/>
  <c r="BD204" i="65"/>
  <c r="BE204" i="65"/>
  <c r="BD205" i="65"/>
  <c r="BE205" i="65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/>
  <c r="BD383" i="65"/>
  <c r="BE383" i="65" s="1"/>
  <c r="BD384" i="65"/>
  <c r="BE384" i="65" s="1"/>
  <c r="BD385" i="65"/>
  <c r="BE385" i="65" s="1"/>
  <c r="BD386" i="65"/>
  <c r="BE386" i="65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 s="1"/>
  <c r="AV184" i="65"/>
  <c r="AW184" i="65"/>
  <c r="AV185" i="65"/>
  <c r="AW185" i="65" s="1"/>
  <c r="AV186" i="65"/>
  <c r="AW186" i="65"/>
  <c r="AV187" i="65"/>
  <c r="AW187" i="65" s="1"/>
  <c r="AV188" i="65"/>
  <c r="AW188" i="65"/>
  <c r="AV189" i="65"/>
  <c r="AW189" i="65" s="1"/>
  <c r="AV190" i="65"/>
  <c r="AW190" i="65"/>
  <c r="AV191" i="65"/>
  <c r="AW191" i="65" s="1"/>
  <c r="AV192" i="65"/>
  <c r="AW192" i="65"/>
  <c r="AV193" i="65"/>
  <c r="AW193" i="65" s="1"/>
  <c r="AV194" i="65"/>
  <c r="AW194" i="65"/>
  <c r="AV195" i="65"/>
  <c r="AW195" i="65" s="1"/>
  <c r="AV196" i="65"/>
  <c r="AW196" i="65"/>
  <c r="AV197" i="65"/>
  <c r="AW197" i="65" s="1"/>
  <c r="AV198" i="65"/>
  <c r="AW198" i="65"/>
  <c r="AV199" i="65"/>
  <c r="AW199" i="65" s="1"/>
  <c r="AV200" i="65"/>
  <c r="AW200" i="65"/>
  <c r="AV201" i="65"/>
  <c r="AW201" i="65" s="1"/>
  <c r="AV202" i="65"/>
  <c r="AW202" i="65"/>
  <c r="AV203" i="65"/>
  <c r="AW203" i="65" s="1"/>
  <c r="AV204" i="65"/>
  <c r="AW204" i="65"/>
  <c r="AV205" i="65"/>
  <c r="AW205" i="65" s="1"/>
  <c r="AV206" i="65"/>
  <c r="AW206" i="65"/>
  <c r="AV207" i="65"/>
  <c r="AW207" i="65" s="1"/>
  <c r="AV208" i="65"/>
  <c r="AW208" i="65"/>
  <c r="AV209" i="65"/>
  <c r="AW209" i="65" s="1"/>
  <c r="AV210" i="65"/>
  <c r="AW210" i="65"/>
  <c r="AV211" i="65"/>
  <c r="AW211" i="65" s="1"/>
  <c r="AV212" i="65"/>
  <c r="AW212" i="65"/>
  <c r="AV213" i="65"/>
  <c r="AW213" i="65" s="1"/>
  <c r="AV214" i="65"/>
  <c r="AW214" i="65"/>
  <c r="AV215" i="65"/>
  <c r="AW215" i="65" s="1"/>
  <c r="AV216" i="65"/>
  <c r="AW216" i="65"/>
  <c r="AV217" i="65"/>
  <c r="AW217" i="65" s="1"/>
  <c r="AV218" i="65"/>
  <c r="AW218" i="65"/>
  <c r="AV219" i="65"/>
  <c r="AW219" i="65" s="1"/>
  <c r="AV220" i="65"/>
  <c r="AW220" i="65"/>
  <c r="AV221" i="65"/>
  <c r="AW221" i="65" s="1"/>
  <c r="AV222" i="65"/>
  <c r="AW222" i="65"/>
  <c r="AV223" i="65"/>
  <c r="AW223" i="65" s="1"/>
  <c r="AV224" i="65"/>
  <c r="AW224" i="65"/>
  <c r="AV225" i="65"/>
  <c r="AW225" i="65" s="1"/>
  <c r="AV226" i="65"/>
  <c r="AW226" i="65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/>
  <c r="AV233" i="65"/>
  <c r="AW233" i="65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/>
  <c r="AL16" i="65"/>
  <c r="AM16" i="65" s="1"/>
  <c r="AL17" i="65"/>
  <c r="AM17" i="65" s="1"/>
  <c r="AL18" i="65"/>
  <c r="AM18" i="65" s="1"/>
  <c r="AL19" i="65"/>
  <c r="AM19" i="65"/>
  <c r="AL20" i="65"/>
  <c r="AM20" i="65" s="1"/>
  <c r="AL21" i="65"/>
  <c r="AM21" i="65" s="1"/>
  <c r="AL22" i="65"/>
  <c r="AM22" i="65" s="1"/>
  <c r="AL23" i="65"/>
  <c r="AM23" i="65"/>
  <c r="AL24" i="65"/>
  <c r="AM24" i="65" s="1"/>
  <c r="AL25" i="65"/>
  <c r="AM25" i="65" s="1"/>
  <c r="AL26" i="65"/>
  <c r="AM26" i="65" s="1"/>
  <c r="AL27" i="65"/>
  <c r="AM27" i="65"/>
  <c r="AL28" i="65"/>
  <c r="AM28" i="65" s="1"/>
  <c r="AL29" i="65"/>
  <c r="AM29" i="65" s="1"/>
  <c r="AL30" i="65"/>
  <c r="AM30" i="65" s="1"/>
  <c r="AL31" i="65"/>
  <c r="AM31" i="65"/>
  <c r="AL32" i="65"/>
  <c r="AM32" i="65" s="1"/>
  <c r="AL33" i="65"/>
  <c r="AM33" i="65" s="1"/>
  <c r="AL34" i="65"/>
  <c r="AM34" i="65" s="1"/>
  <c r="AL35" i="65"/>
  <c r="AM35" i="65"/>
  <c r="AL36" i="65"/>
  <c r="AM36" i="65" s="1"/>
  <c r="AL37" i="65"/>
  <c r="AM37" i="65" s="1"/>
  <c r="AL38" i="65"/>
  <c r="AM38" i="65" s="1"/>
  <c r="AL39" i="65"/>
  <c r="AM39" i="65"/>
  <c r="AL40" i="65"/>
  <c r="AM40" i="65" s="1"/>
  <c r="AL41" i="65"/>
  <c r="AM41" i="65" s="1"/>
  <c r="AL42" i="65"/>
  <c r="AM42" i="65" s="1"/>
  <c r="AL43" i="65"/>
  <c r="AM43" i="65"/>
  <c r="AL44" i="65"/>
  <c r="AM44" i="65" s="1"/>
  <c r="AL45" i="65"/>
  <c r="AM45" i="65" s="1"/>
  <c r="AL46" i="65"/>
  <c r="AM46" i="65" s="1"/>
  <c r="AL47" i="65"/>
  <c r="AM47" i="65"/>
  <c r="AL48" i="65"/>
  <c r="AM48" i="65" s="1"/>
  <c r="AL49" i="65"/>
  <c r="AM49" i="65" s="1"/>
  <c r="AL50" i="65"/>
  <c r="AM50" i="65" s="1"/>
  <c r="AL51" i="65"/>
  <c r="AM51" i="65"/>
  <c r="AL52" i="65"/>
  <c r="AM52" i="65" s="1"/>
  <c r="AL53" i="65"/>
  <c r="AM53" i="65" s="1"/>
  <c r="AL54" i="65"/>
  <c r="AM54" i="65" s="1"/>
  <c r="AL55" i="65"/>
  <c r="AM55" i="65"/>
  <c r="AL56" i="65"/>
  <c r="AM56" i="65" s="1"/>
  <c r="AL57" i="65"/>
  <c r="AM57" i="65" s="1"/>
  <c r="AL58" i="65"/>
  <c r="AM58" i="65" s="1"/>
  <c r="AL59" i="65"/>
  <c r="AM59" i="65"/>
  <c r="AL60" i="65"/>
  <c r="AM60" i="65" s="1"/>
  <c r="AL61" i="65"/>
  <c r="AM61" i="65" s="1"/>
  <c r="AL62" i="65"/>
  <c r="AM62" i="65" s="1"/>
  <c r="AL63" i="65"/>
  <c r="AM63" i="65"/>
  <c r="AL64" i="65"/>
  <c r="AM64" i="65" s="1"/>
  <c r="AL65" i="65"/>
  <c r="AM65" i="65" s="1"/>
  <c r="AL66" i="65"/>
  <c r="AM66" i="65" s="1"/>
  <c r="AL67" i="65"/>
  <c r="AM67" i="65"/>
  <c r="AL68" i="65"/>
  <c r="AM68" i="65" s="1"/>
  <c r="AL69" i="65"/>
  <c r="AM69" i="65" s="1"/>
  <c r="AL70" i="65"/>
  <c r="AM70" i="65" s="1"/>
  <c r="AL71" i="65"/>
  <c r="AM71" i="65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/>
  <c r="AL84" i="65"/>
  <c r="AM84" i="65" s="1"/>
  <c r="AL85" i="65"/>
  <c r="AM85" i="65" s="1"/>
  <c r="AL86" i="65"/>
  <c r="AM86" i="65" s="1"/>
  <c r="AL87" i="65"/>
  <c r="AM87" i="65"/>
  <c r="AL88" i="65"/>
  <c r="AM88" i="65" s="1"/>
  <c r="AL89" i="65"/>
  <c r="AM89" i="65" s="1"/>
  <c r="AL90" i="65"/>
  <c r="AM90" i="65" s="1"/>
  <c r="AL91" i="65"/>
  <c r="AM91" i="65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/>
  <c r="AL116" i="65"/>
  <c r="AM116" i="65" s="1"/>
  <c r="AL117" i="65"/>
  <c r="AM117" i="65" s="1"/>
  <c r="AL118" i="65"/>
  <c r="AM118" i="65" s="1"/>
  <c r="AL119" i="65"/>
  <c r="AM119" i="65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/>
  <c r="AL148" i="65"/>
  <c r="AM148" i="65" s="1"/>
  <c r="AL149" i="65"/>
  <c r="AM149" i="65" s="1"/>
  <c r="AL150" i="65"/>
  <c r="AM150" i="65" s="1"/>
  <c r="AL151" i="65"/>
  <c r="AM151" i="65"/>
  <c r="AL152" i="65"/>
  <c r="AM152" i="65" s="1"/>
  <c r="AL153" i="65"/>
  <c r="AM153" i="65" s="1"/>
  <c r="AL154" i="65"/>
  <c r="AM154" i="65" s="1"/>
  <c r="AL155" i="65"/>
  <c r="AM155" i="65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/>
  <c r="AL180" i="65"/>
  <c r="AM180" i="65" s="1"/>
  <c r="AL181" i="65"/>
  <c r="AM181" i="65" s="1"/>
  <c r="AL182" i="65"/>
  <c r="AM182" i="65" s="1"/>
  <c r="AL183" i="65"/>
  <c r="AM183" i="65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/>
  <c r="AL212" i="65"/>
  <c r="AM212" i="65" s="1"/>
  <c r="AL213" i="65"/>
  <c r="AM213" i="65" s="1"/>
  <c r="AL214" i="65"/>
  <c r="AM214" i="65" s="1"/>
  <c r="AL215" i="65"/>
  <c r="AM215" i="65"/>
  <c r="AL216" i="65"/>
  <c r="AM216" i="65" s="1"/>
  <c r="AL217" i="65"/>
  <c r="AM217" i="65" s="1"/>
  <c r="AL218" i="65"/>
  <c r="AM218" i="65" s="1"/>
  <c r="AL219" i="65"/>
  <c r="AM219" i="65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/>
  <c r="AL244" i="65"/>
  <c r="AM244" i="65" s="1"/>
  <c r="AL245" i="65"/>
  <c r="AM245" i="65" s="1"/>
  <c r="AL246" i="65"/>
  <c r="AM246" i="65" s="1"/>
  <c r="AL247" i="65"/>
  <c r="AM247" i="65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/>
  <c r="AL264" i="65"/>
  <c r="AM264" i="65" s="1"/>
  <c r="AL265" i="65"/>
  <c r="AM265" i="65" s="1"/>
  <c r="AL266" i="65"/>
  <c r="AM266" i="65"/>
  <c r="AL267" i="65"/>
  <c r="AM267" i="65" s="1"/>
  <c r="AL268" i="65"/>
  <c r="AM268" i="65" s="1"/>
  <c r="AL269" i="65"/>
  <c r="AM269" i="65" s="1"/>
  <c r="AL270" i="65"/>
  <c r="AM270" i="65" s="1"/>
  <c r="AL271" i="65"/>
  <c r="AM271" i="65"/>
  <c r="AL272" i="65"/>
  <c r="AM272" i="65" s="1"/>
  <c r="AL273" i="65"/>
  <c r="AM273" i="65" s="1"/>
  <c r="AL274" i="65"/>
  <c r="AM274" i="65"/>
  <c r="AL275" i="65"/>
  <c r="AM275" i="65" s="1"/>
  <c r="AL276" i="65"/>
  <c r="AM276" i="65" s="1"/>
  <c r="AL277" i="65"/>
  <c r="AM277" i="65" s="1"/>
  <c r="AL278" i="65"/>
  <c r="AM278" i="65" s="1"/>
  <c r="AL279" i="65"/>
  <c r="AM279" i="65"/>
  <c r="AL280" i="65"/>
  <c r="AM280" i="65" s="1"/>
  <c r="AL281" i="65"/>
  <c r="AM281" i="65" s="1"/>
  <c r="AL282" i="65"/>
  <c r="AM282" i="65"/>
  <c r="AL283" i="65"/>
  <c r="AM283" i="65" s="1"/>
  <c r="AL284" i="65"/>
  <c r="AM284" i="65" s="1"/>
  <c r="AL285" i="65"/>
  <c r="AM285" i="65" s="1"/>
  <c r="AL286" i="65"/>
  <c r="AM286" i="65" s="1"/>
  <c r="AL287" i="65"/>
  <c r="AM287" i="65"/>
  <c r="AL288" i="65"/>
  <c r="AM288" i="65" s="1"/>
  <c r="AL289" i="65"/>
  <c r="AM289" i="65" s="1"/>
  <c r="AL290" i="65"/>
  <c r="AM290" i="65"/>
  <c r="AL291" i="65"/>
  <c r="AM291" i="65" s="1"/>
  <c r="AL292" i="65"/>
  <c r="AM292" i="65" s="1"/>
  <c r="AL293" i="65"/>
  <c r="AM293" i="65" s="1"/>
  <c r="AL294" i="65"/>
  <c r="AM294" i="65" s="1"/>
  <c r="AL295" i="65"/>
  <c r="AM295" i="65"/>
  <c r="AL296" i="65"/>
  <c r="AM296" i="65" s="1"/>
  <c r="AL297" i="65"/>
  <c r="AM297" i="65" s="1"/>
  <c r="AL298" i="65"/>
  <c r="AM298" i="65"/>
  <c r="AL299" i="65"/>
  <c r="AM299" i="65" s="1"/>
  <c r="AL300" i="65"/>
  <c r="AM300" i="65" s="1"/>
  <c r="AL301" i="65"/>
  <c r="AM301" i="65" s="1"/>
  <c r="AL302" i="65"/>
  <c r="AM302" i="65"/>
  <c r="AL303" i="65"/>
  <c r="AM303" i="65" s="1"/>
  <c r="AL304" i="65"/>
  <c r="AM304" i="65" s="1"/>
  <c r="AL305" i="65"/>
  <c r="AM305" i="65" s="1"/>
  <c r="AL306" i="65"/>
  <c r="AM306" i="65"/>
  <c r="AL307" i="65"/>
  <c r="AM307" i="65" s="1"/>
  <c r="AL308" i="65"/>
  <c r="AM308" i="65" s="1"/>
  <c r="AL309" i="65"/>
  <c r="AM309" i="65" s="1"/>
  <c r="AL310" i="65"/>
  <c r="AM310" i="65"/>
  <c r="AL311" i="65"/>
  <c r="AM311" i="65" s="1"/>
  <c r="AL312" i="65"/>
  <c r="AM312" i="65" s="1"/>
  <c r="AL313" i="65"/>
  <c r="AM313" i="65" s="1"/>
  <c r="AL314" i="65"/>
  <c r="AM314" i="65"/>
  <c r="AL315" i="65"/>
  <c r="AM315" i="65" s="1"/>
  <c r="AL316" i="65"/>
  <c r="AM316" i="65" s="1"/>
  <c r="AL317" i="65"/>
  <c r="AM317" i="65" s="1"/>
  <c r="AL318" i="65"/>
  <c r="AM318" i="65"/>
  <c r="AL319" i="65"/>
  <c r="AM319" i="65" s="1"/>
  <c r="AL320" i="65"/>
  <c r="AM320" i="65" s="1"/>
  <c r="AL321" i="65"/>
  <c r="AM321" i="65" s="1"/>
  <c r="AL322" i="65"/>
  <c r="AM322" i="65"/>
  <c r="AL323" i="65"/>
  <c r="AM323" i="65" s="1"/>
  <c r="AL324" i="65"/>
  <c r="AM324" i="65" s="1"/>
  <c r="AL325" i="65"/>
  <c r="AM325" i="65" s="1"/>
  <c r="AL326" i="65"/>
  <c r="AM326" i="65"/>
  <c r="AL327" i="65"/>
  <c r="AM327" i="65" s="1"/>
  <c r="AL328" i="65"/>
  <c r="AM328" i="65" s="1"/>
  <c r="AL329" i="65"/>
  <c r="AM329" i="65" s="1"/>
  <c r="AL330" i="65"/>
  <c r="AM330" i="65"/>
  <c r="AL331" i="65"/>
  <c r="AM331" i="65" s="1"/>
  <c r="AL332" i="65"/>
  <c r="AM332" i="65" s="1"/>
  <c r="AL333" i="65"/>
  <c r="AM333" i="65" s="1"/>
  <c r="AL334" i="65"/>
  <c r="AM334" i="65"/>
  <c r="AL335" i="65"/>
  <c r="AM335" i="65" s="1"/>
  <c r="AL336" i="65"/>
  <c r="AM336" i="65" s="1"/>
  <c r="AL337" i="65"/>
  <c r="AM337" i="65" s="1"/>
  <c r="AL338" i="65"/>
  <c r="AM338" i="65"/>
  <c r="AL339" i="65"/>
  <c r="AM339" i="65" s="1"/>
  <c r="AL340" i="65"/>
  <c r="AM340" i="65" s="1"/>
  <c r="AL341" i="65"/>
  <c r="AM341" i="65" s="1"/>
  <c r="AL342" i="65"/>
  <c r="AM342" i="65"/>
  <c r="AL343" i="65"/>
  <c r="AM343" i="65" s="1"/>
  <c r="AL344" i="65"/>
  <c r="AM344" i="65" s="1"/>
  <c r="AL345" i="65"/>
  <c r="AM345" i="65" s="1"/>
  <c r="AL346" i="65"/>
  <c r="AM346" i="65"/>
  <c r="AL347" i="65"/>
  <c r="AM347" i="65" s="1"/>
  <c r="AL348" i="65"/>
  <c r="AM348" i="65" s="1"/>
  <c r="AL349" i="65"/>
  <c r="AM349" i="65" s="1"/>
  <c r="AL350" i="65"/>
  <c r="AM350" i="65"/>
  <c r="AL351" i="65"/>
  <c r="AM351" i="65" s="1"/>
  <c r="AL352" i="65"/>
  <c r="AM352" i="65" s="1"/>
  <c r="AL353" i="65"/>
  <c r="AM353" i="65" s="1"/>
  <c r="AL354" i="65"/>
  <c r="AM354" i="65"/>
  <c r="AL355" i="65"/>
  <c r="AM355" i="65" s="1"/>
  <c r="AL356" i="65"/>
  <c r="AM356" i="65" s="1"/>
  <c r="AL357" i="65"/>
  <c r="AM357" i="65" s="1"/>
  <c r="AL358" i="65"/>
  <c r="AM358" i="65"/>
  <c r="AL359" i="65"/>
  <c r="AM359" i="65" s="1"/>
  <c r="AL360" i="65"/>
  <c r="AM360" i="65" s="1"/>
  <c r="AL361" i="65"/>
  <c r="AM361" i="65" s="1"/>
  <c r="AL362" i="65"/>
  <c r="AM362" i="65"/>
  <c r="AL363" i="65"/>
  <c r="AM363" i="65" s="1"/>
  <c r="AL364" i="65"/>
  <c r="AM364" i="65" s="1"/>
  <c r="AL365" i="65"/>
  <c r="AM365" i="65" s="1"/>
  <c r="AL366" i="65"/>
  <c r="AM366" i="65"/>
  <c r="AL367" i="65"/>
  <c r="AM367" i="65" s="1"/>
  <c r="AL368" i="65"/>
  <c r="AM368" i="65" s="1"/>
  <c r="AL369" i="65"/>
  <c r="AM369" i="65" s="1"/>
  <c r="AL370" i="65"/>
  <c r="AM370" i="65"/>
  <c r="AL371" i="65"/>
  <c r="AM371" i="65" s="1"/>
  <c r="AL372" i="65"/>
  <c r="AM372" i="65" s="1"/>
  <c r="AL373" i="65"/>
  <c r="AM373" i="65" s="1"/>
  <c r="AL374" i="65"/>
  <c r="AM374" i="65"/>
  <c r="AL375" i="65"/>
  <c r="AM375" i="65" s="1"/>
  <c r="AL376" i="65"/>
  <c r="AM376" i="65" s="1"/>
  <c r="AL377" i="65"/>
  <c r="AM377" i="65" s="1"/>
  <c r="AL378" i="65"/>
  <c r="AM378" i="65"/>
  <c r="AL379" i="65"/>
  <c r="AM379" i="65" s="1"/>
  <c r="AL380" i="65"/>
  <c r="AM380" i="65" s="1"/>
  <c r="AL381" i="65"/>
  <c r="AM381" i="65" s="1"/>
  <c r="AL382" i="65"/>
  <c r="AM382" i="65"/>
  <c r="AL383" i="65"/>
  <c r="AM383" i="65" s="1"/>
  <c r="AL384" i="65"/>
  <c r="AM384" i="65" s="1"/>
  <c r="AL385" i="65"/>
  <c r="AM385" i="65" s="1"/>
  <c r="AL386" i="65"/>
  <c r="AM386" i="65"/>
  <c r="AL387" i="65"/>
  <c r="AM387" i="65" s="1"/>
  <c r="AL388" i="65"/>
  <c r="AM388" i="65" s="1"/>
  <c r="AD12" i="65"/>
  <c r="AE12" i="65" s="1"/>
  <c r="AD13" i="65"/>
  <c r="AE13" i="65"/>
  <c r="AD14" i="65"/>
  <c r="AE14" i="65" s="1"/>
  <c r="AD15" i="65"/>
  <c r="AE15" i="65" s="1"/>
  <c r="AD16" i="65"/>
  <c r="AE16" i="65" s="1"/>
  <c r="AD17" i="65"/>
  <c r="AE17" i="65"/>
  <c r="AD18" i="65"/>
  <c r="AE18" i="65" s="1"/>
  <c r="AD19" i="65"/>
  <c r="AE19" i="65" s="1"/>
  <c r="AD20" i="65"/>
  <c r="AE20" i="65" s="1"/>
  <c r="AD21" i="65"/>
  <c r="AE21" i="65"/>
  <c r="AD22" i="65"/>
  <c r="AE22" i="65" s="1"/>
  <c r="AD23" i="65"/>
  <c r="AE23" i="65" s="1"/>
  <c r="AD24" i="65"/>
  <c r="AE24" i="65" s="1"/>
  <c r="AD25" i="65"/>
  <c r="AE25" i="65"/>
  <c r="AD26" i="65"/>
  <c r="AE26" i="65" s="1"/>
  <c r="AD27" i="65"/>
  <c r="AE27" i="65" s="1"/>
  <c r="AD28" i="65"/>
  <c r="AE28" i="65" s="1"/>
  <c r="AD29" i="65"/>
  <c r="AE29" i="65"/>
  <c r="AD30" i="65"/>
  <c r="AE30" i="65" s="1"/>
  <c r="AD31" i="65"/>
  <c r="AE31" i="65" s="1"/>
  <c r="AD32" i="65"/>
  <c r="AE32" i="65" s="1"/>
  <c r="AD33" i="65"/>
  <c r="AE33" i="65"/>
  <c r="AD34" i="65"/>
  <c r="AE34" i="65" s="1"/>
  <c r="AD35" i="65"/>
  <c r="AE35" i="65" s="1"/>
  <c r="AD36" i="65"/>
  <c r="AE36" i="65" s="1"/>
  <c r="AD37" i="65"/>
  <c r="AE37" i="65"/>
  <c r="AD38" i="65"/>
  <c r="AE38" i="65" s="1"/>
  <c r="AD39" i="65"/>
  <c r="AE39" i="65" s="1"/>
  <c r="AD40" i="65"/>
  <c r="AE40" i="65" s="1"/>
  <c r="AD41" i="65"/>
  <c r="AE41" i="65"/>
  <c r="AD42" i="65"/>
  <c r="AE42" i="65" s="1"/>
  <c r="AD43" i="65"/>
  <c r="AE43" i="65" s="1"/>
  <c r="AD44" i="65"/>
  <c r="AE44" i="65" s="1"/>
  <c r="AD45" i="65"/>
  <c r="AE45" i="65"/>
  <c r="AD46" i="65"/>
  <c r="AE46" i="65" s="1"/>
  <c r="AD47" i="65"/>
  <c r="AE47" i="65" s="1"/>
  <c r="AD48" i="65"/>
  <c r="AE48" i="65" s="1"/>
  <c r="AD49" i="65"/>
  <c r="AE49" i="65"/>
  <c r="AD50" i="65"/>
  <c r="AE50" i="65" s="1"/>
  <c r="AD51" i="65"/>
  <c r="AE51" i="65" s="1"/>
  <c r="AD52" i="65"/>
  <c r="AE52" i="65" s="1"/>
  <c r="AD53" i="65"/>
  <c r="AE53" i="65"/>
  <c r="AD54" i="65"/>
  <c r="AE54" i="65" s="1"/>
  <c r="AD55" i="65"/>
  <c r="AE55" i="65" s="1"/>
  <c r="AD56" i="65"/>
  <c r="AE56" i="65" s="1"/>
  <c r="AD57" i="65"/>
  <c r="AE57" i="65"/>
  <c r="AD58" i="65"/>
  <c r="AE58" i="65" s="1"/>
  <c r="AD59" i="65"/>
  <c r="AE59" i="65" s="1"/>
  <c r="AD60" i="65"/>
  <c r="AE60" i="65" s="1"/>
  <c r="AD61" i="65"/>
  <c r="AE61" i="65"/>
  <c r="AD62" i="65"/>
  <c r="AE62" i="65" s="1"/>
  <c r="AD63" i="65"/>
  <c r="AE63" i="65" s="1"/>
  <c r="AD64" i="65"/>
  <c r="AE64" i="65" s="1"/>
  <c r="AD65" i="65"/>
  <c r="AE65" i="65"/>
  <c r="AD66" i="65"/>
  <c r="AE66" i="65" s="1"/>
  <c r="AD67" i="65"/>
  <c r="AE67" i="65" s="1"/>
  <c r="AD68" i="65"/>
  <c r="AE68" i="65" s="1"/>
  <c r="AD69" i="65"/>
  <c r="AE69" i="65"/>
  <c r="AD70" i="65"/>
  <c r="AE70" i="65" s="1"/>
  <c r="AD71" i="65"/>
  <c r="AE71" i="65" s="1"/>
  <c r="AD72" i="65"/>
  <c r="AE72" i="65" s="1"/>
  <c r="AD73" i="65"/>
  <c r="AE73" i="65"/>
  <c r="AD74" i="65"/>
  <c r="AE74" i="65" s="1"/>
  <c r="AD75" i="65"/>
  <c r="AE75" i="65" s="1"/>
  <c r="AD76" i="65"/>
  <c r="AE76" i="65" s="1"/>
  <c r="AD77" i="65"/>
  <c r="AE77" i="65"/>
  <c r="AD78" i="65"/>
  <c r="AE78" i="65" s="1"/>
  <c r="AD79" i="65"/>
  <c r="AE79" i="65" s="1"/>
  <c r="AD80" i="65"/>
  <c r="AE80" i="65" s="1"/>
  <c r="AD81" i="65"/>
  <c r="AE81" i="65"/>
  <c r="AD82" i="65"/>
  <c r="AE82" i="65" s="1"/>
  <c r="AD83" i="65"/>
  <c r="AE83" i="65" s="1"/>
  <c r="AD84" i="65"/>
  <c r="AE84" i="65" s="1"/>
  <c r="AD85" i="65"/>
  <c r="AE85" i="65"/>
  <c r="AD86" i="65"/>
  <c r="AE86" i="65" s="1"/>
  <c r="AD87" i="65"/>
  <c r="AE87" i="65" s="1"/>
  <c r="AD88" i="65"/>
  <c r="AE88" i="65" s="1"/>
  <c r="AD89" i="65"/>
  <c r="AE89" i="65"/>
  <c r="AD90" i="65"/>
  <c r="AE90" i="65" s="1"/>
  <c r="AD91" i="65"/>
  <c r="AE91" i="65" s="1"/>
  <c r="AD92" i="65"/>
  <c r="AE92" i="65" s="1"/>
  <c r="AD93" i="65"/>
  <c r="AE93" i="65"/>
  <c r="AD94" i="65"/>
  <c r="AE94" i="65" s="1"/>
  <c r="AD95" i="65"/>
  <c r="AE95" i="65" s="1"/>
  <c r="AD96" i="65"/>
  <c r="AE96" i="65" s="1"/>
  <c r="AD97" i="65"/>
  <c r="AE97" i="65"/>
  <c r="AD98" i="65"/>
  <c r="AE98" i="65" s="1"/>
  <c r="AD99" i="65"/>
  <c r="AE99" i="65" s="1"/>
  <c r="AD100" i="65"/>
  <c r="AE100" i="65" s="1"/>
  <c r="AD101" i="65"/>
  <c r="AE101" i="65"/>
  <c r="AD102" i="65"/>
  <c r="AE102" i="65" s="1"/>
  <c r="AD103" i="65"/>
  <c r="AE103" i="65" s="1"/>
  <c r="AD104" i="65"/>
  <c r="AE104" i="65" s="1"/>
  <c r="AD105" i="65"/>
  <c r="AE105" i="65"/>
  <c r="AD106" i="65"/>
  <c r="AE106" i="65" s="1"/>
  <c r="AD107" i="65"/>
  <c r="AE107" i="65" s="1"/>
  <c r="AD108" i="65"/>
  <c r="AE108" i="65" s="1"/>
  <c r="AD109" i="65"/>
  <c r="AE109" i="65"/>
  <c r="AD110" i="65"/>
  <c r="AE110" i="65" s="1"/>
  <c r="AD111" i="65"/>
  <c r="AE111" i="65" s="1"/>
  <c r="AD112" i="65"/>
  <c r="AE112" i="65" s="1"/>
  <c r="AD113" i="65"/>
  <c r="AE113" i="65"/>
  <c r="AD114" i="65"/>
  <c r="AE114" i="65" s="1"/>
  <c r="AD115" i="65"/>
  <c r="AE115" i="65" s="1"/>
  <c r="AD116" i="65"/>
  <c r="AE116" i="65" s="1"/>
  <c r="AD117" i="65"/>
  <c r="AE117" i="65"/>
  <c r="AD118" i="65"/>
  <c r="AE118" i="65" s="1"/>
  <c r="AD119" i="65"/>
  <c r="AE119" i="65" s="1"/>
  <c r="AD120" i="65"/>
  <c r="AE120" i="65" s="1"/>
  <c r="AD121" i="65"/>
  <c r="AE121" i="65"/>
  <c r="AD122" i="65"/>
  <c r="AE122" i="65" s="1"/>
  <c r="AD123" i="65"/>
  <c r="AE123" i="65" s="1"/>
  <c r="AD124" i="65"/>
  <c r="AE124" i="65" s="1"/>
  <c r="AD125" i="65"/>
  <c r="AE125" i="65"/>
  <c r="AD126" i="65"/>
  <c r="AE126" i="65" s="1"/>
  <c r="AD127" i="65"/>
  <c r="AE127" i="65" s="1"/>
  <c r="AD128" i="65"/>
  <c r="AE128" i="65" s="1"/>
  <c r="AD129" i="65"/>
  <c r="AE129" i="65"/>
  <c r="AD130" i="65"/>
  <c r="AE130" i="65" s="1"/>
  <c r="AD131" i="65"/>
  <c r="AE131" i="65" s="1"/>
  <c r="AD132" i="65"/>
  <c r="AE132" i="65" s="1"/>
  <c r="AD133" i="65"/>
  <c r="AE133" i="65"/>
  <c r="AD134" i="65"/>
  <c r="AE134" i="65" s="1"/>
  <c r="AD135" i="65"/>
  <c r="AE135" i="65" s="1"/>
  <c r="AD136" i="65"/>
  <c r="AE136" i="65" s="1"/>
  <c r="AD137" i="65"/>
  <c r="AE137" i="65"/>
  <c r="AD138" i="65"/>
  <c r="AE138" i="65" s="1"/>
  <c r="AD139" i="65"/>
  <c r="AE139" i="65" s="1"/>
  <c r="AD140" i="65"/>
  <c r="AE140" i="65" s="1"/>
  <c r="AD141" i="65"/>
  <c r="AE141" i="65"/>
  <c r="AD142" i="65"/>
  <c r="AE142" i="65" s="1"/>
  <c r="AD143" i="65"/>
  <c r="AE143" i="65" s="1"/>
  <c r="AD144" i="65"/>
  <c r="AE144" i="65" s="1"/>
  <c r="AD145" i="65"/>
  <c r="AE145" i="65"/>
  <c r="AD146" i="65"/>
  <c r="AE146" i="65" s="1"/>
  <c r="AD147" i="65"/>
  <c r="AE147" i="65" s="1"/>
  <c r="AD148" i="65"/>
  <c r="AE148" i="65" s="1"/>
  <c r="AD149" i="65"/>
  <c r="AE149" i="65"/>
  <c r="AD150" i="65"/>
  <c r="AE150" i="65" s="1"/>
  <c r="AD151" i="65"/>
  <c r="AE151" i="65" s="1"/>
  <c r="AD152" i="65"/>
  <c r="AE152" i="65" s="1"/>
  <c r="AD153" i="65"/>
  <c r="AE153" i="65"/>
  <c r="AD154" i="65"/>
  <c r="AE154" i="65" s="1"/>
  <c r="AD155" i="65"/>
  <c r="AE155" i="65" s="1"/>
  <c r="AD156" i="65"/>
  <c r="AE156" i="65" s="1"/>
  <c r="AD157" i="65"/>
  <c r="AE157" i="65"/>
  <c r="AD158" i="65"/>
  <c r="AE158" i="65" s="1"/>
  <c r="AD159" i="65"/>
  <c r="AE159" i="65" s="1"/>
  <c r="AD160" i="65"/>
  <c r="AE160" i="65" s="1"/>
  <c r="AD161" i="65"/>
  <c r="AE161" i="65"/>
  <c r="AD162" i="65"/>
  <c r="AE162" i="65" s="1"/>
  <c r="AD163" i="65"/>
  <c r="AE163" i="65" s="1"/>
  <c r="AD164" i="65"/>
  <c r="AE164" i="65" s="1"/>
  <c r="AD165" i="65"/>
  <c r="AE165" i="65"/>
  <c r="AD166" i="65"/>
  <c r="AE166" i="65" s="1"/>
  <c r="AD167" i="65"/>
  <c r="AE167" i="65" s="1"/>
  <c r="AD168" i="65"/>
  <c r="AE168" i="65" s="1"/>
  <c r="AD169" i="65"/>
  <c r="AE169" i="65"/>
  <c r="AD170" i="65"/>
  <c r="AE170" i="65" s="1"/>
  <c r="AD171" i="65"/>
  <c r="AE171" i="65" s="1"/>
  <c r="AD172" i="65"/>
  <c r="AE172" i="65" s="1"/>
  <c r="AD173" i="65"/>
  <c r="AE173" i="65"/>
  <c r="AD174" i="65"/>
  <c r="AE174" i="65" s="1"/>
  <c r="AD175" i="65"/>
  <c r="AE175" i="65" s="1"/>
  <c r="AD176" i="65"/>
  <c r="AE176" i="65" s="1"/>
  <c r="AD177" i="65"/>
  <c r="AE177" i="65"/>
  <c r="AD178" i="65"/>
  <c r="AE178" i="65" s="1"/>
  <c r="AD179" i="65"/>
  <c r="AE179" i="65" s="1"/>
  <c r="AD180" i="65"/>
  <c r="AE180" i="65" s="1"/>
  <c r="AD181" i="65"/>
  <c r="AE181" i="65"/>
  <c r="AD182" i="65"/>
  <c r="AE182" i="65" s="1"/>
  <c r="AD183" i="65"/>
  <c r="AE183" i="65" s="1"/>
  <c r="AD184" i="65"/>
  <c r="AE184" i="65" s="1"/>
  <c r="AD185" i="65"/>
  <c r="AE185" i="65"/>
  <c r="AD186" i="65"/>
  <c r="AE186" i="65" s="1"/>
  <c r="AD187" i="65"/>
  <c r="AE187" i="65" s="1"/>
  <c r="AD188" i="65"/>
  <c r="AE188" i="65" s="1"/>
  <c r="AD189" i="65"/>
  <c r="AE189" i="65"/>
  <c r="AD190" i="65"/>
  <c r="AE190" i="65" s="1"/>
  <c r="AD191" i="65"/>
  <c r="AE191" i="65" s="1"/>
  <c r="AD192" i="65"/>
  <c r="AE192" i="65" s="1"/>
  <c r="AD193" i="65"/>
  <c r="AE193" i="65"/>
  <c r="AD194" i="65"/>
  <c r="AE194" i="65" s="1"/>
  <c r="AD195" i="65"/>
  <c r="AE195" i="65" s="1"/>
  <c r="AD196" i="65"/>
  <c r="AE196" i="65" s="1"/>
  <c r="AD197" i="65"/>
  <c r="AE197" i="65"/>
  <c r="AD198" i="65"/>
  <c r="AE198" i="65" s="1"/>
  <c r="AD199" i="65"/>
  <c r="AE199" i="65" s="1"/>
  <c r="AD200" i="65"/>
  <c r="AE200" i="65" s="1"/>
  <c r="AD201" i="65"/>
  <c r="AE201" i="65"/>
  <c r="AD202" i="65"/>
  <c r="AE202" i="65" s="1"/>
  <c r="AD203" i="65"/>
  <c r="AE203" i="65" s="1"/>
  <c r="AD204" i="65"/>
  <c r="AE204" i="65" s="1"/>
  <c r="AD205" i="65"/>
  <c r="AE205" i="65"/>
  <c r="AD206" i="65"/>
  <c r="AE206" i="65" s="1"/>
  <c r="AD207" i="65"/>
  <c r="AE207" i="65" s="1"/>
  <c r="AD208" i="65"/>
  <c r="AE208" i="65" s="1"/>
  <c r="AD209" i="65"/>
  <c r="AE209" i="65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/>
  <c r="AD218" i="65"/>
  <c r="AE218" i="65" s="1"/>
  <c r="AD219" i="65"/>
  <c r="AE219" i="65" s="1"/>
  <c r="AD220" i="65"/>
  <c r="AE220" i="65" s="1"/>
  <c r="AD221" i="65"/>
  <c r="AE221" i="65"/>
  <c r="AD222" i="65"/>
  <c r="AE222" i="65"/>
  <c r="AD223" i="65"/>
  <c r="AE223" i="65" s="1"/>
  <c r="AD224" i="65"/>
  <c r="AE224" i="65"/>
  <c r="AD225" i="65"/>
  <c r="AE225" i="65"/>
  <c r="AD226" i="65"/>
  <c r="AE226" i="65"/>
  <c r="AD227" i="65"/>
  <c r="AE227" i="65" s="1"/>
  <c r="AD228" i="65"/>
  <c r="AE228" i="65"/>
  <c r="AD229" i="65"/>
  <c r="AE229" i="65"/>
  <c r="AD230" i="65"/>
  <c r="AE230" i="65"/>
  <c r="AD231" i="65"/>
  <c r="AE231" i="65" s="1"/>
  <c r="AD232" i="65"/>
  <c r="AE232" i="65"/>
  <c r="AD233" i="65"/>
  <c r="AE233" i="65"/>
  <c r="AD234" i="65"/>
  <c r="AE234" i="65"/>
  <c r="AD235" i="65"/>
  <c r="AE235" i="65" s="1"/>
  <c r="AD236" i="65"/>
  <c r="AE236" i="65"/>
  <c r="AD237" i="65"/>
  <c r="AE237" i="65"/>
  <c r="AD238" i="65"/>
  <c r="AE238" i="65"/>
  <c r="AD239" i="65"/>
  <c r="AE239" i="65" s="1"/>
  <c r="AD240" i="65"/>
  <c r="AE240" i="65"/>
  <c r="AD241" i="65"/>
  <c r="AE241" i="65"/>
  <c r="AD242" i="65"/>
  <c r="AE242" i="65"/>
  <c r="AD243" i="65"/>
  <c r="AE243" i="65" s="1"/>
  <c r="AD244" i="65"/>
  <c r="AE244" i="65"/>
  <c r="AD245" i="65"/>
  <c r="AE245" i="65"/>
  <c r="AD246" i="65"/>
  <c r="AE246" i="65"/>
  <c r="AD247" i="65"/>
  <c r="AE247" i="65" s="1"/>
  <c r="AD248" i="65"/>
  <c r="AE248" i="65"/>
  <c r="AD249" i="65"/>
  <c r="AE249" i="65"/>
  <c r="AD250" i="65"/>
  <c r="AE250" i="65"/>
  <c r="AD251" i="65"/>
  <c r="AE251" i="65" s="1"/>
  <c r="AD252" i="65"/>
  <c r="AE252" i="65"/>
  <c r="AD253" i="65"/>
  <c r="AE253" i="65"/>
  <c r="AD254" i="65"/>
  <c r="AE254" i="65"/>
  <c r="AD255" i="65"/>
  <c r="AE255" i="65" s="1"/>
  <c r="AD256" i="65"/>
  <c r="AE256" i="65"/>
  <c r="AD257" i="65"/>
  <c r="AE257" i="65"/>
  <c r="AD258" i="65"/>
  <c r="AE258" i="65"/>
  <c r="AD259" i="65"/>
  <c r="AE259" i="65" s="1"/>
  <c r="AD260" i="65"/>
  <c r="AE260" i="65"/>
  <c r="AD261" i="65"/>
  <c r="AE261" i="65"/>
  <c r="AD262" i="65"/>
  <c r="AE262" i="65"/>
  <c r="AD263" i="65"/>
  <c r="AE263" i="65" s="1"/>
  <c r="AD264" i="65"/>
  <c r="AE264" i="65"/>
  <c r="AD265" i="65"/>
  <c r="AE265" i="65"/>
  <c r="AD266" i="65"/>
  <c r="AE266" i="65"/>
  <c r="AD267" i="65"/>
  <c r="AE267" i="65" s="1"/>
  <c r="AD268" i="65"/>
  <c r="AE268" i="65"/>
  <c r="AD269" i="65"/>
  <c r="AE269" i="65"/>
  <c r="AD270" i="65"/>
  <c r="AE270" i="65"/>
  <c r="AD271" i="65"/>
  <c r="AE271" i="65" s="1"/>
  <c r="AD272" i="65"/>
  <c r="AE272" i="65"/>
  <c r="AD273" i="65"/>
  <c r="AE273" i="65"/>
  <c r="AD274" i="65"/>
  <c r="AE274" i="65"/>
  <c r="AD275" i="65"/>
  <c r="AE275" i="65" s="1"/>
  <c r="AD276" i="65"/>
  <c r="AE276" i="65"/>
  <c r="AD277" i="65"/>
  <c r="AE277" i="65"/>
  <c r="AD278" i="65"/>
  <c r="AE278" i="65"/>
  <c r="AD279" i="65"/>
  <c r="AE279" i="65" s="1"/>
  <c r="AD280" i="65"/>
  <c r="AE280" i="65"/>
  <c r="AD281" i="65"/>
  <c r="AE281" i="65"/>
  <c r="AD282" i="65"/>
  <c r="AE282" i="65"/>
  <c r="AD283" i="65"/>
  <c r="AE283" i="65" s="1"/>
  <c r="AD284" i="65"/>
  <c r="AE284" i="65"/>
  <c r="AD285" i="65"/>
  <c r="AE285" i="65"/>
  <c r="AD286" i="65"/>
  <c r="AE286" i="65"/>
  <c r="AD287" i="65"/>
  <c r="AE287" i="65" s="1"/>
  <c r="AD288" i="65"/>
  <c r="AE288" i="65"/>
  <c r="AD289" i="65"/>
  <c r="AE289" i="65"/>
  <c r="AD290" i="65"/>
  <c r="AE290" i="65"/>
  <c r="AD291" i="65"/>
  <c r="AE291" i="65" s="1"/>
  <c r="AD292" i="65"/>
  <c r="AE292" i="65"/>
  <c r="AD293" i="65"/>
  <c r="AE293" i="65"/>
  <c r="AD294" i="65"/>
  <c r="AE294" i="65"/>
  <c r="AD295" i="65"/>
  <c r="AE295" i="65" s="1"/>
  <c r="AD296" i="65"/>
  <c r="AE296" i="65"/>
  <c r="AD297" i="65"/>
  <c r="AE297" i="65"/>
  <c r="AD298" i="65"/>
  <c r="AE298" i="65"/>
  <c r="AD299" i="65"/>
  <c r="AE299" i="65" s="1"/>
  <c r="AD300" i="65"/>
  <c r="AE300" i="65"/>
  <c r="AD301" i="65"/>
  <c r="AE301" i="65"/>
  <c r="AD302" i="65"/>
  <c r="AE302" i="65"/>
  <c r="AD303" i="65"/>
  <c r="AE303" i="65" s="1"/>
  <c r="AD304" i="65"/>
  <c r="AE304" i="65"/>
  <c r="AD305" i="65"/>
  <c r="AE305" i="65"/>
  <c r="AD306" i="65"/>
  <c r="AE306" i="65"/>
  <c r="AD307" i="65"/>
  <c r="AE307" i="65" s="1"/>
  <c r="AD308" i="65"/>
  <c r="AE308" i="65"/>
  <c r="AD309" i="65"/>
  <c r="AE309" i="65"/>
  <c r="AD310" i="65"/>
  <c r="AE310" i="65"/>
  <c r="AD311" i="65"/>
  <c r="AE311" i="65" s="1"/>
  <c r="AD312" i="65"/>
  <c r="AE312" i="65"/>
  <c r="AD313" i="65"/>
  <c r="AE313" i="65"/>
  <c r="AD314" i="65"/>
  <c r="AE314" i="65"/>
  <c r="AD315" i="65"/>
  <c r="AE315" i="65" s="1"/>
  <c r="AD316" i="65"/>
  <c r="AE316" i="65"/>
  <c r="AD317" i="65"/>
  <c r="AE317" i="65"/>
  <c r="AD318" i="65"/>
  <c r="AE318" i="65"/>
  <c r="AD319" i="65"/>
  <c r="AE319" i="65" s="1"/>
  <c r="AD320" i="65"/>
  <c r="AE320" i="65"/>
  <c r="AD321" i="65"/>
  <c r="AE321" i="65"/>
  <c r="AD322" i="65"/>
  <c r="AE322" i="65"/>
  <c r="AD323" i="65"/>
  <c r="AE323" i="65" s="1"/>
  <c r="AD324" i="65"/>
  <c r="AE324" i="65"/>
  <c r="AD325" i="65"/>
  <c r="AE325" i="65"/>
  <c r="AD326" i="65"/>
  <c r="AE326" i="65"/>
  <c r="AD327" i="65"/>
  <c r="AE327" i="65" s="1"/>
  <c r="AD328" i="65"/>
  <c r="AE328" i="65"/>
  <c r="AD329" i="65"/>
  <c r="AE329" i="65"/>
  <c r="AD330" i="65"/>
  <c r="AE330" i="65"/>
  <c r="AD331" i="65"/>
  <c r="AE331" i="65" s="1"/>
  <c r="AD332" i="65"/>
  <c r="AE332" i="65"/>
  <c r="AD333" i="65"/>
  <c r="AE333" i="65"/>
  <c r="AD334" i="65"/>
  <c r="AE334" i="65"/>
  <c r="AD335" i="65"/>
  <c r="AE335" i="65" s="1"/>
  <c r="AD336" i="65"/>
  <c r="AE336" i="65"/>
  <c r="AD337" i="65"/>
  <c r="AE337" i="65"/>
  <c r="AD338" i="65"/>
  <c r="AE338" i="65"/>
  <c r="AD339" i="65"/>
  <c r="AE339" i="65" s="1"/>
  <c r="AD340" i="65"/>
  <c r="AE340" i="65"/>
  <c r="AD341" i="65"/>
  <c r="AE341" i="65"/>
  <c r="AD342" i="65"/>
  <c r="AE342" i="65"/>
  <c r="AD343" i="65"/>
  <c r="AE343" i="65" s="1"/>
  <c r="AD344" i="65"/>
  <c r="AE344" i="65"/>
  <c r="AD345" i="65"/>
  <c r="AE345" i="65"/>
  <c r="AD346" i="65"/>
  <c r="AE346" i="65"/>
  <c r="AD347" i="65"/>
  <c r="AE347" i="65" s="1"/>
  <c r="AD348" i="65"/>
  <c r="AE348" i="65"/>
  <c r="AD349" i="65"/>
  <c r="AE349" i="65"/>
  <c r="AD350" i="65"/>
  <c r="AE350" i="65"/>
  <c r="AD351" i="65"/>
  <c r="AE351" i="65" s="1"/>
  <c r="AD352" i="65"/>
  <c r="AE352" i="65"/>
  <c r="AD353" i="65"/>
  <c r="AE353" i="65"/>
  <c r="AD354" i="65"/>
  <c r="AE354" i="65"/>
  <c r="AD355" i="65"/>
  <c r="AE355" i="65" s="1"/>
  <c r="AD356" i="65"/>
  <c r="AE356" i="65"/>
  <c r="AD357" i="65"/>
  <c r="AE357" i="65"/>
  <c r="AD358" i="65"/>
  <c r="AE358" i="65"/>
  <c r="AD359" i="65"/>
  <c r="AE359" i="65" s="1"/>
  <c r="AD360" i="65"/>
  <c r="AE360" i="65"/>
  <c r="AD361" i="65"/>
  <c r="AE361" i="65"/>
  <c r="AD362" i="65"/>
  <c r="AE362" i="65"/>
  <c r="AD363" i="65"/>
  <c r="AE363" i="65" s="1"/>
  <c r="AD364" i="65"/>
  <c r="AE364" i="65"/>
  <c r="AD365" i="65"/>
  <c r="AE365" i="65"/>
  <c r="AD366" i="65"/>
  <c r="AE366" i="65"/>
  <c r="AD367" i="65"/>
  <c r="AE367" i="65" s="1"/>
  <c r="AD368" i="65"/>
  <c r="AE368" i="65"/>
  <c r="AD369" i="65"/>
  <c r="AE369" i="65"/>
  <c r="AD370" i="65"/>
  <c r="AE370" i="65"/>
  <c r="AD371" i="65"/>
  <c r="AE371" i="65" s="1"/>
  <c r="AD372" i="65"/>
  <c r="AE372" i="65"/>
  <c r="AD373" i="65"/>
  <c r="AE373" i="65"/>
  <c r="AD374" i="65"/>
  <c r="AE374" i="65"/>
  <c r="AD375" i="65"/>
  <c r="AE375" i="65" s="1"/>
  <c r="AD376" i="65"/>
  <c r="AE376" i="65"/>
  <c r="AD377" i="65"/>
  <c r="AE377" i="65"/>
  <c r="AD378" i="65"/>
  <c r="AE378" i="65"/>
  <c r="AD379" i="65"/>
  <c r="AE379" i="65" s="1"/>
  <c r="AD380" i="65"/>
  <c r="AE380" i="65"/>
  <c r="AD381" i="65"/>
  <c r="AE381" i="65"/>
  <c r="AD382" i="65"/>
  <c r="AE382" i="65"/>
  <c r="AD383" i="65"/>
  <c r="AE383" i="65" s="1"/>
  <c r="AD384" i="65"/>
  <c r="AE384" i="65"/>
  <c r="AD385" i="65"/>
  <c r="AE385" i="65"/>
  <c r="AD386" i="65"/>
  <c r="AE386" i="65"/>
  <c r="AD387" i="65"/>
  <c r="AE387" i="65" s="1"/>
  <c r="AD388" i="65"/>
  <c r="AE388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 s="1"/>
  <c r="T184" i="65"/>
  <c r="U184" i="65"/>
  <c r="T185" i="65"/>
  <c r="U185" i="65"/>
  <c r="T186" i="65"/>
  <c r="U186" i="65"/>
  <c r="T187" i="65"/>
  <c r="U187" i="65" s="1"/>
  <c r="T188" i="65"/>
  <c r="U188" i="65"/>
  <c r="T189" i="65"/>
  <c r="U189" i="65"/>
  <c r="T190" i="65"/>
  <c r="U190" i="65"/>
  <c r="T191" i="65"/>
  <c r="U191" i="65" s="1"/>
  <c r="T192" i="65"/>
  <c r="U192" i="65"/>
  <c r="T193" i="65"/>
  <c r="U193" i="65"/>
  <c r="T194" i="65"/>
  <c r="U194" i="65"/>
  <c r="T195" i="65"/>
  <c r="U195" i="65" s="1"/>
  <c r="T196" i="65"/>
  <c r="U196" i="65"/>
  <c r="T197" i="65"/>
  <c r="U197" i="65"/>
  <c r="T198" i="65"/>
  <c r="U198" i="65"/>
  <c r="T199" i="65"/>
  <c r="U199" i="65" s="1"/>
  <c r="T200" i="65"/>
  <c r="U200" i="65"/>
  <c r="T201" i="65"/>
  <c r="U201" i="65"/>
  <c r="T202" i="65"/>
  <c r="U202" i="65"/>
  <c r="T203" i="65"/>
  <c r="U203" i="65" s="1"/>
  <c r="T204" i="65"/>
  <c r="U204" i="65"/>
  <c r="T205" i="65"/>
  <c r="U205" i="65"/>
  <c r="T206" i="65"/>
  <c r="U206" i="65"/>
  <c r="T207" i="65"/>
  <c r="U207" i="65" s="1"/>
  <c r="T208" i="65"/>
  <c r="U208" i="65"/>
  <c r="T209" i="65"/>
  <c r="U209" i="65" s="1"/>
  <c r="T210" i="65"/>
  <c r="U210" i="65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 s="1"/>
  <c r="L184" i="65"/>
  <c r="M184" i="65"/>
  <c r="L185" i="65"/>
  <c r="M185" i="65"/>
  <c r="L186" i="65"/>
  <c r="M186" i="65"/>
  <c r="L187" i="65"/>
  <c r="M187" i="65" s="1"/>
  <c r="L188" i="65"/>
  <c r="M188" i="65"/>
  <c r="L189" i="65"/>
  <c r="M189" i="65"/>
  <c r="L190" i="65"/>
  <c r="M190" i="65"/>
  <c r="L191" i="65"/>
  <c r="M191" i="65" s="1"/>
  <c r="L192" i="65"/>
  <c r="M192" i="65"/>
  <c r="L193" i="65"/>
  <c r="M193" i="65"/>
  <c r="L194" i="65"/>
  <c r="M194" i="65"/>
  <c r="L195" i="65"/>
  <c r="M195" i="65" s="1"/>
  <c r="L196" i="65"/>
  <c r="M196" i="65"/>
  <c r="L197" i="65"/>
  <c r="M197" i="65"/>
  <c r="L198" i="65"/>
  <c r="M198" i="65"/>
  <c r="L199" i="65"/>
  <c r="M199" i="65" s="1"/>
  <c r="L200" i="65"/>
  <c r="M200" i="65"/>
  <c r="L201" i="65"/>
  <c r="M201" i="65"/>
  <c r="L202" i="65"/>
  <c r="M202" i="65"/>
  <c r="L203" i="65"/>
  <c r="M203" i="65" s="1"/>
  <c r="L204" i="65"/>
  <c r="M204" i="65"/>
  <c r="L205" i="65"/>
  <c r="M205" i="65"/>
  <c r="L206" i="65"/>
  <c r="M206" i="65"/>
  <c r="L207" i="65"/>
  <c r="M207" i="65" s="1"/>
  <c r="L208" i="65"/>
  <c r="M208" i="65"/>
  <c r="L209" i="65"/>
  <c r="M209" i="65"/>
  <c r="L210" i="65"/>
  <c r="M210" i="65"/>
  <c r="L211" i="65"/>
  <c r="M211" i="65" s="1"/>
  <c r="L212" i="65"/>
  <c r="M212" i="65" s="1"/>
  <c r="L213" i="65"/>
  <c r="M213" i="65" s="1"/>
  <c r="L214" i="65"/>
  <c r="M214" i="65"/>
  <c r="L215" i="65"/>
  <c r="M215" i="65" s="1"/>
  <c r="L216" i="65"/>
  <c r="M216" i="65" s="1"/>
  <c r="L217" i="65"/>
  <c r="M217" i="65" s="1"/>
  <c r="L218" i="65"/>
  <c r="M218" i="65"/>
  <c r="L219" i="65"/>
  <c r="M219" i="65" s="1"/>
  <c r="L220" i="65"/>
  <c r="M220" i="65" s="1"/>
  <c r="L221" i="65"/>
  <c r="M221" i="65" s="1"/>
  <c r="L222" i="65"/>
  <c r="M222" i="65"/>
  <c r="L223" i="65"/>
  <c r="M223" i="65" s="1"/>
  <c r="L224" i="65"/>
  <c r="M224" i="65" s="1"/>
  <c r="L225" i="65"/>
  <c r="M225" i="65" s="1"/>
  <c r="L226" i="65"/>
  <c r="M226" i="65"/>
  <c r="L227" i="65"/>
  <c r="M227" i="65" s="1"/>
  <c r="L228" i="65"/>
  <c r="M228" i="65" s="1"/>
  <c r="L229" i="65"/>
  <c r="M229" i="65"/>
  <c r="L230" i="65"/>
  <c r="M230" i="65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DX4" i="66" l="1"/>
  <c r="DX2" i="66" s="1"/>
  <c r="DP4" i="66"/>
  <c r="DP2" i="66" s="1"/>
  <c r="DM9" i="66" s="1"/>
  <c r="E23" i="66" s="1"/>
  <c r="O4" i="66"/>
  <c r="AW7" i="66"/>
  <c r="AW5" i="66"/>
  <c r="BE7" i="66"/>
  <c r="BE5" i="66"/>
  <c r="BE3" i="66"/>
  <c r="BD4" i="66" s="1"/>
  <c r="AY4" i="66"/>
  <c r="AM7" i="66"/>
  <c r="AM5" i="66"/>
  <c r="AM3" i="66"/>
  <c r="Y4" i="66"/>
  <c r="U7" i="66"/>
  <c r="U3" i="66"/>
  <c r="T4" i="66" s="1"/>
  <c r="U5" i="66"/>
  <c r="M7" i="66"/>
  <c r="M3" i="66"/>
  <c r="L4" i="66" s="1"/>
  <c r="M5" i="66"/>
  <c r="A20" i="66"/>
  <c r="CN4" i="66"/>
  <c r="A16" i="66"/>
  <c r="A12" i="66"/>
  <c r="A22" i="66"/>
  <c r="DF4" i="66"/>
  <c r="A18" i="66"/>
  <c r="BV4" i="66"/>
  <c r="A14" i="66"/>
  <c r="AL4" i="66"/>
  <c r="AV4" i="66"/>
  <c r="CX4" i="66"/>
  <c r="AD4" i="66"/>
  <c r="CF4" i="66"/>
  <c r="CF2" i="66" s="1"/>
  <c r="B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BN6" i="65"/>
  <c r="BM6" i="65" s="1"/>
  <c r="BD6" i="65"/>
  <c r="AV6" i="65"/>
  <c r="AU6" i="65" s="1"/>
  <c r="AL6" i="65"/>
  <c r="AD6" i="65"/>
  <c r="AC6" i="65" s="1"/>
  <c r="T6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BK4" i="65"/>
  <c r="BM4" i="65" s="1"/>
  <c r="AS4" i="65"/>
  <c r="AU4" i="65" s="1"/>
  <c r="AI4" i="65"/>
  <c r="AK4" i="65" s="1"/>
  <c r="Q4" i="65"/>
  <c r="S4" i="65" s="1"/>
  <c r="FD3" i="65"/>
  <c r="DY3" i="65"/>
  <c r="DU3" i="65"/>
  <c r="DW3" i="65" s="1"/>
  <c r="DM3" i="65"/>
  <c r="DO3" i="65" s="1"/>
  <c r="DG3" i="65"/>
  <c r="DC3" i="65"/>
  <c r="CO3" i="65"/>
  <c r="BK3" i="65"/>
  <c r="AS3" i="65"/>
  <c r="AM3" i="65"/>
  <c r="AI3" i="65"/>
  <c r="I3" i="65"/>
  <c r="CC4" i="65" l="1"/>
  <c r="CE4" i="65" s="1"/>
  <c r="EM3" i="65"/>
  <c r="EO3" i="65" s="1"/>
  <c r="CC3" i="65"/>
  <c r="EV3" i="65"/>
  <c r="EX3" i="65" s="1"/>
  <c r="BV6" i="65"/>
  <c r="BU6" i="65" s="1"/>
  <c r="BV9" i="65" s="1"/>
  <c r="EQ5" i="65"/>
  <c r="CF6" i="65"/>
  <c r="CE6" i="65" s="1"/>
  <c r="CE7" i="65"/>
  <c r="CA2" i="65" s="1"/>
  <c r="C17" i="66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AA3" i="65"/>
  <c r="AA4" i="65"/>
  <c r="AC4" i="65" s="1"/>
  <c r="BI2" i="65"/>
  <c r="M11" i="65"/>
  <c r="M9" i="65" s="1"/>
  <c r="M7" i="65" s="1"/>
  <c r="L6" i="65"/>
  <c r="K6" i="65" s="1"/>
  <c r="G2" i="65" s="1"/>
  <c r="I4" i="65"/>
  <c r="K4" i="65" s="1"/>
  <c r="CE3" i="65"/>
  <c r="CA4" i="65" s="1"/>
  <c r="DE3" i="65"/>
  <c r="DA4" i="65"/>
  <c r="BM3" i="65"/>
  <c r="BK6" i="65" s="1"/>
  <c r="A17" i="65" s="1"/>
  <c r="K3" i="65"/>
  <c r="AU3" i="65"/>
  <c r="AQ4" i="65" s="1"/>
  <c r="Y2" i="65"/>
  <c r="AQ2" i="65"/>
  <c r="AK3" i="65"/>
  <c r="AG4" i="65" s="1"/>
  <c r="AC3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J4" i="63"/>
  <c r="CF9" i="65" l="1"/>
  <c r="B19" i="65" s="1"/>
  <c r="BI4" i="65"/>
  <c r="L9" i="65"/>
  <c r="B11" i="65" s="1"/>
  <c r="CX9" i="65"/>
  <c r="B21" i="65" s="1"/>
  <c r="AS6" i="65"/>
  <c r="A15" i="65" s="1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AI6" i="65"/>
  <c r="A14" i="65" s="1"/>
  <c r="Y4" i="65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I4" i="63"/>
  <c r="G4" i="63"/>
  <c r="H4" i="63"/>
  <c r="E4" i="63"/>
  <c r="AV4" i="65" l="1"/>
  <c r="AV2" i="65" s="1"/>
  <c r="L4" i="65"/>
  <c r="C11" i="65" s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20" i="65"/>
  <c r="CN2" i="65"/>
  <c r="D20" i="65" s="1"/>
  <c r="C17" i="65"/>
  <c r="C19" i="65"/>
  <c r="BN2" i="65"/>
  <c r="C15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4" i="63"/>
  <c r="B4" i="63"/>
  <c r="L4" i="63"/>
  <c r="C4" i="63"/>
  <c r="L2" i="65" l="1"/>
  <c r="BD4" i="65"/>
  <c r="T2" i="65"/>
  <c r="D12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DM6" i="64" l="1"/>
  <c r="C16" i="65"/>
  <c r="BD2" i="65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V4" i="64" l="1"/>
  <c r="D16" i="65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2" i="64"/>
  <c r="D15" i="64" l="1"/>
  <c r="C20" i="64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E2" i="63"/>
  <c r="J2" i="63"/>
  <c r="G2" i="63"/>
  <c r="I3" i="63"/>
  <c r="I2" i="63"/>
  <c r="H3" i="63"/>
  <c r="L3" i="63"/>
  <c r="B2" i="63"/>
  <c r="L2" i="63"/>
  <c r="D2" i="63"/>
  <c r="D3" i="63"/>
  <c r="G3" i="63"/>
  <c r="H2" i="63"/>
  <c r="C3" i="63"/>
  <c r="C2" i="63"/>
  <c r="B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<sst xmlns="http://schemas.openxmlformats.org/spreadsheetml/2006/main" count="1240" uniqueCount="46">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</sst>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abSelected="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1697.7933333332689</v>
      </c>
      <c r="H2" s="2"/>
      <c r="I2" s="6" t="s">
        <v>12</v>
      </c>
      <c r="J2" s="2"/>
      <c r="K2" s="7" t="s">
        <v>13</v>
      </c>
      <c r="L2" s="3">
        <f>L4*I6*L9/100*100</f>
        <v>20.488541680000001</v>
      </c>
      <c r="M2" s="8" t="s">
        <v>14</v>
      </c>
      <c r="N2" s="9"/>
      <c r="O2" s="2">
        <f>ABS(S7-S6)/ABS(T7-T6)*1000</f>
        <v>832.97901639320082</v>
      </c>
      <c r="P2" s="2"/>
      <c r="Q2" s="6" t="s">
        <v>15</v>
      </c>
      <c r="R2" s="2"/>
      <c r="S2" s="7" t="s">
        <v>13</v>
      </c>
      <c r="T2" s="3">
        <f>T4*Q6*T9/100*100</f>
        <v>19.998688666</v>
      </c>
      <c r="U2" s="8" t="s">
        <v>14</v>
      </c>
      <c r="X2" s="9"/>
      <c r="Y2" s="2">
        <f>ABS(AC7-AC6)/ABS(AD7-AD6)*1000</f>
        <v>1660.4590163939276</v>
      </c>
      <c r="Z2" s="2"/>
      <c r="AA2" s="6" t="s">
        <v>12</v>
      </c>
      <c r="AB2" s="2"/>
      <c r="AC2" s="7" t="s">
        <v>13</v>
      </c>
      <c r="AD2" s="3">
        <f>AD4*AA6*AD9/100*100</f>
        <v>20.566365983000001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2202.577173912648</v>
      </c>
      <c r="AR2" s="2"/>
      <c r="AS2" s="6" t="s">
        <v>12</v>
      </c>
      <c r="AT2" s="2"/>
      <c r="AU2" s="7" t="s">
        <v>13</v>
      </c>
      <c r="AV2" s="3">
        <f>AV4*AS6*AV9/100*100</f>
        <v>20.542019391999997</v>
      </c>
      <c r="AW2" s="8" t="s">
        <v>14</v>
      </c>
      <c r="AX2" s="9"/>
      <c r="AY2" s="2">
        <f>ABS(BC7-BC6)/ABS(BD7-BD6)*1000</f>
        <v>1638.104193546573</v>
      </c>
      <c r="AZ2" s="2"/>
      <c r="BA2" s="6" t="s">
        <v>15</v>
      </c>
      <c r="BB2" s="2"/>
      <c r="BC2" s="7" t="s">
        <v>13</v>
      </c>
      <c r="BD2" s="3">
        <f>BD4*BA6*BD9/100*100</f>
        <v>19.853591042999998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1.77399</v>
      </c>
      <c r="J3" s="2"/>
      <c r="K3" s="10">
        <f>INDEX(L11:L1056,MATCH(I3,K11:K1056,0))</f>
        <v>-1.4770500000000001E-2</v>
      </c>
      <c r="L3" s="31" t="s">
        <v>16</v>
      </c>
      <c r="M3" s="11">
        <f>M9</f>
        <v>20.488541680000001</v>
      </c>
      <c r="N3" s="9"/>
      <c r="O3" s="2" t="s">
        <v>44</v>
      </c>
      <c r="P3" s="2"/>
      <c r="Q3" s="2">
        <f>INDEX(S11:S1056,MATCH(0,T11:T1056,-1))</f>
        <v>1.7629999999999999</v>
      </c>
      <c r="R3" s="2"/>
      <c r="S3" s="10">
        <f>INDEX(T11:T1056,MATCH(Q3,S11:S1056,0))</f>
        <v>0.24346900000000002</v>
      </c>
      <c r="T3" s="31" t="s">
        <v>16</v>
      </c>
      <c r="U3" s="11">
        <f>U9</f>
        <v>19.998688666</v>
      </c>
      <c r="X3" s="9"/>
      <c r="Y3" s="2" t="s">
        <v>44</v>
      </c>
      <c r="Z3" s="2"/>
      <c r="AA3" s="2">
        <f>INDEX(AC11:AC856,MATCH(0,AD11:AD856,1))</f>
        <v>1.7746</v>
      </c>
      <c r="AB3" s="2"/>
      <c r="AC3" s="10">
        <f>INDEX(AD11:AD1056,MATCH(AA3,AC11:AC1056,0))</f>
        <v>-0.36627199999999999</v>
      </c>
      <c r="AD3" s="31" t="s">
        <v>16</v>
      </c>
      <c r="AE3" s="11">
        <f>AE9</f>
        <v>20.566365983000001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0.66009499999999999</v>
      </c>
      <c r="AL3" s="31" t="s">
        <v>16</v>
      </c>
      <c r="AM3" s="11">
        <f>AM9</f>
        <v>19.831823024999998</v>
      </c>
      <c r="AP3" s="9"/>
      <c r="AQ3" s="2" t="s">
        <v>44</v>
      </c>
      <c r="AR3" s="2"/>
      <c r="AS3" s="2">
        <f>INDEX(AU11:AU856,MATCH(0,AV11:AV856,1))</f>
        <v>1.7736799999999999</v>
      </c>
      <c r="AT3" s="2"/>
      <c r="AU3" s="10">
        <f>INDEX(AV11:AV1056,MATCH(AS3,AU11:AU1056,0))</f>
        <v>-0.39361600000000002</v>
      </c>
      <c r="AV3" s="31" t="s">
        <v>16</v>
      </c>
      <c r="AW3" s="11">
        <f>AW9</f>
        <v>20.542019391999997</v>
      </c>
      <c r="AX3" s="9"/>
      <c r="AY3" s="2" t="s">
        <v>44</v>
      </c>
      <c r="AZ3" s="2"/>
      <c r="BA3" s="2">
        <f>INDEX(BC11:BC1056,MATCH(0,BD11:BD1056,-1))</f>
        <v>1.7578100000000001</v>
      </c>
      <c r="BB3" s="2"/>
      <c r="BC3" s="10">
        <f>INDEX(BD11:BD1056,MATCH(BA3,BC11:BC1056,0))</f>
        <v>0.60577400000000003</v>
      </c>
      <c r="BD3" s="31" t="s">
        <v>16</v>
      </c>
      <c r="BE3" s="11">
        <f>BE9</f>
        <v>19.853591042999998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4.8625403375856093</v>
      </c>
      <c r="H4" s="2"/>
      <c r="I4" s="2">
        <f>INDEX(K11:K1000,1+MATCH(0,L11:L856,1))</f>
        <v>1.7694099999999999</v>
      </c>
      <c r="J4" s="2"/>
      <c r="K4" s="10">
        <f>INDEX(L11:L1056,MATCH(I4,K11:K1056,0))</f>
        <v>0.92712399999999995</v>
      </c>
      <c r="L4" s="30">
        <f>M3/(I6*L9)</f>
        <v>0.73397057653355302</v>
      </c>
      <c r="M4" s="8" t="s">
        <v>17</v>
      </c>
      <c r="N4" s="9"/>
      <c r="O4" s="2">
        <f>ABS(Q3-Q4)/ABS(S3-S4)*1000</f>
        <v>6.0107905501973571</v>
      </c>
      <c r="P4" s="2"/>
      <c r="Q4" s="2">
        <f>INDEX(S11:S856,1+MATCH(0,T11:T856,-1))</f>
        <v>1.7675799999999999</v>
      </c>
      <c r="R4" s="2"/>
      <c r="S4" s="10">
        <f>INDEX(T11:T856,MATCH(Q4,S11:S856,0))</f>
        <v>-0.51849400000000001</v>
      </c>
      <c r="T4" s="30">
        <f>U3/(Q6*T9)</f>
        <v>0.71694930285666614</v>
      </c>
      <c r="U4" s="8" t="s">
        <v>17</v>
      </c>
      <c r="X4" s="9"/>
      <c r="Y4" s="2">
        <f>ABS(AA3-AA4)/ABS(AC3-AC4)*1000</f>
        <v>5.7723389517433104</v>
      </c>
      <c r="Z4" s="2"/>
      <c r="AA4" s="2">
        <f>INDEX(AC11:AC1000,1+MATCH(0,AD11:AD856,1))</f>
        <v>1.7690999999999999</v>
      </c>
      <c r="AB4" s="2"/>
      <c r="AC4" s="10">
        <f>INDEX(AD11:AD1056,MATCH(AA4,AC11:AC1056,0))</f>
        <v>0.58654799999999996</v>
      </c>
      <c r="AD4" s="30">
        <f>AE3/(AA6*AD9)</f>
        <v>0.73450842138002836</v>
      </c>
      <c r="AE4" s="8" t="s">
        <v>17</v>
      </c>
      <c r="AF4" s="9"/>
      <c r="AG4" s="2">
        <f>ABS(AI3-AI4)/ABS(AK3-AK4)*1000</f>
        <v>7.7246605152149668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-5.1910399999999995E-2</v>
      </c>
      <c r="AL4" s="30" t="e">
        <f>AM3/(AI6*AL9)</f>
        <v>#DIV/0!</v>
      </c>
      <c r="AM4" s="8" t="s">
        <v>17</v>
      </c>
      <c r="AP4" s="9"/>
      <c r="AQ4" s="2">
        <f>ABS(AS3-AS4)/ABS(AU3-AU4)*1000</f>
        <v>4.4719815172061281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0.56121799999999999</v>
      </c>
      <c r="AV4" s="30">
        <f>AW3/(AS6*AV9)</f>
        <v>0.73512834841113495</v>
      </c>
      <c r="AW4" s="8" t="s">
        <v>17</v>
      </c>
      <c r="AX4" s="9"/>
      <c r="AY4" s="2">
        <f>ABS(BA3-BA4)/ABS(BC3-BC4)*1000</f>
        <v>6.576862339808967</v>
      </c>
      <c r="AZ4" s="2"/>
      <c r="BA4" s="2">
        <f>INDEX(BC11:BC856,1+MATCH(0,BD11:BD856,-1))</f>
        <v>1.7623899999999999</v>
      </c>
      <c r="BB4" s="2"/>
      <c r="BC4" s="10">
        <f>INDEX(BD11:BD856,MATCH(BA4,BC11:BC856,0))</f>
        <v>-9.0606699999999998E-2</v>
      </c>
      <c r="BD4" s="30">
        <f>BE3/(BA6*BD9)</f>
        <v>0.71408532071400677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13.8184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13.8794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14.0137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13.958699999999999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13.668799999999999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13.778699999999999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1.7739181778479436</v>
      </c>
      <c r="J6" s="30"/>
      <c r="K6" s="13">
        <f>INDEX(K11:K1056,MATCH(L6,L11:L1056,0))</f>
        <v>2.14233E-3</v>
      </c>
      <c r="L6" s="10">
        <f>INDEX(L11:L1056,MATCH(0,K11:K1056,-1))</f>
        <v>15.7349</v>
      </c>
      <c r="M6" s="8" t="s">
        <v>22</v>
      </c>
      <c r="N6" s="9"/>
      <c r="O6" s="2"/>
      <c r="P6" s="2"/>
      <c r="Q6" s="34">
        <f>(Q3-Q4)/(S3-S4)*(-S4)+Q4</f>
        <v>1.764463441164466</v>
      </c>
      <c r="R6" s="34"/>
      <c r="S6" s="13">
        <f>INDEX(S11:S1056,MATCH(T6,T11:T1056,0))</f>
        <v>-4.4525099999999998E-3</v>
      </c>
      <c r="T6" s="10">
        <f>INDEX(T11:T1056,MATCH(0,S11:S1056,1))</f>
        <v>15.8142</v>
      </c>
      <c r="U6" s="8" t="s">
        <v>22</v>
      </c>
      <c r="X6" s="9"/>
      <c r="Y6" s="2"/>
      <c r="Z6" s="2"/>
      <c r="AA6" s="30">
        <f>(AA3-AA4)/(AC3-AC4)*(-AC4)+AA4</f>
        <v>1.772485753867467</v>
      </c>
      <c r="AB6" s="30"/>
      <c r="AC6" s="13">
        <f>INDEX(AC11:AC1056,MATCH(AD6,AD11:AD1056,0))</f>
        <v>3.2418799999999998E-2</v>
      </c>
      <c r="AD6" s="10">
        <f>INDEX(AD11:AD1056,MATCH(0,AC11:AC1056,-1))</f>
        <v>15.7776</v>
      </c>
      <c r="AE6" s="8" t="s">
        <v>22</v>
      </c>
      <c r="AF6" s="9"/>
      <c r="AG6" s="2"/>
      <c r="AH6" s="2"/>
      <c r="AI6" s="34">
        <f>(AI3-AI4)/(AK3-AK4)*(-AK4)+AI4</f>
        <v>1.7622990097827909</v>
      </c>
      <c r="AJ6" s="34"/>
      <c r="AK6" s="13">
        <f>INDEX(AK11:AK1056,MATCH(AL6,AL11:AL1056,0))</f>
        <v>-4.4433600000000004E-3</v>
      </c>
      <c r="AL6" s="10">
        <f>INDEX(AL11:AL1056,MATCH(0,AK11:AK1056,1))</f>
        <v>15.805099999999999</v>
      </c>
      <c r="AM6" s="8" t="s">
        <v>22</v>
      </c>
      <c r="AP6" s="9"/>
      <c r="AQ6" s="2"/>
      <c r="AR6" s="2"/>
      <c r="AS6" s="30">
        <f>(AS3-AS4)/(AU3-AU4)*(-AU4)+AS4</f>
        <v>1.7719197565231233</v>
      </c>
      <c r="AT6" s="30"/>
      <c r="AU6" s="13">
        <f>INDEX(AU11:AU1056,MATCH(AV6,AV11:AV1056,0))</f>
        <v>1.7297400000000001E-2</v>
      </c>
      <c r="AV6" s="10">
        <f>INDEX(AV11:AV1056,MATCH(0,AU11:AU1056,-1))</f>
        <v>15.7623</v>
      </c>
      <c r="AW6" s="8" t="s">
        <v>22</v>
      </c>
      <c r="AX6" s="9"/>
      <c r="AY6" s="2"/>
      <c r="AZ6" s="2"/>
      <c r="BA6" s="34">
        <f>(BA3-BA4)/(BC3-BC4)*(-BC4)+BA4</f>
        <v>1.7617940922070354</v>
      </c>
      <c r="BB6" s="34"/>
      <c r="BC6" s="13">
        <f>INDEX(BC11:BC1056,MATCH(BD6,BD11:BD1056,0))</f>
        <v>-4.4647200000000001E-3</v>
      </c>
      <c r="BD6" s="10">
        <f>INDEX(BD11:BD1056,MATCH(0,BC11:BC1056,1))</f>
        <v>15.783700000000001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-2.9510500000000002E-3</v>
      </c>
      <c r="L7" s="10">
        <f>INDEX(L11:L856,1+MATCH(0,K11:K856,-1))</f>
        <v>15.7379</v>
      </c>
      <c r="M7" s="12">
        <f>INDEX(K11:K1056,MATCH(M9,M11:M1056,0))</f>
        <v>1.48193</v>
      </c>
      <c r="N7" s="9"/>
      <c r="O7" s="2"/>
      <c r="P7" s="2"/>
      <c r="Q7" s="2"/>
      <c r="R7" s="2"/>
      <c r="S7" s="13">
        <f>INDEX(S11:S1056,MATCH(T7,T11:T1056,0))</f>
        <v>6.2866199999999999E-4</v>
      </c>
      <c r="T7" s="10">
        <f>INDEX(T11:T1056,1+MATCH(0,S11:S1056,1))</f>
        <v>15.808099999999998</v>
      </c>
      <c r="U7" s="12">
        <f>INDEX(S11:S1056,MATCH(U9,U11:U1056,0))</f>
        <v>1.4398200000000001</v>
      </c>
      <c r="X7" s="9"/>
      <c r="Y7" s="2"/>
      <c r="Z7" s="2"/>
      <c r="AA7" s="2"/>
      <c r="AB7" s="2"/>
      <c r="AC7" s="13">
        <f>INDEX(AC11:AC856,MATCH(AD7,AD11:AD856,1))</f>
        <v>4.2547599999999998E-2</v>
      </c>
      <c r="AD7" s="10">
        <f>INDEX(AD11:AD856,1+MATCH(0,AC11:AC856,-1))</f>
        <v>15.771500000000001</v>
      </c>
      <c r="AE7" s="12">
        <f>INDEX(AC11:AC1056,MATCH(AE9,AE11:AE1056,0))</f>
        <v>1.4666699999999999</v>
      </c>
      <c r="AF7" s="9"/>
      <c r="AG7" s="2"/>
      <c r="AH7" s="2"/>
      <c r="AI7" s="2"/>
      <c r="AJ7" s="2"/>
      <c r="AK7" s="13">
        <f>INDEX(AK11:AK1056,MATCH(AL7,AL11:AL1056,0))</f>
        <v>-4.4433600000000004E-3</v>
      </c>
      <c r="AL7" s="10">
        <f>INDEX(AL11:AL1056,1+MATCH(0,AK11:AK1056,1))</f>
        <v>15.805099999999999</v>
      </c>
      <c r="AM7" s="12">
        <f>INDEX(AK11:AK1056,MATCH(AM9,AM11:AM1056,0))</f>
        <v>1.4202900000000001</v>
      </c>
      <c r="AP7" s="9"/>
      <c r="AQ7" s="2"/>
      <c r="AR7" s="2"/>
      <c r="AS7" s="2"/>
      <c r="AT7" s="2"/>
      <c r="AU7" s="13">
        <f>INDEX(AU11:AU856,MATCH(AV7,AV11:AV856,1))</f>
        <v>-2.9663100000000002E-3</v>
      </c>
      <c r="AV7" s="10">
        <f>INDEX(AV11:AV856,1+MATCH(0,AU11:AU856,-1))</f>
        <v>15.771500000000001</v>
      </c>
      <c r="AW7" s="12">
        <f>INDEX(AU11:AU1056,MATCH(AW9,AW11:AW1056,0))</f>
        <v>1.5020800000000001</v>
      </c>
      <c r="AX7" s="9"/>
      <c r="AY7" s="2"/>
      <c r="AZ7" s="2"/>
      <c r="BA7" s="2"/>
      <c r="BB7" s="2"/>
      <c r="BC7" s="13">
        <f>INDEX(BC11:BC1056,MATCH(BD7,BD11:BD1056,0))</f>
        <v>6.13403E-4</v>
      </c>
      <c r="BD7" s="10">
        <f>INDEX(BD11:BD1056,1+MATCH(0,BC11:BC1056,1))</f>
        <v>15.780599999999998</v>
      </c>
      <c r="BE7" s="12">
        <f>INDEX(BC11:BC1056,MATCH(BE9,BE11:BE1056,0))</f>
        <v>1.4398200000000001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2.3908632524987072</v>
      </c>
      <c r="J9" s="2"/>
      <c r="K9" s="2"/>
      <c r="L9" s="3">
        <f>(L6-L7)/(K6-K7)*(-K7)+L7</f>
        <v>15.736161832025099</v>
      </c>
      <c r="M9" s="16">
        <f>MAX(M11:M1056)</f>
        <v>20.488541680000001</v>
      </c>
      <c r="N9" s="9"/>
      <c r="O9" s="2"/>
      <c r="P9" s="2"/>
      <c r="Q9" s="2"/>
      <c r="R9" s="2"/>
      <c r="S9" s="2"/>
      <c r="T9" s="3">
        <f>(T6-T7)/(S6-S7)*(-S7)+T7</f>
        <v>15.808854715290092</v>
      </c>
      <c r="U9" s="16">
        <f>MAX(U11:U1056)</f>
        <v>19.998688666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15.797123998894236</v>
      </c>
      <c r="AE9" s="16">
        <f>MAX(AE11:AE1056)</f>
        <v>20.566365983000001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19.831823024999998</v>
      </c>
      <c r="AP9" s="9"/>
      <c r="AQ9" s="2"/>
      <c r="AR9" s="2"/>
      <c r="AS9" s="15">
        <f>(MAX(AV2,BD2)-MIN(AV2,BD2))/MAX(AV2,BD2)%</f>
        <v>3.3513177836260062</v>
      </c>
      <c r="AT9" s="2"/>
      <c r="AU9" s="2"/>
      <c r="AV9" s="3">
        <f>(AV6-AV7)/(AU6-AU7)*(-AU7)+AV7</f>
        <v>15.77015325490742</v>
      </c>
      <c r="AW9" s="16">
        <f>MAX(AW11:AW1056)</f>
        <v>20.542019391999997</v>
      </c>
      <c r="AX9" s="9"/>
      <c r="AY9" s="2"/>
      <c r="AZ9" s="2"/>
      <c r="BA9" s="2"/>
      <c r="BB9" s="2"/>
      <c r="BC9" s="2"/>
      <c r="BD9" s="3">
        <f>(BD6-BD7)/(BC6-BC7)*(-BC7)+BD7</f>
        <v>15.780974459086554</v>
      </c>
      <c r="BE9" s="16">
        <f>MAX(BE11:BE1056)</f>
        <v>19.853591042999998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1.7739181778479436</v>
      </c>
      <c r="B11" s="19">
        <f>IFERROR(L9,0)</f>
        <v>15.736161832025099</v>
      </c>
      <c r="C11" s="20">
        <f>IFERROR(L4,0)</f>
        <v>0.73397057653355302</v>
      </c>
      <c r="D11" s="21">
        <f>IFERROR(L2,0)</f>
        <v>20.488541680000001</v>
      </c>
      <c r="E11" s="21">
        <f>IFERROR(I9,0)</f>
        <v>2.3908632524987072</v>
      </c>
      <c r="F11" s="9"/>
      <c r="G11" s="22">
        <v>1.7948900000000001</v>
      </c>
      <c r="H11" s="22">
        <v>8.9964700000000004</v>
      </c>
      <c r="I11" s="22">
        <v>4.8452800000000004E-3</v>
      </c>
      <c r="J11" s="22">
        <v>1</v>
      </c>
      <c r="K11" s="22">
        <v>1.79443</v>
      </c>
      <c r="L11">
        <f>-I11/$F$2*1000</f>
        <v>-4.8452800000000007</v>
      </c>
      <c r="M11">
        <f>L11*G11</f>
        <v>-8.6967446192000022</v>
      </c>
      <c r="N11" s="9"/>
      <c r="O11" s="22">
        <v>-9.49097E-2</v>
      </c>
      <c r="P11" s="22">
        <v>58.417900000000003</v>
      </c>
      <c r="Q11" s="22">
        <v>-1.5859999999999999E-2</v>
      </c>
      <c r="R11" s="22">
        <v>1</v>
      </c>
      <c r="S11" s="22">
        <v>-9.5367400000000005E-2</v>
      </c>
      <c r="T11">
        <f>-Q11/$F$2*1000</f>
        <v>15.86</v>
      </c>
      <c r="U11">
        <f>T11*O11</f>
        <v>-1.5052678419999999</v>
      </c>
      <c r="V11" s="23"/>
      <c r="W11" s="24"/>
      <c r="X11" s="9"/>
      <c r="Y11" s="22">
        <v>1.7948900000000001</v>
      </c>
      <c r="Z11" s="22">
        <v>107.995</v>
      </c>
      <c r="AA11" s="22">
        <v>5.3619399999999999E-3</v>
      </c>
      <c r="AB11" s="22">
        <v>1</v>
      </c>
      <c r="AC11" s="22">
        <v>1.79443</v>
      </c>
      <c r="AD11">
        <f>-AA11/$F$2*1000</f>
        <v>-5.3619399999999997</v>
      </c>
      <c r="AE11">
        <f>AD11*Y11</f>
        <v>-9.6240924866000004</v>
      </c>
      <c r="AF11" s="9"/>
      <c r="AG11" s="22">
        <v>-9.49097E-2</v>
      </c>
      <c r="AH11" s="22">
        <v>139.654</v>
      </c>
      <c r="AI11" s="22">
        <v>-1.5862999999999999E-2</v>
      </c>
      <c r="AJ11" s="22">
        <v>1</v>
      </c>
      <c r="AK11" s="22">
        <v>-9.5336900000000002E-2</v>
      </c>
      <c r="AL11">
        <f>-AI11/$F$2*1000</f>
        <v>15.862999999999998</v>
      </c>
      <c r="AM11">
        <f>AL11*AG11</f>
        <v>-1.5055525710999997</v>
      </c>
      <c r="AP11" s="9"/>
      <c r="AQ11" s="22">
        <v>1.7948900000000001</v>
      </c>
      <c r="AR11" s="22">
        <v>189.03299999999999</v>
      </c>
      <c r="AS11" s="22">
        <v>5.3741500000000003E-3</v>
      </c>
      <c r="AT11" s="22">
        <v>1</v>
      </c>
      <c r="AU11" s="22">
        <v>1.79413</v>
      </c>
      <c r="AV11">
        <f>-AS11/$F$2*1000</f>
        <v>-5.3741500000000002</v>
      </c>
      <c r="AW11">
        <f>AV11*AQ11</f>
        <v>-9.6460080935000008</v>
      </c>
      <c r="AX11" s="9"/>
      <c r="AY11" s="22">
        <v>-9.49097E-2</v>
      </c>
      <c r="AZ11" s="22">
        <v>238.416</v>
      </c>
      <c r="BA11" s="22">
        <v>-1.5850800000000002E-2</v>
      </c>
      <c r="BB11" s="22">
        <v>1</v>
      </c>
      <c r="BC11" s="22">
        <v>-9.5306399999999999E-2</v>
      </c>
      <c r="BD11">
        <f>-BA11/$F$2*1000</f>
        <v>15.850800000000001</v>
      </c>
      <c r="BE11">
        <f>BD11*AY11</f>
        <v>-1.5043946727600002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1.764463441164466</v>
      </c>
      <c r="B12" s="19">
        <f>IFERROR(T9,0)</f>
        <v>15.808854715290092</v>
      </c>
      <c r="C12" s="20">
        <f>IFERROR(T4,0)</f>
        <v>0.71694930285666614</v>
      </c>
      <c r="D12" s="21">
        <f>IFERROR(T2,0)</f>
        <v>19.998688666</v>
      </c>
      <c r="E12" s="21"/>
      <c r="F12" s="9"/>
      <c r="G12" s="22">
        <v>1.78986</v>
      </c>
      <c r="H12" s="22">
        <v>9.0065399999999993</v>
      </c>
      <c r="I12" s="22">
        <v>3.4365799999999998E-3</v>
      </c>
      <c r="J12" s="22">
        <v>2</v>
      </c>
      <c r="K12" s="22">
        <v>1.78894</v>
      </c>
      <c r="L12">
        <f t="shared" ref="L12:L75" si="0">-I12/$F$2*1000</f>
        <v>-3.4365799999999997</v>
      </c>
      <c r="M12">
        <f t="shared" ref="M12:M75" si="1">L12*G12</f>
        <v>-6.1509970787999997</v>
      </c>
      <c r="N12" s="9"/>
      <c r="O12" s="22">
        <v>-8.9874300000000004E-2</v>
      </c>
      <c r="P12" s="22">
        <v>58.427999999999997</v>
      </c>
      <c r="Q12" s="22">
        <v>-1.58569E-2</v>
      </c>
      <c r="R12" s="22">
        <v>2</v>
      </c>
      <c r="S12" s="22">
        <v>-9.0301500000000007E-2</v>
      </c>
      <c r="T12">
        <f t="shared" ref="T12:T75" si="2">-Q12/$F$2*1000</f>
        <v>15.8569</v>
      </c>
      <c r="U12">
        <f t="shared" ref="U12:U75" si="3">T12*O12</f>
        <v>-1.4251277876699999</v>
      </c>
      <c r="V12" s="23"/>
      <c r="W12" s="24"/>
      <c r="X12" s="9"/>
      <c r="Y12" s="22">
        <v>1.78986</v>
      </c>
      <c r="Z12" s="22">
        <v>108.005</v>
      </c>
      <c r="AA12" s="22">
        <v>3.89618E-3</v>
      </c>
      <c r="AB12" s="22">
        <v>2</v>
      </c>
      <c r="AC12" s="22">
        <v>1.78955</v>
      </c>
      <c r="AD12">
        <f t="shared" ref="AD12:AD75" si="4">-AA12/$F$2*1000</f>
        <v>-3.8961799999999998</v>
      </c>
      <c r="AE12">
        <f t="shared" ref="AE12:AE75" si="5">AD12*Y12</f>
        <v>-6.9736167347999993</v>
      </c>
      <c r="AF12" s="9"/>
      <c r="AG12" s="22">
        <v>-8.9874300000000004E-2</v>
      </c>
      <c r="AH12" s="22">
        <v>139.66399999999999</v>
      </c>
      <c r="AI12" s="22">
        <v>-1.58569E-2</v>
      </c>
      <c r="AJ12" s="22">
        <v>2</v>
      </c>
      <c r="AK12" s="22">
        <v>-9.0393100000000004E-2</v>
      </c>
      <c r="AL12">
        <f t="shared" ref="AL12:AL75" si="6">-AI12/$F$2*1000</f>
        <v>15.8569</v>
      </c>
      <c r="AM12">
        <f t="shared" ref="AM12:AM75" si="7">AL12*AG12</f>
        <v>-1.4251277876699999</v>
      </c>
      <c r="AP12" s="9"/>
      <c r="AQ12" s="22">
        <v>1.78986</v>
      </c>
      <c r="AR12" s="22">
        <v>189.04300000000001</v>
      </c>
      <c r="AS12" s="22">
        <v>3.9050299999999999E-3</v>
      </c>
      <c r="AT12" s="22">
        <v>2</v>
      </c>
      <c r="AU12" s="22">
        <v>1.78925</v>
      </c>
      <c r="AV12">
        <f t="shared" ref="AV12:AV75" si="8">-AS12/$F$2*1000</f>
        <v>-3.90503</v>
      </c>
      <c r="AW12">
        <f t="shared" ref="AW12:AW75" si="9">AV12*AQ12</f>
        <v>-6.9894569958000003</v>
      </c>
      <c r="AX12" s="9"/>
      <c r="AY12" s="22">
        <v>-8.9874300000000004E-2</v>
      </c>
      <c r="AZ12" s="22">
        <v>238.42599999999999</v>
      </c>
      <c r="BA12" s="22">
        <v>-1.58447E-2</v>
      </c>
      <c r="BB12" s="22">
        <v>2</v>
      </c>
      <c r="BC12" s="22">
        <v>-9.0362499999999998E-2</v>
      </c>
      <c r="BD12">
        <f t="shared" ref="BD12:BD75" si="10">-BA12/$F$2*1000</f>
        <v>15.8447</v>
      </c>
      <c r="BE12">
        <f t="shared" ref="BE12:BE75" si="11">BD12*AY12</f>
        <v>-1.42403132121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1.772485753867467</v>
      </c>
      <c r="B13" s="19">
        <f>IFERROR(AD9,0)</f>
        <v>15.797123998894236</v>
      </c>
      <c r="C13" s="20">
        <f>IFERROR(AD4,0)</f>
        <v>0.73450842138002836</v>
      </c>
      <c r="D13" s="21">
        <f>IFERROR(AD2,0)</f>
        <v>20.566365983000001</v>
      </c>
      <c r="E13" s="21">
        <f>IFERROR(AA9,0)</f>
        <v>0</v>
      </c>
      <c r="F13" s="9"/>
      <c r="G13" s="22">
        <v>1.7848200000000001</v>
      </c>
      <c r="H13" s="22">
        <v>9.01661</v>
      </c>
      <c r="I13" s="22">
        <v>2.1856699999999998E-3</v>
      </c>
      <c r="J13" s="22">
        <v>3</v>
      </c>
      <c r="K13" s="22">
        <v>1.7843599999999999</v>
      </c>
      <c r="L13">
        <f t="shared" si="0"/>
        <v>-2.18567</v>
      </c>
      <c r="M13">
        <f t="shared" si="1"/>
        <v>-3.9010275294000003</v>
      </c>
      <c r="N13" s="9"/>
      <c r="O13" s="22">
        <v>-8.4838899999999995E-2</v>
      </c>
      <c r="P13" s="22">
        <v>58.438000000000002</v>
      </c>
      <c r="Q13" s="22">
        <v>-1.5850800000000002E-2</v>
      </c>
      <c r="R13" s="22">
        <v>3</v>
      </c>
      <c r="S13" s="22">
        <v>-8.5327100000000003E-2</v>
      </c>
      <c r="T13">
        <f t="shared" si="2"/>
        <v>15.850800000000001</v>
      </c>
      <c r="U13">
        <f t="shared" si="3"/>
        <v>-1.34476443612</v>
      </c>
      <c r="V13" s="23"/>
      <c r="W13" s="24"/>
      <c r="X13" s="9"/>
      <c r="Y13" s="22">
        <v>1.7848200000000001</v>
      </c>
      <c r="Z13" s="22">
        <v>108.015</v>
      </c>
      <c r="AA13" s="22">
        <v>2.6046799999999998E-3</v>
      </c>
      <c r="AB13" s="22">
        <v>3</v>
      </c>
      <c r="AC13" s="22">
        <v>1.78406</v>
      </c>
      <c r="AD13">
        <f t="shared" si="4"/>
        <v>-2.6046799999999997</v>
      </c>
      <c r="AE13">
        <f t="shared" si="5"/>
        <v>-4.6488849576</v>
      </c>
      <c r="AF13" s="9"/>
      <c r="AG13" s="22">
        <v>-8.4838899999999995E-2</v>
      </c>
      <c r="AH13" s="22">
        <v>139.67500000000001</v>
      </c>
      <c r="AI13" s="22">
        <v>-1.5850800000000002E-2</v>
      </c>
      <c r="AJ13" s="22">
        <v>3</v>
      </c>
      <c r="AK13" s="22">
        <v>-8.52966E-2</v>
      </c>
      <c r="AL13">
        <f t="shared" si="6"/>
        <v>15.850800000000001</v>
      </c>
      <c r="AM13">
        <f t="shared" si="7"/>
        <v>-1.34476443612</v>
      </c>
      <c r="AP13" s="9"/>
      <c r="AQ13" s="22">
        <v>1.7848200000000001</v>
      </c>
      <c r="AR13" s="22">
        <v>189.053</v>
      </c>
      <c r="AS13" s="22">
        <v>2.6123000000000001E-3</v>
      </c>
      <c r="AT13" s="22">
        <v>3</v>
      </c>
      <c r="AU13" s="22">
        <v>1.78406</v>
      </c>
      <c r="AV13">
        <f t="shared" si="8"/>
        <v>-2.6123000000000003</v>
      </c>
      <c r="AW13">
        <f t="shared" si="9"/>
        <v>-4.6624852860000008</v>
      </c>
      <c r="AX13" s="9"/>
      <c r="AY13" s="22">
        <v>-8.4838899999999995E-2</v>
      </c>
      <c r="AZ13" s="22">
        <v>238.43600000000001</v>
      </c>
      <c r="BA13" s="22">
        <v>-1.58295E-2</v>
      </c>
      <c r="BB13" s="22">
        <v>3</v>
      </c>
      <c r="BC13" s="22">
        <v>-8.5327100000000003E-2</v>
      </c>
      <c r="BD13">
        <f t="shared" si="10"/>
        <v>15.829499999999999</v>
      </c>
      <c r="BE13">
        <f t="shared" si="11"/>
        <v>-1.3429573675499999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1.7622990097827909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1.77979</v>
      </c>
      <c r="H14" s="22">
        <v>9.0266800000000007</v>
      </c>
      <c r="I14" s="22">
        <v>1.05042E-3</v>
      </c>
      <c r="J14" s="22">
        <v>4</v>
      </c>
      <c r="K14" s="22">
        <v>1.77979</v>
      </c>
      <c r="L14">
        <f t="shared" si="0"/>
        <v>-1.0504200000000001</v>
      </c>
      <c r="M14">
        <f t="shared" si="1"/>
        <v>-1.8695270118000002</v>
      </c>
      <c r="N14" s="9"/>
      <c r="O14" s="22">
        <v>-7.9803499999999999E-2</v>
      </c>
      <c r="P14" s="22">
        <v>58.448099999999997</v>
      </c>
      <c r="Q14" s="22">
        <v>-1.5847799999999999E-2</v>
      </c>
      <c r="R14" s="22">
        <v>4</v>
      </c>
      <c r="S14" s="22">
        <v>-8.0291699999999994E-2</v>
      </c>
      <c r="T14">
        <f t="shared" si="2"/>
        <v>15.847799999999999</v>
      </c>
      <c r="U14">
        <f t="shared" si="3"/>
        <v>-1.2647099072999999</v>
      </c>
      <c r="V14" s="23"/>
      <c r="W14" s="24"/>
      <c r="X14" s="9"/>
      <c r="Y14" s="22">
        <v>1.77979</v>
      </c>
      <c r="Z14" s="22">
        <v>108.026</v>
      </c>
      <c r="AA14" s="22">
        <v>1.4444E-3</v>
      </c>
      <c r="AB14" s="22">
        <v>4</v>
      </c>
      <c r="AC14" s="22">
        <v>1.77948</v>
      </c>
      <c r="AD14">
        <f t="shared" si="4"/>
        <v>-1.4443999999999999</v>
      </c>
      <c r="AE14">
        <f t="shared" si="5"/>
        <v>-2.5707286759999999</v>
      </c>
      <c r="AF14" s="9"/>
      <c r="AG14" s="22">
        <v>-7.9803499999999999E-2</v>
      </c>
      <c r="AH14" s="22">
        <v>139.685</v>
      </c>
      <c r="AI14" s="22">
        <v>-1.58447E-2</v>
      </c>
      <c r="AJ14" s="22">
        <v>4</v>
      </c>
      <c r="AK14" s="22">
        <v>-8.0230700000000002E-2</v>
      </c>
      <c r="AL14">
        <f t="shared" si="6"/>
        <v>15.8447</v>
      </c>
      <c r="AM14">
        <f t="shared" si="7"/>
        <v>-1.2644625164499999</v>
      </c>
      <c r="AP14" s="9"/>
      <c r="AQ14" s="22">
        <v>1.77979</v>
      </c>
      <c r="AR14" s="22">
        <v>189.06299999999999</v>
      </c>
      <c r="AS14" s="22">
        <v>1.4669800000000001E-3</v>
      </c>
      <c r="AT14" s="22">
        <v>4</v>
      </c>
      <c r="AU14" s="22">
        <v>1.7791699999999999</v>
      </c>
      <c r="AV14">
        <f t="shared" si="8"/>
        <v>-1.4669800000000002</v>
      </c>
      <c r="AW14">
        <f t="shared" si="9"/>
        <v>-2.6109163342000001</v>
      </c>
      <c r="AX14" s="9"/>
      <c r="AY14" s="22">
        <v>-7.9803499999999999E-2</v>
      </c>
      <c r="AZ14" s="22">
        <v>238.446</v>
      </c>
      <c r="BA14" s="22">
        <v>-1.58142E-2</v>
      </c>
      <c r="BB14" s="22">
        <v>4</v>
      </c>
      <c r="BC14" s="22">
        <v>-8.0261200000000005E-2</v>
      </c>
      <c r="BD14">
        <f t="shared" si="10"/>
        <v>15.8142</v>
      </c>
      <c r="BE14">
        <f t="shared" si="11"/>
        <v>-1.2620285096999999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1.7719197565231233</v>
      </c>
      <c r="B15" s="19">
        <f>IFERROR(AV9,0)</f>
        <v>15.77015325490742</v>
      </c>
      <c r="C15" s="20">
        <f>IFERROR(AV4,0)</f>
        <v>0.73512834841113495</v>
      </c>
      <c r="D15" s="21">
        <f>IFERROR(AV2,0)</f>
        <v>20.542019391999997</v>
      </c>
      <c r="E15" s="21">
        <f>IFERROR(AS9,0)</f>
        <v>3.3513177836260062</v>
      </c>
      <c r="F15" s="9"/>
      <c r="G15" s="22">
        <v>1.77475</v>
      </c>
      <c r="H15" s="22">
        <v>9.0367499999999996</v>
      </c>
      <c r="I15" s="25">
        <v>1.47705E-5</v>
      </c>
      <c r="J15" s="22">
        <v>5</v>
      </c>
      <c r="K15" s="22">
        <v>1.77399</v>
      </c>
      <c r="L15">
        <f t="shared" si="0"/>
        <v>-1.4770500000000001E-2</v>
      </c>
      <c r="M15">
        <f t="shared" si="1"/>
        <v>-2.6213944875000002E-2</v>
      </c>
      <c r="N15" s="9"/>
      <c r="O15" s="22">
        <v>-7.4768100000000004E-2</v>
      </c>
      <c r="P15" s="22">
        <v>58.458199999999998</v>
      </c>
      <c r="Q15" s="22">
        <v>-1.58417E-2</v>
      </c>
      <c r="R15" s="22">
        <v>5</v>
      </c>
      <c r="S15" s="22">
        <v>-7.5195300000000007E-2</v>
      </c>
      <c r="T15">
        <f t="shared" si="2"/>
        <v>15.841699999999999</v>
      </c>
      <c r="U15">
        <f t="shared" si="3"/>
        <v>-1.1844538097699999</v>
      </c>
      <c r="V15" s="23"/>
      <c r="W15" s="24"/>
      <c r="X15" s="9"/>
      <c r="Y15" s="22">
        <v>1.77475</v>
      </c>
      <c r="Z15" s="22">
        <v>108.036</v>
      </c>
      <c r="AA15" s="22">
        <v>3.6627200000000001E-4</v>
      </c>
      <c r="AB15" s="22">
        <v>5</v>
      </c>
      <c r="AC15" s="22">
        <v>1.7746</v>
      </c>
      <c r="AD15">
        <f t="shared" si="4"/>
        <v>-0.36627199999999999</v>
      </c>
      <c r="AE15">
        <f t="shared" si="5"/>
        <v>-0.65004123199999997</v>
      </c>
      <c r="AF15" s="9"/>
      <c r="AG15" s="22">
        <v>-7.4768100000000004E-2</v>
      </c>
      <c r="AH15" s="22">
        <v>139.69499999999999</v>
      </c>
      <c r="AI15" s="22">
        <v>-1.58447E-2</v>
      </c>
      <c r="AJ15" s="22">
        <v>5</v>
      </c>
      <c r="AK15" s="22">
        <v>-7.5195300000000007E-2</v>
      </c>
      <c r="AL15">
        <f t="shared" si="6"/>
        <v>15.8447</v>
      </c>
      <c r="AM15">
        <f t="shared" si="7"/>
        <v>-1.18467811407</v>
      </c>
      <c r="AP15" s="9"/>
      <c r="AQ15" s="22">
        <v>1.77475</v>
      </c>
      <c r="AR15" s="22">
        <v>189.07300000000001</v>
      </c>
      <c r="AS15" s="22">
        <v>3.9361600000000001E-4</v>
      </c>
      <c r="AT15" s="22">
        <v>5</v>
      </c>
      <c r="AU15" s="22">
        <v>1.7736799999999999</v>
      </c>
      <c r="AV15">
        <f t="shared" si="8"/>
        <v>-0.39361600000000002</v>
      </c>
      <c r="AW15">
        <f t="shared" si="9"/>
        <v>-0.69856999600000003</v>
      </c>
      <c r="AX15" s="9"/>
      <c r="AY15" s="22">
        <v>-7.4768100000000004E-2</v>
      </c>
      <c r="AZ15" s="22">
        <v>238.45699999999999</v>
      </c>
      <c r="BA15" s="22">
        <v>-1.5808099999999999E-2</v>
      </c>
      <c r="BB15" s="22">
        <v>5</v>
      </c>
      <c r="BC15" s="22">
        <v>-7.5225799999999995E-2</v>
      </c>
      <c r="BD15">
        <f t="shared" si="10"/>
        <v>15.808099999999998</v>
      </c>
      <c r="BE15">
        <f t="shared" si="11"/>
        <v>-1.1819416016099999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1.7617940922070354</v>
      </c>
      <c r="B16" s="19">
        <f>IFERROR(BD9,0)</f>
        <v>15.780974459086554</v>
      </c>
      <c r="C16" s="20">
        <f>IFERROR(BD4,0)</f>
        <v>0.71408532071400677</v>
      </c>
      <c r="D16" s="21">
        <f>IFERROR(BD2,0)</f>
        <v>19.853591042999998</v>
      </c>
      <c r="E16" s="21"/>
      <c r="F16" s="9"/>
      <c r="G16" s="22">
        <v>1.7697099999999999</v>
      </c>
      <c r="H16" s="22">
        <v>9.0468200000000003</v>
      </c>
      <c r="I16" s="22">
        <v>-9.2712399999999998E-4</v>
      </c>
      <c r="J16" s="22">
        <v>6</v>
      </c>
      <c r="K16" s="22">
        <v>1.7694099999999999</v>
      </c>
      <c r="L16">
        <f t="shared" si="0"/>
        <v>0.92712399999999995</v>
      </c>
      <c r="M16">
        <f t="shared" si="1"/>
        <v>1.6407406140399998</v>
      </c>
      <c r="N16" s="9"/>
      <c r="O16" s="22">
        <v>-6.9732699999999995E-2</v>
      </c>
      <c r="P16" s="22">
        <v>58.468200000000003</v>
      </c>
      <c r="Q16" s="22">
        <v>-1.58447E-2</v>
      </c>
      <c r="R16" s="22">
        <v>6</v>
      </c>
      <c r="S16" s="22">
        <v>-7.0220900000000003E-2</v>
      </c>
      <c r="T16">
        <f t="shared" si="2"/>
        <v>15.8447</v>
      </c>
      <c r="U16">
        <f t="shared" si="3"/>
        <v>-1.1048937116899999</v>
      </c>
      <c r="V16" s="23"/>
      <c r="W16" s="24"/>
      <c r="X16" s="9"/>
      <c r="Y16" s="22">
        <v>1.7697099999999999</v>
      </c>
      <c r="Z16" s="22">
        <v>108.04600000000001</v>
      </c>
      <c r="AA16" s="22">
        <v>-5.86548E-4</v>
      </c>
      <c r="AB16" s="22">
        <v>6</v>
      </c>
      <c r="AC16" s="22">
        <v>1.7690999999999999</v>
      </c>
      <c r="AD16">
        <f t="shared" si="4"/>
        <v>0.58654799999999996</v>
      </c>
      <c r="AE16">
        <f t="shared" si="5"/>
        <v>1.0380198610799998</v>
      </c>
      <c r="AF16" s="9"/>
      <c r="AG16" s="22">
        <v>-6.9732699999999995E-2</v>
      </c>
      <c r="AH16" s="22">
        <v>139.70500000000001</v>
      </c>
      <c r="AI16" s="22">
        <v>-1.58447E-2</v>
      </c>
      <c r="AJ16" s="22">
        <v>6</v>
      </c>
      <c r="AK16" s="22">
        <v>-7.0281999999999997E-2</v>
      </c>
      <c r="AL16">
        <f t="shared" si="6"/>
        <v>15.8447</v>
      </c>
      <c r="AM16">
        <f t="shared" si="7"/>
        <v>-1.1048937116899999</v>
      </c>
      <c r="AP16" s="9"/>
      <c r="AQ16" s="22">
        <v>1.7697099999999999</v>
      </c>
      <c r="AR16" s="22">
        <v>189.083</v>
      </c>
      <c r="AS16" s="22">
        <v>-5.6121800000000005E-4</v>
      </c>
      <c r="AT16" s="22">
        <v>6</v>
      </c>
      <c r="AU16" s="22">
        <v>1.7694099999999999</v>
      </c>
      <c r="AV16">
        <f t="shared" si="8"/>
        <v>0.56121799999999999</v>
      </c>
      <c r="AW16">
        <f t="shared" si="9"/>
        <v>0.99319310677999995</v>
      </c>
      <c r="AX16" s="9"/>
      <c r="AY16" s="22">
        <v>-6.9732699999999995E-2</v>
      </c>
      <c r="AZ16" s="22">
        <v>238.46700000000001</v>
      </c>
      <c r="BA16" s="22">
        <v>-1.5802E-2</v>
      </c>
      <c r="BB16" s="22">
        <v>6</v>
      </c>
      <c r="BC16" s="22">
        <v>-7.0220900000000003E-2</v>
      </c>
      <c r="BD16">
        <f t="shared" si="10"/>
        <v>15.802</v>
      </c>
      <c r="BE16">
        <f t="shared" si="11"/>
        <v>-1.1019161253999998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9.0568899999999992</v>
      </c>
      <c r="I17" s="22">
        <v>-1.78711E-3</v>
      </c>
      <c r="J17" s="22">
        <v>7</v>
      </c>
      <c r="K17" s="22">
        <v>1.7636099999999999</v>
      </c>
      <c r="L17">
        <f t="shared" si="0"/>
        <v>1.78711</v>
      </c>
      <c r="M17">
        <f t="shared" si="1"/>
        <v>3.1536772748000002</v>
      </c>
      <c r="N17" s="9"/>
      <c r="O17" s="22">
        <v>-6.4697299999999999E-2</v>
      </c>
      <c r="P17" s="22">
        <v>58.478299999999997</v>
      </c>
      <c r="Q17" s="22">
        <v>-1.58447E-2</v>
      </c>
      <c r="R17" s="22">
        <v>7</v>
      </c>
      <c r="S17" s="22">
        <v>-6.5093999999999999E-2</v>
      </c>
      <c r="T17">
        <f t="shared" si="2"/>
        <v>15.8447</v>
      </c>
      <c r="U17">
        <f t="shared" si="3"/>
        <v>-1.0251093093099999</v>
      </c>
      <c r="V17" s="23"/>
      <c r="W17" s="24"/>
      <c r="X17" s="9"/>
      <c r="Y17" s="22">
        <v>1.76468</v>
      </c>
      <c r="Z17" s="22">
        <v>108.056</v>
      </c>
      <c r="AA17" s="22">
        <v>-1.4831499999999999E-3</v>
      </c>
      <c r="AB17" s="22">
        <v>7</v>
      </c>
      <c r="AC17" s="22">
        <v>1.7639199999999999</v>
      </c>
      <c r="AD17">
        <f t="shared" si="4"/>
        <v>1.48315</v>
      </c>
      <c r="AE17">
        <f t="shared" si="5"/>
        <v>2.6172851420000001</v>
      </c>
      <c r="AF17" s="9"/>
      <c r="AG17" s="22">
        <v>-6.4697299999999999E-2</v>
      </c>
      <c r="AH17" s="22">
        <v>139.715</v>
      </c>
      <c r="AI17" s="22">
        <v>-1.58417E-2</v>
      </c>
      <c r="AJ17" s="22">
        <v>7</v>
      </c>
      <c r="AK17" s="22">
        <v>-6.5155000000000005E-2</v>
      </c>
      <c r="AL17">
        <f t="shared" si="6"/>
        <v>15.841699999999999</v>
      </c>
      <c r="AM17">
        <f t="shared" si="7"/>
        <v>-1.02491521741</v>
      </c>
      <c r="AP17" s="9"/>
      <c r="AQ17" s="22">
        <v>1.76468</v>
      </c>
      <c r="AR17" s="22">
        <v>189.09299999999999</v>
      </c>
      <c r="AS17" s="22">
        <v>-1.44348E-3</v>
      </c>
      <c r="AT17" s="22">
        <v>7</v>
      </c>
      <c r="AU17" s="22">
        <v>1.7645299999999999</v>
      </c>
      <c r="AV17">
        <f t="shared" si="8"/>
        <v>1.4434800000000001</v>
      </c>
      <c r="AW17">
        <f t="shared" si="9"/>
        <v>2.5472802864000004</v>
      </c>
      <c r="AX17" s="9"/>
      <c r="AY17" s="22">
        <v>-6.4697299999999999E-2</v>
      </c>
      <c r="AZ17" s="22">
        <v>238.477</v>
      </c>
      <c r="BA17" s="22">
        <v>-1.5805099999999999E-2</v>
      </c>
      <c r="BB17" s="22">
        <v>7</v>
      </c>
      <c r="BC17" s="22">
        <v>-6.5124500000000002E-2</v>
      </c>
      <c r="BD17">
        <f t="shared" si="10"/>
        <v>15.805099999999999</v>
      </c>
      <c r="BE17">
        <f t="shared" si="11"/>
        <v>-1.02254729623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9.0669599999999999</v>
      </c>
      <c r="I18" s="22">
        <v>-2.5637799999999999E-3</v>
      </c>
      <c r="J18" s="22">
        <v>8</v>
      </c>
      <c r="K18" s="22">
        <v>1.7590300000000001</v>
      </c>
      <c r="L18">
        <f t="shared" si="0"/>
        <v>2.5637799999999999</v>
      </c>
      <c r="M18">
        <f t="shared" si="1"/>
        <v>4.5113298392000001</v>
      </c>
      <c r="N18" s="9"/>
      <c r="O18" s="22">
        <v>-5.9661899999999997E-2</v>
      </c>
      <c r="P18" s="22">
        <v>58.488399999999999</v>
      </c>
      <c r="Q18" s="22">
        <v>-1.58417E-2</v>
      </c>
      <c r="R18" s="22">
        <v>8</v>
      </c>
      <c r="S18" s="22">
        <v>-6.0241700000000002E-2</v>
      </c>
      <c r="T18">
        <f t="shared" si="2"/>
        <v>15.841699999999999</v>
      </c>
      <c r="U18">
        <f t="shared" si="3"/>
        <v>-0.94514592122999996</v>
      </c>
      <c r="V18" s="23"/>
      <c r="W18" s="24"/>
      <c r="X18" s="9"/>
      <c r="Y18" s="22">
        <v>1.7596400000000001</v>
      </c>
      <c r="Z18" s="22">
        <v>108.066</v>
      </c>
      <c r="AA18" s="22">
        <v>-2.2985800000000002E-3</v>
      </c>
      <c r="AB18" s="22">
        <v>8</v>
      </c>
      <c r="AC18" s="22">
        <v>1.7593399999999999</v>
      </c>
      <c r="AD18">
        <f t="shared" si="4"/>
        <v>2.2985800000000003</v>
      </c>
      <c r="AE18">
        <f t="shared" si="5"/>
        <v>4.0446733112000004</v>
      </c>
      <c r="AF18" s="9"/>
      <c r="AG18" s="22">
        <v>-5.9661899999999997E-2</v>
      </c>
      <c r="AH18" s="22">
        <v>139.72499999999999</v>
      </c>
      <c r="AI18" s="22">
        <v>-1.58417E-2</v>
      </c>
      <c r="AJ18" s="22">
        <v>8</v>
      </c>
      <c r="AK18" s="22">
        <v>-6.0119600000000002E-2</v>
      </c>
      <c r="AL18">
        <f t="shared" si="6"/>
        <v>15.841699999999999</v>
      </c>
      <c r="AM18">
        <f t="shared" si="7"/>
        <v>-0.94514592122999996</v>
      </c>
      <c r="AP18" s="9"/>
      <c r="AQ18" s="22">
        <v>1.7596400000000001</v>
      </c>
      <c r="AR18" s="22">
        <v>189.10300000000001</v>
      </c>
      <c r="AS18" s="22">
        <v>-2.2406000000000001E-3</v>
      </c>
      <c r="AT18" s="22">
        <v>8</v>
      </c>
      <c r="AU18" s="22">
        <v>1.7590300000000001</v>
      </c>
      <c r="AV18">
        <f t="shared" si="8"/>
        <v>2.2406000000000001</v>
      </c>
      <c r="AW18">
        <f t="shared" si="9"/>
        <v>3.9426493840000005</v>
      </c>
      <c r="AX18" s="9"/>
      <c r="AY18" s="22">
        <v>-5.9661899999999997E-2</v>
      </c>
      <c r="AZ18" s="22">
        <v>238.48699999999999</v>
      </c>
      <c r="BA18" s="22">
        <v>-1.5802E-2</v>
      </c>
      <c r="BB18" s="22">
        <v>8</v>
      </c>
      <c r="BC18" s="22">
        <v>-6.0119600000000002E-2</v>
      </c>
      <c r="BD18">
        <f t="shared" si="10"/>
        <v>15.802</v>
      </c>
      <c r="BE18">
        <f t="shared" si="11"/>
        <v>-0.94277734379999989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9.0770400000000002</v>
      </c>
      <c r="I19" s="22">
        <v>-3.30627E-3</v>
      </c>
      <c r="J19" s="22">
        <v>9</v>
      </c>
      <c r="K19" s="22">
        <v>1.7538499999999999</v>
      </c>
      <c r="L19">
        <f t="shared" si="0"/>
        <v>3.30627</v>
      </c>
      <c r="M19">
        <f t="shared" si="1"/>
        <v>5.8012144047000005</v>
      </c>
      <c r="N19" s="9"/>
      <c r="O19" s="22">
        <v>-5.4626500000000001E-2</v>
      </c>
      <c r="P19" s="22">
        <v>58.4985</v>
      </c>
      <c r="Q19" s="22">
        <v>-1.5838600000000001E-2</v>
      </c>
      <c r="R19" s="22">
        <v>9</v>
      </c>
      <c r="S19" s="22">
        <v>-5.50842E-2</v>
      </c>
      <c r="T19">
        <f t="shared" si="2"/>
        <v>15.838600000000001</v>
      </c>
      <c r="U19">
        <f t="shared" si="3"/>
        <v>-0.86520728290000004</v>
      </c>
      <c r="V19" s="23"/>
      <c r="W19" s="24"/>
      <c r="X19" s="9"/>
      <c r="Y19" s="22">
        <v>1.75461</v>
      </c>
      <c r="Z19" s="22">
        <v>108.07599999999999</v>
      </c>
      <c r="AA19" s="22">
        <v>-3.0447400000000002E-3</v>
      </c>
      <c r="AB19" s="22">
        <v>9</v>
      </c>
      <c r="AC19" s="22">
        <v>1.7532300000000001</v>
      </c>
      <c r="AD19">
        <f t="shared" si="4"/>
        <v>3.04474</v>
      </c>
      <c r="AE19">
        <f t="shared" si="5"/>
        <v>5.3423312514000001</v>
      </c>
      <c r="AF19" s="9"/>
      <c r="AG19" s="22">
        <v>-5.4626500000000001E-2</v>
      </c>
      <c r="AH19" s="22">
        <v>139.73500000000001</v>
      </c>
      <c r="AI19" s="22">
        <v>-1.5838600000000001E-2</v>
      </c>
      <c r="AJ19" s="22">
        <v>9</v>
      </c>
      <c r="AK19" s="22">
        <v>-5.50842E-2</v>
      </c>
      <c r="AL19">
        <f t="shared" si="6"/>
        <v>15.838600000000001</v>
      </c>
      <c r="AM19">
        <f t="shared" si="7"/>
        <v>-0.86520728290000004</v>
      </c>
      <c r="AP19" s="9"/>
      <c r="AQ19" s="22">
        <v>1.75461</v>
      </c>
      <c r="AR19" s="22">
        <v>189.113</v>
      </c>
      <c r="AS19" s="22">
        <v>-2.9870600000000001E-3</v>
      </c>
      <c r="AT19" s="22">
        <v>9</v>
      </c>
      <c r="AU19" s="22">
        <v>1.7535400000000001</v>
      </c>
      <c r="AV19">
        <f t="shared" si="8"/>
        <v>2.98706</v>
      </c>
      <c r="AW19">
        <f t="shared" si="9"/>
        <v>5.2411253466000005</v>
      </c>
      <c r="AX19" s="9"/>
      <c r="AY19" s="22">
        <v>-5.4626500000000001E-2</v>
      </c>
      <c r="AZ19" s="22">
        <v>238.49700000000001</v>
      </c>
      <c r="BA19" s="22">
        <v>-1.5802E-2</v>
      </c>
      <c r="BB19" s="22">
        <v>9</v>
      </c>
      <c r="BC19" s="22">
        <v>-5.5023200000000001E-2</v>
      </c>
      <c r="BD19">
        <f t="shared" si="10"/>
        <v>15.802</v>
      </c>
      <c r="BE19">
        <f t="shared" si="11"/>
        <v>-0.86320795299999997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9.0871099999999991</v>
      </c>
      <c r="I20" s="22">
        <v>-3.9681999999999999E-3</v>
      </c>
      <c r="J20" s="22">
        <v>10</v>
      </c>
      <c r="K20" s="22">
        <v>1.7492700000000001</v>
      </c>
      <c r="L20">
        <f t="shared" si="0"/>
        <v>3.9681999999999999</v>
      </c>
      <c r="M20">
        <f t="shared" si="1"/>
        <v>6.9426436740000002</v>
      </c>
      <c r="N20" s="9"/>
      <c r="O20" s="22">
        <v>-4.9591099999999999E-2</v>
      </c>
      <c r="P20" s="22">
        <v>58.508499999999998</v>
      </c>
      <c r="Q20" s="22">
        <v>-1.58295E-2</v>
      </c>
      <c r="R20" s="22">
        <v>10</v>
      </c>
      <c r="S20" s="22">
        <v>-5.0048799999999997E-2</v>
      </c>
      <c r="T20">
        <f t="shared" si="2"/>
        <v>15.829499999999999</v>
      </c>
      <c r="U20">
        <f t="shared" si="3"/>
        <v>-0.78500231744999993</v>
      </c>
      <c r="V20" s="23"/>
      <c r="W20" s="24"/>
      <c r="X20" s="9"/>
      <c r="Y20" s="22">
        <v>1.7495700000000001</v>
      </c>
      <c r="Z20" s="22">
        <v>108.086</v>
      </c>
      <c r="AA20" s="22">
        <v>-3.7225299999999999E-3</v>
      </c>
      <c r="AB20" s="22">
        <v>10</v>
      </c>
      <c r="AC20" s="22">
        <v>1.7489600000000001</v>
      </c>
      <c r="AD20">
        <f t="shared" si="4"/>
        <v>3.7225299999999999</v>
      </c>
      <c r="AE20">
        <f t="shared" si="5"/>
        <v>6.5128268121000001</v>
      </c>
      <c r="AF20" s="9"/>
      <c r="AG20" s="22">
        <v>-4.9591099999999999E-2</v>
      </c>
      <c r="AH20" s="22">
        <v>139.745</v>
      </c>
      <c r="AI20" s="22">
        <v>-1.5838600000000001E-2</v>
      </c>
      <c r="AJ20" s="22">
        <v>10</v>
      </c>
      <c r="AK20" s="22">
        <v>-5.0048799999999997E-2</v>
      </c>
      <c r="AL20">
        <f t="shared" si="6"/>
        <v>15.838600000000001</v>
      </c>
      <c r="AM20">
        <f t="shared" si="7"/>
        <v>-0.78545359646000001</v>
      </c>
      <c r="AP20" s="9"/>
      <c r="AQ20" s="22">
        <v>1.7495700000000001</v>
      </c>
      <c r="AR20" s="22">
        <v>189.12299999999999</v>
      </c>
      <c r="AS20" s="22">
        <v>-3.6767599999999998E-3</v>
      </c>
      <c r="AT20" s="22">
        <v>10</v>
      </c>
      <c r="AU20" s="22">
        <v>1.7486600000000001</v>
      </c>
      <c r="AV20">
        <f t="shared" si="8"/>
        <v>3.6767599999999998</v>
      </c>
      <c r="AW20">
        <f t="shared" si="9"/>
        <v>6.4327489931999997</v>
      </c>
      <c r="AX20" s="9"/>
      <c r="AY20" s="22">
        <v>-4.9591099999999999E-2</v>
      </c>
      <c r="AZ20" s="22">
        <v>238.50700000000001</v>
      </c>
      <c r="BA20" s="22">
        <v>-1.5802E-2</v>
      </c>
      <c r="BB20" s="22">
        <v>10</v>
      </c>
      <c r="BC20" s="22">
        <v>-5.0048799999999997E-2</v>
      </c>
      <c r="BD20">
        <f t="shared" si="10"/>
        <v>15.802</v>
      </c>
      <c r="BE20">
        <f t="shared" si="11"/>
        <v>-0.78363856219999994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9.0971799999999998</v>
      </c>
      <c r="I21" s="22">
        <v>-4.5864900000000004E-3</v>
      </c>
      <c r="J21" s="22">
        <v>11</v>
      </c>
      <c r="K21" s="22">
        <v>1.74377</v>
      </c>
      <c r="L21">
        <f t="shared" si="0"/>
        <v>4.5864900000000004</v>
      </c>
      <c r="M21">
        <f t="shared" si="1"/>
        <v>8.0013152646000005</v>
      </c>
      <c r="N21" s="9"/>
      <c r="O21" s="22">
        <v>-4.4555699999999997E-2</v>
      </c>
      <c r="P21" s="22">
        <v>58.518599999999999</v>
      </c>
      <c r="Q21" s="22">
        <v>-1.5826400000000001E-2</v>
      </c>
      <c r="R21" s="22">
        <v>11</v>
      </c>
      <c r="S21" s="22">
        <v>-4.4833400000000002E-2</v>
      </c>
      <c r="T21">
        <f t="shared" si="2"/>
        <v>15.826400000000001</v>
      </c>
      <c r="U21">
        <f t="shared" si="3"/>
        <v>-0.70515633048000004</v>
      </c>
      <c r="V21" s="23"/>
      <c r="W21" s="24"/>
      <c r="X21" s="9"/>
      <c r="Y21" s="22">
        <v>1.74454</v>
      </c>
      <c r="Z21" s="22">
        <v>108.096</v>
      </c>
      <c r="AA21" s="22">
        <v>-4.3512000000000004E-3</v>
      </c>
      <c r="AB21" s="22">
        <v>11</v>
      </c>
      <c r="AC21" s="22">
        <v>1.7434700000000001</v>
      </c>
      <c r="AD21">
        <f t="shared" si="4"/>
        <v>4.3512000000000004</v>
      </c>
      <c r="AE21">
        <f t="shared" si="5"/>
        <v>7.590842448000001</v>
      </c>
      <c r="AF21" s="9"/>
      <c r="AG21" s="22">
        <v>-4.4555699999999997E-2</v>
      </c>
      <c r="AH21" s="22">
        <v>139.755</v>
      </c>
      <c r="AI21" s="22">
        <v>-1.5826400000000001E-2</v>
      </c>
      <c r="AJ21" s="22">
        <v>11</v>
      </c>
      <c r="AK21" s="22">
        <v>-4.4839499999999997E-2</v>
      </c>
      <c r="AL21">
        <f t="shared" si="6"/>
        <v>15.826400000000001</v>
      </c>
      <c r="AM21">
        <f t="shared" si="7"/>
        <v>-0.70515633048000004</v>
      </c>
      <c r="AP21" s="9"/>
      <c r="AQ21" s="22">
        <v>1.74454</v>
      </c>
      <c r="AR21" s="22">
        <v>189.13399999999999</v>
      </c>
      <c r="AS21" s="22">
        <v>-4.3243400000000003E-3</v>
      </c>
      <c r="AT21" s="22">
        <v>11</v>
      </c>
      <c r="AU21" s="22">
        <v>1.7440800000000001</v>
      </c>
      <c r="AV21">
        <f t="shared" si="8"/>
        <v>4.3243400000000003</v>
      </c>
      <c r="AW21">
        <f t="shared" si="9"/>
        <v>7.5439841036000006</v>
      </c>
      <c r="AX21" s="9"/>
      <c r="AY21" s="22">
        <v>-4.4555699999999997E-2</v>
      </c>
      <c r="AZ21" s="22">
        <v>238.517</v>
      </c>
      <c r="BA21" s="22">
        <v>-1.5795900000000002E-2</v>
      </c>
      <c r="BB21" s="22">
        <v>11</v>
      </c>
      <c r="BC21" s="22">
        <v>-4.4857800000000003E-2</v>
      </c>
      <c r="BD21">
        <f t="shared" si="10"/>
        <v>15.795900000000001</v>
      </c>
      <c r="BE21">
        <f t="shared" si="11"/>
        <v>-0.70379738163000005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9.1072500000000005</v>
      </c>
      <c r="I22" s="22">
        <v>-5.1544199999999998E-3</v>
      </c>
      <c r="J22" s="22">
        <v>12</v>
      </c>
      <c r="K22" s="22">
        <v>1.73889</v>
      </c>
      <c r="L22">
        <f t="shared" si="0"/>
        <v>5.15442</v>
      </c>
      <c r="M22">
        <f t="shared" si="1"/>
        <v>8.9661135900000009</v>
      </c>
      <c r="N22" s="9"/>
      <c r="O22" s="22">
        <v>-3.9520300000000001E-2</v>
      </c>
      <c r="P22" s="22">
        <v>58.528700000000001</v>
      </c>
      <c r="Q22" s="22">
        <v>-1.58295E-2</v>
      </c>
      <c r="R22" s="22">
        <v>12</v>
      </c>
      <c r="S22" s="22">
        <v>-3.9801000000000003E-2</v>
      </c>
      <c r="T22">
        <f t="shared" si="2"/>
        <v>15.829499999999999</v>
      </c>
      <c r="U22">
        <f t="shared" si="3"/>
        <v>-0.62558658884999996</v>
      </c>
      <c r="V22" s="23"/>
      <c r="W22" s="24"/>
      <c r="X22" s="9"/>
      <c r="Y22" s="22">
        <v>1.7395</v>
      </c>
      <c r="Z22" s="22">
        <v>108.10599999999999</v>
      </c>
      <c r="AA22" s="22">
        <v>-4.9343900000000003E-3</v>
      </c>
      <c r="AB22" s="22">
        <v>12</v>
      </c>
      <c r="AC22" s="22">
        <v>1.7385900000000001</v>
      </c>
      <c r="AD22">
        <f t="shared" si="4"/>
        <v>4.9343900000000005</v>
      </c>
      <c r="AE22">
        <f t="shared" si="5"/>
        <v>8.5833714050000012</v>
      </c>
      <c r="AF22" s="9"/>
      <c r="AG22" s="22">
        <v>-3.9520300000000001E-2</v>
      </c>
      <c r="AH22" s="22">
        <v>139.76499999999999</v>
      </c>
      <c r="AI22" s="22">
        <v>-1.5823400000000001E-2</v>
      </c>
      <c r="AJ22" s="22">
        <v>12</v>
      </c>
      <c r="AK22" s="22">
        <v>-3.98132E-2</v>
      </c>
      <c r="AL22">
        <f t="shared" si="6"/>
        <v>15.823400000000001</v>
      </c>
      <c r="AM22">
        <f t="shared" si="7"/>
        <v>-0.62534551502000002</v>
      </c>
      <c r="AP22" s="9"/>
      <c r="AQ22" s="22">
        <v>1.7395</v>
      </c>
      <c r="AR22" s="22">
        <v>189.14400000000001</v>
      </c>
      <c r="AS22" s="22">
        <v>-4.9044800000000001E-3</v>
      </c>
      <c r="AT22" s="22">
        <v>12</v>
      </c>
      <c r="AU22" s="22">
        <v>1.73889</v>
      </c>
      <c r="AV22">
        <f t="shared" si="8"/>
        <v>4.9044800000000004</v>
      </c>
      <c r="AW22">
        <f t="shared" si="9"/>
        <v>8.5313429600000017</v>
      </c>
      <c r="AX22" s="9"/>
      <c r="AY22" s="22">
        <v>-3.9520300000000001E-2</v>
      </c>
      <c r="AZ22" s="22">
        <v>238.52699999999999</v>
      </c>
      <c r="BA22" s="22">
        <v>-1.5795900000000002E-2</v>
      </c>
      <c r="BB22" s="22">
        <v>12</v>
      </c>
      <c r="BC22" s="22">
        <v>-3.9709500000000002E-2</v>
      </c>
      <c r="BD22">
        <f t="shared" si="10"/>
        <v>15.795900000000001</v>
      </c>
      <c r="BE22">
        <f t="shared" si="11"/>
        <v>-0.62425870677000006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9.1173199999999994</v>
      </c>
      <c r="I23" s="22">
        <v>-5.6793199999999999E-3</v>
      </c>
      <c r="J23" s="22">
        <v>13</v>
      </c>
      <c r="K23" s="22">
        <v>1.7337</v>
      </c>
      <c r="L23">
        <f t="shared" si="0"/>
        <v>5.6793199999999997</v>
      </c>
      <c r="M23">
        <f t="shared" si="1"/>
        <v>9.8506101603999987</v>
      </c>
      <c r="N23" s="9"/>
      <c r="O23" s="22">
        <v>-3.4484899999999999E-2</v>
      </c>
      <c r="P23" s="22">
        <v>58.538699999999999</v>
      </c>
      <c r="Q23" s="22">
        <v>-1.5835599999999998E-2</v>
      </c>
      <c r="R23" s="22">
        <v>13</v>
      </c>
      <c r="S23" s="22">
        <v>-3.4674099999999999E-2</v>
      </c>
      <c r="T23">
        <f t="shared" si="2"/>
        <v>15.835599999999998</v>
      </c>
      <c r="U23">
        <f t="shared" si="3"/>
        <v>-0.54608908243999987</v>
      </c>
      <c r="V23" s="23"/>
      <c r="W23" s="24"/>
      <c r="X23" s="9"/>
      <c r="Y23" s="22">
        <v>1.73447</v>
      </c>
      <c r="Z23" s="22">
        <v>108.116</v>
      </c>
      <c r="AA23" s="22">
        <v>-5.4717999999999998E-3</v>
      </c>
      <c r="AB23" s="22">
        <v>13</v>
      </c>
      <c r="AC23" s="22">
        <v>1.7337</v>
      </c>
      <c r="AD23">
        <f t="shared" si="4"/>
        <v>5.4718</v>
      </c>
      <c r="AE23">
        <f t="shared" si="5"/>
        <v>9.4906729460000001</v>
      </c>
      <c r="AF23" s="9"/>
      <c r="AG23" s="22">
        <v>-3.4484899999999999E-2</v>
      </c>
      <c r="AH23" s="22">
        <v>139.77500000000001</v>
      </c>
      <c r="AI23" s="22">
        <v>-1.5817299999999999E-2</v>
      </c>
      <c r="AJ23" s="22">
        <v>13</v>
      </c>
      <c r="AK23" s="22">
        <v>-3.4692399999999998E-2</v>
      </c>
      <c r="AL23">
        <f t="shared" si="6"/>
        <v>15.817299999999999</v>
      </c>
      <c r="AM23">
        <f t="shared" si="7"/>
        <v>-0.54545800876999995</v>
      </c>
      <c r="AP23" s="9"/>
      <c r="AQ23" s="22">
        <v>1.73447</v>
      </c>
      <c r="AR23" s="22">
        <v>189.154</v>
      </c>
      <c r="AS23" s="22">
        <v>-5.4534900000000001E-3</v>
      </c>
      <c r="AT23" s="22">
        <v>13</v>
      </c>
      <c r="AU23" s="22">
        <v>1.7340100000000001</v>
      </c>
      <c r="AV23">
        <f t="shared" si="8"/>
        <v>5.4534900000000004</v>
      </c>
      <c r="AW23">
        <f t="shared" si="9"/>
        <v>9.4589148003000005</v>
      </c>
      <c r="AX23" s="9"/>
      <c r="AY23" s="22">
        <v>-3.4484899999999999E-2</v>
      </c>
      <c r="AZ23" s="22">
        <v>238.53700000000001</v>
      </c>
      <c r="BA23" s="22">
        <v>-1.57898E-2</v>
      </c>
      <c r="BB23" s="22">
        <v>13</v>
      </c>
      <c r="BC23" s="22">
        <v>-3.4726E-2</v>
      </c>
      <c r="BD23">
        <f t="shared" si="10"/>
        <v>15.7898</v>
      </c>
      <c r="BE23">
        <f t="shared" si="11"/>
        <v>-0.54450967401999995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9.1273900000000001</v>
      </c>
      <c r="I24" s="22">
        <v>-6.1554000000000001E-3</v>
      </c>
      <c r="J24" s="22">
        <v>14</v>
      </c>
      <c r="K24" s="22">
        <v>1.72882</v>
      </c>
      <c r="L24">
        <f t="shared" si="0"/>
        <v>6.1554000000000002</v>
      </c>
      <c r="M24">
        <f t="shared" si="1"/>
        <v>10.645333422</v>
      </c>
      <c r="N24" s="9"/>
      <c r="O24" s="22">
        <v>-2.94495E-2</v>
      </c>
      <c r="P24" s="22">
        <v>58.5488</v>
      </c>
      <c r="Q24" s="22">
        <v>-1.5835599999999998E-2</v>
      </c>
      <c r="R24" s="22">
        <v>14</v>
      </c>
      <c r="S24" s="22">
        <v>-2.9745500000000001E-2</v>
      </c>
      <c r="T24">
        <f t="shared" si="2"/>
        <v>15.835599999999998</v>
      </c>
      <c r="U24">
        <f t="shared" si="3"/>
        <v>-0.46635050219999991</v>
      </c>
      <c r="V24" s="23"/>
      <c r="W24" s="24"/>
      <c r="X24" s="9"/>
      <c r="Y24" s="22">
        <v>1.72943</v>
      </c>
      <c r="Z24" s="22">
        <v>108.126</v>
      </c>
      <c r="AA24" s="22">
        <v>-5.9631299999999996E-3</v>
      </c>
      <c r="AB24" s="22">
        <v>14</v>
      </c>
      <c r="AC24" s="22">
        <v>1.72943</v>
      </c>
      <c r="AD24">
        <f t="shared" si="4"/>
        <v>5.9631299999999996</v>
      </c>
      <c r="AE24">
        <f t="shared" si="5"/>
        <v>10.3128159159</v>
      </c>
      <c r="AF24" s="9"/>
      <c r="AG24" s="22">
        <v>-2.94495E-2</v>
      </c>
      <c r="AH24" s="22">
        <v>139.785</v>
      </c>
      <c r="AI24" s="22">
        <v>-1.58142E-2</v>
      </c>
      <c r="AJ24" s="22">
        <v>14</v>
      </c>
      <c r="AK24" s="22">
        <v>-2.9675300000000002E-2</v>
      </c>
      <c r="AL24">
        <f t="shared" si="6"/>
        <v>15.8142</v>
      </c>
      <c r="AM24">
        <f t="shared" si="7"/>
        <v>-0.4657202829</v>
      </c>
      <c r="AP24" s="9"/>
      <c r="AQ24" s="22">
        <v>1.72943</v>
      </c>
      <c r="AR24" s="22">
        <v>189.16399999999999</v>
      </c>
      <c r="AS24" s="22">
        <v>-5.9509300000000001E-3</v>
      </c>
      <c r="AT24" s="22">
        <v>14</v>
      </c>
      <c r="AU24" s="22">
        <v>1.7285200000000001</v>
      </c>
      <c r="AV24">
        <f t="shared" si="8"/>
        <v>5.9509300000000005</v>
      </c>
      <c r="AW24">
        <f t="shared" si="9"/>
        <v>10.2917168699</v>
      </c>
      <c r="AX24" s="9"/>
      <c r="AY24" s="22">
        <v>-2.94495E-2</v>
      </c>
      <c r="AZ24" s="22">
        <v>238.547</v>
      </c>
      <c r="BA24" s="22">
        <v>-1.5795900000000002E-2</v>
      </c>
      <c r="BB24" s="22">
        <v>14</v>
      </c>
      <c r="BC24" s="22">
        <v>-2.9690600000000001E-2</v>
      </c>
      <c r="BD24">
        <f t="shared" si="10"/>
        <v>15.795900000000001</v>
      </c>
      <c r="BE24">
        <f t="shared" si="11"/>
        <v>-0.46518135705000002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9.1374600000000008</v>
      </c>
      <c r="I25" s="22">
        <v>-6.5979000000000003E-3</v>
      </c>
      <c r="J25" s="22">
        <v>15</v>
      </c>
      <c r="K25" s="22">
        <v>1.72424</v>
      </c>
      <c r="L25">
        <f t="shared" si="0"/>
        <v>6.5979000000000001</v>
      </c>
      <c r="M25">
        <f t="shared" si="1"/>
        <v>11.377418759999999</v>
      </c>
      <c r="N25" s="9"/>
      <c r="O25" s="22">
        <v>-2.4414100000000001E-2</v>
      </c>
      <c r="P25" s="22">
        <v>58.558900000000001</v>
      </c>
      <c r="Q25" s="22">
        <v>-1.5832499999999999E-2</v>
      </c>
      <c r="R25" s="22">
        <v>15</v>
      </c>
      <c r="S25" s="22">
        <v>-2.4679599999999999E-2</v>
      </c>
      <c r="T25">
        <f t="shared" si="2"/>
        <v>15.8325</v>
      </c>
      <c r="U25">
        <f t="shared" si="3"/>
        <v>-0.38653623825</v>
      </c>
      <c r="V25" s="23"/>
      <c r="W25" s="24"/>
      <c r="X25" s="9"/>
      <c r="Y25" s="22">
        <v>1.7243999999999999</v>
      </c>
      <c r="Z25" s="22">
        <v>108.136</v>
      </c>
      <c r="AA25" s="22">
        <v>-6.4300499999999997E-3</v>
      </c>
      <c r="AB25" s="22">
        <v>15</v>
      </c>
      <c r="AC25" s="22">
        <v>1.72363</v>
      </c>
      <c r="AD25">
        <f t="shared" si="4"/>
        <v>6.4300499999999996</v>
      </c>
      <c r="AE25">
        <f t="shared" si="5"/>
        <v>11.087978219999998</v>
      </c>
      <c r="AF25" s="9"/>
      <c r="AG25" s="22">
        <v>-2.4414100000000001E-2</v>
      </c>
      <c r="AH25" s="22">
        <v>139.79499999999999</v>
      </c>
      <c r="AI25" s="22">
        <v>-1.5817299999999999E-2</v>
      </c>
      <c r="AJ25" s="22">
        <v>15</v>
      </c>
      <c r="AK25" s="22">
        <v>-2.4697899999999998E-2</v>
      </c>
      <c r="AL25">
        <f t="shared" si="6"/>
        <v>15.817299999999999</v>
      </c>
      <c r="AM25">
        <f t="shared" si="7"/>
        <v>-0.38616514393000001</v>
      </c>
      <c r="AP25" s="9"/>
      <c r="AQ25" s="22">
        <v>1.7243999999999999</v>
      </c>
      <c r="AR25" s="22">
        <v>189.17400000000001</v>
      </c>
      <c r="AS25" s="22">
        <v>-6.4239500000000003E-3</v>
      </c>
      <c r="AT25" s="22">
        <v>15</v>
      </c>
      <c r="AU25" s="22">
        <v>1.72363</v>
      </c>
      <c r="AV25">
        <f t="shared" si="8"/>
        <v>6.4239500000000005</v>
      </c>
      <c r="AW25">
        <f t="shared" si="9"/>
        <v>11.077459380000001</v>
      </c>
      <c r="AX25" s="9"/>
      <c r="AY25" s="22">
        <v>-2.4414100000000001E-2</v>
      </c>
      <c r="AZ25" s="22">
        <v>238.55699999999999</v>
      </c>
      <c r="BA25" s="22">
        <v>-1.5795900000000002E-2</v>
      </c>
      <c r="BB25" s="22">
        <v>15</v>
      </c>
      <c r="BC25" s="22">
        <v>-2.46918E-2</v>
      </c>
      <c r="BD25">
        <f t="shared" si="10"/>
        <v>15.795900000000001</v>
      </c>
      <c r="BE25">
        <f t="shared" si="11"/>
        <v>-0.38564268219000003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9.1475299999999997</v>
      </c>
      <c r="I26" s="22">
        <v>-7.0129399999999996E-3</v>
      </c>
      <c r="J26" s="22">
        <v>16</v>
      </c>
      <c r="K26" s="22">
        <v>1.71875</v>
      </c>
      <c r="L26">
        <f t="shared" si="0"/>
        <v>7.0129399999999995</v>
      </c>
      <c r="M26">
        <f t="shared" si="1"/>
        <v>12.0577685184</v>
      </c>
      <c r="N26" s="9"/>
      <c r="O26" s="22">
        <v>-1.9378699999999999E-2</v>
      </c>
      <c r="P26" s="22">
        <v>58.569000000000003</v>
      </c>
      <c r="Q26" s="22">
        <v>-1.5832499999999999E-2</v>
      </c>
      <c r="R26" s="22">
        <v>16</v>
      </c>
      <c r="S26" s="22">
        <v>-1.95526E-2</v>
      </c>
      <c r="T26">
        <f t="shared" si="2"/>
        <v>15.8325</v>
      </c>
      <c r="U26">
        <f t="shared" si="3"/>
        <v>-0.30681326774999995</v>
      </c>
      <c r="V26" s="23"/>
      <c r="W26" s="24"/>
      <c r="X26" s="9"/>
      <c r="Y26" s="22">
        <v>1.71936</v>
      </c>
      <c r="Z26" s="22">
        <v>108.146</v>
      </c>
      <c r="AA26" s="22">
        <v>-6.8664599999999996E-3</v>
      </c>
      <c r="AB26" s="22">
        <v>16</v>
      </c>
      <c r="AC26" s="22">
        <v>1.71875</v>
      </c>
      <c r="AD26">
        <f t="shared" si="4"/>
        <v>6.86646</v>
      </c>
      <c r="AE26">
        <f t="shared" si="5"/>
        <v>11.8059166656</v>
      </c>
      <c r="AF26" s="9"/>
      <c r="AG26" s="22">
        <v>-1.9378699999999999E-2</v>
      </c>
      <c r="AH26" s="22">
        <v>139.80500000000001</v>
      </c>
      <c r="AI26" s="22">
        <v>-1.58142E-2</v>
      </c>
      <c r="AJ26" s="22">
        <v>16</v>
      </c>
      <c r="AK26" s="22">
        <v>-1.96045E-2</v>
      </c>
      <c r="AL26">
        <f t="shared" si="6"/>
        <v>15.8142</v>
      </c>
      <c r="AM26">
        <f t="shared" si="7"/>
        <v>-0.30645863753999997</v>
      </c>
      <c r="AP26" s="9"/>
      <c r="AQ26" s="22">
        <v>1.71936</v>
      </c>
      <c r="AR26" s="22">
        <v>189.184</v>
      </c>
      <c r="AS26" s="22">
        <v>-6.84814E-3</v>
      </c>
      <c r="AT26" s="22">
        <v>16</v>
      </c>
      <c r="AU26" s="22">
        <v>1.71844</v>
      </c>
      <c r="AV26">
        <f t="shared" si="8"/>
        <v>6.8481399999999999</v>
      </c>
      <c r="AW26">
        <f t="shared" si="9"/>
        <v>11.7744179904</v>
      </c>
      <c r="AX26" s="9"/>
      <c r="AY26" s="22">
        <v>-1.9378699999999999E-2</v>
      </c>
      <c r="AZ26" s="22">
        <v>238.56700000000001</v>
      </c>
      <c r="BA26" s="22">
        <v>-1.5792799999999999E-2</v>
      </c>
      <c r="BB26" s="22">
        <v>16</v>
      </c>
      <c r="BC26" s="22">
        <v>-1.95923E-2</v>
      </c>
      <c r="BD26">
        <f t="shared" si="10"/>
        <v>15.7928</v>
      </c>
      <c r="BE26">
        <f t="shared" si="11"/>
        <v>-0.30604393335999996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9.1576000000000004</v>
      </c>
      <c r="I27" s="22">
        <v>-7.4005099999999999E-3</v>
      </c>
      <c r="J27" s="22">
        <v>17</v>
      </c>
      <c r="K27" s="22">
        <v>1.71356</v>
      </c>
      <c r="L27">
        <f t="shared" si="0"/>
        <v>7.4005099999999997</v>
      </c>
      <c r="M27">
        <f t="shared" si="1"/>
        <v>12.686842303200001</v>
      </c>
      <c r="N27" s="9"/>
      <c r="O27" s="22">
        <v>-1.43433E-2</v>
      </c>
      <c r="P27" s="22">
        <v>58.579000000000001</v>
      </c>
      <c r="Q27" s="22">
        <v>-1.58295E-2</v>
      </c>
      <c r="R27" s="22">
        <v>17</v>
      </c>
      <c r="S27" s="22">
        <v>-1.4566000000000001E-2</v>
      </c>
      <c r="T27">
        <f t="shared" si="2"/>
        <v>15.829499999999999</v>
      </c>
      <c r="U27">
        <f t="shared" si="3"/>
        <v>-0.22704726735</v>
      </c>
      <c r="X27" s="9"/>
      <c r="Y27" s="22">
        <v>1.7143200000000001</v>
      </c>
      <c r="Z27" s="22">
        <v>108.15600000000001</v>
      </c>
      <c r="AA27" s="22">
        <v>-7.2692900000000003E-3</v>
      </c>
      <c r="AB27" s="22">
        <v>17</v>
      </c>
      <c r="AC27" s="22">
        <v>1.71326</v>
      </c>
      <c r="AD27">
        <f t="shared" si="4"/>
        <v>7.2692900000000007</v>
      </c>
      <c r="AE27">
        <f t="shared" si="5"/>
        <v>12.461889232800001</v>
      </c>
      <c r="AF27" s="9"/>
      <c r="AG27" s="22">
        <v>-1.43433E-2</v>
      </c>
      <c r="AH27" s="22">
        <v>139.816</v>
      </c>
      <c r="AI27" s="22">
        <v>-1.58142E-2</v>
      </c>
      <c r="AJ27" s="22">
        <v>17</v>
      </c>
      <c r="AK27" s="22">
        <v>-1.45416E-2</v>
      </c>
      <c r="AL27">
        <f t="shared" si="6"/>
        <v>15.8142</v>
      </c>
      <c r="AM27">
        <f t="shared" si="7"/>
        <v>-0.22682781486</v>
      </c>
      <c r="AP27" s="9"/>
      <c r="AQ27" s="22">
        <v>1.7143200000000001</v>
      </c>
      <c r="AR27" s="22">
        <v>189.19399999999999</v>
      </c>
      <c r="AS27" s="22">
        <v>-7.2479199999999997E-3</v>
      </c>
      <c r="AT27" s="22">
        <v>17</v>
      </c>
      <c r="AU27" s="22">
        <v>1.71326</v>
      </c>
      <c r="AV27">
        <f t="shared" si="8"/>
        <v>7.2479199999999997</v>
      </c>
      <c r="AW27">
        <f t="shared" si="9"/>
        <v>12.425254214400001</v>
      </c>
      <c r="AX27" s="9"/>
      <c r="AY27" s="22">
        <v>-1.43433E-2</v>
      </c>
      <c r="AZ27" s="22">
        <v>238.577</v>
      </c>
      <c r="BA27" s="22">
        <v>-1.5792799999999999E-2</v>
      </c>
      <c r="BB27" s="22">
        <v>17</v>
      </c>
      <c r="BC27" s="22">
        <v>-1.4556899999999999E-2</v>
      </c>
      <c r="BD27">
        <f t="shared" si="10"/>
        <v>15.7928</v>
      </c>
      <c r="BE27">
        <f t="shared" si="11"/>
        <v>-0.22652086824000001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9.1676699999999993</v>
      </c>
      <c r="I28" s="22">
        <v>-7.7636700000000003E-3</v>
      </c>
      <c r="J28" s="22">
        <v>18</v>
      </c>
      <c r="K28" s="22">
        <v>1.7083699999999999</v>
      </c>
      <c r="L28">
        <f t="shared" si="0"/>
        <v>7.7636700000000003</v>
      </c>
      <c r="M28">
        <f t="shared" si="1"/>
        <v>13.2703634943</v>
      </c>
      <c r="N28" s="9"/>
      <c r="O28" s="22">
        <v>-9.3078599999999994E-3</v>
      </c>
      <c r="P28" s="22">
        <v>58.589100000000002</v>
      </c>
      <c r="Q28" s="22">
        <v>-1.5820299999999999E-2</v>
      </c>
      <c r="R28" s="22">
        <v>18</v>
      </c>
      <c r="S28" s="22">
        <v>-9.5153800000000004E-3</v>
      </c>
      <c r="T28">
        <f t="shared" si="2"/>
        <v>15.8203</v>
      </c>
      <c r="U28">
        <f t="shared" si="3"/>
        <v>-0.14725313755799999</v>
      </c>
      <c r="X28" s="9"/>
      <c r="Y28" s="22">
        <v>1.70929</v>
      </c>
      <c r="Z28" s="22">
        <v>108.167</v>
      </c>
      <c r="AA28" s="22">
        <v>-7.6538099999999996E-3</v>
      </c>
      <c r="AB28" s="22">
        <v>18</v>
      </c>
      <c r="AC28" s="22">
        <v>1.7089799999999999</v>
      </c>
      <c r="AD28">
        <f t="shared" si="4"/>
        <v>7.65381</v>
      </c>
      <c r="AE28">
        <f t="shared" si="5"/>
        <v>13.0825808949</v>
      </c>
      <c r="AF28" s="9"/>
      <c r="AG28" s="22">
        <v>-9.3078599999999994E-3</v>
      </c>
      <c r="AH28" s="22">
        <v>139.82599999999999</v>
      </c>
      <c r="AI28" s="22">
        <v>-1.5808099999999999E-2</v>
      </c>
      <c r="AJ28" s="22">
        <v>18</v>
      </c>
      <c r="AK28" s="22">
        <v>-9.50317E-3</v>
      </c>
      <c r="AL28">
        <f t="shared" si="6"/>
        <v>15.808099999999998</v>
      </c>
      <c r="AM28">
        <f t="shared" si="7"/>
        <v>-0.14713958166599997</v>
      </c>
      <c r="AP28" s="9"/>
      <c r="AQ28" s="22">
        <v>1.70929</v>
      </c>
      <c r="AR28" s="22">
        <v>189.20400000000001</v>
      </c>
      <c r="AS28" s="22">
        <v>-7.6293899999999998E-3</v>
      </c>
      <c r="AT28" s="22">
        <v>18</v>
      </c>
      <c r="AU28" s="22">
        <v>1.70868</v>
      </c>
      <c r="AV28">
        <f t="shared" si="8"/>
        <v>7.6293899999999999</v>
      </c>
      <c r="AW28">
        <f t="shared" si="9"/>
        <v>13.0408400331</v>
      </c>
      <c r="AX28" s="9"/>
      <c r="AY28" s="22">
        <v>-9.3078599999999994E-3</v>
      </c>
      <c r="AZ28" s="22">
        <v>238.58699999999999</v>
      </c>
      <c r="BA28" s="22">
        <v>-1.5786700000000001E-2</v>
      </c>
      <c r="BB28" s="22">
        <v>18</v>
      </c>
      <c r="BC28" s="22">
        <v>-9.4940200000000006E-3</v>
      </c>
      <c r="BD28">
        <f t="shared" si="10"/>
        <v>15.786700000000002</v>
      </c>
      <c r="BE28">
        <f t="shared" si="11"/>
        <v>-0.146940393462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9.1777499999999996</v>
      </c>
      <c r="I29" s="22">
        <v>-8.1024200000000008E-3</v>
      </c>
      <c r="J29" s="22">
        <v>19</v>
      </c>
      <c r="K29" s="22">
        <v>1.7038</v>
      </c>
      <c r="L29">
        <f t="shared" si="0"/>
        <v>8.1024200000000004</v>
      </c>
      <c r="M29">
        <f t="shared" si="1"/>
        <v>13.808549285000002</v>
      </c>
      <c r="N29" s="9"/>
      <c r="O29" s="22">
        <v>-4.2724599999999996E-3</v>
      </c>
      <c r="P29" s="22">
        <v>58.599200000000003</v>
      </c>
      <c r="Q29" s="22">
        <v>-1.58142E-2</v>
      </c>
      <c r="R29" s="22">
        <v>19</v>
      </c>
      <c r="S29" s="22">
        <v>-4.4525099999999998E-3</v>
      </c>
      <c r="T29">
        <f t="shared" si="2"/>
        <v>15.8142</v>
      </c>
      <c r="U29">
        <f t="shared" si="3"/>
        <v>-6.7565536931999987E-2</v>
      </c>
      <c r="X29" s="9"/>
      <c r="Y29" s="22">
        <v>1.70425</v>
      </c>
      <c r="Z29" s="22">
        <v>108.17700000000001</v>
      </c>
      <c r="AA29" s="22">
        <v>-8.0047599999999997E-3</v>
      </c>
      <c r="AB29" s="22">
        <v>19</v>
      </c>
      <c r="AC29" s="22">
        <v>1.70319</v>
      </c>
      <c r="AD29">
        <f t="shared" si="4"/>
        <v>8.0047599999999992</v>
      </c>
      <c r="AE29">
        <f t="shared" si="5"/>
        <v>13.642112229999999</v>
      </c>
      <c r="AF29" s="9"/>
      <c r="AG29" s="22">
        <v>-4.2724599999999996E-3</v>
      </c>
      <c r="AH29" s="22">
        <v>139.83600000000001</v>
      </c>
      <c r="AI29" s="22">
        <v>-1.5805099999999999E-2</v>
      </c>
      <c r="AJ29" s="22">
        <v>19</v>
      </c>
      <c r="AK29" s="22">
        <v>-4.4433600000000004E-3</v>
      </c>
      <c r="AL29">
        <f t="shared" si="6"/>
        <v>15.805099999999999</v>
      </c>
      <c r="AM29">
        <f t="shared" si="7"/>
        <v>-6.7526657545999985E-2</v>
      </c>
      <c r="AP29" s="9"/>
      <c r="AQ29" s="22">
        <v>1.70425</v>
      </c>
      <c r="AR29" s="22">
        <v>189.214</v>
      </c>
      <c r="AS29" s="22">
        <v>-7.9864500000000008E-3</v>
      </c>
      <c r="AT29" s="22">
        <v>19</v>
      </c>
      <c r="AU29" s="22">
        <v>1.7038</v>
      </c>
      <c r="AV29">
        <f t="shared" si="8"/>
        <v>7.9864500000000005</v>
      </c>
      <c r="AW29">
        <f t="shared" si="9"/>
        <v>13.610907412500001</v>
      </c>
      <c r="AX29" s="9"/>
      <c r="AY29" s="22">
        <v>-4.2724599999999996E-3</v>
      </c>
      <c r="AZ29" s="22">
        <v>238.59800000000001</v>
      </c>
      <c r="BA29" s="22">
        <v>-1.5783700000000001E-2</v>
      </c>
      <c r="BB29" s="22">
        <v>19</v>
      </c>
      <c r="BC29" s="22">
        <v>-4.4647200000000001E-3</v>
      </c>
      <c r="BD29">
        <f t="shared" si="10"/>
        <v>15.783700000000001</v>
      </c>
      <c r="BE29">
        <f t="shared" si="11"/>
        <v>-6.7435226902000003E-2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9.1878200000000003</v>
      </c>
      <c r="I30" s="22">
        <v>-8.4289599999999992E-3</v>
      </c>
      <c r="J30" s="22">
        <v>20</v>
      </c>
      <c r="K30" s="22">
        <v>1.69861</v>
      </c>
      <c r="L30">
        <f t="shared" si="0"/>
        <v>8.42896</v>
      </c>
      <c r="M30">
        <f t="shared" si="1"/>
        <v>14.3226574112</v>
      </c>
      <c r="N30" s="9"/>
      <c r="O30" s="22">
        <v>7.6293900000000002E-4</v>
      </c>
      <c r="P30" s="22">
        <v>58.609200000000001</v>
      </c>
      <c r="Q30" s="22">
        <v>-1.5808099999999999E-2</v>
      </c>
      <c r="R30" s="22">
        <v>20</v>
      </c>
      <c r="S30" s="22">
        <v>6.2866199999999999E-4</v>
      </c>
      <c r="T30">
        <f t="shared" si="2"/>
        <v>15.808099999999998</v>
      </c>
      <c r="U30">
        <f t="shared" si="3"/>
        <v>1.2060616005899999E-2</v>
      </c>
      <c r="X30" s="9"/>
      <c r="Y30" s="22">
        <v>1.69922</v>
      </c>
      <c r="Z30" s="22">
        <v>108.187</v>
      </c>
      <c r="AA30" s="22">
        <v>-8.3251999999999996E-3</v>
      </c>
      <c r="AB30" s="22">
        <v>20</v>
      </c>
      <c r="AC30" s="22">
        <v>1.698</v>
      </c>
      <c r="AD30">
        <f t="shared" si="4"/>
        <v>8.3251999999999988</v>
      </c>
      <c r="AE30">
        <f t="shared" si="5"/>
        <v>14.146346343999998</v>
      </c>
      <c r="AF30" s="9"/>
      <c r="AG30" s="22">
        <v>7.6293900000000002E-4</v>
      </c>
      <c r="AH30" s="22">
        <v>139.846</v>
      </c>
      <c r="AI30" s="22">
        <v>-1.5805099999999999E-2</v>
      </c>
      <c r="AJ30" s="22">
        <v>20</v>
      </c>
      <c r="AK30" s="22">
        <v>5.9814500000000001E-4</v>
      </c>
      <c r="AL30">
        <f t="shared" si="6"/>
        <v>15.805099999999999</v>
      </c>
      <c r="AM30">
        <f t="shared" si="7"/>
        <v>1.20583271889E-2</v>
      </c>
      <c r="AP30" s="9"/>
      <c r="AQ30" s="22">
        <v>1.69922</v>
      </c>
      <c r="AR30" s="22">
        <v>189.22399999999999</v>
      </c>
      <c r="AS30" s="22">
        <v>-8.3160400000000002E-3</v>
      </c>
      <c r="AT30" s="22">
        <v>20</v>
      </c>
      <c r="AU30" s="22">
        <v>1.69861</v>
      </c>
      <c r="AV30">
        <f t="shared" si="8"/>
        <v>8.316040000000001</v>
      </c>
      <c r="AW30">
        <f t="shared" si="9"/>
        <v>14.130781488800002</v>
      </c>
      <c r="AX30" s="9"/>
      <c r="AY30" s="22">
        <v>7.6293900000000002E-4</v>
      </c>
      <c r="AZ30" s="22">
        <v>238.608</v>
      </c>
      <c r="BA30" s="22">
        <v>-1.5780599999999999E-2</v>
      </c>
      <c r="BB30" s="22">
        <v>20</v>
      </c>
      <c r="BC30" s="22">
        <v>6.13403E-4</v>
      </c>
      <c r="BD30">
        <f t="shared" si="10"/>
        <v>15.780599999999998</v>
      </c>
      <c r="BE30">
        <f t="shared" si="11"/>
        <v>1.2039635183399998E-2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9.1978899999999992</v>
      </c>
      <c r="I31" s="22">
        <v>-8.7280299999999995E-3</v>
      </c>
      <c r="J31" s="22">
        <v>21</v>
      </c>
      <c r="K31" s="22">
        <v>1.69312</v>
      </c>
      <c r="L31">
        <f t="shared" si="0"/>
        <v>8.7280299999999986</v>
      </c>
      <c r="M31">
        <f t="shared" si="1"/>
        <v>14.786853865399998</v>
      </c>
      <c r="N31" s="9"/>
      <c r="O31" s="22">
        <v>5.7983399999999999E-3</v>
      </c>
      <c r="P31" s="22">
        <v>58.619300000000003</v>
      </c>
      <c r="Q31" s="22">
        <v>-1.5808099999999999E-2</v>
      </c>
      <c r="R31" s="22">
        <v>21</v>
      </c>
      <c r="S31" s="22">
        <v>5.6487999999999998E-3</v>
      </c>
      <c r="T31">
        <f t="shared" si="2"/>
        <v>15.808099999999998</v>
      </c>
      <c r="U31">
        <f t="shared" si="3"/>
        <v>9.166073855399999E-2</v>
      </c>
      <c r="X31" s="9"/>
      <c r="Y31" s="22">
        <v>1.69418</v>
      </c>
      <c r="Z31" s="22">
        <v>108.197</v>
      </c>
      <c r="AA31" s="22">
        <v>-8.6273200000000008E-3</v>
      </c>
      <c r="AB31" s="22">
        <v>21</v>
      </c>
      <c r="AC31" s="22">
        <v>1.69312</v>
      </c>
      <c r="AD31">
        <f t="shared" si="4"/>
        <v>8.627320000000001</v>
      </c>
      <c r="AE31">
        <f t="shared" si="5"/>
        <v>14.616232997600003</v>
      </c>
      <c r="AF31" s="9"/>
      <c r="AG31" s="22">
        <v>5.7983399999999999E-3</v>
      </c>
      <c r="AH31" s="22">
        <v>139.85599999999999</v>
      </c>
      <c r="AI31" s="22">
        <v>-1.5808099999999999E-2</v>
      </c>
      <c r="AJ31" s="22">
        <v>21</v>
      </c>
      <c r="AK31" s="22">
        <v>5.6426999999999996E-3</v>
      </c>
      <c r="AL31">
        <f t="shared" si="6"/>
        <v>15.808099999999998</v>
      </c>
      <c r="AM31">
        <f t="shared" si="7"/>
        <v>9.166073855399999E-2</v>
      </c>
      <c r="AP31" s="9"/>
      <c r="AQ31" s="22">
        <v>1.69418</v>
      </c>
      <c r="AR31" s="22">
        <v>189.23400000000001</v>
      </c>
      <c r="AS31" s="22">
        <v>-8.6090100000000003E-3</v>
      </c>
      <c r="AT31" s="22">
        <v>21</v>
      </c>
      <c r="AU31" s="22">
        <v>1.6934199999999999</v>
      </c>
      <c r="AV31">
        <f t="shared" si="8"/>
        <v>8.6090099999999996</v>
      </c>
      <c r="AW31">
        <f t="shared" si="9"/>
        <v>14.585212561799999</v>
      </c>
      <c r="AX31" s="9"/>
      <c r="AY31" s="22">
        <v>5.7983399999999999E-3</v>
      </c>
      <c r="AZ31" s="22">
        <v>238.61799999999999</v>
      </c>
      <c r="BA31" s="22">
        <v>-1.5783700000000001E-2</v>
      </c>
      <c r="BB31" s="22">
        <v>21</v>
      </c>
      <c r="BC31" s="22">
        <v>5.62744E-3</v>
      </c>
      <c r="BD31">
        <f t="shared" si="10"/>
        <v>15.783700000000001</v>
      </c>
      <c r="BE31">
        <f t="shared" si="11"/>
        <v>9.1519259058000013E-2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9.2079599999999999</v>
      </c>
      <c r="I32" s="22">
        <v>-8.9996299999999998E-3</v>
      </c>
      <c r="J32" s="22">
        <v>22</v>
      </c>
      <c r="K32" s="22">
        <v>1.6885399999999999</v>
      </c>
      <c r="L32">
        <f t="shared" si="0"/>
        <v>8.9996299999999998</v>
      </c>
      <c r="M32">
        <f t="shared" si="1"/>
        <v>15.201725014499999</v>
      </c>
      <c r="N32" s="9"/>
      <c r="O32" s="22">
        <v>1.08337E-2</v>
      </c>
      <c r="P32" s="22">
        <v>58.629399999999997</v>
      </c>
      <c r="Q32" s="22">
        <v>-1.5802E-2</v>
      </c>
      <c r="R32" s="22">
        <v>22</v>
      </c>
      <c r="S32" s="22">
        <v>1.0671999999999999E-2</v>
      </c>
      <c r="T32">
        <f t="shared" si="2"/>
        <v>15.802</v>
      </c>
      <c r="U32">
        <f t="shared" si="3"/>
        <v>0.17119412740000001</v>
      </c>
      <c r="X32" s="9"/>
      <c r="Y32" s="22">
        <v>1.6891499999999999</v>
      </c>
      <c r="Z32" s="22">
        <v>108.20699999999999</v>
      </c>
      <c r="AA32" s="22">
        <v>-8.9172399999999999E-3</v>
      </c>
      <c r="AB32" s="22">
        <v>22</v>
      </c>
      <c r="AC32" s="22">
        <v>1.6882299999999999</v>
      </c>
      <c r="AD32">
        <f t="shared" si="4"/>
        <v>8.9172399999999996</v>
      </c>
      <c r="AE32">
        <f t="shared" si="5"/>
        <v>15.062555945999998</v>
      </c>
      <c r="AF32" s="9"/>
      <c r="AG32" s="22">
        <v>1.08337E-2</v>
      </c>
      <c r="AH32" s="22">
        <v>139.86600000000001</v>
      </c>
      <c r="AI32" s="22">
        <v>-1.5808099999999999E-2</v>
      </c>
      <c r="AJ32" s="22">
        <v>22</v>
      </c>
      <c r="AK32" s="22">
        <v>1.06934E-2</v>
      </c>
      <c r="AL32">
        <f t="shared" si="6"/>
        <v>15.808099999999998</v>
      </c>
      <c r="AM32">
        <f t="shared" si="7"/>
        <v>0.17126021296999996</v>
      </c>
      <c r="AP32" s="9"/>
      <c r="AQ32" s="22">
        <v>1.6891499999999999</v>
      </c>
      <c r="AR32" s="22">
        <v>189.244</v>
      </c>
      <c r="AS32" s="22">
        <v>-8.8928199999999992E-3</v>
      </c>
      <c r="AT32" s="22">
        <v>22</v>
      </c>
      <c r="AU32" s="22">
        <v>1.6876199999999999</v>
      </c>
      <c r="AV32">
        <f t="shared" si="8"/>
        <v>8.8928199999999986</v>
      </c>
      <c r="AW32">
        <f t="shared" si="9"/>
        <v>15.021306902999997</v>
      </c>
      <c r="AX32" s="9"/>
      <c r="AY32" s="22">
        <v>1.08337E-2</v>
      </c>
      <c r="AZ32" s="22">
        <v>238.62799999999999</v>
      </c>
      <c r="BA32" s="22">
        <v>-1.5783700000000001E-2</v>
      </c>
      <c r="BB32" s="22">
        <v>22</v>
      </c>
      <c r="BC32" s="22">
        <v>1.0754400000000001E-2</v>
      </c>
      <c r="BD32">
        <f t="shared" si="10"/>
        <v>15.783700000000001</v>
      </c>
      <c r="BE32">
        <f t="shared" si="11"/>
        <v>0.17099587069000002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9.2180300000000006</v>
      </c>
      <c r="I33" s="22">
        <v>-9.2529299999999995E-3</v>
      </c>
      <c r="J33" s="22">
        <v>23</v>
      </c>
      <c r="K33" s="22">
        <v>1.6830400000000001</v>
      </c>
      <c r="L33">
        <f t="shared" si="0"/>
        <v>9.2529299999999992</v>
      </c>
      <c r="M33">
        <f t="shared" si="1"/>
        <v>15.582951942299999</v>
      </c>
      <c r="N33" s="9"/>
      <c r="O33" s="22">
        <v>1.5869100000000001E-2</v>
      </c>
      <c r="P33" s="22">
        <v>58.639499999999998</v>
      </c>
      <c r="Q33" s="22">
        <v>-1.5802E-2</v>
      </c>
      <c r="R33" s="22">
        <v>23</v>
      </c>
      <c r="S33" s="22">
        <v>1.57745E-2</v>
      </c>
      <c r="T33">
        <f t="shared" si="2"/>
        <v>15.802</v>
      </c>
      <c r="U33">
        <f t="shared" si="3"/>
        <v>0.25076351819999998</v>
      </c>
      <c r="X33" s="9"/>
      <c r="Y33" s="22">
        <v>1.68411</v>
      </c>
      <c r="Z33" s="22">
        <v>108.217</v>
      </c>
      <c r="AA33" s="22">
        <v>-9.18274E-3</v>
      </c>
      <c r="AB33" s="22">
        <v>23</v>
      </c>
      <c r="AC33" s="22">
        <v>1.6830400000000001</v>
      </c>
      <c r="AD33">
        <f t="shared" si="4"/>
        <v>9.1827400000000008</v>
      </c>
      <c r="AE33">
        <f t="shared" si="5"/>
        <v>15.464744261400002</v>
      </c>
      <c r="AF33" s="9"/>
      <c r="AG33" s="22">
        <v>1.5869100000000001E-2</v>
      </c>
      <c r="AH33" s="22">
        <v>139.876</v>
      </c>
      <c r="AI33" s="22">
        <v>-1.5805099999999999E-2</v>
      </c>
      <c r="AJ33" s="22">
        <v>23</v>
      </c>
      <c r="AK33" s="22">
        <v>1.57593E-2</v>
      </c>
      <c r="AL33">
        <f t="shared" si="6"/>
        <v>15.805099999999999</v>
      </c>
      <c r="AM33">
        <f t="shared" si="7"/>
        <v>0.25081271241000003</v>
      </c>
      <c r="AP33" s="9"/>
      <c r="AQ33" s="22">
        <v>1.68411</v>
      </c>
      <c r="AR33" s="22">
        <v>189.25399999999999</v>
      </c>
      <c r="AS33" s="22">
        <v>-9.1583299999999992E-3</v>
      </c>
      <c r="AT33" s="22">
        <v>23</v>
      </c>
      <c r="AU33" s="22">
        <v>1.6842699999999999</v>
      </c>
      <c r="AV33">
        <f t="shared" si="8"/>
        <v>9.1583299999999994</v>
      </c>
      <c r="AW33">
        <f t="shared" si="9"/>
        <v>15.4236351363</v>
      </c>
      <c r="AX33" s="9"/>
      <c r="AY33" s="22">
        <v>1.5869100000000001E-2</v>
      </c>
      <c r="AZ33" s="22">
        <v>238.63800000000001</v>
      </c>
      <c r="BA33" s="22">
        <v>-1.5780599999999999E-2</v>
      </c>
      <c r="BB33" s="22">
        <v>23</v>
      </c>
      <c r="BC33" s="22">
        <v>1.5786700000000001E-2</v>
      </c>
      <c r="BD33">
        <f t="shared" si="10"/>
        <v>15.780599999999998</v>
      </c>
      <c r="BE33">
        <f t="shared" si="11"/>
        <v>0.25042391945999998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9.2280999999999995</v>
      </c>
      <c r="I34" s="22">
        <v>-9.5001200000000008E-3</v>
      </c>
      <c r="J34" s="22">
        <v>24</v>
      </c>
      <c r="K34" s="22">
        <v>1.6778599999999999</v>
      </c>
      <c r="L34">
        <f t="shared" si="0"/>
        <v>9.5001200000000008</v>
      </c>
      <c r="M34">
        <f t="shared" si="1"/>
        <v>15.9514614896</v>
      </c>
      <c r="N34" s="9"/>
      <c r="O34" s="22">
        <v>2.0904499999999999E-2</v>
      </c>
      <c r="P34" s="22">
        <v>58.649500000000003</v>
      </c>
      <c r="Q34" s="22">
        <v>-1.5799000000000001E-2</v>
      </c>
      <c r="R34" s="22">
        <v>24</v>
      </c>
      <c r="S34" s="22">
        <v>2.0782499999999999E-2</v>
      </c>
      <c r="T34">
        <f t="shared" si="2"/>
        <v>15.799000000000001</v>
      </c>
      <c r="U34">
        <f t="shared" si="3"/>
        <v>0.33027019550000003</v>
      </c>
      <c r="X34" s="9"/>
      <c r="Y34" s="22">
        <v>1.6790799999999999</v>
      </c>
      <c r="Z34" s="22">
        <v>108.227</v>
      </c>
      <c r="AA34" s="22">
        <v>-9.4360399999999997E-3</v>
      </c>
      <c r="AB34" s="22">
        <v>24</v>
      </c>
      <c r="AC34" s="22">
        <v>1.6784699999999999</v>
      </c>
      <c r="AD34">
        <f t="shared" si="4"/>
        <v>9.4360400000000002</v>
      </c>
      <c r="AE34">
        <f t="shared" si="5"/>
        <v>15.8438660432</v>
      </c>
      <c r="AF34" s="9"/>
      <c r="AG34" s="22">
        <v>2.0904499999999999E-2</v>
      </c>
      <c r="AH34" s="22">
        <v>139.886</v>
      </c>
      <c r="AI34" s="22">
        <v>-1.5805099999999999E-2</v>
      </c>
      <c r="AJ34" s="22">
        <v>24</v>
      </c>
      <c r="AK34" s="22">
        <v>2.0803800000000001E-2</v>
      </c>
      <c r="AL34">
        <f t="shared" si="6"/>
        <v>15.805099999999999</v>
      </c>
      <c r="AM34">
        <f t="shared" si="7"/>
        <v>0.33039771294999998</v>
      </c>
      <c r="AP34" s="9"/>
      <c r="AQ34" s="22">
        <v>1.6790799999999999</v>
      </c>
      <c r="AR34" s="22">
        <v>189.26400000000001</v>
      </c>
      <c r="AS34" s="22">
        <v>-9.4116200000000007E-3</v>
      </c>
      <c r="AT34" s="22">
        <v>24</v>
      </c>
      <c r="AU34" s="22">
        <v>1.6784699999999999</v>
      </c>
      <c r="AV34">
        <f t="shared" si="8"/>
        <v>9.411620000000001</v>
      </c>
      <c r="AW34">
        <f t="shared" si="9"/>
        <v>15.8028629096</v>
      </c>
      <c r="AX34" s="9"/>
      <c r="AY34" s="22">
        <v>2.0904499999999999E-2</v>
      </c>
      <c r="AZ34" s="22">
        <v>238.648</v>
      </c>
      <c r="BA34" s="22">
        <v>-1.57745E-2</v>
      </c>
      <c r="BB34" s="22">
        <v>24</v>
      </c>
      <c r="BC34" s="22">
        <v>2.0788600000000001E-2</v>
      </c>
      <c r="BD34">
        <f t="shared" si="10"/>
        <v>15.7745</v>
      </c>
      <c r="BE34">
        <f t="shared" si="11"/>
        <v>0.32975803524999997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9.2381700000000002</v>
      </c>
      <c r="I35" s="22">
        <v>-9.7320600000000007E-3</v>
      </c>
      <c r="J35" s="22">
        <v>25</v>
      </c>
      <c r="K35" s="22">
        <v>1.6735800000000001</v>
      </c>
      <c r="L35">
        <f t="shared" si="0"/>
        <v>9.7320600000000006</v>
      </c>
      <c r="M35">
        <f t="shared" si="1"/>
        <v>16.2918577224</v>
      </c>
      <c r="N35" s="9"/>
      <c r="O35" s="22">
        <v>2.5939899999999998E-2</v>
      </c>
      <c r="P35" s="22">
        <v>58.659599999999998</v>
      </c>
      <c r="Q35" s="22">
        <v>-1.5795900000000002E-2</v>
      </c>
      <c r="R35" s="22">
        <v>25</v>
      </c>
      <c r="S35" s="22">
        <v>2.5869799999999998E-2</v>
      </c>
      <c r="T35">
        <f t="shared" si="2"/>
        <v>15.795900000000001</v>
      </c>
      <c r="U35">
        <f t="shared" si="3"/>
        <v>0.40974406641</v>
      </c>
      <c r="X35" s="9"/>
      <c r="Y35" s="22">
        <v>1.67404</v>
      </c>
      <c r="Z35" s="22">
        <v>108.23699999999999</v>
      </c>
      <c r="AA35" s="22">
        <v>-9.6771200000000009E-3</v>
      </c>
      <c r="AB35" s="22">
        <v>25</v>
      </c>
      <c r="AC35" s="22">
        <v>1.6732800000000001</v>
      </c>
      <c r="AD35">
        <f t="shared" si="4"/>
        <v>9.6771200000000004</v>
      </c>
      <c r="AE35">
        <f t="shared" si="5"/>
        <v>16.1998859648</v>
      </c>
      <c r="AF35" s="9"/>
      <c r="AG35" s="22">
        <v>2.5939899999999998E-2</v>
      </c>
      <c r="AH35" s="22">
        <v>139.89599999999999</v>
      </c>
      <c r="AI35" s="22">
        <v>-1.5799000000000001E-2</v>
      </c>
      <c r="AJ35" s="22">
        <v>25</v>
      </c>
      <c r="AK35" s="22">
        <v>2.5848400000000001E-2</v>
      </c>
      <c r="AL35">
        <f t="shared" si="6"/>
        <v>15.799000000000001</v>
      </c>
      <c r="AM35">
        <f t="shared" si="7"/>
        <v>0.4098244801</v>
      </c>
      <c r="AP35" s="9"/>
      <c r="AQ35" s="22">
        <v>1.67404</v>
      </c>
      <c r="AR35" s="22">
        <v>189.27500000000001</v>
      </c>
      <c r="AS35" s="22">
        <v>-9.6588100000000003E-3</v>
      </c>
      <c r="AT35" s="22">
        <v>25</v>
      </c>
      <c r="AU35" s="22">
        <v>1.6735800000000001</v>
      </c>
      <c r="AV35">
        <f t="shared" si="8"/>
        <v>9.6588100000000008</v>
      </c>
      <c r="AW35">
        <f t="shared" si="9"/>
        <v>16.169234292400002</v>
      </c>
      <c r="AX35" s="9"/>
      <c r="AY35" s="22">
        <v>2.5939899999999998E-2</v>
      </c>
      <c r="AZ35" s="22">
        <v>238.65799999999999</v>
      </c>
      <c r="BA35" s="22">
        <v>-1.5765399999999999E-2</v>
      </c>
      <c r="BB35" s="22">
        <v>25</v>
      </c>
      <c r="BC35" s="22">
        <v>2.5778200000000001E-2</v>
      </c>
      <c r="BD35">
        <f t="shared" si="10"/>
        <v>15.7654</v>
      </c>
      <c r="BE35">
        <f t="shared" si="11"/>
        <v>0.40895289945999996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9.2482399999999991</v>
      </c>
      <c r="I36" s="22">
        <v>-9.9639900000000007E-3</v>
      </c>
      <c r="J36" s="22">
        <v>26</v>
      </c>
      <c r="K36" s="22">
        <v>1.6677900000000001</v>
      </c>
      <c r="L36">
        <f t="shared" si="0"/>
        <v>9.9639900000000008</v>
      </c>
      <c r="M36">
        <f t="shared" si="1"/>
        <v>16.629998949900003</v>
      </c>
      <c r="N36" s="9"/>
      <c r="O36" s="22">
        <v>3.0975300000000001E-2</v>
      </c>
      <c r="P36" s="22">
        <v>58.669699999999999</v>
      </c>
      <c r="Q36" s="22">
        <v>-1.5795900000000002E-2</v>
      </c>
      <c r="R36" s="22">
        <v>26</v>
      </c>
      <c r="S36" s="22">
        <v>3.08411E-2</v>
      </c>
      <c r="T36">
        <f t="shared" si="2"/>
        <v>15.795900000000001</v>
      </c>
      <c r="U36">
        <f t="shared" si="3"/>
        <v>0.48928274127000004</v>
      </c>
      <c r="X36" s="9"/>
      <c r="Y36" s="22">
        <v>1.6690100000000001</v>
      </c>
      <c r="Z36" s="22">
        <v>108.247</v>
      </c>
      <c r="AA36" s="22">
        <v>-9.8968500000000004E-3</v>
      </c>
      <c r="AB36" s="22">
        <v>26</v>
      </c>
      <c r="AC36" s="22">
        <v>1.6677900000000001</v>
      </c>
      <c r="AD36">
        <f t="shared" si="4"/>
        <v>9.8968500000000006</v>
      </c>
      <c r="AE36">
        <f t="shared" si="5"/>
        <v>16.517941618500004</v>
      </c>
      <c r="AF36" s="9"/>
      <c r="AG36" s="22">
        <v>3.0975300000000001E-2</v>
      </c>
      <c r="AH36" s="22">
        <v>139.90600000000001</v>
      </c>
      <c r="AI36" s="22">
        <v>-1.5792799999999999E-2</v>
      </c>
      <c r="AJ36" s="22">
        <v>26</v>
      </c>
      <c r="AK36" s="22">
        <v>3.0889900000000001E-2</v>
      </c>
      <c r="AL36">
        <f t="shared" si="6"/>
        <v>15.7928</v>
      </c>
      <c r="AM36">
        <f t="shared" si="7"/>
        <v>0.48918671784000001</v>
      </c>
      <c r="AP36" s="9"/>
      <c r="AQ36" s="22">
        <v>1.6690100000000001</v>
      </c>
      <c r="AR36" s="22">
        <v>189.285</v>
      </c>
      <c r="AS36" s="22">
        <v>-9.8907500000000002E-3</v>
      </c>
      <c r="AT36" s="22">
        <v>26</v>
      </c>
      <c r="AU36" s="22">
        <v>1.6680900000000001</v>
      </c>
      <c r="AV36">
        <f t="shared" si="8"/>
        <v>9.8907500000000006</v>
      </c>
      <c r="AW36">
        <f t="shared" si="9"/>
        <v>16.5077606575</v>
      </c>
      <c r="AX36" s="9"/>
      <c r="AY36" s="22">
        <v>3.0975300000000001E-2</v>
      </c>
      <c r="AZ36" s="22">
        <v>238.66800000000001</v>
      </c>
      <c r="BA36" s="22">
        <v>-1.5768399999999998E-2</v>
      </c>
      <c r="BB36" s="22">
        <v>26</v>
      </c>
      <c r="BC36" s="22">
        <v>3.0932600000000001E-2</v>
      </c>
      <c r="BD36">
        <f t="shared" si="10"/>
        <v>15.768399999999998</v>
      </c>
      <c r="BE36">
        <f t="shared" si="11"/>
        <v>0.48843092051999992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9.2583099999999998</v>
      </c>
      <c r="I37" s="22">
        <v>-1.01776E-2</v>
      </c>
      <c r="J37" s="22">
        <v>27</v>
      </c>
      <c r="K37" s="22">
        <v>1.6629</v>
      </c>
      <c r="L37">
        <f t="shared" si="0"/>
        <v>10.1776</v>
      </c>
      <c r="M37">
        <f t="shared" si="1"/>
        <v>16.935221072000001</v>
      </c>
      <c r="N37" s="9"/>
      <c r="O37" s="22">
        <v>3.60107E-2</v>
      </c>
      <c r="P37" s="22">
        <v>58.679699999999997</v>
      </c>
      <c r="Q37" s="22">
        <v>-1.5792799999999999E-2</v>
      </c>
      <c r="R37" s="22">
        <v>27</v>
      </c>
      <c r="S37" s="22">
        <v>3.5907000000000001E-2</v>
      </c>
      <c r="T37">
        <f t="shared" si="2"/>
        <v>15.7928</v>
      </c>
      <c r="U37">
        <f t="shared" si="3"/>
        <v>0.56870978295999997</v>
      </c>
      <c r="X37" s="9"/>
      <c r="Y37" s="22">
        <v>1.6639699999999999</v>
      </c>
      <c r="Z37" s="22">
        <v>108.25700000000001</v>
      </c>
      <c r="AA37" s="22">
        <v>-1.0101300000000001E-2</v>
      </c>
      <c r="AB37" s="22">
        <v>27</v>
      </c>
      <c r="AC37" s="22">
        <v>1.66351</v>
      </c>
      <c r="AD37">
        <f t="shared" si="4"/>
        <v>10.1013</v>
      </c>
      <c r="AE37">
        <f t="shared" si="5"/>
        <v>16.808260161</v>
      </c>
      <c r="AF37" s="9"/>
      <c r="AG37" s="22">
        <v>3.60107E-2</v>
      </c>
      <c r="AH37" s="22">
        <v>139.916</v>
      </c>
      <c r="AI37" s="22">
        <v>-1.57898E-2</v>
      </c>
      <c r="AJ37" s="22">
        <v>27</v>
      </c>
      <c r="AK37" s="22">
        <v>3.5928300000000003E-2</v>
      </c>
      <c r="AL37">
        <f t="shared" si="6"/>
        <v>15.7898</v>
      </c>
      <c r="AM37">
        <f t="shared" si="7"/>
        <v>0.56860175085999998</v>
      </c>
      <c r="AP37" s="9"/>
      <c r="AQ37" s="22">
        <v>1.6639699999999999</v>
      </c>
      <c r="AR37" s="22">
        <v>189.29499999999999</v>
      </c>
      <c r="AS37" s="22">
        <v>-1.01105E-2</v>
      </c>
      <c r="AT37" s="22">
        <v>27</v>
      </c>
      <c r="AU37" s="22">
        <v>1.6629</v>
      </c>
      <c r="AV37">
        <f t="shared" si="8"/>
        <v>10.1105</v>
      </c>
      <c r="AW37">
        <f t="shared" si="9"/>
        <v>16.823568684999998</v>
      </c>
      <c r="AX37" s="9"/>
      <c r="AY37" s="22">
        <v>3.60107E-2</v>
      </c>
      <c r="AZ37" s="22">
        <v>238.678</v>
      </c>
      <c r="BA37" s="22">
        <v>-1.5765399999999999E-2</v>
      </c>
      <c r="BB37" s="22">
        <v>27</v>
      </c>
      <c r="BC37" s="22">
        <v>3.59528E-2</v>
      </c>
      <c r="BD37">
        <f t="shared" si="10"/>
        <v>15.7654</v>
      </c>
      <c r="BE37">
        <f t="shared" si="11"/>
        <v>0.56772308977999997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9.2683800000000005</v>
      </c>
      <c r="I38" s="22">
        <v>-1.0372899999999999E-2</v>
      </c>
      <c r="J38" s="22">
        <v>28</v>
      </c>
      <c r="K38" s="22">
        <v>1.65802</v>
      </c>
      <c r="L38">
        <f t="shared" si="0"/>
        <v>10.3729</v>
      </c>
      <c r="M38">
        <f t="shared" si="1"/>
        <v>17.208018725999999</v>
      </c>
      <c r="N38" s="9"/>
      <c r="O38" s="22">
        <v>4.1046100000000002E-2</v>
      </c>
      <c r="P38" s="22">
        <v>58.689799999999998</v>
      </c>
      <c r="Q38" s="22">
        <v>-1.5799000000000001E-2</v>
      </c>
      <c r="R38" s="22">
        <v>28</v>
      </c>
      <c r="S38" s="22">
        <v>4.1049200000000001E-2</v>
      </c>
      <c r="T38">
        <f t="shared" si="2"/>
        <v>15.799000000000001</v>
      </c>
      <c r="U38">
        <f t="shared" si="3"/>
        <v>0.64848733390000013</v>
      </c>
      <c r="X38" s="9"/>
      <c r="Y38" s="22">
        <v>1.6589400000000001</v>
      </c>
      <c r="Z38" s="22">
        <v>108.267</v>
      </c>
      <c r="AA38" s="22">
        <v>-1.0311900000000001E-2</v>
      </c>
      <c r="AB38" s="22">
        <v>28</v>
      </c>
      <c r="AC38" s="22">
        <v>1.6583300000000001</v>
      </c>
      <c r="AD38">
        <f t="shared" si="4"/>
        <v>10.311900000000001</v>
      </c>
      <c r="AE38">
        <f t="shared" si="5"/>
        <v>17.106823386000002</v>
      </c>
      <c r="AF38" s="9"/>
      <c r="AG38" s="22">
        <v>4.1046100000000002E-2</v>
      </c>
      <c r="AH38" s="22">
        <v>139.92599999999999</v>
      </c>
      <c r="AI38" s="22">
        <v>-1.5780599999999999E-2</v>
      </c>
      <c r="AJ38" s="22">
        <v>28</v>
      </c>
      <c r="AK38" s="22">
        <v>4.0994299999999997E-2</v>
      </c>
      <c r="AL38">
        <f t="shared" si="6"/>
        <v>15.780599999999998</v>
      </c>
      <c r="AM38">
        <f t="shared" si="7"/>
        <v>0.64773208565999996</v>
      </c>
      <c r="AP38" s="9"/>
      <c r="AQ38" s="22">
        <v>1.6589400000000001</v>
      </c>
      <c r="AR38" s="22">
        <v>189.30500000000001</v>
      </c>
      <c r="AS38" s="22">
        <v>-1.03149E-2</v>
      </c>
      <c r="AT38" s="22">
        <v>28</v>
      </c>
      <c r="AU38" s="22">
        <v>1.65802</v>
      </c>
      <c r="AV38">
        <f t="shared" si="8"/>
        <v>10.3149</v>
      </c>
      <c r="AW38">
        <f t="shared" si="9"/>
        <v>17.111800206000002</v>
      </c>
      <c r="AX38" s="9"/>
      <c r="AY38" s="22">
        <v>4.1046100000000002E-2</v>
      </c>
      <c r="AZ38" s="22">
        <v>238.68799999999999</v>
      </c>
      <c r="BA38" s="22">
        <v>-1.57623E-2</v>
      </c>
      <c r="BB38" s="22">
        <v>28</v>
      </c>
      <c r="BC38" s="22">
        <v>4.1055300000000003E-2</v>
      </c>
      <c r="BD38">
        <f t="shared" si="10"/>
        <v>15.7623</v>
      </c>
      <c r="BE38">
        <f t="shared" si="11"/>
        <v>0.64698094203000001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9.2784600000000008</v>
      </c>
      <c r="I39" s="22">
        <v>-1.05652E-2</v>
      </c>
      <c r="J39" s="22">
        <v>29</v>
      </c>
      <c r="K39" s="22">
        <v>1.65344</v>
      </c>
      <c r="L39">
        <f t="shared" si="0"/>
        <v>10.565200000000001</v>
      </c>
      <c r="M39">
        <f t="shared" si="1"/>
        <v>17.47378428</v>
      </c>
      <c r="N39" s="9"/>
      <c r="O39" s="22">
        <v>4.6081499999999997E-2</v>
      </c>
      <c r="P39" s="22">
        <v>58.6999</v>
      </c>
      <c r="Q39" s="22">
        <v>-1.5799000000000001E-2</v>
      </c>
      <c r="R39" s="22">
        <v>29</v>
      </c>
      <c r="S39" s="22">
        <v>4.6023599999999998E-2</v>
      </c>
      <c r="T39">
        <f t="shared" si="2"/>
        <v>15.799000000000001</v>
      </c>
      <c r="U39">
        <f t="shared" si="3"/>
        <v>0.72804161850000004</v>
      </c>
      <c r="X39" s="9"/>
      <c r="Y39" s="22">
        <v>1.6538999999999999</v>
      </c>
      <c r="Z39" s="22">
        <v>108.277</v>
      </c>
      <c r="AA39" s="22">
        <v>-1.0501099999999999E-2</v>
      </c>
      <c r="AB39" s="22">
        <v>29</v>
      </c>
      <c r="AC39" s="22">
        <v>1.6525300000000001</v>
      </c>
      <c r="AD39">
        <f t="shared" si="4"/>
        <v>10.501099999999999</v>
      </c>
      <c r="AE39">
        <f t="shared" si="5"/>
        <v>17.367769289999998</v>
      </c>
      <c r="AF39" s="9"/>
      <c r="AG39" s="22">
        <v>4.6081499999999997E-2</v>
      </c>
      <c r="AH39" s="22">
        <v>139.93600000000001</v>
      </c>
      <c r="AI39" s="22">
        <v>-1.57745E-2</v>
      </c>
      <c r="AJ39" s="22">
        <v>29</v>
      </c>
      <c r="AK39" s="22">
        <v>4.6041899999999997E-2</v>
      </c>
      <c r="AL39">
        <f t="shared" si="6"/>
        <v>15.7745</v>
      </c>
      <c r="AM39">
        <f t="shared" si="7"/>
        <v>0.72691262174999993</v>
      </c>
      <c r="AP39" s="9"/>
      <c r="AQ39" s="22">
        <v>1.6538999999999999</v>
      </c>
      <c r="AR39" s="22">
        <v>189.315</v>
      </c>
      <c r="AS39" s="22">
        <v>-1.05133E-2</v>
      </c>
      <c r="AT39" s="22">
        <v>29</v>
      </c>
      <c r="AU39" s="22">
        <v>1.65344</v>
      </c>
      <c r="AV39">
        <f t="shared" si="8"/>
        <v>10.513299999999999</v>
      </c>
      <c r="AW39">
        <f t="shared" si="9"/>
        <v>17.387946869999997</v>
      </c>
      <c r="AX39" s="9"/>
      <c r="AY39" s="22">
        <v>4.6081499999999997E-2</v>
      </c>
      <c r="AZ39" s="22">
        <v>238.69800000000001</v>
      </c>
      <c r="BA39" s="22">
        <v>-1.57623E-2</v>
      </c>
      <c r="BB39" s="22">
        <v>29</v>
      </c>
      <c r="BC39" s="22">
        <v>4.6038799999999998E-2</v>
      </c>
      <c r="BD39">
        <f t="shared" si="10"/>
        <v>15.7623</v>
      </c>
      <c r="BE39">
        <f t="shared" si="11"/>
        <v>0.72635042745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9.2885299999999997</v>
      </c>
      <c r="I40" s="22">
        <v>-1.0748300000000001E-2</v>
      </c>
      <c r="J40" s="22">
        <v>30</v>
      </c>
      <c r="K40" s="22">
        <v>1.64825</v>
      </c>
      <c r="L40">
        <f t="shared" si="0"/>
        <v>10.7483</v>
      </c>
      <c r="M40">
        <f t="shared" si="1"/>
        <v>17.722441937999999</v>
      </c>
      <c r="N40" s="9"/>
      <c r="O40" s="22">
        <v>5.11169E-2</v>
      </c>
      <c r="P40" s="22">
        <v>58.71</v>
      </c>
      <c r="Q40" s="22">
        <v>-1.5795900000000002E-2</v>
      </c>
      <c r="R40" s="22">
        <v>30</v>
      </c>
      <c r="S40" s="22">
        <v>5.1086399999999997E-2</v>
      </c>
      <c r="T40">
        <f t="shared" si="2"/>
        <v>15.795900000000001</v>
      </c>
      <c r="U40">
        <f t="shared" si="3"/>
        <v>0.80743744071000012</v>
      </c>
      <c r="X40" s="9"/>
      <c r="Y40" s="22">
        <v>1.64886</v>
      </c>
      <c r="Z40" s="22">
        <v>108.28700000000001</v>
      </c>
      <c r="AA40" s="22">
        <v>-1.0699500000000001E-2</v>
      </c>
      <c r="AB40" s="22">
        <v>30</v>
      </c>
      <c r="AC40" s="22">
        <v>1.64856</v>
      </c>
      <c r="AD40">
        <f t="shared" si="4"/>
        <v>10.6995</v>
      </c>
      <c r="AE40">
        <f t="shared" si="5"/>
        <v>17.641977570000002</v>
      </c>
      <c r="AF40" s="9"/>
      <c r="AG40" s="22">
        <v>5.11169E-2</v>
      </c>
      <c r="AH40" s="22">
        <v>139.946</v>
      </c>
      <c r="AI40" s="22">
        <v>-1.5765399999999999E-2</v>
      </c>
      <c r="AJ40" s="22">
        <v>30</v>
      </c>
      <c r="AK40" s="22">
        <v>5.1086399999999997E-2</v>
      </c>
      <c r="AL40">
        <f t="shared" si="6"/>
        <v>15.7654</v>
      </c>
      <c r="AM40">
        <f t="shared" si="7"/>
        <v>0.80587837525999995</v>
      </c>
      <c r="AP40" s="9"/>
      <c r="AQ40" s="22">
        <v>1.64886</v>
      </c>
      <c r="AR40" s="22">
        <v>189.32499999999999</v>
      </c>
      <c r="AS40" s="22">
        <v>-1.07025E-2</v>
      </c>
      <c r="AT40" s="22">
        <v>30</v>
      </c>
      <c r="AU40" s="22">
        <v>1.64825</v>
      </c>
      <c r="AV40">
        <f t="shared" si="8"/>
        <v>10.702500000000001</v>
      </c>
      <c r="AW40">
        <f t="shared" si="9"/>
        <v>17.64692415</v>
      </c>
      <c r="AX40" s="9"/>
      <c r="AY40" s="22">
        <v>5.11169E-2</v>
      </c>
      <c r="AZ40" s="22">
        <v>238.708</v>
      </c>
      <c r="BA40" s="22">
        <v>-1.5765399999999999E-2</v>
      </c>
      <c r="BB40" s="22">
        <v>30</v>
      </c>
      <c r="BC40" s="22">
        <v>5.1077299999999999E-2</v>
      </c>
      <c r="BD40">
        <f t="shared" si="10"/>
        <v>15.7654</v>
      </c>
      <c r="BE40">
        <f t="shared" si="11"/>
        <v>0.80587837525999995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9.2986000000000004</v>
      </c>
      <c r="I41" s="22">
        <v>-1.09131E-2</v>
      </c>
      <c r="J41" s="22">
        <v>31</v>
      </c>
      <c r="K41" s="22">
        <v>1.64307</v>
      </c>
      <c r="L41">
        <f t="shared" si="0"/>
        <v>10.9131</v>
      </c>
      <c r="M41">
        <f t="shared" si="1"/>
        <v>17.939281172999998</v>
      </c>
      <c r="N41" s="9"/>
      <c r="O41" s="22">
        <v>5.6152300000000002E-2</v>
      </c>
      <c r="P41" s="22">
        <v>58.72</v>
      </c>
      <c r="Q41" s="22">
        <v>-1.5795900000000002E-2</v>
      </c>
      <c r="R41" s="22">
        <v>31</v>
      </c>
      <c r="S41" s="22">
        <v>5.5633500000000002E-2</v>
      </c>
      <c r="T41">
        <f t="shared" si="2"/>
        <v>15.795900000000001</v>
      </c>
      <c r="U41">
        <f t="shared" si="3"/>
        <v>0.88697611557000011</v>
      </c>
      <c r="X41" s="9"/>
      <c r="Y41" s="22">
        <v>1.6438299999999999</v>
      </c>
      <c r="Z41" s="22">
        <v>108.297</v>
      </c>
      <c r="AA41" s="22">
        <v>-1.0876500000000001E-2</v>
      </c>
      <c r="AB41" s="22">
        <v>31</v>
      </c>
      <c r="AC41" s="22">
        <v>1.64337</v>
      </c>
      <c r="AD41">
        <f t="shared" si="4"/>
        <v>10.8765</v>
      </c>
      <c r="AE41">
        <f t="shared" si="5"/>
        <v>17.879116995</v>
      </c>
      <c r="AF41" s="9"/>
      <c r="AG41" s="22">
        <v>5.6152300000000002E-2</v>
      </c>
      <c r="AH41" s="22">
        <v>139.95699999999999</v>
      </c>
      <c r="AI41" s="22">
        <v>-1.5756200000000001E-2</v>
      </c>
      <c r="AJ41" s="22">
        <v>31</v>
      </c>
      <c r="AK41" s="22">
        <v>5.5664100000000001E-2</v>
      </c>
      <c r="AL41">
        <f t="shared" si="6"/>
        <v>15.756200000000002</v>
      </c>
      <c r="AM41">
        <f t="shared" si="7"/>
        <v>0.88474686926000012</v>
      </c>
      <c r="AP41" s="9"/>
      <c r="AQ41" s="22">
        <v>1.6438299999999999</v>
      </c>
      <c r="AR41" s="22">
        <v>189.33500000000001</v>
      </c>
      <c r="AS41" s="22">
        <v>-1.08734E-2</v>
      </c>
      <c r="AT41" s="22">
        <v>31</v>
      </c>
      <c r="AU41" s="22">
        <v>1.64337</v>
      </c>
      <c r="AV41">
        <f t="shared" si="8"/>
        <v>10.8734</v>
      </c>
      <c r="AW41">
        <f t="shared" si="9"/>
        <v>17.874021121999998</v>
      </c>
      <c r="AX41" s="9"/>
      <c r="AY41" s="22">
        <v>5.6152300000000002E-2</v>
      </c>
      <c r="AZ41" s="22">
        <v>238.71799999999999</v>
      </c>
      <c r="BA41" s="22">
        <v>-1.5765399999999999E-2</v>
      </c>
      <c r="BB41" s="22">
        <v>31</v>
      </c>
      <c r="BC41" s="22">
        <v>5.5633500000000002E-2</v>
      </c>
      <c r="BD41">
        <f t="shared" si="10"/>
        <v>15.7654</v>
      </c>
      <c r="BE41">
        <f t="shared" si="11"/>
        <v>0.88526347041999998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9.3086699999999993</v>
      </c>
      <c r="I42" s="22">
        <v>-1.1080899999999999E-2</v>
      </c>
      <c r="J42" s="22">
        <v>32</v>
      </c>
      <c r="K42" s="22">
        <v>1.63849</v>
      </c>
      <c r="L42">
        <f t="shared" si="0"/>
        <v>11.0809</v>
      </c>
      <c r="M42">
        <f t="shared" si="1"/>
        <v>18.159268110999999</v>
      </c>
      <c r="N42" s="9"/>
      <c r="O42" s="22">
        <v>6.1187699999999998E-2</v>
      </c>
      <c r="P42" s="22">
        <v>58.7301</v>
      </c>
      <c r="Q42" s="22">
        <v>-1.57898E-2</v>
      </c>
      <c r="R42" s="22">
        <v>32</v>
      </c>
      <c r="S42" s="22">
        <v>6.0638400000000002E-2</v>
      </c>
      <c r="T42">
        <f t="shared" si="2"/>
        <v>15.7898</v>
      </c>
      <c r="U42">
        <f t="shared" si="3"/>
        <v>0.96614154545999997</v>
      </c>
      <c r="X42" s="9"/>
      <c r="Y42" s="22">
        <v>1.63879</v>
      </c>
      <c r="Z42" s="22">
        <v>108.30800000000001</v>
      </c>
      <c r="AA42" s="22">
        <v>-1.10504E-2</v>
      </c>
      <c r="AB42" s="22">
        <v>32</v>
      </c>
      <c r="AC42" s="22">
        <v>1.63849</v>
      </c>
      <c r="AD42">
        <f t="shared" si="4"/>
        <v>11.0504</v>
      </c>
      <c r="AE42">
        <f t="shared" si="5"/>
        <v>18.109285015999998</v>
      </c>
      <c r="AF42" s="9"/>
      <c r="AG42" s="22">
        <v>6.1187699999999998E-2</v>
      </c>
      <c r="AH42" s="22">
        <v>139.96700000000001</v>
      </c>
      <c r="AI42" s="22">
        <v>-1.5756200000000001E-2</v>
      </c>
      <c r="AJ42" s="22">
        <v>32</v>
      </c>
      <c r="AK42" s="22">
        <v>6.0638400000000002E-2</v>
      </c>
      <c r="AL42">
        <f t="shared" si="6"/>
        <v>15.756200000000002</v>
      </c>
      <c r="AM42">
        <f t="shared" si="7"/>
        <v>0.96408563874000008</v>
      </c>
      <c r="AP42" s="9"/>
      <c r="AQ42" s="22">
        <v>1.63879</v>
      </c>
      <c r="AR42" s="22">
        <v>189.345</v>
      </c>
      <c r="AS42" s="22">
        <v>-1.10382E-2</v>
      </c>
      <c r="AT42" s="22">
        <v>32</v>
      </c>
      <c r="AU42" s="22">
        <v>1.63818</v>
      </c>
      <c r="AV42">
        <f t="shared" si="8"/>
        <v>11.0382</v>
      </c>
      <c r="AW42">
        <f t="shared" si="9"/>
        <v>18.089291778</v>
      </c>
      <c r="AX42" s="9"/>
      <c r="AY42" s="22">
        <v>6.1187699999999998E-2</v>
      </c>
      <c r="AZ42" s="22">
        <v>238.72800000000001</v>
      </c>
      <c r="BA42" s="22">
        <v>-1.57623E-2</v>
      </c>
      <c r="BB42" s="22">
        <v>32</v>
      </c>
      <c r="BC42" s="22">
        <v>6.0668899999999998E-2</v>
      </c>
      <c r="BD42">
        <f t="shared" si="10"/>
        <v>15.7623</v>
      </c>
      <c r="BE42">
        <f t="shared" si="11"/>
        <v>0.96445888370999999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9.31874</v>
      </c>
      <c r="I43" s="22">
        <v>-1.12488E-2</v>
      </c>
      <c r="J43" s="22">
        <v>33</v>
      </c>
      <c r="K43" s="22">
        <v>1.63239</v>
      </c>
      <c r="L43">
        <f t="shared" si="0"/>
        <v>11.248799999999999</v>
      </c>
      <c r="M43">
        <f t="shared" si="1"/>
        <v>18.377839487999999</v>
      </c>
      <c r="N43" s="9"/>
      <c r="O43" s="22">
        <v>6.6223099999999993E-2</v>
      </c>
      <c r="P43" s="22">
        <v>58.740200000000002</v>
      </c>
      <c r="Q43" s="22">
        <v>-1.57898E-2</v>
      </c>
      <c r="R43" s="22">
        <v>33</v>
      </c>
      <c r="S43" s="22">
        <v>6.5704299999999993E-2</v>
      </c>
      <c r="T43">
        <f t="shared" si="2"/>
        <v>15.7898</v>
      </c>
      <c r="U43">
        <f t="shared" si="3"/>
        <v>1.0456495043799998</v>
      </c>
      <c r="X43" s="9"/>
      <c r="Y43" s="22">
        <v>1.6337600000000001</v>
      </c>
      <c r="Z43" s="22">
        <v>108.318</v>
      </c>
      <c r="AA43" s="22">
        <v>-1.1224400000000001E-2</v>
      </c>
      <c r="AB43" s="22">
        <v>33</v>
      </c>
      <c r="AC43" s="22">
        <v>1.63269</v>
      </c>
      <c r="AD43">
        <f t="shared" si="4"/>
        <v>11.224400000000001</v>
      </c>
      <c r="AE43">
        <f t="shared" si="5"/>
        <v>18.337975744000001</v>
      </c>
      <c r="AF43" s="9"/>
      <c r="AG43" s="22">
        <v>6.6223099999999993E-2</v>
      </c>
      <c r="AH43" s="22">
        <v>139.977</v>
      </c>
      <c r="AI43" s="22">
        <v>-1.5756200000000001E-2</v>
      </c>
      <c r="AJ43" s="22">
        <v>33</v>
      </c>
      <c r="AK43" s="22">
        <v>6.5704299999999993E-2</v>
      </c>
      <c r="AL43">
        <f t="shared" si="6"/>
        <v>15.756200000000002</v>
      </c>
      <c r="AM43">
        <f t="shared" si="7"/>
        <v>1.0434244082199999</v>
      </c>
      <c r="AP43" s="9"/>
      <c r="AQ43" s="22">
        <v>1.6337600000000001</v>
      </c>
      <c r="AR43" s="22">
        <v>189.35499999999999</v>
      </c>
      <c r="AS43" s="22">
        <v>-1.1190800000000001E-2</v>
      </c>
      <c r="AT43" s="22">
        <v>33</v>
      </c>
      <c r="AU43" s="22">
        <v>1.63361</v>
      </c>
      <c r="AV43">
        <f t="shared" si="8"/>
        <v>11.190800000000001</v>
      </c>
      <c r="AW43">
        <f t="shared" si="9"/>
        <v>18.283081408000005</v>
      </c>
      <c r="AX43" s="9"/>
      <c r="AY43" s="22">
        <v>6.6223099999999993E-2</v>
      </c>
      <c r="AZ43" s="22">
        <v>238.739</v>
      </c>
      <c r="BA43" s="22">
        <v>-1.57593E-2</v>
      </c>
      <c r="BB43" s="22">
        <v>33</v>
      </c>
      <c r="BC43" s="22">
        <v>6.5734899999999999E-2</v>
      </c>
      <c r="BD43">
        <f t="shared" si="10"/>
        <v>15.7593</v>
      </c>
      <c r="BE43">
        <f t="shared" si="11"/>
        <v>1.0436296998299999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9.3288100000000007</v>
      </c>
      <c r="I44" s="22">
        <v>-1.13983E-2</v>
      </c>
      <c r="J44" s="22">
        <v>34</v>
      </c>
      <c r="K44" s="22">
        <v>1.62842</v>
      </c>
      <c r="L44">
        <f t="shared" si="0"/>
        <v>11.398300000000001</v>
      </c>
      <c r="M44">
        <f t="shared" si="1"/>
        <v>18.564639176</v>
      </c>
      <c r="N44" s="9"/>
      <c r="O44" s="22">
        <v>7.1258500000000002E-2</v>
      </c>
      <c r="P44" s="22">
        <v>58.7502</v>
      </c>
      <c r="Q44" s="22">
        <v>-1.5783700000000001E-2</v>
      </c>
      <c r="R44" s="22">
        <v>34</v>
      </c>
      <c r="S44" s="22">
        <v>7.0770299999999994E-2</v>
      </c>
      <c r="T44">
        <f t="shared" si="2"/>
        <v>15.783700000000001</v>
      </c>
      <c r="U44">
        <f t="shared" si="3"/>
        <v>1.1247227864500002</v>
      </c>
      <c r="X44" s="9"/>
      <c r="Y44" s="22">
        <v>1.6287199999999999</v>
      </c>
      <c r="Z44" s="22">
        <v>108.328</v>
      </c>
      <c r="AA44" s="22">
        <v>-1.13831E-2</v>
      </c>
      <c r="AB44" s="22">
        <v>34</v>
      </c>
      <c r="AC44" s="22">
        <v>1.6281099999999999</v>
      </c>
      <c r="AD44">
        <f t="shared" si="4"/>
        <v>11.383100000000001</v>
      </c>
      <c r="AE44">
        <f t="shared" si="5"/>
        <v>18.539882632000001</v>
      </c>
      <c r="AF44" s="9"/>
      <c r="AG44" s="22">
        <v>7.1258500000000002E-2</v>
      </c>
      <c r="AH44" s="22">
        <v>139.98699999999999</v>
      </c>
      <c r="AI44" s="22">
        <v>-1.57593E-2</v>
      </c>
      <c r="AJ44" s="22">
        <v>34</v>
      </c>
      <c r="AK44" s="22">
        <v>7.0800799999999997E-2</v>
      </c>
      <c r="AL44">
        <f t="shared" si="6"/>
        <v>15.7593</v>
      </c>
      <c r="AM44">
        <f t="shared" si="7"/>
        <v>1.1229840790500001</v>
      </c>
      <c r="AP44" s="9"/>
      <c r="AQ44" s="22">
        <v>1.6287199999999999</v>
      </c>
      <c r="AR44" s="22">
        <v>189.36500000000001</v>
      </c>
      <c r="AS44" s="22">
        <v>-1.1328100000000001E-2</v>
      </c>
      <c r="AT44" s="22">
        <v>34</v>
      </c>
      <c r="AU44" s="22">
        <v>1.6274999999999999</v>
      </c>
      <c r="AV44">
        <f t="shared" si="8"/>
        <v>11.328100000000001</v>
      </c>
      <c r="AW44">
        <f t="shared" si="9"/>
        <v>18.450303032000001</v>
      </c>
      <c r="AX44" s="9"/>
      <c r="AY44" s="22">
        <v>7.1258500000000002E-2</v>
      </c>
      <c r="AZ44" s="22">
        <v>238.749</v>
      </c>
      <c r="BA44" s="22">
        <v>-1.5756200000000001E-2</v>
      </c>
      <c r="BB44" s="22">
        <v>34</v>
      </c>
      <c r="BC44" s="22">
        <v>7.0648199999999994E-2</v>
      </c>
      <c r="BD44">
        <f t="shared" si="10"/>
        <v>15.756200000000002</v>
      </c>
      <c r="BE44">
        <f t="shared" si="11"/>
        <v>1.1227631777000002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9.3388799999999996</v>
      </c>
      <c r="I45" s="22">
        <v>-1.15479E-2</v>
      </c>
      <c r="J45" s="22">
        <v>35</v>
      </c>
      <c r="K45" s="22">
        <v>1.62262</v>
      </c>
      <c r="L45">
        <f t="shared" si="0"/>
        <v>11.5479</v>
      </c>
      <c r="M45">
        <f t="shared" si="1"/>
        <v>18.750209751</v>
      </c>
      <c r="N45" s="9"/>
      <c r="O45" s="22">
        <v>7.6293899999999998E-2</v>
      </c>
      <c r="P45" s="22">
        <v>58.760300000000001</v>
      </c>
      <c r="Q45" s="22">
        <v>-1.5777599999999999E-2</v>
      </c>
      <c r="R45" s="22">
        <v>35</v>
      </c>
      <c r="S45" s="22">
        <v>7.5775099999999998E-2</v>
      </c>
      <c r="T45">
        <f t="shared" si="2"/>
        <v>15.7776</v>
      </c>
      <c r="U45">
        <f t="shared" si="3"/>
        <v>1.2037346366399999</v>
      </c>
      <c r="X45" s="9"/>
      <c r="Y45" s="22">
        <v>1.6236900000000001</v>
      </c>
      <c r="Z45" s="22">
        <v>108.33799999999999</v>
      </c>
      <c r="AA45" s="22">
        <v>-1.15265E-2</v>
      </c>
      <c r="AB45" s="22">
        <v>35</v>
      </c>
      <c r="AC45" s="22">
        <v>1.6229199999999999</v>
      </c>
      <c r="AD45">
        <f t="shared" si="4"/>
        <v>11.5265</v>
      </c>
      <c r="AE45">
        <f t="shared" si="5"/>
        <v>18.715462785000003</v>
      </c>
      <c r="AF45" s="9"/>
      <c r="AG45" s="22">
        <v>7.6293899999999998E-2</v>
      </c>
      <c r="AH45" s="22">
        <v>139.99700000000001</v>
      </c>
      <c r="AI45" s="22">
        <v>-1.57593E-2</v>
      </c>
      <c r="AJ45" s="22">
        <v>35</v>
      </c>
      <c r="AK45" s="22">
        <v>7.5775099999999998E-2</v>
      </c>
      <c r="AL45">
        <f t="shared" si="6"/>
        <v>15.7593</v>
      </c>
      <c r="AM45">
        <f t="shared" si="7"/>
        <v>1.2023384582699999</v>
      </c>
      <c r="AP45" s="9"/>
      <c r="AQ45" s="22">
        <v>1.6236900000000001</v>
      </c>
      <c r="AR45" s="22">
        <v>189.375</v>
      </c>
      <c r="AS45" s="22">
        <v>-1.14685E-2</v>
      </c>
      <c r="AT45" s="22">
        <v>35</v>
      </c>
      <c r="AU45" s="22">
        <v>1.6229199999999999</v>
      </c>
      <c r="AV45">
        <f t="shared" si="8"/>
        <v>11.468499999999999</v>
      </c>
      <c r="AW45">
        <f t="shared" si="9"/>
        <v>18.621288764999999</v>
      </c>
      <c r="AX45" s="9"/>
      <c r="AY45" s="22">
        <v>7.6293899999999998E-2</v>
      </c>
      <c r="AZ45" s="22">
        <v>238.75899999999999</v>
      </c>
      <c r="BA45" s="22">
        <v>-1.5753199999999998E-2</v>
      </c>
      <c r="BB45" s="22">
        <v>35</v>
      </c>
      <c r="BC45" s="22">
        <v>7.5744599999999995E-2</v>
      </c>
      <c r="BD45">
        <f t="shared" si="10"/>
        <v>15.753199999999998</v>
      </c>
      <c r="BE45">
        <f t="shared" si="11"/>
        <v>1.2018730654799998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9.3489500000000003</v>
      </c>
      <c r="I46" s="22">
        <v>-1.1688199999999999E-2</v>
      </c>
      <c r="J46" s="22">
        <v>36</v>
      </c>
      <c r="K46" s="22">
        <v>1.6180399999999999</v>
      </c>
      <c r="L46">
        <f t="shared" si="0"/>
        <v>11.6882</v>
      </c>
      <c r="M46">
        <f t="shared" si="1"/>
        <v>18.91910493</v>
      </c>
      <c r="N46" s="9"/>
      <c r="O46" s="22">
        <v>8.1329299999999993E-2</v>
      </c>
      <c r="P46" s="22">
        <v>58.770400000000002</v>
      </c>
      <c r="Q46" s="22">
        <v>-1.57745E-2</v>
      </c>
      <c r="R46" s="22">
        <v>36</v>
      </c>
      <c r="S46" s="22">
        <v>8.0718999999999999E-2</v>
      </c>
      <c r="T46">
        <f t="shared" si="2"/>
        <v>15.7745</v>
      </c>
      <c r="U46">
        <f t="shared" si="3"/>
        <v>1.28292904285</v>
      </c>
      <c r="X46" s="9"/>
      <c r="Y46" s="22">
        <v>1.6186499999999999</v>
      </c>
      <c r="Z46" s="22">
        <v>108.348</v>
      </c>
      <c r="AA46" s="22">
        <v>-1.1666899999999999E-2</v>
      </c>
      <c r="AB46" s="22">
        <v>36</v>
      </c>
      <c r="AC46" s="22">
        <v>1.61835</v>
      </c>
      <c r="AD46">
        <f t="shared" si="4"/>
        <v>11.666899999999998</v>
      </c>
      <c r="AE46">
        <f t="shared" si="5"/>
        <v>18.884627684999995</v>
      </c>
      <c r="AF46" s="9"/>
      <c r="AG46" s="22">
        <v>8.1329299999999993E-2</v>
      </c>
      <c r="AH46" s="22">
        <v>140.00700000000001</v>
      </c>
      <c r="AI46" s="22">
        <v>-1.5756200000000001E-2</v>
      </c>
      <c r="AJ46" s="22">
        <v>36</v>
      </c>
      <c r="AK46" s="22">
        <v>8.0902100000000005E-2</v>
      </c>
      <c r="AL46">
        <f t="shared" si="6"/>
        <v>15.756200000000002</v>
      </c>
      <c r="AM46">
        <f t="shared" si="7"/>
        <v>1.2814407166599999</v>
      </c>
      <c r="AP46" s="9"/>
      <c r="AQ46" s="22">
        <v>1.6186499999999999</v>
      </c>
      <c r="AR46" s="22">
        <v>189.38499999999999</v>
      </c>
      <c r="AS46" s="22">
        <v>-1.1605799999999999E-2</v>
      </c>
      <c r="AT46" s="22">
        <v>36</v>
      </c>
      <c r="AU46" s="22">
        <v>1.61774</v>
      </c>
      <c r="AV46">
        <f t="shared" si="8"/>
        <v>11.605799999999999</v>
      </c>
      <c r="AW46">
        <f t="shared" si="9"/>
        <v>18.785728169999995</v>
      </c>
      <c r="AX46" s="9"/>
      <c r="AY46" s="22">
        <v>8.1329299999999993E-2</v>
      </c>
      <c r="AZ46" s="22">
        <v>238.76900000000001</v>
      </c>
      <c r="BA46" s="22">
        <v>-1.57501E-2</v>
      </c>
      <c r="BB46" s="22">
        <v>36</v>
      </c>
      <c r="BC46" s="22">
        <v>8.0841099999999999E-2</v>
      </c>
      <c r="BD46">
        <f t="shared" si="10"/>
        <v>15.7501</v>
      </c>
      <c r="BE46">
        <f t="shared" si="11"/>
        <v>1.28094460793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9.3590199999999992</v>
      </c>
      <c r="I47" s="22">
        <v>-1.18134E-2</v>
      </c>
      <c r="J47" s="22">
        <v>37</v>
      </c>
      <c r="K47" s="22">
        <v>1.6128499999999999</v>
      </c>
      <c r="L47">
        <f t="shared" si="0"/>
        <v>11.8134</v>
      </c>
      <c r="M47">
        <f t="shared" si="1"/>
        <v>19.062338508</v>
      </c>
      <c r="N47" s="9"/>
      <c r="O47" s="22">
        <v>8.6364700000000003E-2</v>
      </c>
      <c r="P47" s="22">
        <v>58.7804</v>
      </c>
      <c r="Q47" s="22">
        <v>-1.5771500000000001E-2</v>
      </c>
      <c r="R47" s="22">
        <v>37</v>
      </c>
      <c r="S47" s="22">
        <v>8.5876499999999995E-2</v>
      </c>
      <c r="T47">
        <f t="shared" si="2"/>
        <v>15.771500000000001</v>
      </c>
      <c r="U47">
        <f t="shared" si="3"/>
        <v>1.3621008660500002</v>
      </c>
      <c r="X47" s="9"/>
      <c r="Y47" s="22">
        <v>1.6136200000000001</v>
      </c>
      <c r="Z47" s="22">
        <v>108.358</v>
      </c>
      <c r="AA47" s="22">
        <v>-1.1798100000000001E-2</v>
      </c>
      <c r="AB47" s="22">
        <v>37</v>
      </c>
      <c r="AC47" s="22">
        <v>1.6134599999999999</v>
      </c>
      <c r="AD47">
        <f t="shared" si="4"/>
        <v>11.7981</v>
      </c>
      <c r="AE47">
        <f t="shared" si="5"/>
        <v>19.037650121999999</v>
      </c>
      <c r="AF47" s="9"/>
      <c r="AG47" s="22">
        <v>8.6364700000000003E-2</v>
      </c>
      <c r="AH47" s="22">
        <v>140.017</v>
      </c>
      <c r="AI47" s="22">
        <v>-1.5756200000000001E-2</v>
      </c>
      <c r="AJ47" s="22">
        <v>37</v>
      </c>
      <c r="AK47" s="22">
        <v>8.5876499999999995E-2</v>
      </c>
      <c r="AL47">
        <f t="shared" si="6"/>
        <v>15.756200000000002</v>
      </c>
      <c r="AM47">
        <f t="shared" si="7"/>
        <v>1.3607794861400002</v>
      </c>
      <c r="AP47" s="9"/>
      <c r="AQ47" s="22">
        <v>1.6136200000000001</v>
      </c>
      <c r="AR47" s="22">
        <v>189.39500000000001</v>
      </c>
      <c r="AS47" s="22">
        <v>-1.1734E-2</v>
      </c>
      <c r="AT47" s="22">
        <v>37</v>
      </c>
      <c r="AU47" s="22">
        <v>1.6125499999999999</v>
      </c>
      <c r="AV47">
        <f t="shared" si="8"/>
        <v>11.734</v>
      </c>
      <c r="AW47">
        <f t="shared" si="9"/>
        <v>18.93421708</v>
      </c>
      <c r="AX47" s="9"/>
      <c r="AY47" s="22">
        <v>8.6364700000000003E-2</v>
      </c>
      <c r="AZ47" s="22">
        <v>238.779</v>
      </c>
      <c r="BA47" s="22">
        <v>-1.5744000000000001E-2</v>
      </c>
      <c r="BB47" s="22">
        <v>37</v>
      </c>
      <c r="BC47" s="22">
        <v>8.5845900000000003E-2</v>
      </c>
      <c r="BD47">
        <f t="shared" si="10"/>
        <v>15.744000000000002</v>
      </c>
      <c r="BE47">
        <f t="shared" si="11"/>
        <v>1.3597258368000003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9.3690899999999999</v>
      </c>
      <c r="I48" s="22">
        <v>-1.1926300000000001E-2</v>
      </c>
      <c r="J48" s="22">
        <v>38</v>
      </c>
      <c r="K48" s="22">
        <v>1.6073599999999999</v>
      </c>
      <c r="L48">
        <f t="shared" si="0"/>
        <v>11.926300000000001</v>
      </c>
      <c r="M48">
        <f t="shared" si="1"/>
        <v>19.184407654000001</v>
      </c>
      <c r="N48" s="9"/>
      <c r="O48" s="22">
        <v>9.1400099999999998E-2</v>
      </c>
      <c r="P48" s="22">
        <v>58.790500000000002</v>
      </c>
      <c r="Q48" s="22">
        <v>-1.5768399999999998E-2</v>
      </c>
      <c r="R48" s="22">
        <v>38</v>
      </c>
      <c r="S48" s="22">
        <v>9.0942400000000007E-2</v>
      </c>
      <c r="T48">
        <f t="shared" si="2"/>
        <v>15.768399999999998</v>
      </c>
      <c r="U48">
        <f t="shared" si="3"/>
        <v>1.4412333368399999</v>
      </c>
      <c r="X48" s="9"/>
      <c r="Y48" s="22">
        <v>1.6085799999999999</v>
      </c>
      <c r="Z48" s="22">
        <v>108.36799999999999</v>
      </c>
      <c r="AA48" s="22">
        <v>-1.1932399999999999E-2</v>
      </c>
      <c r="AB48" s="22">
        <v>38</v>
      </c>
      <c r="AC48" s="22">
        <v>1.6076699999999999</v>
      </c>
      <c r="AD48">
        <f t="shared" si="4"/>
        <v>11.932399999999999</v>
      </c>
      <c r="AE48">
        <f t="shared" si="5"/>
        <v>19.194219991999997</v>
      </c>
      <c r="AF48" s="9"/>
      <c r="AG48" s="22">
        <v>9.1400099999999998E-2</v>
      </c>
      <c r="AH48" s="22">
        <v>140.02699999999999</v>
      </c>
      <c r="AI48" s="22">
        <v>-1.5753199999999998E-2</v>
      </c>
      <c r="AJ48" s="22">
        <v>38</v>
      </c>
      <c r="AK48" s="22">
        <v>9.0942400000000007E-2</v>
      </c>
      <c r="AL48">
        <f t="shared" si="6"/>
        <v>15.753199999999998</v>
      </c>
      <c r="AM48">
        <f t="shared" si="7"/>
        <v>1.4398440553199998</v>
      </c>
      <c r="AP48" s="9"/>
      <c r="AQ48" s="22">
        <v>1.6085799999999999</v>
      </c>
      <c r="AR48" s="22">
        <v>189.405</v>
      </c>
      <c r="AS48" s="22">
        <v>-1.1859099999999999E-2</v>
      </c>
      <c r="AT48" s="22">
        <v>38</v>
      </c>
      <c r="AU48" s="22">
        <v>1.6076699999999999</v>
      </c>
      <c r="AV48">
        <f t="shared" si="8"/>
        <v>11.8591</v>
      </c>
      <c r="AW48">
        <f t="shared" si="9"/>
        <v>19.076311078</v>
      </c>
      <c r="AX48" s="9"/>
      <c r="AY48" s="22">
        <v>9.1400099999999998E-2</v>
      </c>
      <c r="AZ48" s="22">
        <v>238.78899999999999</v>
      </c>
      <c r="BA48" s="22">
        <v>-1.5741000000000002E-2</v>
      </c>
      <c r="BB48" s="22">
        <v>38</v>
      </c>
      <c r="BC48" s="22">
        <v>9.0881299999999998E-2</v>
      </c>
      <c r="BD48">
        <f t="shared" si="10"/>
        <v>15.741000000000001</v>
      </c>
      <c r="BE48">
        <f t="shared" si="11"/>
        <v>1.4387289741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9.3791700000000002</v>
      </c>
      <c r="I49" s="22">
        <v>-1.2036099999999999E-2</v>
      </c>
      <c r="J49" s="22">
        <v>39</v>
      </c>
      <c r="K49" s="22">
        <v>1.6027800000000001</v>
      </c>
      <c r="L49">
        <f t="shared" si="0"/>
        <v>12.036099999999999</v>
      </c>
      <c r="M49">
        <f t="shared" si="1"/>
        <v>19.300488155</v>
      </c>
      <c r="N49" s="9"/>
      <c r="O49" s="22">
        <v>9.6435499999999993E-2</v>
      </c>
      <c r="P49" s="22">
        <v>58.800600000000003</v>
      </c>
      <c r="Q49" s="22">
        <v>-1.57623E-2</v>
      </c>
      <c r="R49" s="22">
        <v>39</v>
      </c>
      <c r="S49" s="22">
        <v>9.5947299999999999E-2</v>
      </c>
      <c r="T49">
        <f t="shared" si="2"/>
        <v>15.7623</v>
      </c>
      <c r="U49">
        <f t="shared" si="3"/>
        <v>1.5200452816499999</v>
      </c>
      <c r="X49" s="9"/>
      <c r="Y49" s="22">
        <v>1.60355</v>
      </c>
      <c r="Z49" s="22">
        <v>108.378</v>
      </c>
      <c r="AA49" s="22">
        <v>-1.20514E-2</v>
      </c>
      <c r="AB49" s="22">
        <v>39</v>
      </c>
      <c r="AC49" s="22">
        <v>1.6030899999999999</v>
      </c>
      <c r="AD49">
        <f t="shared" si="4"/>
        <v>12.051400000000001</v>
      </c>
      <c r="AE49">
        <f t="shared" si="5"/>
        <v>19.32502247</v>
      </c>
      <c r="AF49" s="9"/>
      <c r="AG49" s="22">
        <v>9.6435499999999993E-2</v>
      </c>
      <c r="AH49" s="22">
        <v>140.03700000000001</v>
      </c>
      <c r="AI49" s="22">
        <v>-1.5753199999999998E-2</v>
      </c>
      <c r="AJ49" s="22">
        <v>39</v>
      </c>
      <c r="AK49" s="22">
        <v>9.5916699999999994E-2</v>
      </c>
      <c r="AL49">
        <f t="shared" si="6"/>
        <v>15.753199999999998</v>
      </c>
      <c r="AM49">
        <f t="shared" si="7"/>
        <v>1.5191677185999997</v>
      </c>
      <c r="AP49" s="9"/>
      <c r="AQ49" s="22">
        <v>1.60355</v>
      </c>
      <c r="AR49" s="22">
        <v>189.416</v>
      </c>
      <c r="AS49" s="22">
        <v>-1.1975100000000001E-2</v>
      </c>
      <c r="AT49" s="22">
        <v>39</v>
      </c>
      <c r="AU49" s="22">
        <v>1.6027800000000001</v>
      </c>
      <c r="AV49">
        <f t="shared" si="8"/>
        <v>11.975100000000001</v>
      </c>
      <c r="AW49">
        <f t="shared" si="9"/>
        <v>19.202671605000003</v>
      </c>
      <c r="AX49" s="9"/>
      <c r="AY49" s="22">
        <v>9.6435499999999993E-2</v>
      </c>
      <c r="AZ49" s="22">
        <v>238.79900000000001</v>
      </c>
      <c r="BA49" s="22">
        <v>-1.5737899999999999E-2</v>
      </c>
      <c r="BB49" s="22">
        <v>39</v>
      </c>
      <c r="BC49" s="22">
        <v>9.5916699999999994E-2</v>
      </c>
      <c r="BD49">
        <f t="shared" si="10"/>
        <v>15.7379</v>
      </c>
      <c r="BE49">
        <f t="shared" si="11"/>
        <v>1.5176922554499999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9.3892399999999991</v>
      </c>
      <c r="I50" s="22">
        <v>-1.2146000000000001E-2</v>
      </c>
      <c r="J50" s="22">
        <v>40</v>
      </c>
      <c r="K50" s="22">
        <v>1.5972900000000001</v>
      </c>
      <c r="L50">
        <f t="shared" si="0"/>
        <v>12.146000000000001</v>
      </c>
      <c r="M50">
        <f t="shared" si="1"/>
        <v>19.415502460000003</v>
      </c>
      <c r="N50" s="9"/>
      <c r="O50" s="22">
        <v>0.10147100000000001</v>
      </c>
      <c r="P50" s="22">
        <v>58.810699999999997</v>
      </c>
      <c r="Q50" s="22">
        <v>-1.5765399999999999E-2</v>
      </c>
      <c r="R50" s="22">
        <v>40</v>
      </c>
      <c r="S50" s="22">
        <v>0.100952</v>
      </c>
      <c r="T50">
        <f t="shared" si="2"/>
        <v>15.7654</v>
      </c>
      <c r="U50">
        <f t="shared" si="3"/>
        <v>1.5997309034</v>
      </c>
      <c r="X50" s="9"/>
      <c r="Y50" s="22">
        <v>1.5985100000000001</v>
      </c>
      <c r="Z50" s="22">
        <v>108.38800000000001</v>
      </c>
      <c r="AA50" s="22">
        <v>-1.21674E-2</v>
      </c>
      <c r="AB50" s="22">
        <v>40</v>
      </c>
      <c r="AC50" s="22">
        <v>1.5972900000000001</v>
      </c>
      <c r="AD50">
        <f t="shared" si="4"/>
        <v>12.167400000000001</v>
      </c>
      <c r="AE50">
        <f t="shared" si="5"/>
        <v>19.449710574000001</v>
      </c>
      <c r="AF50" s="9"/>
      <c r="AG50" s="22">
        <v>0.10147100000000001</v>
      </c>
      <c r="AH50" s="22">
        <v>140.047</v>
      </c>
      <c r="AI50" s="22">
        <v>-1.57501E-2</v>
      </c>
      <c r="AJ50" s="22">
        <v>40</v>
      </c>
      <c r="AK50" s="22">
        <v>0.100922</v>
      </c>
      <c r="AL50">
        <f t="shared" si="6"/>
        <v>15.7501</v>
      </c>
      <c r="AM50">
        <f t="shared" si="7"/>
        <v>1.5981783971000001</v>
      </c>
      <c r="AP50" s="9"/>
      <c r="AQ50" s="22">
        <v>1.5985100000000001</v>
      </c>
      <c r="AR50" s="22">
        <v>189.42599999999999</v>
      </c>
      <c r="AS50" s="22">
        <v>-1.20911E-2</v>
      </c>
      <c r="AT50" s="22">
        <v>40</v>
      </c>
      <c r="AU50" s="22">
        <v>1.5979000000000001</v>
      </c>
      <c r="AV50">
        <f t="shared" si="8"/>
        <v>12.091100000000001</v>
      </c>
      <c r="AW50">
        <f t="shared" si="9"/>
        <v>19.327744261000003</v>
      </c>
      <c r="AX50" s="9"/>
      <c r="AY50" s="22">
        <v>0.10147100000000001</v>
      </c>
      <c r="AZ50" s="22">
        <v>238.809</v>
      </c>
      <c r="BA50" s="22">
        <v>-1.5731800000000001E-2</v>
      </c>
      <c r="BB50" s="22">
        <v>40</v>
      </c>
      <c r="BC50" s="22">
        <v>0.100922</v>
      </c>
      <c r="BD50">
        <f t="shared" si="10"/>
        <v>15.7318</v>
      </c>
      <c r="BE50">
        <f t="shared" si="11"/>
        <v>1.5963214778000001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9.3993099999999998</v>
      </c>
      <c r="I51" s="22">
        <v>-1.22559E-2</v>
      </c>
      <c r="J51" s="22">
        <v>41</v>
      </c>
      <c r="K51" s="22">
        <v>1.5930200000000001</v>
      </c>
      <c r="L51">
        <f t="shared" si="0"/>
        <v>12.2559</v>
      </c>
      <c r="M51">
        <f t="shared" si="1"/>
        <v>19.529531532</v>
      </c>
      <c r="N51" s="9"/>
      <c r="O51" s="22">
        <v>0.106506</v>
      </c>
      <c r="P51" s="22">
        <v>58.820700000000002</v>
      </c>
      <c r="Q51" s="22">
        <v>-1.5765399999999999E-2</v>
      </c>
      <c r="R51" s="22">
        <v>41</v>
      </c>
      <c r="S51" s="22">
        <v>0.105988</v>
      </c>
      <c r="T51">
        <f t="shared" si="2"/>
        <v>15.7654</v>
      </c>
      <c r="U51">
        <f t="shared" si="3"/>
        <v>1.6791096924</v>
      </c>
      <c r="X51" s="9"/>
      <c r="Y51" s="22">
        <v>1.59348</v>
      </c>
      <c r="Z51" s="22">
        <v>108.398</v>
      </c>
      <c r="AA51" s="22">
        <v>-1.2268100000000001E-2</v>
      </c>
      <c r="AB51" s="22">
        <v>41</v>
      </c>
      <c r="AC51" s="22">
        <v>1.5927100000000001</v>
      </c>
      <c r="AD51">
        <f t="shared" si="4"/>
        <v>12.2681</v>
      </c>
      <c r="AE51">
        <f t="shared" si="5"/>
        <v>19.548971988000002</v>
      </c>
      <c r="AF51" s="9"/>
      <c r="AG51" s="22">
        <v>0.106506</v>
      </c>
      <c r="AH51" s="22">
        <v>140.05699999999999</v>
      </c>
      <c r="AI51" s="22">
        <v>-1.5753199999999998E-2</v>
      </c>
      <c r="AJ51" s="22">
        <v>41</v>
      </c>
      <c r="AK51" s="22">
        <v>0.10592699999999999</v>
      </c>
      <c r="AL51">
        <f t="shared" si="6"/>
        <v>15.753199999999998</v>
      </c>
      <c r="AM51">
        <f t="shared" si="7"/>
        <v>1.6778103191999998</v>
      </c>
      <c r="AP51" s="9"/>
      <c r="AQ51" s="22">
        <v>1.59348</v>
      </c>
      <c r="AR51" s="22">
        <v>189.43600000000001</v>
      </c>
      <c r="AS51" s="22">
        <v>-1.21948E-2</v>
      </c>
      <c r="AT51" s="22">
        <v>41</v>
      </c>
      <c r="AU51" s="22">
        <v>1.5930200000000001</v>
      </c>
      <c r="AV51">
        <f t="shared" si="8"/>
        <v>12.194800000000001</v>
      </c>
      <c r="AW51">
        <f t="shared" si="9"/>
        <v>19.432169904000002</v>
      </c>
      <c r="AX51" s="9"/>
      <c r="AY51" s="22">
        <v>0.106506</v>
      </c>
      <c r="AZ51" s="22">
        <v>238.81899999999999</v>
      </c>
      <c r="BA51" s="22">
        <v>-1.57349E-2</v>
      </c>
      <c r="BB51" s="22">
        <v>41</v>
      </c>
      <c r="BC51" s="22">
        <v>0.105957</v>
      </c>
      <c r="BD51">
        <f t="shared" si="10"/>
        <v>15.7349</v>
      </c>
      <c r="BE51">
        <f t="shared" si="11"/>
        <v>1.6758612594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9.4093800000000005</v>
      </c>
      <c r="I52" s="22">
        <v>-1.23596E-2</v>
      </c>
      <c r="J52" s="22">
        <v>42</v>
      </c>
      <c r="K52" s="22">
        <v>1.5878300000000001</v>
      </c>
      <c r="L52">
        <f t="shared" si="0"/>
        <v>12.3596</v>
      </c>
      <c r="M52">
        <f t="shared" si="1"/>
        <v>19.632483024000003</v>
      </c>
      <c r="N52" s="9"/>
      <c r="O52" s="22">
        <v>0.111542</v>
      </c>
      <c r="P52" s="22">
        <v>58.830800000000004</v>
      </c>
      <c r="Q52" s="22">
        <v>-1.57623E-2</v>
      </c>
      <c r="R52" s="22">
        <v>42</v>
      </c>
      <c r="S52" s="22">
        <v>0.11096200000000001</v>
      </c>
      <c r="T52">
        <f t="shared" si="2"/>
        <v>15.7623</v>
      </c>
      <c r="U52">
        <f t="shared" si="3"/>
        <v>1.7581584666000001</v>
      </c>
      <c r="X52" s="9"/>
      <c r="Y52" s="22">
        <v>1.5884400000000001</v>
      </c>
      <c r="Z52" s="22">
        <v>108.408</v>
      </c>
      <c r="AA52" s="22">
        <v>-1.23657E-2</v>
      </c>
      <c r="AB52" s="22">
        <v>42</v>
      </c>
      <c r="AC52" s="22">
        <v>1.58752</v>
      </c>
      <c r="AD52">
        <f t="shared" si="4"/>
        <v>12.3657</v>
      </c>
      <c r="AE52">
        <f t="shared" si="5"/>
        <v>19.642172508000002</v>
      </c>
      <c r="AF52" s="9"/>
      <c r="AG52" s="22">
        <v>0.111542</v>
      </c>
      <c r="AH52" s="22">
        <v>140.06700000000001</v>
      </c>
      <c r="AI52" s="22">
        <v>-1.5753199999999998E-2</v>
      </c>
      <c r="AJ52" s="22">
        <v>42</v>
      </c>
      <c r="AK52" s="22">
        <v>0.111023</v>
      </c>
      <c r="AL52">
        <f t="shared" si="6"/>
        <v>15.753199999999998</v>
      </c>
      <c r="AM52">
        <f t="shared" si="7"/>
        <v>1.7571434343999999</v>
      </c>
      <c r="AP52" s="9"/>
      <c r="AQ52" s="22">
        <v>1.5884400000000001</v>
      </c>
      <c r="AR52" s="22">
        <v>189.446</v>
      </c>
      <c r="AS52" s="22">
        <v>-1.23077E-2</v>
      </c>
      <c r="AT52" s="22">
        <v>42</v>
      </c>
      <c r="AU52" s="22">
        <v>1.58752</v>
      </c>
      <c r="AV52">
        <f t="shared" si="8"/>
        <v>12.307699999999999</v>
      </c>
      <c r="AW52">
        <f t="shared" si="9"/>
        <v>19.550042987999998</v>
      </c>
      <c r="AX52" s="9"/>
      <c r="AY52" s="22">
        <v>0.111542</v>
      </c>
      <c r="AZ52" s="22">
        <v>238.82900000000001</v>
      </c>
      <c r="BA52" s="22">
        <v>-1.5731800000000001E-2</v>
      </c>
      <c r="BB52" s="22">
        <v>42</v>
      </c>
      <c r="BC52" s="22">
        <v>0.11099199999999999</v>
      </c>
      <c r="BD52">
        <f t="shared" si="10"/>
        <v>15.7318</v>
      </c>
      <c r="BE52">
        <f t="shared" si="11"/>
        <v>1.7547564356000001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9.4194499999999994</v>
      </c>
      <c r="I53" s="22">
        <v>-1.2460300000000001E-2</v>
      </c>
      <c r="J53" s="22">
        <v>43</v>
      </c>
      <c r="K53" s="22">
        <v>1.5829500000000001</v>
      </c>
      <c r="L53">
        <f t="shared" si="0"/>
        <v>12.4603</v>
      </c>
      <c r="M53">
        <f t="shared" si="1"/>
        <v>19.72963902</v>
      </c>
      <c r="N53" s="9"/>
      <c r="O53" s="22">
        <v>0.116577</v>
      </c>
      <c r="P53" s="22">
        <v>58.840899999999998</v>
      </c>
      <c r="Q53" s="22">
        <v>-1.57593E-2</v>
      </c>
      <c r="R53" s="22">
        <v>43</v>
      </c>
      <c r="S53" s="22">
        <v>0.11605799999999999</v>
      </c>
      <c r="T53">
        <f t="shared" si="2"/>
        <v>15.7593</v>
      </c>
      <c r="U53">
        <f t="shared" si="3"/>
        <v>1.8371719161</v>
      </c>
      <c r="X53" s="9"/>
      <c r="Y53" s="22">
        <v>1.5833999999999999</v>
      </c>
      <c r="Z53" s="22">
        <v>108.41800000000001</v>
      </c>
      <c r="AA53" s="22">
        <v>-1.2466400000000001E-2</v>
      </c>
      <c r="AB53" s="22">
        <v>43</v>
      </c>
      <c r="AC53" s="22">
        <v>1.5829500000000001</v>
      </c>
      <c r="AD53">
        <f t="shared" si="4"/>
        <v>12.4664</v>
      </c>
      <c r="AE53">
        <f t="shared" si="5"/>
        <v>19.739297759999999</v>
      </c>
      <c r="AF53" s="9"/>
      <c r="AG53" s="22">
        <v>0.116577</v>
      </c>
      <c r="AH53" s="22">
        <v>140.077</v>
      </c>
      <c r="AI53" s="22">
        <v>-1.57501E-2</v>
      </c>
      <c r="AJ53" s="22">
        <v>43</v>
      </c>
      <c r="AK53" s="22">
        <v>0.11605799999999999</v>
      </c>
      <c r="AL53">
        <f t="shared" si="6"/>
        <v>15.7501</v>
      </c>
      <c r="AM53">
        <f t="shared" si="7"/>
        <v>1.8360994076999999</v>
      </c>
      <c r="AP53" s="9"/>
      <c r="AQ53" s="22">
        <v>1.5833999999999999</v>
      </c>
      <c r="AR53" s="22">
        <v>189.45599999999999</v>
      </c>
      <c r="AS53" s="22">
        <v>-1.24207E-2</v>
      </c>
      <c r="AT53" s="22">
        <v>43</v>
      </c>
      <c r="AU53" s="22">
        <v>1.58264</v>
      </c>
      <c r="AV53">
        <f t="shared" si="8"/>
        <v>12.4207</v>
      </c>
      <c r="AW53">
        <f t="shared" si="9"/>
        <v>19.666936379999999</v>
      </c>
      <c r="AX53" s="9"/>
      <c r="AY53" s="22">
        <v>0.116577</v>
      </c>
      <c r="AZ53" s="22">
        <v>238.839</v>
      </c>
      <c r="BA53" s="22">
        <v>-1.5731800000000001E-2</v>
      </c>
      <c r="BB53" s="22">
        <v>43</v>
      </c>
      <c r="BC53" s="22">
        <v>0.116089</v>
      </c>
      <c r="BD53">
        <f t="shared" si="10"/>
        <v>15.7318</v>
      </c>
      <c r="BE53">
        <f t="shared" si="11"/>
        <v>1.8339660486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9.4295200000000001</v>
      </c>
      <c r="I54" s="22">
        <v>-1.2560999999999999E-2</v>
      </c>
      <c r="J54" s="22">
        <v>44</v>
      </c>
      <c r="K54" s="22">
        <v>1.5777600000000001</v>
      </c>
      <c r="L54">
        <f t="shared" si="0"/>
        <v>12.561</v>
      </c>
      <c r="M54">
        <f t="shared" si="1"/>
        <v>19.82590557</v>
      </c>
      <c r="N54" s="9"/>
      <c r="O54" s="22">
        <v>0.121613</v>
      </c>
      <c r="P54" s="22">
        <v>58.850900000000003</v>
      </c>
      <c r="Q54" s="22">
        <v>-1.5756200000000001E-2</v>
      </c>
      <c r="R54" s="22">
        <v>44</v>
      </c>
      <c r="S54" s="22">
        <v>0.121124</v>
      </c>
      <c r="T54">
        <f t="shared" si="2"/>
        <v>15.756200000000002</v>
      </c>
      <c r="U54">
        <f t="shared" si="3"/>
        <v>1.9161587506000002</v>
      </c>
      <c r="X54" s="9"/>
      <c r="Y54" s="22">
        <v>1.5783700000000001</v>
      </c>
      <c r="Z54" s="22">
        <v>108.428</v>
      </c>
      <c r="AA54" s="22">
        <v>-1.2567099999999999E-2</v>
      </c>
      <c r="AB54" s="22">
        <v>44</v>
      </c>
      <c r="AC54" s="22">
        <v>1.5777600000000001</v>
      </c>
      <c r="AD54">
        <f t="shared" si="4"/>
        <v>12.5671</v>
      </c>
      <c r="AE54">
        <f t="shared" si="5"/>
        <v>19.835533627</v>
      </c>
      <c r="AF54" s="9"/>
      <c r="AG54" s="22">
        <v>0.121613</v>
      </c>
      <c r="AH54" s="22">
        <v>140.08699999999999</v>
      </c>
      <c r="AI54" s="22">
        <v>-1.57501E-2</v>
      </c>
      <c r="AJ54" s="22">
        <v>44</v>
      </c>
      <c r="AK54" s="22">
        <v>0.121063</v>
      </c>
      <c r="AL54">
        <f t="shared" si="6"/>
        <v>15.7501</v>
      </c>
      <c r="AM54">
        <f t="shared" si="7"/>
        <v>1.9154169112999999</v>
      </c>
      <c r="AP54" s="9"/>
      <c r="AQ54" s="22">
        <v>1.5783700000000001</v>
      </c>
      <c r="AR54" s="22">
        <v>189.46600000000001</v>
      </c>
      <c r="AS54" s="22">
        <v>-1.25214E-2</v>
      </c>
      <c r="AT54" s="22">
        <v>44</v>
      </c>
      <c r="AU54" s="22">
        <v>1.57806</v>
      </c>
      <c r="AV54">
        <f t="shared" si="8"/>
        <v>12.5214</v>
      </c>
      <c r="AW54">
        <f t="shared" si="9"/>
        <v>19.763402118000002</v>
      </c>
      <c r="AX54" s="9"/>
      <c r="AY54" s="22">
        <v>0.121613</v>
      </c>
      <c r="AZ54" s="22">
        <v>238.84899999999999</v>
      </c>
      <c r="BA54" s="22">
        <v>-1.5731800000000001E-2</v>
      </c>
      <c r="BB54" s="22">
        <v>44</v>
      </c>
      <c r="BC54" s="22">
        <v>0.121155</v>
      </c>
      <c r="BD54">
        <f t="shared" si="10"/>
        <v>15.7318</v>
      </c>
      <c r="BE54">
        <f t="shared" si="11"/>
        <v>1.9131913934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9.4395900000000008</v>
      </c>
      <c r="I55" s="22">
        <v>-1.2655599999999999E-2</v>
      </c>
      <c r="J55" s="22">
        <v>45</v>
      </c>
      <c r="K55" s="22">
        <v>1.5722700000000001</v>
      </c>
      <c r="L55">
        <f t="shared" si="0"/>
        <v>12.6556</v>
      </c>
      <c r="M55">
        <f t="shared" si="1"/>
        <v>19.911435147999999</v>
      </c>
      <c r="N55" s="9"/>
      <c r="O55" s="22">
        <v>0.12664800000000001</v>
      </c>
      <c r="P55" s="22">
        <v>58.860999999999997</v>
      </c>
      <c r="Q55" s="22">
        <v>-1.5753199999999998E-2</v>
      </c>
      <c r="R55" s="22">
        <v>45</v>
      </c>
      <c r="S55" s="22">
        <v>0.12612899999999999</v>
      </c>
      <c r="T55">
        <f t="shared" si="2"/>
        <v>15.753199999999998</v>
      </c>
      <c r="U55">
        <f t="shared" si="3"/>
        <v>1.9951112735999998</v>
      </c>
      <c r="X55" s="9"/>
      <c r="Y55" s="22">
        <v>1.5733299999999999</v>
      </c>
      <c r="Z55" s="22">
        <v>108.438</v>
      </c>
      <c r="AA55" s="22">
        <v>-1.26648E-2</v>
      </c>
      <c r="AB55" s="22">
        <v>45</v>
      </c>
      <c r="AC55" s="22">
        <v>1.5728800000000001</v>
      </c>
      <c r="AD55">
        <f t="shared" si="4"/>
        <v>12.6648</v>
      </c>
      <c r="AE55">
        <f t="shared" si="5"/>
        <v>19.925909783999998</v>
      </c>
      <c r="AF55" s="9"/>
      <c r="AG55" s="22">
        <v>0.12664800000000001</v>
      </c>
      <c r="AH55" s="22">
        <v>140.09800000000001</v>
      </c>
      <c r="AI55" s="22">
        <v>-1.57501E-2</v>
      </c>
      <c r="AJ55" s="22">
        <v>45</v>
      </c>
      <c r="AK55" s="22">
        <v>0.12615999999999999</v>
      </c>
      <c r="AL55">
        <f t="shared" si="6"/>
        <v>15.7501</v>
      </c>
      <c r="AM55">
        <f t="shared" si="7"/>
        <v>1.9947186648000002</v>
      </c>
      <c r="AP55" s="9"/>
      <c r="AQ55" s="22">
        <v>1.5733299999999999</v>
      </c>
      <c r="AR55" s="22">
        <v>189.476</v>
      </c>
      <c r="AS55" s="22">
        <v>-1.2622100000000001E-2</v>
      </c>
      <c r="AT55" s="22">
        <v>45</v>
      </c>
      <c r="AU55" s="22">
        <v>1.57257</v>
      </c>
      <c r="AV55">
        <f t="shared" si="8"/>
        <v>12.622100000000001</v>
      </c>
      <c r="AW55">
        <f t="shared" si="9"/>
        <v>19.858728593000002</v>
      </c>
      <c r="AX55" s="9"/>
      <c r="AY55" s="22">
        <v>0.12664800000000001</v>
      </c>
      <c r="AZ55" s="22">
        <v>238.85900000000001</v>
      </c>
      <c r="BA55" s="22">
        <v>-1.5731800000000001E-2</v>
      </c>
      <c r="BB55" s="22">
        <v>45</v>
      </c>
      <c r="BC55" s="22">
        <v>0.12612899999999999</v>
      </c>
      <c r="BD55">
        <f t="shared" si="10"/>
        <v>15.7318</v>
      </c>
      <c r="BE55">
        <f t="shared" si="11"/>
        <v>1.9924010064000002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9.4496599999999997</v>
      </c>
      <c r="I56" s="22">
        <v>-1.2731900000000001E-2</v>
      </c>
      <c r="J56" s="22">
        <v>46</v>
      </c>
      <c r="K56" s="22">
        <v>1.56738</v>
      </c>
      <c r="L56">
        <f t="shared" si="0"/>
        <v>12.731900000000001</v>
      </c>
      <c r="M56">
        <f t="shared" si="1"/>
        <v>19.967438770000001</v>
      </c>
      <c r="N56" s="9"/>
      <c r="O56" s="22">
        <v>0.13168299999999999</v>
      </c>
      <c r="P56" s="22">
        <v>58.871099999999998</v>
      </c>
      <c r="Q56" s="22">
        <v>-1.57501E-2</v>
      </c>
      <c r="R56" s="22">
        <v>46</v>
      </c>
      <c r="S56" s="22">
        <v>0.131165</v>
      </c>
      <c r="T56">
        <f t="shared" si="2"/>
        <v>15.7501</v>
      </c>
      <c r="U56">
        <f t="shared" si="3"/>
        <v>2.0740204182999999</v>
      </c>
      <c r="X56" s="9"/>
      <c r="Y56" s="22">
        <v>1.5683</v>
      </c>
      <c r="Z56" s="22">
        <v>108.449</v>
      </c>
      <c r="AA56" s="22">
        <v>-1.27533E-2</v>
      </c>
      <c r="AB56" s="22">
        <v>46</v>
      </c>
      <c r="AC56" s="22">
        <v>1.56738</v>
      </c>
      <c r="AD56">
        <f t="shared" si="4"/>
        <v>12.753300000000001</v>
      </c>
      <c r="AE56">
        <f t="shared" si="5"/>
        <v>20.001000390000002</v>
      </c>
      <c r="AF56" s="9"/>
      <c r="AG56" s="22">
        <v>0.13168299999999999</v>
      </c>
      <c r="AH56" s="22">
        <v>140.108</v>
      </c>
      <c r="AI56" s="22">
        <v>-1.57501E-2</v>
      </c>
      <c r="AJ56" s="22">
        <v>46</v>
      </c>
      <c r="AK56" s="22">
        <v>0.13119500000000001</v>
      </c>
      <c r="AL56">
        <f t="shared" si="6"/>
        <v>15.7501</v>
      </c>
      <c r="AM56">
        <f t="shared" si="7"/>
        <v>2.0740204182999999</v>
      </c>
      <c r="AP56" s="9"/>
      <c r="AQ56" s="22">
        <v>1.5683</v>
      </c>
      <c r="AR56" s="22">
        <v>189.48599999999999</v>
      </c>
      <c r="AS56" s="22">
        <v>-1.2722799999999999E-2</v>
      </c>
      <c r="AT56" s="22">
        <v>46</v>
      </c>
      <c r="AU56" s="22">
        <v>1.56738</v>
      </c>
      <c r="AV56">
        <f t="shared" si="8"/>
        <v>12.722799999999999</v>
      </c>
      <c r="AW56">
        <f t="shared" si="9"/>
        <v>19.953167239999999</v>
      </c>
      <c r="AX56" s="9"/>
      <c r="AY56" s="22">
        <v>0.13168299999999999</v>
      </c>
      <c r="AZ56" s="22">
        <v>238.869</v>
      </c>
      <c r="BA56" s="22">
        <v>-1.5725699999999999E-2</v>
      </c>
      <c r="BB56" s="22">
        <v>46</v>
      </c>
      <c r="BC56" s="22">
        <v>0.131134</v>
      </c>
      <c r="BD56">
        <f t="shared" si="10"/>
        <v>15.725699999999998</v>
      </c>
      <c r="BE56">
        <f t="shared" si="11"/>
        <v>2.0708073530999997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9.4597300000000004</v>
      </c>
      <c r="I57" s="22">
        <v>-1.2814300000000001E-2</v>
      </c>
      <c r="J57" s="22">
        <v>47</v>
      </c>
      <c r="K57" s="22">
        <v>1.56219</v>
      </c>
      <c r="L57">
        <f t="shared" si="0"/>
        <v>12.814300000000001</v>
      </c>
      <c r="M57">
        <f t="shared" si="1"/>
        <v>20.032082618000004</v>
      </c>
      <c r="N57" s="9"/>
      <c r="O57" s="22">
        <v>0.13671900000000001</v>
      </c>
      <c r="P57" s="22">
        <v>58.8812</v>
      </c>
      <c r="Q57" s="22">
        <v>-1.57501E-2</v>
      </c>
      <c r="R57" s="22">
        <v>47</v>
      </c>
      <c r="S57" s="22">
        <v>0.13616900000000001</v>
      </c>
      <c r="T57">
        <f t="shared" si="2"/>
        <v>15.7501</v>
      </c>
      <c r="U57">
        <f t="shared" si="3"/>
        <v>2.1533379219</v>
      </c>
      <c r="X57" s="9"/>
      <c r="Y57" s="22">
        <v>1.5632600000000001</v>
      </c>
      <c r="Z57" s="22">
        <v>108.459</v>
      </c>
      <c r="AA57" s="22">
        <v>-1.2847900000000001E-2</v>
      </c>
      <c r="AB57" s="22">
        <v>47</v>
      </c>
      <c r="AC57" s="22">
        <v>1.5625</v>
      </c>
      <c r="AD57">
        <f t="shared" si="4"/>
        <v>12.847900000000001</v>
      </c>
      <c r="AE57">
        <f t="shared" si="5"/>
        <v>20.084608154000001</v>
      </c>
      <c r="AF57" s="9"/>
      <c r="AG57" s="22">
        <v>0.13671900000000001</v>
      </c>
      <c r="AH57" s="22">
        <v>140.11799999999999</v>
      </c>
      <c r="AI57" s="22">
        <v>-1.5744000000000001E-2</v>
      </c>
      <c r="AJ57" s="22">
        <v>47</v>
      </c>
      <c r="AK57" s="22">
        <v>0.13616900000000001</v>
      </c>
      <c r="AL57">
        <f t="shared" si="6"/>
        <v>15.744000000000002</v>
      </c>
      <c r="AM57">
        <f t="shared" si="7"/>
        <v>2.1525039360000005</v>
      </c>
      <c r="AP57" s="9"/>
      <c r="AQ57" s="22">
        <v>1.5632600000000001</v>
      </c>
      <c r="AR57" s="22">
        <v>189.49600000000001</v>
      </c>
      <c r="AS57" s="22">
        <v>-1.28174E-2</v>
      </c>
      <c r="AT57" s="22">
        <v>47</v>
      </c>
      <c r="AU57" s="22">
        <v>1.5625</v>
      </c>
      <c r="AV57">
        <f t="shared" si="8"/>
        <v>12.817399999999999</v>
      </c>
      <c r="AW57">
        <f t="shared" si="9"/>
        <v>20.036928723999999</v>
      </c>
      <c r="AX57" s="9"/>
      <c r="AY57" s="22">
        <v>0.13671900000000001</v>
      </c>
      <c r="AZ57" s="22">
        <v>238.88</v>
      </c>
      <c r="BA57" s="22">
        <v>-1.5722699999999999E-2</v>
      </c>
      <c r="BB57" s="22">
        <v>47</v>
      </c>
      <c r="BC57" s="22">
        <v>0.13616900000000001</v>
      </c>
      <c r="BD57">
        <f t="shared" si="10"/>
        <v>15.7227</v>
      </c>
      <c r="BE57">
        <f t="shared" si="11"/>
        <v>2.1495918213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9.4697999999999993</v>
      </c>
      <c r="I58" s="22">
        <v>-1.2893699999999999E-2</v>
      </c>
      <c r="J58" s="22">
        <v>48</v>
      </c>
      <c r="K58" s="22">
        <v>1.55792</v>
      </c>
      <c r="L58">
        <f t="shared" si="0"/>
        <v>12.893699999999999</v>
      </c>
      <c r="M58">
        <f t="shared" si="1"/>
        <v>20.091350151</v>
      </c>
      <c r="N58" s="9"/>
      <c r="O58" s="22">
        <v>0.14175399999999999</v>
      </c>
      <c r="P58" s="22">
        <v>58.891199999999998</v>
      </c>
      <c r="Q58" s="22">
        <v>-1.57471E-2</v>
      </c>
      <c r="R58" s="22">
        <v>48</v>
      </c>
      <c r="S58" s="22">
        <v>0.141266</v>
      </c>
      <c r="T58">
        <f t="shared" si="2"/>
        <v>15.7471</v>
      </c>
      <c r="U58">
        <f t="shared" si="3"/>
        <v>2.2322144133999999</v>
      </c>
      <c r="X58" s="9"/>
      <c r="Y58" s="22">
        <v>1.55823</v>
      </c>
      <c r="Z58" s="22">
        <v>108.46899999999999</v>
      </c>
      <c r="AA58" s="22">
        <v>-1.29303E-2</v>
      </c>
      <c r="AB58" s="22">
        <v>48</v>
      </c>
      <c r="AC58" s="22">
        <v>1.55762</v>
      </c>
      <c r="AD58">
        <f t="shared" si="4"/>
        <v>12.930300000000001</v>
      </c>
      <c r="AE58">
        <f t="shared" si="5"/>
        <v>20.148381369000003</v>
      </c>
      <c r="AF58" s="9"/>
      <c r="AG58" s="22">
        <v>0.14175399999999999</v>
      </c>
      <c r="AH58" s="22">
        <v>140.12799999999999</v>
      </c>
      <c r="AI58" s="22">
        <v>-1.5737899999999999E-2</v>
      </c>
      <c r="AJ58" s="22">
        <v>48</v>
      </c>
      <c r="AK58" s="22">
        <v>0.14117399999999999</v>
      </c>
      <c r="AL58">
        <f t="shared" si="6"/>
        <v>15.7379</v>
      </c>
      <c r="AM58">
        <f t="shared" si="7"/>
        <v>2.2309102766</v>
      </c>
      <c r="AP58" s="9"/>
      <c r="AQ58" s="22">
        <v>1.55823</v>
      </c>
      <c r="AR58" s="22">
        <v>189.506</v>
      </c>
      <c r="AS58" s="22">
        <v>-1.29059E-2</v>
      </c>
      <c r="AT58" s="22">
        <v>48</v>
      </c>
      <c r="AU58" s="22">
        <v>1.55731</v>
      </c>
      <c r="AV58">
        <f t="shared" si="8"/>
        <v>12.905899999999999</v>
      </c>
      <c r="AW58">
        <f t="shared" si="9"/>
        <v>20.110360557</v>
      </c>
      <c r="AX58" s="9"/>
      <c r="AY58" s="22">
        <v>0.14175399999999999</v>
      </c>
      <c r="AZ58" s="22">
        <v>238.89</v>
      </c>
      <c r="BA58" s="22">
        <v>-1.5725699999999999E-2</v>
      </c>
      <c r="BB58" s="22">
        <v>48</v>
      </c>
      <c r="BC58" s="22">
        <v>0.141235</v>
      </c>
      <c r="BD58">
        <f t="shared" si="10"/>
        <v>15.725699999999998</v>
      </c>
      <c r="BE58">
        <f t="shared" si="11"/>
        <v>2.2291808777999997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9.4798799999999996</v>
      </c>
      <c r="I59" s="22">
        <v>-1.2970000000000001E-2</v>
      </c>
      <c r="J59" s="22">
        <v>49</v>
      </c>
      <c r="K59" s="22">
        <v>1.5527299999999999</v>
      </c>
      <c r="L59">
        <f t="shared" si="0"/>
        <v>12.97</v>
      </c>
      <c r="M59">
        <f t="shared" si="1"/>
        <v>20.144874300000001</v>
      </c>
      <c r="N59" s="9"/>
      <c r="O59" s="22">
        <v>0.14679</v>
      </c>
      <c r="P59" s="22">
        <v>58.901299999999999</v>
      </c>
      <c r="Q59" s="22">
        <v>-1.5744000000000001E-2</v>
      </c>
      <c r="R59" s="22">
        <v>49</v>
      </c>
      <c r="S59" s="22">
        <v>0.14621000000000001</v>
      </c>
      <c r="T59">
        <f t="shared" si="2"/>
        <v>15.744000000000002</v>
      </c>
      <c r="U59">
        <f t="shared" si="3"/>
        <v>2.3110617600000003</v>
      </c>
      <c r="X59" s="9"/>
      <c r="Y59" s="22">
        <v>1.5531900000000001</v>
      </c>
      <c r="Z59" s="22">
        <v>108.479</v>
      </c>
      <c r="AA59" s="22">
        <v>-1.30066E-2</v>
      </c>
      <c r="AB59" s="22">
        <v>49</v>
      </c>
      <c r="AC59" s="22">
        <v>1.5521199999999999</v>
      </c>
      <c r="AD59">
        <f t="shared" si="4"/>
        <v>13.006600000000001</v>
      </c>
      <c r="AE59">
        <f t="shared" si="5"/>
        <v>20.201721054000004</v>
      </c>
      <c r="AF59" s="9"/>
      <c r="AG59" s="22">
        <v>0.14679</v>
      </c>
      <c r="AH59" s="22">
        <v>140.13800000000001</v>
      </c>
      <c r="AI59" s="22">
        <v>-1.5731800000000001E-2</v>
      </c>
      <c r="AJ59" s="22">
        <v>49</v>
      </c>
      <c r="AK59" s="22">
        <v>0.14630099999999999</v>
      </c>
      <c r="AL59">
        <f t="shared" si="6"/>
        <v>15.7318</v>
      </c>
      <c r="AM59">
        <f t="shared" si="7"/>
        <v>2.3092709220000001</v>
      </c>
      <c r="AP59" s="9"/>
      <c r="AQ59" s="22">
        <v>1.5531900000000001</v>
      </c>
      <c r="AR59" s="22">
        <v>189.51599999999999</v>
      </c>
      <c r="AS59" s="22">
        <v>-1.2988299999999999E-2</v>
      </c>
      <c r="AT59" s="22">
        <v>49</v>
      </c>
      <c r="AU59" s="22">
        <v>1.55243</v>
      </c>
      <c r="AV59">
        <f t="shared" si="8"/>
        <v>12.988299999999999</v>
      </c>
      <c r="AW59">
        <f t="shared" si="9"/>
        <v>20.173297677000001</v>
      </c>
      <c r="AX59" s="9"/>
      <c r="AY59" s="22">
        <v>0.14679</v>
      </c>
      <c r="AZ59" s="22">
        <v>238.9</v>
      </c>
      <c r="BA59" s="22">
        <v>-1.5725699999999999E-2</v>
      </c>
      <c r="BB59" s="22">
        <v>49</v>
      </c>
      <c r="BC59" s="22">
        <v>0.146179</v>
      </c>
      <c r="BD59">
        <f t="shared" si="10"/>
        <v>15.725699999999998</v>
      </c>
      <c r="BE59">
        <f t="shared" si="11"/>
        <v>2.3083755029999997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9.4899500000000003</v>
      </c>
      <c r="I60" s="22">
        <v>-1.3037099999999999E-2</v>
      </c>
      <c r="J60" s="22">
        <v>50</v>
      </c>
      <c r="K60" s="22">
        <v>1.5472399999999999</v>
      </c>
      <c r="L60">
        <f t="shared" si="0"/>
        <v>13.037099999999999</v>
      </c>
      <c r="M60">
        <f t="shared" si="1"/>
        <v>20.183516735999998</v>
      </c>
      <c r="N60" s="9"/>
      <c r="O60" s="22">
        <v>0.15182499999999999</v>
      </c>
      <c r="P60" s="22">
        <v>58.9114</v>
      </c>
      <c r="Q60" s="22">
        <v>-1.5737899999999999E-2</v>
      </c>
      <c r="R60" s="22">
        <v>50</v>
      </c>
      <c r="S60" s="22">
        <v>0.151306</v>
      </c>
      <c r="T60">
        <f t="shared" si="2"/>
        <v>15.7379</v>
      </c>
      <c r="U60">
        <f t="shared" si="3"/>
        <v>2.3894066674999999</v>
      </c>
      <c r="X60" s="9"/>
      <c r="Y60" s="22">
        <v>1.54816</v>
      </c>
      <c r="Z60" s="22">
        <v>108.489</v>
      </c>
      <c r="AA60" s="22">
        <v>-1.3089E-2</v>
      </c>
      <c r="AB60" s="22">
        <v>50</v>
      </c>
      <c r="AC60" s="22">
        <v>1.54755</v>
      </c>
      <c r="AD60">
        <f t="shared" si="4"/>
        <v>13.089</v>
      </c>
      <c r="AE60">
        <f t="shared" si="5"/>
        <v>20.263866239999999</v>
      </c>
      <c r="AF60" s="9"/>
      <c r="AG60" s="22">
        <v>0.15182499999999999</v>
      </c>
      <c r="AH60" s="22">
        <v>140.148</v>
      </c>
      <c r="AI60" s="22">
        <v>-1.57349E-2</v>
      </c>
      <c r="AJ60" s="22">
        <v>50</v>
      </c>
      <c r="AK60" s="22">
        <v>0.15124499999999999</v>
      </c>
      <c r="AL60">
        <f t="shared" si="6"/>
        <v>15.7349</v>
      </c>
      <c r="AM60">
        <f t="shared" si="7"/>
        <v>2.3889511924999995</v>
      </c>
      <c r="AP60" s="9"/>
      <c r="AQ60" s="22">
        <v>1.54816</v>
      </c>
      <c r="AR60" s="22">
        <v>189.52600000000001</v>
      </c>
      <c r="AS60" s="22">
        <v>-1.30554E-2</v>
      </c>
      <c r="AT60" s="22">
        <v>50</v>
      </c>
      <c r="AU60" s="22">
        <v>1.54816</v>
      </c>
      <c r="AV60">
        <f t="shared" si="8"/>
        <v>13.055400000000001</v>
      </c>
      <c r="AW60">
        <f t="shared" si="9"/>
        <v>20.211848064000002</v>
      </c>
      <c r="AX60" s="9"/>
      <c r="AY60" s="22">
        <v>0.15182499999999999</v>
      </c>
      <c r="AZ60" s="22">
        <v>238.91</v>
      </c>
      <c r="BA60" s="22">
        <v>-1.5725699999999999E-2</v>
      </c>
      <c r="BB60" s="22">
        <v>50</v>
      </c>
      <c r="BC60" s="22">
        <v>0.15127599999999999</v>
      </c>
      <c r="BD60">
        <f t="shared" si="10"/>
        <v>15.725699999999998</v>
      </c>
      <c r="BE60">
        <f t="shared" si="11"/>
        <v>2.3875544024999993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9.5000199999999992</v>
      </c>
      <c r="I61" s="22">
        <v>-1.31042E-2</v>
      </c>
      <c r="J61" s="22">
        <v>51</v>
      </c>
      <c r="K61" s="22">
        <v>1.5420499999999999</v>
      </c>
      <c r="L61">
        <f t="shared" si="0"/>
        <v>13.104200000000001</v>
      </c>
      <c r="M61">
        <f t="shared" si="1"/>
        <v>20.221353104000002</v>
      </c>
      <c r="N61" s="9"/>
      <c r="O61" s="22">
        <v>0.15686</v>
      </c>
      <c r="P61" s="22">
        <v>58.921399999999998</v>
      </c>
      <c r="Q61" s="22">
        <v>-1.5737899999999999E-2</v>
      </c>
      <c r="R61" s="22">
        <v>51</v>
      </c>
      <c r="S61" s="22">
        <v>0.156281</v>
      </c>
      <c r="T61">
        <f t="shared" si="2"/>
        <v>15.7379</v>
      </c>
      <c r="U61">
        <f t="shared" si="3"/>
        <v>2.4686469939999998</v>
      </c>
      <c r="X61" s="9"/>
      <c r="Y61" s="22">
        <v>1.54312</v>
      </c>
      <c r="Z61" s="22">
        <v>108.499</v>
      </c>
      <c r="AA61" s="22">
        <v>-1.3159199999999999E-2</v>
      </c>
      <c r="AB61" s="22">
        <v>51</v>
      </c>
      <c r="AC61" s="22">
        <v>1.5426599999999999</v>
      </c>
      <c r="AD61">
        <f t="shared" si="4"/>
        <v>13.1592</v>
      </c>
      <c r="AE61">
        <f t="shared" si="5"/>
        <v>20.306224704000002</v>
      </c>
      <c r="AF61" s="9"/>
      <c r="AG61" s="22">
        <v>0.15686</v>
      </c>
      <c r="AH61" s="22">
        <v>140.15799999999999</v>
      </c>
      <c r="AI61" s="22">
        <v>-1.57349E-2</v>
      </c>
      <c r="AJ61" s="22">
        <v>51</v>
      </c>
      <c r="AK61" s="22">
        <v>0.15634200000000001</v>
      </c>
      <c r="AL61">
        <f t="shared" si="6"/>
        <v>15.7349</v>
      </c>
      <c r="AM61">
        <f t="shared" si="7"/>
        <v>2.4681764139999998</v>
      </c>
      <c r="AP61" s="9"/>
      <c r="AQ61" s="22">
        <v>1.54312</v>
      </c>
      <c r="AR61" s="22">
        <v>189.536</v>
      </c>
      <c r="AS61" s="22">
        <v>-1.31317E-2</v>
      </c>
      <c r="AT61" s="22">
        <v>51</v>
      </c>
      <c r="AU61" s="22">
        <v>1.54236</v>
      </c>
      <c r="AV61">
        <f t="shared" si="8"/>
        <v>13.1317</v>
      </c>
      <c r="AW61">
        <f t="shared" si="9"/>
        <v>20.263788904000002</v>
      </c>
      <c r="AX61" s="9"/>
      <c r="AY61" s="22">
        <v>0.15686</v>
      </c>
      <c r="AZ61" s="22">
        <v>238.92</v>
      </c>
      <c r="BA61" s="22">
        <v>-1.5728800000000001E-2</v>
      </c>
      <c r="BB61" s="22">
        <v>51</v>
      </c>
      <c r="BC61" s="22">
        <v>0.156281</v>
      </c>
      <c r="BD61">
        <f t="shared" si="10"/>
        <v>15.728800000000001</v>
      </c>
      <c r="BE61">
        <f t="shared" si="11"/>
        <v>2.4672195680000004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9.5100899999999999</v>
      </c>
      <c r="I62" s="22">
        <v>-1.3168300000000001E-2</v>
      </c>
      <c r="J62" s="22">
        <v>52</v>
      </c>
      <c r="K62" s="22">
        <v>1.53748</v>
      </c>
      <c r="L62">
        <f t="shared" si="0"/>
        <v>13.1683</v>
      </c>
      <c r="M62">
        <f t="shared" si="1"/>
        <v>20.254030546999999</v>
      </c>
      <c r="N62" s="9"/>
      <c r="O62" s="22">
        <v>0.16189600000000001</v>
      </c>
      <c r="P62" s="22">
        <v>58.9315</v>
      </c>
      <c r="Q62" s="22">
        <v>-1.5741000000000002E-2</v>
      </c>
      <c r="R62" s="22">
        <v>52</v>
      </c>
      <c r="S62" s="22">
        <v>0.16131599999999999</v>
      </c>
      <c r="T62">
        <f t="shared" si="2"/>
        <v>15.741000000000001</v>
      </c>
      <c r="U62">
        <f t="shared" si="3"/>
        <v>2.5484049360000003</v>
      </c>
      <c r="X62" s="9"/>
      <c r="Y62" s="22">
        <v>1.53809</v>
      </c>
      <c r="Z62" s="22">
        <v>108.509</v>
      </c>
      <c r="AA62" s="22">
        <v>-1.32263E-2</v>
      </c>
      <c r="AB62" s="22">
        <v>52</v>
      </c>
      <c r="AC62" s="22">
        <v>1.5371699999999999</v>
      </c>
      <c r="AD62">
        <f t="shared" si="4"/>
        <v>13.2263</v>
      </c>
      <c r="AE62">
        <f t="shared" si="5"/>
        <v>20.343239767</v>
      </c>
      <c r="AF62" s="9"/>
      <c r="AG62" s="22">
        <v>0.16189600000000001</v>
      </c>
      <c r="AH62" s="22">
        <v>140.16800000000001</v>
      </c>
      <c r="AI62" s="22">
        <v>-1.57349E-2</v>
      </c>
      <c r="AJ62" s="22">
        <v>52</v>
      </c>
      <c r="AK62" s="22">
        <v>0.16134599999999999</v>
      </c>
      <c r="AL62">
        <f t="shared" si="6"/>
        <v>15.7349</v>
      </c>
      <c r="AM62">
        <f t="shared" si="7"/>
        <v>2.5474173704000003</v>
      </c>
      <c r="AP62" s="9"/>
      <c r="AQ62" s="22">
        <v>1.53809</v>
      </c>
      <c r="AR62" s="22">
        <v>189.54599999999999</v>
      </c>
      <c r="AS62" s="22">
        <v>-1.32172E-2</v>
      </c>
      <c r="AT62" s="22">
        <v>52</v>
      </c>
      <c r="AU62" s="22">
        <v>1.53748</v>
      </c>
      <c r="AV62">
        <f t="shared" si="8"/>
        <v>13.2172</v>
      </c>
      <c r="AW62">
        <f t="shared" si="9"/>
        <v>20.329243148</v>
      </c>
      <c r="AX62" s="9"/>
      <c r="AY62" s="22">
        <v>0.16189600000000001</v>
      </c>
      <c r="AZ62" s="22">
        <v>238.93</v>
      </c>
      <c r="BA62" s="22">
        <v>-1.5731800000000001E-2</v>
      </c>
      <c r="BB62" s="22">
        <v>52</v>
      </c>
      <c r="BC62" s="22">
        <v>0.16131599999999999</v>
      </c>
      <c r="BD62">
        <f t="shared" si="10"/>
        <v>15.7318</v>
      </c>
      <c r="BE62">
        <f t="shared" si="11"/>
        <v>2.5469154928000002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9.5201600000000006</v>
      </c>
      <c r="I63" s="22">
        <v>-1.3241599999999999E-2</v>
      </c>
      <c r="J63" s="22">
        <v>53</v>
      </c>
      <c r="K63" s="22">
        <v>1.5322899999999999</v>
      </c>
      <c r="L63">
        <f t="shared" si="0"/>
        <v>13.2416</v>
      </c>
      <c r="M63">
        <f t="shared" si="1"/>
        <v>20.300034880000002</v>
      </c>
      <c r="N63" s="9"/>
      <c r="O63" s="22">
        <v>0.166931</v>
      </c>
      <c r="P63" s="22">
        <v>58.941600000000001</v>
      </c>
      <c r="Q63" s="22">
        <v>-1.5744000000000001E-2</v>
      </c>
      <c r="R63" s="22">
        <v>53</v>
      </c>
      <c r="S63" s="22">
        <v>0.166382</v>
      </c>
      <c r="T63">
        <f t="shared" si="2"/>
        <v>15.744000000000002</v>
      </c>
      <c r="U63">
        <f t="shared" si="3"/>
        <v>2.6281616640000003</v>
      </c>
      <c r="X63" s="9"/>
      <c r="Y63" s="22">
        <v>1.53305</v>
      </c>
      <c r="Z63" s="22">
        <v>108.51900000000001</v>
      </c>
      <c r="AA63" s="22">
        <v>-1.32935E-2</v>
      </c>
      <c r="AB63" s="22">
        <v>53</v>
      </c>
      <c r="AC63" s="22">
        <v>1.5325899999999999</v>
      </c>
      <c r="AD63">
        <f t="shared" si="4"/>
        <v>13.2935</v>
      </c>
      <c r="AE63">
        <f t="shared" si="5"/>
        <v>20.379600175</v>
      </c>
      <c r="AF63" s="9"/>
      <c r="AG63" s="22">
        <v>0.166931</v>
      </c>
      <c r="AH63" s="22">
        <v>140.178</v>
      </c>
      <c r="AI63" s="22">
        <v>-1.5731800000000001E-2</v>
      </c>
      <c r="AJ63" s="22">
        <v>53</v>
      </c>
      <c r="AK63" s="22">
        <v>0.166382</v>
      </c>
      <c r="AL63">
        <f t="shared" si="6"/>
        <v>15.7318</v>
      </c>
      <c r="AM63">
        <f t="shared" si="7"/>
        <v>2.6261251057999999</v>
      </c>
      <c r="AP63" s="9"/>
      <c r="AQ63" s="22">
        <v>1.53305</v>
      </c>
      <c r="AR63" s="22">
        <v>189.55699999999999</v>
      </c>
      <c r="AS63" s="22">
        <v>-1.32935E-2</v>
      </c>
      <c r="AT63" s="22">
        <v>53</v>
      </c>
      <c r="AU63" s="22">
        <v>1.5322899999999999</v>
      </c>
      <c r="AV63">
        <f t="shared" si="8"/>
        <v>13.2935</v>
      </c>
      <c r="AW63">
        <f t="shared" si="9"/>
        <v>20.379600175</v>
      </c>
      <c r="AX63" s="9"/>
      <c r="AY63" s="22">
        <v>0.166931</v>
      </c>
      <c r="AZ63" s="22">
        <v>238.94</v>
      </c>
      <c r="BA63" s="22">
        <v>-1.5728800000000001E-2</v>
      </c>
      <c r="BB63" s="22">
        <v>53</v>
      </c>
      <c r="BC63" s="22">
        <v>0.166412</v>
      </c>
      <c r="BD63">
        <f t="shared" si="10"/>
        <v>15.728800000000001</v>
      </c>
      <c r="BE63">
        <f t="shared" si="11"/>
        <v>2.6256243128000003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9.5302299999999995</v>
      </c>
      <c r="I64" s="22">
        <v>-1.32996E-2</v>
      </c>
      <c r="J64" s="22">
        <v>54</v>
      </c>
      <c r="K64" s="22">
        <v>1.5274000000000001</v>
      </c>
      <c r="L64">
        <f t="shared" si="0"/>
        <v>13.2996</v>
      </c>
      <c r="M64">
        <f t="shared" si="1"/>
        <v>20.322054791999999</v>
      </c>
      <c r="N64" s="9"/>
      <c r="O64" s="22">
        <v>0.17196700000000001</v>
      </c>
      <c r="P64" s="22">
        <v>58.951700000000002</v>
      </c>
      <c r="Q64" s="22">
        <v>-1.57501E-2</v>
      </c>
      <c r="R64" s="22">
        <v>54</v>
      </c>
      <c r="S64" s="22">
        <v>0.17138700000000001</v>
      </c>
      <c r="T64">
        <f t="shared" si="2"/>
        <v>15.7501</v>
      </c>
      <c r="U64">
        <f t="shared" si="3"/>
        <v>2.7084974467</v>
      </c>
      <c r="X64" s="9"/>
      <c r="Y64" s="22">
        <v>1.5280199999999999</v>
      </c>
      <c r="Z64" s="22">
        <v>108.529</v>
      </c>
      <c r="AA64" s="22">
        <v>-1.33606E-2</v>
      </c>
      <c r="AB64" s="22">
        <v>54</v>
      </c>
      <c r="AC64" s="22">
        <v>1.5270999999999999</v>
      </c>
      <c r="AD64">
        <f t="shared" si="4"/>
        <v>13.3606</v>
      </c>
      <c r="AE64">
        <f t="shared" si="5"/>
        <v>20.415264011999998</v>
      </c>
      <c r="AF64" s="9"/>
      <c r="AG64" s="22">
        <v>0.17196700000000001</v>
      </c>
      <c r="AH64" s="22">
        <v>140.18799999999999</v>
      </c>
      <c r="AI64" s="22">
        <v>-1.57196E-2</v>
      </c>
      <c r="AJ64" s="22">
        <v>54</v>
      </c>
      <c r="AK64" s="22">
        <v>0.17141700000000001</v>
      </c>
      <c r="AL64">
        <f t="shared" si="6"/>
        <v>15.7196</v>
      </c>
      <c r="AM64">
        <f t="shared" si="7"/>
        <v>2.7032524532000002</v>
      </c>
      <c r="AP64" s="9"/>
      <c r="AQ64" s="22">
        <v>1.5280199999999999</v>
      </c>
      <c r="AR64" s="22">
        <v>189.56700000000001</v>
      </c>
      <c r="AS64" s="22">
        <v>-1.33545E-2</v>
      </c>
      <c r="AT64" s="22">
        <v>54</v>
      </c>
      <c r="AU64" s="22">
        <v>1.5277099999999999</v>
      </c>
      <c r="AV64">
        <f t="shared" si="8"/>
        <v>13.3545</v>
      </c>
      <c r="AW64">
        <f t="shared" si="9"/>
        <v>20.405943089999997</v>
      </c>
      <c r="AX64" s="9"/>
      <c r="AY64" s="22">
        <v>0.17196700000000001</v>
      </c>
      <c r="AZ64" s="22">
        <v>238.95</v>
      </c>
      <c r="BA64" s="22">
        <v>-1.5722699999999999E-2</v>
      </c>
      <c r="BB64" s="22">
        <v>54</v>
      </c>
      <c r="BC64" s="22">
        <v>0.17138700000000001</v>
      </c>
      <c r="BD64">
        <f t="shared" si="10"/>
        <v>15.7227</v>
      </c>
      <c r="BE64">
        <f t="shared" si="11"/>
        <v>2.7037855509000002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9.5403000000000002</v>
      </c>
      <c r="I65" s="22">
        <v>-1.33606E-2</v>
      </c>
      <c r="J65" s="22">
        <v>55</v>
      </c>
      <c r="K65" s="22">
        <v>1.5228299999999999</v>
      </c>
      <c r="L65">
        <f t="shared" si="0"/>
        <v>13.3606</v>
      </c>
      <c r="M65">
        <f t="shared" si="1"/>
        <v>20.347926588</v>
      </c>
      <c r="N65" s="9"/>
      <c r="O65" s="22">
        <v>0.17700199999999999</v>
      </c>
      <c r="P65" s="22">
        <v>58.9617</v>
      </c>
      <c r="Q65" s="22">
        <v>-1.5753199999999998E-2</v>
      </c>
      <c r="R65" s="22">
        <v>55</v>
      </c>
      <c r="S65" s="22">
        <v>0.176422</v>
      </c>
      <c r="T65">
        <f t="shared" si="2"/>
        <v>15.753199999999998</v>
      </c>
      <c r="U65">
        <f t="shared" si="3"/>
        <v>2.7883479063999994</v>
      </c>
      <c r="X65" s="9"/>
      <c r="Y65" s="22">
        <v>1.52298</v>
      </c>
      <c r="Z65" s="22">
        <v>108.539</v>
      </c>
      <c r="AA65" s="22">
        <v>-1.3427700000000001E-2</v>
      </c>
      <c r="AB65" s="22">
        <v>55</v>
      </c>
      <c r="AC65" s="22">
        <v>1.5222199999999999</v>
      </c>
      <c r="AD65">
        <f t="shared" si="4"/>
        <v>13.427700000000002</v>
      </c>
      <c r="AE65">
        <f t="shared" si="5"/>
        <v>20.450118546000002</v>
      </c>
      <c r="AF65" s="9"/>
      <c r="AG65" s="22">
        <v>0.17700199999999999</v>
      </c>
      <c r="AH65" s="22">
        <v>140.19800000000001</v>
      </c>
      <c r="AI65" s="22">
        <v>-1.5713499999999998E-2</v>
      </c>
      <c r="AJ65" s="22">
        <v>55</v>
      </c>
      <c r="AK65" s="22">
        <v>0.176422</v>
      </c>
      <c r="AL65">
        <f t="shared" si="6"/>
        <v>15.713499999999998</v>
      </c>
      <c r="AM65">
        <f t="shared" si="7"/>
        <v>2.7813209269999994</v>
      </c>
      <c r="AP65" s="9"/>
      <c r="AQ65" s="22">
        <v>1.52298</v>
      </c>
      <c r="AR65" s="22">
        <v>189.577</v>
      </c>
      <c r="AS65" s="22">
        <v>-1.34155E-2</v>
      </c>
      <c r="AT65" s="22">
        <v>55</v>
      </c>
      <c r="AU65" s="22">
        <v>1.5225200000000001</v>
      </c>
      <c r="AV65">
        <f t="shared" si="8"/>
        <v>13.4155</v>
      </c>
      <c r="AW65">
        <f t="shared" si="9"/>
        <v>20.431538190000001</v>
      </c>
      <c r="AX65" s="9"/>
      <c r="AY65" s="22">
        <v>0.17700199999999999</v>
      </c>
      <c r="AZ65" s="22">
        <v>238.96</v>
      </c>
      <c r="BA65" s="22">
        <v>-1.5722699999999999E-2</v>
      </c>
      <c r="BB65" s="22">
        <v>55</v>
      </c>
      <c r="BC65" s="22">
        <v>0.176453</v>
      </c>
      <c r="BD65">
        <f t="shared" si="10"/>
        <v>15.7227</v>
      </c>
      <c r="BE65">
        <f t="shared" si="11"/>
        <v>2.7829493453999996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9.5503699999999991</v>
      </c>
      <c r="I66" s="22">
        <v>-1.3433799999999999E-2</v>
      </c>
      <c r="J66" s="22">
        <v>56</v>
      </c>
      <c r="K66" s="22">
        <v>1.5173300000000001</v>
      </c>
      <c r="L66">
        <f t="shared" si="0"/>
        <v>13.4338</v>
      </c>
      <c r="M66">
        <f t="shared" si="1"/>
        <v>20.391702372000001</v>
      </c>
      <c r="N66" s="9"/>
      <c r="O66" s="22">
        <v>0.182037</v>
      </c>
      <c r="P66" s="22">
        <v>58.971800000000002</v>
      </c>
      <c r="Q66" s="22">
        <v>-1.5753199999999998E-2</v>
      </c>
      <c r="R66" s="22">
        <v>56</v>
      </c>
      <c r="S66" s="22">
        <v>0.18148800000000001</v>
      </c>
      <c r="T66">
        <f t="shared" si="2"/>
        <v>15.753199999999998</v>
      </c>
      <c r="U66">
        <f t="shared" si="3"/>
        <v>2.8676652683999997</v>
      </c>
      <c r="X66" s="9"/>
      <c r="Y66" s="22">
        <v>1.5179400000000001</v>
      </c>
      <c r="Z66" s="22">
        <v>108.54900000000001</v>
      </c>
      <c r="AA66" s="22">
        <v>-1.34918E-2</v>
      </c>
      <c r="AB66" s="22">
        <v>56</v>
      </c>
      <c r="AC66" s="22">
        <v>1.5170300000000001</v>
      </c>
      <c r="AD66">
        <f t="shared" si="4"/>
        <v>13.4918</v>
      </c>
      <c r="AE66">
        <f t="shared" si="5"/>
        <v>20.479742892000001</v>
      </c>
      <c r="AF66" s="9"/>
      <c r="AG66" s="22">
        <v>0.182037</v>
      </c>
      <c r="AH66" s="22">
        <v>140.208</v>
      </c>
      <c r="AI66" s="22">
        <v>-1.5710399999999999E-2</v>
      </c>
      <c r="AJ66" s="22">
        <v>56</v>
      </c>
      <c r="AK66" s="22">
        <v>0.18145800000000001</v>
      </c>
      <c r="AL66">
        <f t="shared" si="6"/>
        <v>15.7104</v>
      </c>
      <c r="AM66">
        <f t="shared" si="7"/>
        <v>2.8598740847999999</v>
      </c>
      <c r="AP66" s="9"/>
      <c r="AQ66" s="22">
        <v>1.5179400000000001</v>
      </c>
      <c r="AR66" s="22">
        <v>189.58699999999999</v>
      </c>
      <c r="AS66" s="22">
        <v>-1.34857E-2</v>
      </c>
      <c r="AT66" s="22">
        <v>56</v>
      </c>
      <c r="AU66" s="22">
        <v>1.5176400000000001</v>
      </c>
      <c r="AV66">
        <f t="shared" si="8"/>
        <v>13.4857</v>
      </c>
      <c r="AW66">
        <f t="shared" si="9"/>
        <v>20.470483458</v>
      </c>
      <c r="AX66" s="9"/>
      <c r="AY66" s="22">
        <v>0.182037</v>
      </c>
      <c r="AZ66" s="22">
        <v>238.97</v>
      </c>
      <c r="BA66" s="22">
        <v>-1.5716600000000001E-2</v>
      </c>
      <c r="BB66" s="22">
        <v>56</v>
      </c>
      <c r="BC66" s="22">
        <v>0.18148800000000001</v>
      </c>
      <c r="BD66">
        <f t="shared" si="10"/>
        <v>15.716600000000001</v>
      </c>
      <c r="BE66">
        <f t="shared" si="11"/>
        <v>2.8610027142000005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9.5604399999999998</v>
      </c>
      <c r="I67" s="22">
        <v>-1.34918E-2</v>
      </c>
      <c r="J67" s="22">
        <v>57</v>
      </c>
      <c r="K67" s="22">
        <v>1.5121500000000001</v>
      </c>
      <c r="L67">
        <f t="shared" si="0"/>
        <v>13.4918</v>
      </c>
      <c r="M67">
        <f t="shared" si="1"/>
        <v>20.411879138</v>
      </c>
      <c r="N67" s="9"/>
      <c r="O67" s="22">
        <v>0.18707299999999999</v>
      </c>
      <c r="P67" s="22">
        <v>58.981900000000003</v>
      </c>
      <c r="Q67" s="22">
        <v>-1.5753199999999998E-2</v>
      </c>
      <c r="R67" s="22">
        <v>57</v>
      </c>
      <c r="S67" s="22">
        <v>0.18643199999999999</v>
      </c>
      <c r="T67">
        <f t="shared" si="2"/>
        <v>15.753199999999998</v>
      </c>
      <c r="U67">
        <f t="shared" si="3"/>
        <v>2.9469983835999995</v>
      </c>
      <c r="X67" s="9"/>
      <c r="Y67" s="22">
        <v>1.51291</v>
      </c>
      <c r="Z67" s="22">
        <v>108.559</v>
      </c>
      <c r="AA67" s="22">
        <v>-1.3546799999999999E-2</v>
      </c>
      <c r="AB67" s="22">
        <v>57</v>
      </c>
      <c r="AC67" s="22">
        <v>1.5121500000000001</v>
      </c>
      <c r="AD67">
        <f t="shared" si="4"/>
        <v>13.546799999999999</v>
      </c>
      <c r="AE67">
        <f t="shared" si="5"/>
        <v>20.495089187999998</v>
      </c>
      <c r="AF67" s="9"/>
      <c r="AG67" s="22">
        <v>0.18707299999999999</v>
      </c>
      <c r="AH67" s="22">
        <v>140.21799999999999</v>
      </c>
      <c r="AI67" s="22">
        <v>-1.5710399999999999E-2</v>
      </c>
      <c r="AJ67" s="22">
        <v>57</v>
      </c>
      <c r="AK67" s="22">
        <v>0.186554</v>
      </c>
      <c r="AL67">
        <f t="shared" si="6"/>
        <v>15.7104</v>
      </c>
      <c r="AM67">
        <f t="shared" si="7"/>
        <v>2.9389916591999996</v>
      </c>
      <c r="AP67" s="9"/>
      <c r="AQ67" s="22">
        <v>1.51291</v>
      </c>
      <c r="AR67" s="22">
        <v>189.59700000000001</v>
      </c>
      <c r="AS67" s="22">
        <v>-1.3549800000000001E-2</v>
      </c>
      <c r="AT67" s="22">
        <v>57</v>
      </c>
      <c r="AU67" s="22">
        <v>1.5118400000000001</v>
      </c>
      <c r="AV67">
        <f t="shared" si="8"/>
        <v>13.549800000000001</v>
      </c>
      <c r="AW67">
        <f t="shared" si="9"/>
        <v>20.499627918000002</v>
      </c>
      <c r="AX67" s="9"/>
      <c r="AY67" s="22">
        <v>0.18707299999999999</v>
      </c>
      <c r="AZ67" s="22">
        <v>238.98</v>
      </c>
      <c r="BA67" s="22">
        <v>-1.5713499999999998E-2</v>
      </c>
      <c r="BB67" s="22">
        <v>57</v>
      </c>
      <c r="BC67" s="22">
        <v>0.18652299999999999</v>
      </c>
      <c r="BD67">
        <f t="shared" si="10"/>
        <v>15.713499999999998</v>
      </c>
      <c r="BE67">
        <f t="shared" si="11"/>
        <v>2.9395715854999995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9.5705100000000005</v>
      </c>
      <c r="I68" s="22">
        <v>-1.3546799999999999E-2</v>
      </c>
      <c r="J68" s="22">
        <v>58</v>
      </c>
      <c r="K68" s="22">
        <v>1.50726</v>
      </c>
      <c r="L68">
        <f t="shared" si="0"/>
        <v>13.546799999999999</v>
      </c>
      <c r="M68">
        <f t="shared" si="1"/>
        <v>20.426813316</v>
      </c>
      <c r="N68" s="9"/>
      <c r="O68" s="22">
        <v>0.192108</v>
      </c>
      <c r="P68" s="22">
        <v>58.991900000000001</v>
      </c>
      <c r="Q68" s="22">
        <v>-1.57471E-2</v>
      </c>
      <c r="R68" s="22">
        <v>58</v>
      </c>
      <c r="S68" s="22">
        <v>0.191528</v>
      </c>
      <c r="T68">
        <f t="shared" si="2"/>
        <v>15.7471</v>
      </c>
      <c r="U68">
        <f t="shared" si="3"/>
        <v>3.0251438868</v>
      </c>
      <c r="X68" s="9"/>
      <c r="Y68" s="22">
        <v>1.50787</v>
      </c>
      <c r="Z68" s="22">
        <v>108.569</v>
      </c>
      <c r="AA68" s="22">
        <v>-1.35925E-2</v>
      </c>
      <c r="AB68" s="22">
        <v>58</v>
      </c>
      <c r="AC68" s="22">
        <v>1.50726</v>
      </c>
      <c r="AD68">
        <f t="shared" si="4"/>
        <v>13.592500000000001</v>
      </c>
      <c r="AE68">
        <f t="shared" si="5"/>
        <v>20.495722975000003</v>
      </c>
      <c r="AF68" s="9"/>
      <c r="AG68" s="22">
        <v>0.192108</v>
      </c>
      <c r="AH68" s="22">
        <v>140.22800000000001</v>
      </c>
      <c r="AI68" s="22">
        <v>-1.5710399999999999E-2</v>
      </c>
      <c r="AJ68" s="22">
        <v>58</v>
      </c>
      <c r="AK68" s="22">
        <v>0.19155900000000001</v>
      </c>
      <c r="AL68">
        <f t="shared" si="6"/>
        <v>15.7104</v>
      </c>
      <c r="AM68">
        <f t="shared" si="7"/>
        <v>3.0180935232000001</v>
      </c>
      <c r="AP68" s="9"/>
      <c r="AQ68" s="22">
        <v>1.50787</v>
      </c>
      <c r="AR68" s="22">
        <v>189.607</v>
      </c>
      <c r="AS68" s="22">
        <v>-1.362E-2</v>
      </c>
      <c r="AT68" s="22">
        <v>58</v>
      </c>
      <c r="AU68" s="22">
        <v>1.5075700000000001</v>
      </c>
      <c r="AV68">
        <f t="shared" si="8"/>
        <v>13.620000000000001</v>
      </c>
      <c r="AW68">
        <f t="shared" si="9"/>
        <v>20.537189400000003</v>
      </c>
      <c r="AX68" s="9"/>
      <c r="AY68" s="22">
        <v>0.192108</v>
      </c>
      <c r="AZ68" s="22">
        <v>238.99</v>
      </c>
      <c r="BA68" s="22">
        <v>-1.5710399999999999E-2</v>
      </c>
      <c r="BB68" s="22">
        <v>58</v>
      </c>
      <c r="BC68" s="22">
        <v>0.19168099999999999</v>
      </c>
      <c r="BD68">
        <f t="shared" si="10"/>
        <v>15.7104</v>
      </c>
      <c r="BE68">
        <f t="shared" si="11"/>
        <v>3.0180935232000001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9.5805900000000008</v>
      </c>
      <c r="I69" s="22">
        <v>-1.36139E-2</v>
      </c>
      <c r="J69" s="22">
        <v>59</v>
      </c>
      <c r="K69" s="22">
        <v>1.5020800000000001</v>
      </c>
      <c r="L69">
        <f t="shared" si="0"/>
        <v>13.613899999999999</v>
      </c>
      <c r="M69">
        <f t="shared" si="1"/>
        <v>20.459513475999998</v>
      </c>
      <c r="N69" s="9"/>
      <c r="O69" s="22">
        <v>0.19714400000000001</v>
      </c>
      <c r="P69" s="22">
        <v>59.002000000000002</v>
      </c>
      <c r="Q69" s="22">
        <v>-1.5741000000000002E-2</v>
      </c>
      <c r="R69" s="22">
        <v>59</v>
      </c>
      <c r="S69" s="22">
        <v>0.19656399999999999</v>
      </c>
      <c r="T69">
        <f t="shared" si="2"/>
        <v>15.741000000000001</v>
      </c>
      <c r="U69">
        <f t="shared" si="3"/>
        <v>3.1032437040000005</v>
      </c>
      <c r="X69" s="9"/>
      <c r="Y69" s="22">
        <v>1.50284</v>
      </c>
      <c r="Z69" s="22">
        <v>108.57899999999999</v>
      </c>
      <c r="AA69" s="22">
        <v>-1.36414E-2</v>
      </c>
      <c r="AB69" s="22">
        <v>59</v>
      </c>
      <c r="AC69" s="22">
        <v>1.5020800000000001</v>
      </c>
      <c r="AD69">
        <f t="shared" si="4"/>
        <v>13.641399999999999</v>
      </c>
      <c r="AE69">
        <f t="shared" si="5"/>
        <v>20.500841575999999</v>
      </c>
      <c r="AF69" s="9"/>
      <c r="AG69" s="22">
        <v>0.19714400000000001</v>
      </c>
      <c r="AH69" s="22">
        <v>140.239</v>
      </c>
      <c r="AI69" s="22">
        <v>-1.5713499999999998E-2</v>
      </c>
      <c r="AJ69" s="22">
        <v>59</v>
      </c>
      <c r="AK69" s="22">
        <v>0.196655</v>
      </c>
      <c r="AL69">
        <f t="shared" si="6"/>
        <v>15.713499999999998</v>
      </c>
      <c r="AM69">
        <f t="shared" si="7"/>
        <v>3.0978222439999996</v>
      </c>
      <c r="AP69" s="9"/>
      <c r="AQ69" s="22">
        <v>1.50284</v>
      </c>
      <c r="AR69" s="22">
        <v>189.61699999999999</v>
      </c>
      <c r="AS69" s="22">
        <v>-1.36688E-2</v>
      </c>
      <c r="AT69" s="22">
        <v>59</v>
      </c>
      <c r="AU69" s="22">
        <v>1.5020800000000001</v>
      </c>
      <c r="AV69">
        <f t="shared" si="8"/>
        <v>13.668799999999999</v>
      </c>
      <c r="AW69">
        <f t="shared" si="9"/>
        <v>20.542019391999997</v>
      </c>
      <c r="AX69" s="9"/>
      <c r="AY69" s="22">
        <v>0.19714400000000001</v>
      </c>
      <c r="AZ69" s="22">
        <v>239</v>
      </c>
      <c r="BA69" s="22">
        <v>-1.57074E-2</v>
      </c>
      <c r="BB69" s="22">
        <v>59</v>
      </c>
      <c r="BC69" s="22">
        <v>0.19656399999999999</v>
      </c>
      <c r="BD69">
        <f t="shared" si="10"/>
        <v>15.7074</v>
      </c>
      <c r="BE69">
        <f t="shared" si="11"/>
        <v>3.0966196656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9.5906599999999997</v>
      </c>
      <c r="I70" s="22">
        <v>-1.36627E-2</v>
      </c>
      <c r="J70" s="22">
        <v>60</v>
      </c>
      <c r="K70" s="22">
        <v>1.4968900000000001</v>
      </c>
      <c r="L70">
        <f t="shared" si="0"/>
        <v>13.662699999999999</v>
      </c>
      <c r="M70">
        <f t="shared" si="1"/>
        <v>20.463992059999999</v>
      </c>
      <c r="N70" s="9"/>
      <c r="O70" s="22">
        <v>0.202179</v>
      </c>
      <c r="P70" s="22">
        <v>59.012099999999997</v>
      </c>
      <c r="Q70" s="22">
        <v>-1.5737899999999999E-2</v>
      </c>
      <c r="R70" s="22">
        <v>60</v>
      </c>
      <c r="S70" s="22">
        <v>0.201569</v>
      </c>
      <c r="T70">
        <f t="shared" si="2"/>
        <v>15.7379</v>
      </c>
      <c r="U70">
        <f t="shared" si="3"/>
        <v>3.1818728841000001</v>
      </c>
      <c r="X70" s="9"/>
      <c r="Y70" s="22">
        <v>1.4978</v>
      </c>
      <c r="Z70" s="22">
        <v>108.589</v>
      </c>
      <c r="AA70" s="22">
        <v>-1.3687100000000001E-2</v>
      </c>
      <c r="AB70" s="22">
        <v>60</v>
      </c>
      <c r="AC70" s="22">
        <v>1.4968900000000001</v>
      </c>
      <c r="AD70">
        <f t="shared" si="4"/>
        <v>13.687100000000001</v>
      </c>
      <c r="AE70">
        <f t="shared" si="5"/>
        <v>20.500538380000002</v>
      </c>
      <c r="AF70" s="9"/>
      <c r="AG70" s="22">
        <v>0.202179</v>
      </c>
      <c r="AH70" s="22">
        <v>140.249</v>
      </c>
      <c r="AI70" s="22">
        <v>-1.5716600000000001E-2</v>
      </c>
      <c r="AJ70" s="22">
        <v>60</v>
      </c>
      <c r="AK70" s="22">
        <v>0.201569</v>
      </c>
      <c r="AL70">
        <f t="shared" si="6"/>
        <v>15.716600000000001</v>
      </c>
      <c r="AM70">
        <f t="shared" si="7"/>
        <v>3.1775664714</v>
      </c>
      <c r="AP70" s="9"/>
      <c r="AQ70" s="22">
        <v>1.4978</v>
      </c>
      <c r="AR70" s="22">
        <v>189.62700000000001</v>
      </c>
      <c r="AS70" s="22">
        <v>-1.37115E-2</v>
      </c>
      <c r="AT70" s="22">
        <v>60</v>
      </c>
      <c r="AU70" s="22">
        <v>1.4968900000000001</v>
      </c>
      <c r="AV70">
        <f t="shared" si="8"/>
        <v>13.711499999999999</v>
      </c>
      <c r="AW70">
        <f t="shared" si="9"/>
        <v>20.537084699999998</v>
      </c>
      <c r="AX70" s="9"/>
      <c r="AY70" s="22">
        <v>0.202179</v>
      </c>
      <c r="AZ70" s="22">
        <v>239.01</v>
      </c>
      <c r="BA70" s="22">
        <v>-1.5710399999999999E-2</v>
      </c>
      <c r="BB70" s="22">
        <v>60</v>
      </c>
      <c r="BC70" s="22">
        <v>0.20166000000000001</v>
      </c>
      <c r="BD70">
        <f t="shared" si="10"/>
        <v>15.7104</v>
      </c>
      <c r="BE70">
        <f t="shared" si="11"/>
        <v>3.1763129615999999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9.6007300000000004</v>
      </c>
      <c r="I71" s="22">
        <v>-1.3717699999999999E-2</v>
      </c>
      <c r="J71" s="22">
        <v>61</v>
      </c>
      <c r="K71" s="22">
        <v>1.492</v>
      </c>
      <c r="L71">
        <f t="shared" si="0"/>
        <v>13.717699999999999</v>
      </c>
      <c r="M71">
        <f t="shared" si="1"/>
        <v>20.477371028999997</v>
      </c>
      <c r="N71" s="9"/>
      <c r="O71" s="22">
        <v>0.20721400000000001</v>
      </c>
      <c r="P71" s="22">
        <v>59.022199999999998</v>
      </c>
      <c r="Q71" s="22">
        <v>-1.5728800000000001E-2</v>
      </c>
      <c r="R71" s="22">
        <v>61</v>
      </c>
      <c r="S71" s="22">
        <v>0.20669599999999999</v>
      </c>
      <c r="T71">
        <f t="shared" si="2"/>
        <v>15.728800000000001</v>
      </c>
      <c r="U71">
        <f t="shared" si="3"/>
        <v>3.2592275632000005</v>
      </c>
      <c r="X71" s="9"/>
      <c r="Y71" s="22">
        <v>1.4927699999999999</v>
      </c>
      <c r="Z71" s="22">
        <v>108.6</v>
      </c>
      <c r="AA71" s="22">
        <v>-1.37482E-2</v>
      </c>
      <c r="AB71" s="22">
        <v>61</v>
      </c>
      <c r="AC71" s="22">
        <v>1.49139</v>
      </c>
      <c r="AD71">
        <f t="shared" si="4"/>
        <v>13.748200000000001</v>
      </c>
      <c r="AE71">
        <f t="shared" si="5"/>
        <v>20.522900514</v>
      </c>
      <c r="AF71" s="9"/>
      <c r="AG71" s="22">
        <v>0.20721400000000001</v>
      </c>
      <c r="AH71" s="22">
        <v>140.25899999999999</v>
      </c>
      <c r="AI71" s="22">
        <v>-1.5716600000000001E-2</v>
      </c>
      <c r="AJ71" s="22">
        <v>61</v>
      </c>
      <c r="AK71" s="22">
        <v>0.20669599999999999</v>
      </c>
      <c r="AL71">
        <f t="shared" si="6"/>
        <v>15.716600000000001</v>
      </c>
      <c r="AM71">
        <f t="shared" si="7"/>
        <v>3.2566995524000006</v>
      </c>
      <c r="AP71" s="9"/>
      <c r="AQ71" s="22">
        <v>1.4927699999999999</v>
      </c>
      <c r="AR71" s="22">
        <v>189.637</v>
      </c>
      <c r="AS71" s="22">
        <v>-1.37573E-2</v>
      </c>
      <c r="AT71" s="22">
        <v>61</v>
      </c>
      <c r="AU71" s="22">
        <v>1.492</v>
      </c>
      <c r="AV71">
        <f t="shared" si="8"/>
        <v>13.757300000000001</v>
      </c>
      <c r="AW71">
        <f t="shared" si="9"/>
        <v>20.536484721000001</v>
      </c>
      <c r="AX71" s="9"/>
      <c r="AY71" s="22">
        <v>0.20721400000000001</v>
      </c>
      <c r="AZ71" s="22">
        <v>239.02099999999999</v>
      </c>
      <c r="BA71" s="22">
        <v>-1.5704300000000001E-2</v>
      </c>
      <c r="BB71" s="22">
        <v>61</v>
      </c>
      <c r="BC71" s="22">
        <v>0.20666499999999999</v>
      </c>
      <c r="BD71">
        <f t="shared" si="10"/>
        <v>15.704300000000002</v>
      </c>
      <c r="BE71">
        <f t="shared" si="11"/>
        <v>3.2541508202000005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9.6107999999999993</v>
      </c>
      <c r="I72" s="22">
        <v>-1.3766499999999999E-2</v>
      </c>
      <c r="J72" s="22">
        <v>62</v>
      </c>
      <c r="K72" s="22">
        <v>1.48651</v>
      </c>
      <c r="L72">
        <f t="shared" si="0"/>
        <v>13.766499999999999</v>
      </c>
      <c r="M72">
        <f t="shared" si="1"/>
        <v>20.480835044999999</v>
      </c>
      <c r="N72" s="9"/>
      <c r="O72" s="22">
        <v>0.21224999999999999</v>
      </c>
      <c r="P72" s="22">
        <v>59.032200000000003</v>
      </c>
      <c r="Q72" s="22">
        <v>-1.5722699999999999E-2</v>
      </c>
      <c r="R72" s="22">
        <v>62</v>
      </c>
      <c r="S72" s="22">
        <v>0.2117</v>
      </c>
      <c r="T72">
        <f t="shared" si="2"/>
        <v>15.7227</v>
      </c>
      <c r="U72">
        <f t="shared" si="3"/>
        <v>3.3371430749999997</v>
      </c>
      <c r="X72" s="9"/>
      <c r="Y72" s="22">
        <v>1.48773</v>
      </c>
      <c r="Z72" s="22">
        <v>108.61</v>
      </c>
      <c r="AA72" s="22">
        <v>-1.3806199999999999E-2</v>
      </c>
      <c r="AB72" s="22">
        <v>62</v>
      </c>
      <c r="AC72" s="22">
        <v>1.48712</v>
      </c>
      <c r="AD72">
        <f t="shared" si="4"/>
        <v>13.806199999999999</v>
      </c>
      <c r="AE72">
        <f t="shared" si="5"/>
        <v>20.539897925999998</v>
      </c>
      <c r="AF72" s="9"/>
      <c r="AG72" s="22">
        <v>0.21224999999999999</v>
      </c>
      <c r="AH72" s="22">
        <v>140.26900000000001</v>
      </c>
      <c r="AI72" s="22">
        <v>-1.57196E-2</v>
      </c>
      <c r="AJ72" s="22">
        <v>62</v>
      </c>
      <c r="AK72" s="22">
        <v>0.211731</v>
      </c>
      <c r="AL72">
        <f t="shared" si="6"/>
        <v>15.7196</v>
      </c>
      <c r="AM72">
        <f t="shared" si="7"/>
        <v>3.3364851</v>
      </c>
      <c r="AP72" s="9"/>
      <c r="AQ72" s="22">
        <v>1.48773</v>
      </c>
      <c r="AR72" s="22">
        <v>189.64699999999999</v>
      </c>
      <c r="AS72" s="22">
        <v>-1.3797E-2</v>
      </c>
      <c r="AT72" s="22">
        <v>62</v>
      </c>
      <c r="AU72" s="22">
        <v>1.48743</v>
      </c>
      <c r="AV72">
        <f t="shared" si="8"/>
        <v>13.797000000000001</v>
      </c>
      <c r="AW72">
        <f t="shared" si="9"/>
        <v>20.526210810000002</v>
      </c>
      <c r="AX72" s="9"/>
      <c r="AY72" s="22">
        <v>0.21224999999999999</v>
      </c>
      <c r="AZ72" s="22">
        <v>239.03100000000001</v>
      </c>
      <c r="BA72" s="22">
        <v>-1.5701300000000001E-2</v>
      </c>
      <c r="BB72" s="22">
        <v>62</v>
      </c>
      <c r="BC72" s="22">
        <v>0.211731</v>
      </c>
      <c r="BD72">
        <f t="shared" si="10"/>
        <v>15.701300000000002</v>
      </c>
      <c r="BE72">
        <f t="shared" si="11"/>
        <v>3.3326009250000004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9.62087</v>
      </c>
      <c r="I73" s="22">
        <v>-1.38184E-2</v>
      </c>
      <c r="J73" s="22">
        <v>63</v>
      </c>
      <c r="K73" s="22">
        <v>1.48193</v>
      </c>
      <c r="L73">
        <f t="shared" si="0"/>
        <v>13.8184</v>
      </c>
      <c r="M73">
        <f t="shared" si="1"/>
        <v>20.488541680000001</v>
      </c>
      <c r="N73" s="9"/>
      <c r="O73" s="22">
        <v>0.21728500000000001</v>
      </c>
      <c r="P73" s="22">
        <v>59.042299999999997</v>
      </c>
      <c r="Q73" s="22">
        <v>-1.5722699999999999E-2</v>
      </c>
      <c r="R73" s="22">
        <v>63</v>
      </c>
      <c r="S73" s="22">
        <v>0.21679699999999999</v>
      </c>
      <c r="T73">
        <f t="shared" si="2"/>
        <v>15.7227</v>
      </c>
      <c r="U73">
        <f t="shared" si="3"/>
        <v>3.4163068695000001</v>
      </c>
      <c r="X73" s="9"/>
      <c r="Y73" s="22">
        <v>1.4826999999999999</v>
      </c>
      <c r="Z73" s="22">
        <v>108.62</v>
      </c>
      <c r="AA73" s="22">
        <v>-1.3854999999999999E-2</v>
      </c>
      <c r="AB73" s="22">
        <v>63</v>
      </c>
      <c r="AC73" s="22">
        <v>1.48163</v>
      </c>
      <c r="AD73">
        <f t="shared" si="4"/>
        <v>13.854999999999999</v>
      </c>
      <c r="AE73">
        <f t="shared" si="5"/>
        <v>20.542808499999996</v>
      </c>
      <c r="AF73" s="9"/>
      <c r="AG73" s="22">
        <v>0.21728500000000001</v>
      </c>
      <c r="AH73" s="22">
        <v>140.279</v>
      </c>
      <c r="AI73" s="22">
        <v>-1.5722699999999999E-2</v>
      </c>
      <c r="AJ73" s="22">
        <v>63</v>
      </c>
      <c r="AK73" s="22">
        <v>0.21673600000000001</v>
      </c>
      <c r="AL73">
        <f t="shared" si="6"/>
        <v>15.7227</v>
      </c>
      <c r="AM73">
        <f t="shared" si="7"/>
        <v>3.4163068695000001</v>
      </c>
      <c r="AP73" s="9"/>
      <c r="AQ73" s="22">
        <v>1.4826999999999999</v>
      </c>
      <c r="AR73" s="22">
        <v>189.65700000000001</v>
      </c>
      <c r="AS73" s="22">
        <v>-1.3848900000000001E-2</v>
      </c>
      <c r="AT73" s="22">
        <v>63</v>
      </c>
      <c r="AU73" s="22">
        <v>1.48193</v>
      </c>
      <c r="AV73">
        <f t="shared" si="8"/>
        <v>13.8489</v>
      </c>
      <c r="AW73">
        <f t="shared" si="9"/>
        <v>20.53376403</v>
      </c>
      <c r="AX73" s="9"/>
      <c r="AY73" s="22">
        <v>0.21728500000000001</v>
      </c>
      <c r="AZ73" s="22">
        <v>239.041</v>
      </c>
      <c r="BA73" s="22">
        <v>-1.5698199999999999E-2</v>
      </c>
      <c r="BB73" s="22">
        <v>63</v>
      </c>
      <c r="BC73" s="22">
        <v>0.21670500000000001</v>
      </c>
      <c r="BD73">
        <f t="shared" si="10"/>
        <v>15.698199999999998</v>
      </c>
      <c r="BE73">
        <f t="shared" si="11"/>
        <v>3.4109833869999995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9.6309400000000007</v>
      </c>
      <c r="I74" s="22">
        <v>-1.3861099999999999E-2</v>
      </c>
      <c r="J74" s="22">
        <v>64</v>
      </c>
      <c r="K74" s="22">
        <v>1.47705</v>
      </c>
      <c r="L74">
        <f t="shared" si="0"/>
        <v>13.861099999999999</v>
      </c>
      <c r="M74">
        <f t="shared" si="1"/>
        <v>20.481993025999998</v>
      </c>
      <c r="N74" s="9"/>
      <c r="O74" s="22">
        <v>0.22232099999999999</v>
      </c>
      <c r="P74" s="22">
        <v>59.052399999999999</v>
      </c>
      <c r="Q74" s="22">
        <v>-1.5722699999999999E-2</v>
      </c>
      <c r="R74" s="22">
        <v>64</v>
      </c>
      <c r="S74" s="22">
        <v>0.22174099999999999</v>
      </c>
      <c r="T74">
        <f t="shared" si="2"/>
        <v>15.7227</v>
      </c>
      <c r="U74">
        <f t="shared" si="3"/>
        <v>3.4954863866999997</v>
      </c>
      <c r="X74" s="9"/>
      <c r="Y74" s="22">
        <v>1.47766</v>
      </c>
      <c r="Z74" s="22">
        <v>108.63</v>
      </c>
      <c r="AA74" s="22">
        <v>-1.39008E-2</v>
      </c>
      <c r="AB74" s="22">
        <v>64</v>
      </c>
      <c r="AC74" s="22">
        <v>1.47766</v>
      </c>
      <c r="AD74">
        <f t="shared" si="4"/>
        <v>13.9008</v>
      </c>
      <c r="AE74">
        <f t="shared" si="5"/>
        <v>20.540656127999998</v>
      </c>
      <c r="AF74" s="9"/>
      <c r="AG74" s="22">
        <v>0.22232099999999999</v>
      </c>
      <c r="AH74" s="22">
        <v>140.28899999999999</v>
      </c>
      <c r="AI74" s="22">
        <v>-1.5722699999999999E-2</v>
      </c>
      <c r="AJ74" s="22">
        <v>64</v>
      </c>
      <c r="AK74" s="22">
        <v>0.221832</v>
      </c>
      <c r="AL74">
        <f t="shared" si="6"/>
        <v>15.7227</v>
      </c>
      <c r="AM74">
        <f t="shared" si="7"/>
        <v>3.4954863866999997</v>
      </c>
      <c r="AP74" s="9"/>
      <c r="AQ74" s="22">
        <v>1.47766</v>
      </c>
      <c r="AR74" s="22">
        <v>189.667</v>
      </c>
      <c r="AS74" s="22">
        <v>-1.38855E-2</v>
      </c>
      <c r="AT74" s="22">
        <v>64</v>
      </c>
      <c r="AU74" s="22">
        <v>1.47736</v>
      </c>
      <c r="AV74">
        <f t="shared" si="8"/>
        <v>13.8855</v>
      </c>
      <c r="AW74">
        <f t="shared" si="9"/>
        <v>20.518047930000002</v>
      </c>
      <c r="AX74" s="9"/>
      <c r="AY74" s="22">
        <v>0.22232099999999999</v>
      </c>
      <c r="AZ74" s="22">
        <v>239.05099999999999</v>
      </c>
      <c r="BA74" s="22">
        <v>-1.5695199999999999E-2</v>
      </c>
      <c r="BB74" s="22">
        <v>64</v>
      </c>
      <c r="BC74" s="22">
        <v>0.22174099999999999</v>
      </c>
      <c r="BD74">
        <f t="shared" si="10"/>
        <v>15.6952</v>
      </c>
      <c r="BE74">
        <f t="shared" si="11"/>
        <v>3.4893725592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9.6410099999999996</v>
      </c>
      <c r="I75" s="22">
        <v>-1.3909899999999999E-2</v>
      </c>
      <c r="J75" s="22">
        <v>65</v>
      </c>
      <c r="K75" s="22">
        <v>1.4718599999999999</v>
      </c>
      <c r="L75">
        <f t="shared" si="0"/>
        <v>13.909899999999999</v>
      </c>
      <c r="M75">
        <f t="shared" si="1"/>
        <v>20.484136036999999</v>
      </c>
      <c r="N75" s="9"/>
      <c r="O75" s="22">
        <v>0.227356</v>
      </c>
      <c r="P75" s="22">
        <v>59.062399999999997</v>
      </c>
      <c r="Q75" s="22">
        <v>-1.5716600000000001E-2</v>
      </c>
      <c r="R75" s="22">
        <v>65</v>
      </c>
      <c r="S75" s="22">
        <v>0.22683700000000001</v>
      </c>
      <c r="T75">
        <f t="shared" si="2"/>
        <v>15.716600000000001</v>
      </c>
      <c r="U75">
        <f t="shared" si="3"/>
        <v>3.5732633096000002</v>
      </c>
      <c r="X75" s="9"/>
      <c r="Y75" s="22">
        <v>1.4726300000000001</v>
      </c>
      <c r="Z75" s="22">
        <v>108.64</v>
      </c>
      <c r="AA75" s="22">
        <v>-1.39557E-2</v>
      </c>
      <c r="AB75" s="22">
        <v>65</v>
      </c>
      <c r="AC75" s="22">
        <v>1.4718599999999999</v>
      </c>
      <c r="AD75">
        <f t="shared" si="4"/>
        <v>13.9557</v>
      </c>
      <c r="AE75">
        <f t="shared" si="5"/>
        <v>20.551582491000001</v>
      </c>
      <c r="AF75" s="9"/>
      <c r="AG75" s="22">
        <v>0.227356</v>
      </c>
      <c r="AH75" s="22">
        <v>140.29900000000001</v>
      </c>
      <c r="AI75" s="22">
        <v>-1.5722699999999999E-2</v>
      </c>
      <c r="AJ75" s="22">
        <v>65</v>
      </c>
      <c r="AK75" s="22">
        <v>0.22686799999999999</v>
      </c>
      <c r="AL75">
        <f t="shared" si="6"/>
        <v>15.7227</v>
      </c>
      <c r="AM75">
        <f t="shared" si="7"/>
        <v>3.5746501812</v>
      </c>
      <c r="AP75" s="9"/>
      <c r="AQ75" s="22">
        <v>1.4726300000000001</v>
      </c>
      <c r="AR75" s="22">
        <v>189.67699999999999</v>
      </c>
      <c r="AS75" s="22">
        <v>-1.3931300000000001E-2</v>
      </c>
      <c r="AT75" s="22">
        <v>65</v>
      </c>
      <c r="AU75" s="22">
        <v>1.4718599999999999</v>
      </c>
      <c r="AV75">
        <f t="shared" si="8"/>
        <v>13.9313</v>
      </c>
      <c r="AW75">
        <f t="shared" si="9"/>
        <v>20.515650319000002</v>
      </c>
      <c r="AX75" s="9"/>
      <c r="AY75" s="22">
        <v>0.227356</v>
      </c>
      <c r="AZ75" s="22">
        <v>239.06100000000001</v>
      </c>
      <c r="BA75" s="22">
        <v>-1.5695199999999999E-2</v>
      </c>
      <c r="BB75" s="22">
        <v>65</v>
      </c>
      <c r="BC75" s="22">
        <v>0.22680700000000001</v>
      </c>
      <c r="BD75">
        <f t="shared" si="10"/>
        <v>15.6952</v>
      </c>
      <c r="BE75">
        <f t="shared" si="11"/>
        <v>3.5683978912000001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9.6510800000000003</v>
      </c>
      <c r="I76" s="22">
        <v>-1.3958699999999999E-2</v>
      </c>
      <c r="J76" s="22">
        <v>66</v>
      </c>
      <c r="K76" s="22">
        <v>1.46698</v>
      </c>
      <c r="L76">
        <f t="shared" ref="L76:L139" si="12">-I76/$F$2*1000</f>
        <v>13.958699999999999</v>
      </c>
      <c r="M76">
        <f t="shared" ref="M76:M139" si="13">L76*G76</f>
        <v>20.485648532999996</v>
      </c>
      <c r="N76" s="9"/>
      <c r="O76" s="22">
        <v>0.23239099999999999</v>
      </c>
      <c r="P76" s="22">
        <v>59.072499999999998</v>
      </c>
      <c r="Q76" s="22">
        <v>-1.5710399999999999E-2</v>
      </c>
      <c r="R76" s="22">
        <v>66</v>
      </c>
      <c r="S76" s="22">
        <v>0.23184199999999999</v>
      </c>
      <c r="T76">
        <f t="shared" ref="T76:T139" si="14">-Q76/$F$2*1000</f>
        <v>15.7104</v>
      </c>
      <c r="U76">
        <f t="shared" ref="U76:U139" si="15">T76*O76</f>
        <v>3.6509555664</v>
      </c>
      <c r="X76" s="9"/>
      <c r="Y76" s="22">
        <v>1.46759</v>
      </c>
      <c r="Z76" s="22">
        <v>108.65</v>
      </c>
      <c r="AA76" s="22">
        <v>-1.40137E-2</v>
      </c>
      <c r="AB76" s="22">
        <v>66</v>
      </c>
      <c r="AC76" s="22">
        <v>1.4666699999999999</v>
      </c>
      <c r="AD76">
        <f t="shared" ref="AD76:AD139" si="16">-AA76/$F$2*1000</f>
        <v>14.0137</v>
      </c>
      <c r="AE76">
        <f t="shared" ref="AE76:AE139" si="17">AD76*Y76</f>
        <v>20.566365983000001</v>
      </c>
      <c r="AF76" s="9"/>
      <c r="AG76" s="22">
        <v>0.23239099999999999</v>
      </c>
      <c r="AH76" s="22">
        <v>140.309</v>
      </c>
      <c r="AI76" s="22">
        <v>-1.5722699999999999E-2</v>
      </c>
      <c r="AJ76" s="22">
        <v>66</v>
      </c>
      <c r="AK76" s="22">
        <v>0.231903</v>
      </c>
      <c r="AL76">
        <f t="shared" ref="AL76:AL139" si="18">-AI76/$F$2*1000</f>
        <v>15.7227</v>
      </c>
      <c r="AM76">
        <f t="shared" ref="AM76:AM139" si="19">AL76*AG76</f>
        <v>3.6538139756999999</v>
      </c>
      <c r="AP76" s="9"/>
      <c r="AQ76" s="22">
        <v>1.46759</v>
      </c>
      <c r="AR76" s="22">
        <v>189.68700000000001</v>
      </c>
      <c r="AS76" s="22">
        <v>-1.3964799999999999E-2</v>
      </c>
      <c r="AT76" s="22">
        <v>66</v>
      </c>
      <c r="AU76" s="22">
        <v>1.46698</v>
      </c>
      <c r="AV76">
        <f t="shared" ref="AV76:AV139" si="20">-AS76/$F$2*1000</f>
        <v>13.9648</v>
      </c>
      <c r="AW76">
        <f t="shared" ref="AW76:AW139" si="21">AV76*AQ76</f>
        <v>20.494600832</v>
      </c>
      <c r="AX76" s="9"/>
      <c r="AY76" s="22">
        <v>0.23239099999999999</v>
      </c>
      <c r="AZ76" s="22">
        <v>239.071</v>
      </c>
      <c r="BA76" s="22">
        <v>-1.5695199999999999E-2</v>
      </c>
      <c r="BB76" s="22">
        <v>66</v>
      </c>
      <c r="BC76" s="22">
        <v>0.23181199999999999</v>
      </c>
      <c r="BD76">
        <f t="shared" ref="BD76:BD139" si="22">-BA76/$F$2*1000</f>
        <v>15.6952</v>
      </c>
      <c r="BE76">
        <f t="shared" ref="BE76:BE139" si="23">BD76*AY76</f>
        <v>3.6474232231999997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9.6611499999999992</v>
      </c>
      <c r="I77" s="22">
        <v>-1.39893E-2</v>
      </c>
      <c r="J77" s="22">
        <v>67</v>
      </c>
      <c r="K77" s="22">
        <v>1.4617899999999999</v>
      </c>
      <c r="L77">
        <f t="shared" si="12"/>
        <v>13.9893</v>
      </c>
      <c r="M77">
        <f t="shared" si="13"/>
        <v>20.460050715000001</v>
      </c>
      <c r="N77" s="9"/>
      <c r="O77" s="22">
        <v>0.237427</v>
      </c>
      <c r="P77" s="22">
        <v>59.082599999999999</v>
      </c>
      <c r="Q77" s="22">
        <v>-1.57074E-2</v>
      </c>
      <c r="R77" s="22">
        <v>67</v>
      </c>
      <c r="S77" s="22">
        <v>0.23690800000000001</v>
      </c>
      <c r="T77">
        <f t="shared" si="14"/>
        <v>15.7074</v>
      </c>
      <c r="U77">
        <f t="shared" si="15"/>
        <v>3.7293608597999999</v>
      </c>
      <c r="X77" s="9"/>
      <c r="Y77" s="22">
        <v>1.46255</v>
      </c>
      <c r="Z77" s="22">
        <v>108.66</v>
      </c>
      <c r="AA77" s="22">
        <v>-1.4053299999999999E-2</v>
      </c>
      <c r="AB77" s="22">
        <v>67</v>
      </c>
      <c r="AC77" s="22">
        <v>1.4621</v>
      </c>
      <c r="AD77">
        <f t="shared" si="16"/>
        <v>14.0533</v>
      </c>
      <c r="AE77">
        <f t="shared" si="17"/>
        <v>20.553653915000002</v>
      </c>
      <c r="AF77" s="9"/>
      <c r="AG77" s="22">
        <v>0.237427</v>
      </c>
      <c r="AH77" s="22">
        <v>140.31899999999999</v>
      </c>
      <c r="AI77" s="22">
        <v>-1.5713499999999998E-2</v>
      </c>
      <c r="AJ77" s="22">
        <v>67</v>
      </c>
      <c r="AK77" s="22">
        <v>0.23690800000000001</v>
      </c>
      <c r="AL77">
        <f t="shared" si="18"/>
        <v>15.713499999999998</v>
      </c>
      <c r="AM77">
        <f t="shared" si="19"/>
        <v>3.7308091644999997</v>
      </c>
      <c r="AP77" s="9"/>
      <c r="AQ77" s="22">
        <v>1.46255</v>
      </c>
      <c r="AR77" s="22">
        <v>189.69800000000001</v>
      </c>
      <c r="AS77" s="22">
        <v>-1.40076E-2</v>
      </c>
      <c r="AT77" s="22">
        <v>67</v>
      </c>
      <c r="AU77" s="22">
        <v>1.4621</v>
      </c>
      <c r="AV77">
        <f t="shared" si="20"/>
        <v>14.0076</v>
      </c>
      <c r="AW77">
        <f t="shared" si="21"/>
        <v>20.486815379999999</v>
      </c>
      <c r="AX77" s="9"/>
      <c r="AY77" s="22">
        <v>0.237427</v>
      </c>
      <c r="AZ77" s="22">
        <v>239.08099999999999</v>
      </c>
      <c r="BA77" s="22">
        <v>-1.56921E-2</v>
      </c>
      <c r="BB77" s="22">
        <v>67</v>
      </c>
      <c r="BC77" s="22">
        <v>0.236786</v>
      </c>
      <c r="BD77">
        <f t="shared" si="22"/>
        <v>15.6921</v>
      </c>
      <c r="BE77">
        <f t="shared" si="23"/>
        <v>3.7257282266999998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9.6712199999999999</v>
      </c>
      <c r="I78" s="22">
        <v>-1.40167E-2</v>
      </c>
      <c r="J78" s="22">
        <v>68</v>
      </c>
      <c r="K78" s="22">
        <v>1.4569099999999999</v>
      </c>
      <c r="L78">
        <f t="shared" si="12"/>
        <v>14.0167</v>
      </c>
      <c r="M78">
        <f t="shared" si="13"/>
        <v>20.429620583999998</v>
      </c>
      <c r="N78" s="9"/>
      <c r="O78" s="22">
        <v>0.24246200000000001</v>
      </c>
      <c r="P78" s="22">
        <v>59.092599999999997</v>
      </c>
      <c r="Q78" s="22">
        <v>-1.57074E-2</v>
      </c>
      <c r="R78" s="22">
        <v>68</v>
      </c>
      <c r="S78" s="22">
        <v>0.24197399999999999</v>
      </c>
      <c r="T78">
        <f t="shared" si="14"/>
        <v>15.7074</v>
      </c>
      <c r="U78">
        <f t="shared" si="15"/>
        <v>3.8084476188000003</v>
      </c>
      <c r="X78" s="9"/>
      <c r="Y78" s="22">
        <v>1.4575199999999999</v>
      </c>
      <c r="Z78" s="22">
        <v>108.67</v>
      </c>
      <c r="AA78" s="22">
        <v>-1.40961E-2</v>
      </c>
      <c r="AB78" s="22">
        <v>68</v>
      </c>
      <c r="AC78" s="22">
        <v>1.4572099999999999</v>
      </c>
      <c r="AD78">
        <f t="shared" si="16"/>
        <v>14.0961</v>
      </c>
      <c r="AE78">
        <f t="shared" si="17"/>
        <v>20.545347671999998</v>
      </c>
      <c r="AF78" s="9"/>
      <c r="AG78" s="22">
        <v>0.24246200000000001</v>
      </c>
      <c r="AH78" s="22">
        <v>140.32900000000001</v>
      </c>
      <c r="AI78" s="22">
        <v>-1.5710399999999999E-2</v>
      </c>
      <c r="AJ78" s="22">
        <v>68</v>
      </c>
      <c r="AK78" s="22">
        <v>0.24191299999999999</v>
      </c>
      <c r="AL78">
        <f t="shared" si="18"/>
        <v>15.7104</v>
      </c>
      <c r="AM78">
        <f t="shared" si="19"/>
        <v>3.8091750048000002</v>
      </c>
      <c r="AP78" s="9"/>
      <c r="AQ78" s="22">
        <v>1.4575199999999999</v>
      </c>
      <c r="AR78" s="22">
        <v>189.708</v>
      </c>
      <c r="AS78" s="22">
        <v>-1.40442E-2</v>
      </c>
      <c r="AT78" s="22">
        <v>68</v>
      </c>
      <c r="AU78" s="22">
        <v>1.4569099999999999</v>
      </c>
      <c r="AV78">
        <f t="shared" si="20"/>
        <v>14.0442</v>
      </c>
      <c r="AW78">
        <f t="shared" si="21"/>
        <v>20.469702383999998</v>
      </c>
      <c r="AX78" s="9"/>
      <c r="AY78" s="22">
        <v>0.24246200000000001</v>
      </c>
      <c r="AZ78" s="22">
        <v>239.09100000000001</v>
      </c>
      <c r="BA78" s="22">
        <v>-1.5682999999999999E-2</v>
      </c>
      <c r="BB78" s="22">
        <v>68</v>
      </c>
      <c r="BC78" s="22">
        <v>0.24188200000000001</v>
      </c>
      <c r="BD78">
        <f t="shared" si="22"/>
        <v>15.683</v>
      </c>
      <c r="BE78">
        <f t="shared" si="23"/>
        <v>3.802531546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9.6813000000000002</v>
      </c>
      <c r="I79" s="22">
        <v>-1.40503E-2</v>
      </c>
      <c r="J79" s="22">
        <v>69</v>
      </c>
      <c r="K79" s="22">
        <v>1.4517199999999999</v>
      </c>
      <c r="L79">
        <f t="shared" si="12"/>
        <v>14.0503</v>
      </c>
      <c r="M79">
        <f t="shared" si="13"/>
        <v>20.407779743999999</v>
      </c>
      <c r="N79" s="9"/>
      <c r="O79" s="22">
        <v>0.247498</v>
      </c>
      <c r="P79" s="22">
        <v>59.102699999999999</v>
      </c>
      <c r="Q79" s="22">
        <v>-1.5704300000000001E-2</v>
      </c>
      <c r="R79" s="22">
        <v>69</v>
      </c>
      <c r="S79" s="22">
        <v>0.24700900000000001</v>
      </c>
      <c r="T79">
        <f t="shared" si="14"/>
        <v>15.704300000000002</v>
      </c>
      <c r="U79">
        <f t="shared" si="15"/>
        <v>3.8867828414000005</v>
      </c>
      <c r="X79" s="9"/>
      <c r="Y79" s="22">
        <v>1.45248</v>
      </c>
      <c r="Z79" s="22">
        <v>108.68</v>
      </c>
      <c r="AA79" s="22">
        <v>-1.4135699999999999E-2</v>
      </c>
      <c r="AB79" s="22">
        <v>69</v>
      </c>
      <c r="AC79" s="22">
        <v>1.4520299999999999</v>
      </c>
      <c r="AD79">
        <f t="shared" si="16"/>
        <v>14.1357</v>
      </c>
      <c r="AE79">
        <f t="shared" si="17"/>
        <v>20.531821535999999</v>
      </c>
      <c r="AF79" s="9"/>
      <c r="AG79" s="22">
        <v>0.247498</v>
      </c>
      <c r="AH79" s="22">
        <v>140.339</v>
      </c>
      <c r="AI79" s="22">
        <v>-1.5704300000000001E-2</v>
      </c>
      <c r="AJ79" s="22">
        <v>69</v>
      </c>
      <c r="AK79" s="22">
        <v>0.24704000000000001</v>
      </c>
      <c r="AL79">
        <f t="shared" si="18"/>
        <v>15.704300000000002</v>
      </c>
      <c r="AM79">
        <f t="shared" si="19"/>
        <v>3.8867828414000005</v>
      </c>
      <c r="AP79" s="9"/>
      <c r="AQ79" s="22">
        <v>1.45248</v>
      </c>
      <c r="AR79" s="22">
        <v>189.71799999999999</v>
      </c>
      <c r="AS79" s="22">
        <v>-1.4080799999999999E-2</v>
      </c>
      <c r="AT79" s="22">
        <v>69</v>
      </c>
      <c r="AU79" s="22">
        <v>1.4517199999999999</v>
      </c>
      <c r="AV79">
        <f t="shared" si="20"/>
        <v>14.0808</v>
      </c>
      <c r="AW79">
        <f t="shared" si="21"/>
        <v>20.452080383999999</v>
      </c>
      <c r="AX79" s="9"/>
      <c r="AY79" s="22">
        <v>0.247498</v>
      </c>
      <c r="AZ79" s="22">
        <v>239.101</v>
      </c>
      <c r="BA79" s="22">
        <v>-1.56799E-2</v>
      </c>
      <c r="BB79" s="22">
        <v>69</v>
      </c>
      <c r="BC79" s="22">
        <v>0.246979</v>
      </c>
      <c r="BD79">
        <f t="shared" si="22"/>
        <v>15.6799</v>
      </c>
      <c r="BE79">
        <f t="shared" si="23"/>
        <v>3.8807438901999998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9.6913699999999992</v>
      </c>
      <c r="I80" s="22">
        <v>-1.4080799999999999E-2</v>
      </c>
      <c r="J80" s="22">
        <v>70</v>
      </c>
      <c r="K80" s="22">
        <v>1.4468399999999999</v>
      </c>
      <c r="L80">
        <f t="shared" si="12"/>
        <v>14.0808</v>
      </c>
      <c r="M80">
        <f t="shared" si="13"/>
        <v>20.381253959999999</v>
      </c>
      <c r="N80" s="9"/>
      <c r="O80" s="22">
        <v>0.25253300000000001</v>
      </c>
      <c r="P80" s="22">
        <v>59.1128</v>
      </c>
      <c r="Q80" s="22">
        <v>-1.5698199999999999E-2</v>
      </c>
      <c r="R80" s="22">
        <v>70</v>
      </c>
      <c r="S80" s="22">
        <v>0.25195299999999998</v>
      </c>
      <c r="T80">
        <f t="shared" si="14"/>
        <v>15.698199999999998</v>
      </c>
      <c r="U80">
        <f t="shared" si="15"/>
        <v>3.9643135405999996</v>
      </c>
      <c r="X80" s="9"/>
      <c r="Y80" s="22">
        <v>1.4474499999999999</v>
      </c>
      <c r="Z80" s="22">
        <v>108.69</v>
      </c>
      <c r="AA80" s="22">
        <v>-1.41663E-2</v>
      </c>
      <c r="AB80" s="22">
        <v>70</v>
      </c>
      <c r="AC80" s="22">
        <v>1.4471400000000001</v>
      </c>
      <c r="AD80">
        <f t="shared" si="16"/>
        <v>14.1663</v>
      </c>
      <c r="AE80">
        <f t="shared" si="17"/>
        <v>20.505010934999998</v>
      </c>
      <c r="AF80" s="9"/>
      <c r="AG80" s="22">
        <v>0.25253300000000001</v>
      </c>
      <c r="AH80" s="22">
        <v>140.34899999999999</v>
      </c>
      <c r="AI80" s="22">
        <v>-1.57074E-2</v>
      </c>
      <c r="AJ80" s="22">
        <v>70</v>
      </c>
      <c r="AK80" s="22">
        <v>0.25192300000000001</v>
      </c>
      <c r="AL80">
        <f t="shared" si="18"/>
        <v>15.7074</v>
      </c>
      <c r="AM80">
        <f t="shared" si="19"/>
        <v>3.9666368442</v>
      </c>
      <c r="AP80" s="9"/>
      <c r="AQ80" s="22">
        <v>1.4474499999999999</v>
      </c>
      <c r="AR80" s="22">
        <v>189.72800000000001</v>
      </c>
      <c r="AS80" s="22">
        <v>-1.4108300000000001E-2</v>
      </c>
      <c r="AT80" s="22">
        <v>70</v>
      </c>
      <c r="AU80" s="22">
        <v>1.4465300000000001</v>
      </c>
      <c r="AV80">
        <f t="shared" si="20"/>
        <v>14.1083</v>
      </c>
      <c r="AW80">
        <f t="shared" si="21"/>
        <v>20.421058834999997</v>
      </c>
      <c r="AX80" s="9"/>
      <c r="AY80" s="22">
        <v>0.25253300000000001</v>
      </c>
      <c r="AZ80" s="22">
        <v>239.11099999999999</v>
      </c>
      <c r="BA80" s="22">
        <v>-1.56799E-2</v>
      </c>
      <c r="BB80" s="22">
        <v>70</v>
      </c>
      <c r="BC80" s="22">
        <v>0.25198399999999999</v>
      </c>
      <c r="BD80">
        <f t="shared" si="22"/>
        <v>15.6799</v>
      </c>
      <c r="BE80">
        <f t="shared" si="23"/>
        <v>3.9596921866999999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9.7014399999999998</v>
      </c>
      <c r="I81" s="22">
        <v>-1.41052E-2</v>
      </c>
      <c r="J81" s="22">
        <v>71</v>
      </c>
      <c r="K81" s="22">
        <v>1.4419599999999999</v>
      </c>
      <c r="L81">
        <f t="shared" si="12"/>
        <v>14.1052</v>
      </c>
      <c r="M81">
        <f t="shared" si="13"/>
        <v>20.345481532000001</v>
      </c>
      <c r="N81" s="9"/>
      <c r="O81" s="22">
        <v>0.25756800000000002</v>
      </c>
      <c r="P81" s="22">
        <v>59.122900000000001</v>
      </c>
      <c r="Q81" s="22">
        <v>-1.5695199999999999E-2</v>
      </c>
      <c r="R81" s="22">
        <v>71</v>
      </c>
      <c r="S81" s="22">
        <v>0.25695800000000002</v>
      </c>
      <c r="T81">
        <f t="shared" si="14"/>
        <v>15.6952</v>
      </c>
      <c r="U81">
        <f t="shared" si="15"/>
        <v>4.0425812736000006</v>
      </c>
      <c r="X81" s="9"/>
      <c r="Y81" s="22">
        <v>1.44241</v>
      </c>
      <c r="Z81" s="22">
        <v>108.7</v>
      </c>
      <c r="AA81" s="22">
        <v>-1.42059E-2</v>
      </c>
      <c r="AB81" s="22">
        <v>71</v>
      </c>
      <c r="AC81" s="22">
        <v>1.4416500000000001</v>
      </c>
      <c r="AD81">
        <f t="shared" si="16"/>
        <v>14.2059</v>
      </c>
      <c r="AE81">
        <f t="shared" si="17"/>
        <v>20.490732218999998</v>
      </c>
      <c r="AF81" s="9"/>
      <c r="AG81" s="22">
        <v>0.25756800000000002</v>
      </c>
      <c r="AH81" s="22">
        <v>140.35900000000001</v>
      </c>
      <c r="AI81" s="22">
        <v>-1.57074E-2</v>
      </c>
      <c r="AJ81" s="22">
        <v>71</v>
      </c>
      <c r="AK81" s="22">
        <v>0.25695800000000002</v>
      </c>
      <c r="AL81">
        <f t="shared" si="18"/>
        <v>15.7074</v>
      </c>
      <c r="AM81">
        <f t="shared" si="19"/>
        <v>4.0457236031999999</v>
      </c>
      <c r="AP81" s="9"/>
      <c r="AQ81" s="22">
        <v>1.44241</v>
      </c>
      <c r="AR81" s="22">
        <v>189.738</v>
      </c>
      <c r="AS81" s="22">
        <v>-1.41388E-2</v>
      </c>
      <c r="AT81" s="22">
        <v>71</v>
      </c>
      <c r="AU81" s="22">
        <v>1.4419599999999999</v>
      </c>
      <c r="AV81">
        <f t="shared" si="20"/>
        <v>14.1388</v>
      </c>
      <c r="AW81">
        <f t="shared" si="21"/>
        <v>20.393946507999999</v>
      </c>
      <c r="AX81" s="9"/>
      <c r="AY81" s="22">
        <v>0.25756800000000002</v>
      </c>
      <c r="AZ81" s="22">
        <v>239.12100000000001</v>
      </c>
      <c r="BA81" s="22">
        <v>-1.5682999999999999E-2</v>
      </c>
      <c r="BB81" s="22">
        <v>71</v>
      </c>
      <c r="BC81" s="22">
        <v>0.25695800000000002</v>
      </c>
      <c r="BD81">
        <f t="shared" si="22"/>
        <v>15.683</v>
      </c>
      <c r="BE81">
        <f t="shared" si="23"/>
        <v>4.0394389440000005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9.7115100000000005</v>
      </c>
      <c r="I82" s="22">
        <v>-1.4135699999999999E-2</v>
      </c>
      <c r="J82" s="22">
        <v>72</v>
      </c>
      <c r="K82" s="22">
        <v>1.4364600000000001</v>
      </c>
      <c r="L82">
        <f t="shared" si="12"/>
        <v>14.1357</v>
      </c>
      <c r="M82">
        <f t="shared" si="13"/>
        <v>20.318372466</v>
      </c>
      <c r="N82" s="9"/>
      <c r="O82" s="22">
        <v>0.262604</v>
      </c>
      <c r="P82" s="22">
        <v>59.132899999999999</v>
      </c>
      <c r="Q82" s="22">
        <v>-1.5695199999999999E-2</v>
      </c>
      <c r="R82" s="22">
        <v>72</v>
      </c>
      <c r="S82" s="22">
        <v>0.261963</v>
      </c>
      <c r="T82">
        <f t="shared" si="14"/>
        <v>15.6952</v>
      </c>
      <c r="U82">
        <f t="shared" si="15"/>
        <v>4.1216223008000004</v>
      </c>
      <c r="X82" s="9"/>
      <c r="Y82" s="22">
        <v>1.4373800000000001</v>
      </c>
      <c r="Z82" s="22">
        <v>108.71</v>
      </c>
      <c r="AA82" s="22">
        <v>-1.4242599999999999E-2</v>
      </c>
      <c r="AB82" s="22">
        <v>72</v>
      </c>
      <c r="AC82" s="22">
        <v>1.4364600000000001</v>
      </c>
      <c r="AD82">
        <f t="shared" si="16"/>
        <v>14.242599999999999</v>
      </c>
      <c r="AE82">
        <f t="shared" si="17"/>
        <v>20.472028388000002</v>
      </c>
      <c r="AF82" s="9"/>
      <c r="AG82" s="22">
        <v>0.262604</v>
      </c>
      <c r="AH82" s="22">
        <v>140.369</v>
      </c>
      <c r="AI82" s="22">
        <v>-1.57074E-2</v>
      </c>
      <c r="AJ82" s="22">
        <v>72</v>
      </c>
      <c r="AK82" s="22">
        <v>0.26199299999999998</v>
      </c>
      <c r="AL82">
        <f t="shared" si="18"/>
        <v>15.7074</v>
      </c>
      <c r="AM82">
        <f t="shared" si="19"/>
        <v>4.1248260696000001</v>
      </c>
      <c r="AP82" s="9"/>
      <c r="AQ82" s="22">
        <v>1.4373800000000001</v>
      </c>
      <c r="AR82" s="22">
        <v>189.74799999999999</v>
      </c>
      <c r="AS82" s="22">
        <v>-1.4163200000000001E-2</v>
      </c>
      <c r="AT82" s="22">
        <v>72</v>
      </c>
      <c r="AU82" s="22">
        <v>1.4367700000000001</v>
      </c>
      <c r="AV82">
        <f t="shared" si="20"/>
        <v>14.163200000000002</v>
      </c>
      <c r="AW82">
        <f t="shared" si="21"/>
        <v>20.357900416000003</v>
      </c>
      <c r="AX82" s="9"/>
      <c r="AY82" s="22">
        <v>0.262604</v>
      </c>
      <c r="AZ82" s="22">
        <v>239.131</v>
      </c>
      <c r="BA82" s="22">
        <v>-1.5685999999999999E-2</v>
      </c>
      <c r="BB82" s="22">
        <v>72</v>
      </c>
      <c r="BC82" s="22">
        <v>0.26202399999999998</v>
      </c>
      <c r="BD82">
        <f t="shared" si="22"/>
        <v>15.685999999999998</v>
      </c>
      <c r="BE82">
        <f t="shared" si="23"/>
        <v>4.1192063439999993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9.7215799999999994</v>
      </c>
      <c r="I83" s="22">
        <v>-1.4175399999999999E-2</v>
      </c>
      <c r="J83" s="22">
        <v>73</v>
      </c>
      <c r="K83" s="22">
        <v>1.4315800000000001</v>
      </c>
      <c r="L83">
        <f t="shared" si="12"/>
        <v>14.1754</v>
      </c>
      <c r="M83">
        <f t="shared" si="13"/>
        <v>20.303992435999998</v>
      </c>
      <c r="N83" s="9"/>
      <c r="O83" s="22">
        <v>0.26763900000000002</v>
      </c>
      <c r="P83" s="22">
        <v>59.143000000000001</v>
      </c>
      <c r="Q83" s="22">
        <v>-1.5698199999999999E-2</v>
      </c>
      <c r="R83" s="22">
        <v>73</v>
      </c>
      <c r="S83" s="22">
        <v>0.26705899999999999</v>
      </c>
      <c r="T83">
        <f t="shared" si="14"/>
        <v>15.698199999999998</v>
      </c>
      <c r="U83">
        <f t="shared" si="15"/>
        <v>4.2014505497999997</v>
      </c>
      <c r="X83" s="9"/>
      <c r="Y83" s="22">
        <v>1.4323399999999999</v>
      </c>
      <c r="Z83" s="22">
        <v>108.72</v>
      </c>
      <c r="AA83" s="22">
        <v>-1.4279200000000001E-2</v>
      </c>
      <c r="AB83" s="22">
        <v>73</v>
      </c>
      <c r="AC83" s="22">
        <v>1.43188</v>
      </c>
      <c r="AD83">
        <f t="shared" si="16"/>
        <v>14.279200000000001</v>
      </c>
      <c r="AE83">
        <f t="shared" si="17"/>
        <v>20.452669328000002</v>
      </c>
      <c r="AF83" s="9"/>
      <c r="AG83" s="22">
        <v>0.26763900000000002</v>
      </c>
      <c r="AH83" s="22">
        <v>140.38</v>
      </c>
      <c r="AI83" s="22">
        <v>-1.57074E-2</v>
      </c>
      <c r="AJ83" s="22">
        <v>73</v>
      </c>
      <c r="AK83" s="22">
        <v>0.26712000000000002</v>
      </c>
      <c r="AL83">
        <f t="shared" si="18"/>
        <v>15.7074</v>
      </c>
      <c r="AM83">
        <f t="shared" si="19"/>
        <v>4.2039128286</v>
      </c>
      <c r="AP83" s="9"/>
      <c r="AQ83" s="22">
        <v>1.4323399999999999</v>
      </c>
      <c r="AR83" s="22">
        <v>189.75800000000001</v>
      </c>
      <c r="AS83" s="22">
        <v>-1.4190700000000001E-2</v>
      </c>
      <c r="AT83" s="22">
        <v>73</v>
      </c>
      <c r="AU83" s="22">
        <v>1.4315800000000001</v>
      </c>
      <c r="AV83">
        <f t="shared" si="20"/>
        <v>14.1907</v>
      </c>
      <c r="AW83">
        <f t="shared" si="21"/>
        <v>20.325907237999999</v>
      </c>
      <c r="AX83" s="9"/>
      <c r="AY83" s="22">
        <v>0.26763900000000002</v>
      </c>
      <c r="AZ83" s="22">
        <v>239.14099999999999</v>
      </c>
      <c r="BA83" s="22">
        <v>-1.5685999999999999E-2</v>
      </c>
      <c r="BB83" s="22">
        <v>73</v>
      </c>
      <c r="BC83" s="22">
        <v>0.26705899999999999</v>
      </c>
      <c r="BD83">
        <f t="shared" si="22"/>
        <v>15.685999999999998</v>
      </c>
      <c r="BE83">
        <f t="shared" si="23"/>
        <v>4.1981853539999996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9.7316500000000001</v>
      </c>
      <c r="I84" s="22">
        <v>-1.4208999999999999E-2</v>
      </c>
      <c r="J84" s="22">
        <v>74</v>
      </c>
      <c r="K84" s="22">
        <v>1.4260900000000001</v>
      </c>
      <c r="L84">
        <f t="shared" si="12"/>
        <v>14.209</v>
      </c>
      <c r="M84">
        <f t="shared" si="13"/>
        <v>20.28064779</v>
      </c>
      <c r="N84" s="9"/>
      <c r="O84" s="22">
        <v>0.272675</v>
      </c>
      <c r="P84" s="22">
        <v>59.153100000000002</v>
      </c>
      <c r="Q84" s="22">
        <v>-1.5698199999999999E-2</v>
      </c>
      <c r="R84" s="22">
        <v>74</v>
      </c>
      <c r="S84" s="22">
        <v>0.27209499999999998</v>
      </c>
      <c r="T84">
        <f t="shared" si="14"/>
        <v>15.698199999999998</v>
      </c>
      <c r="U84">
        <f t="shared" si="15"/>
        <v>4.2805066849999998</v>
      </c>
      <c r="X84" s="9"/>
      <c r="Y84" s="22">
        <v>1.4273100000000001</v>
      </c>
      <c r="Z84" s="22">
        <v>108.73</v>
      </c>
      <c r="AA84" s="22">
        <v>-1.43158E-2</v>
      </c>
      <c r="AB84" s="22">
        <v>74</v>
      </c>
      <c r="AC84" s="22">
        <v>1.4267000000000001</v>
      </c>
      <c r="AD84">
        <f t="shared" si="16"/>
        <v>14.315799999999999</v>
      </c>
      <c r="AE84">
        <f t="shared" si="17"/>
        <v>20.433084497999999</v>
      </c>
      <c r="AF84" s="9"/>
      <c r="AG84" s="22">
        <v>0.272675</v>
      </c>
      <c r="AH84" s="22">
        <v>140.38999999999999</v>
      </c>
      <c r="AI84" s="22">
        <v>-1.57074E-2</v>
      </c>
      <c r="AJ84" s="22">
        <v>74</v>
      </c>
      <c r="AK84" s="22">
        <v>0.27215600000000001</v>
      </c>
      <c r="AL84">
        <f t="shared" si="18"/>
        <v>15.7074</v>
      </c>
      <c r="AM84">
        <f t="shared" si="19"/>
        <v>4.2830152950000002</v>
      </c>
      <c r="AP84" s="9"/>
      <c r="AQ84" s="22">
        <v>1.4273100000000001</v>
      </c>
      <c r="AR84" s="22">
        <v>189.768</v>
      </c>
      <c r="AS84" s="22">
        <v>-1.4224199999999999E-2</v>
      </c>
      <c r="AT84" s="22">
        <v>74</v>
      </c>
      <c r="AU84" s="22">
        <v>1.427</v>
      </c>
      <c r="AV84">
        <f t="shared" si="20"/>
        <v>14.2242</v>
      </c>
      <c r="AW84">
        <f t="shared" si="21"/>
        <v>20.302342901999999</v>
      </c>
      <c r="AX84" s="9"/>
      <c r="AY84" s="22">
        <v>0.272675</v>
      </c>
      <c r="AZ84" s="22">
        <v>239.15100000000001</v>
      </c>
      <c r="BA84" s="22">
        <v>-1.56799E-2</v>
      </c>
      <c r="BB84" s="22">
        <v>74</v>
      </c>
      <c r="BC84" s="22">
        <v>0.27212500000000001</v>
      </c>
      <c r="BD84">
        <f t="shared" si="22"/>
        <v>15.6799</v>
      </c>
      <c r="BE84">
        <f t="shared" si="23"/>
        <v>4.2755167324999999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9.7417200000000008</v>
      </c>
      <c r="I85" s="22">
        <v>-1.42487E-2</v>
      </c>
      <c r="J85" s="22">
        <v>75</v>
      </c>
      <c r="K85" s="22">
        <v>1.4215100000000001</v>
      </c>
      <c r="L85">
        <f t="shared" si="12"/>
        <v>14.248699999999999</v>
      </c>
      <c r="M85">
        <f t="shared" si="13"/>
        <v>20.265498548999997</v>
      </c>
      <c r="N85" s="9"/>
      <c r="O85" s="22">
        <v>0.27771000000000001</v>
      </c>
      <c r="P85" s="22">
        <v>59.1631</v>
      </c>
      <c r="Q85" s="22">
        <v>-1.5695199999999999E-2</v>
      </c>
      <c r="R85" s="22">
        <v>75</v>
      </c>
      <c r="S85" s="22">
        <v>0.27716099999999999</v>
      </c>
      <c r="T85">
        <f t="shared" si="14"/>
        <v>15.6952</v>
      </c>
      <c r="U85">
        <f t="shared" si="15"/>
        <v>4.3587139920000002</v>
      </c>
      <c r="X85" s="9"/>
      <c r="Y85" s="22">
        <v>1.4222699999999999</v>
      </c>
      <c r="Z85" s="22">
        <v>108.741</v>
      </c>
      <c r="AA85" s="22">
        <v>-1.4346299999999999E-2</v>
      </c>
      <c r="AB85" s="22">
        <v>75</v>
      </c>
      <c r="AC85" s="22">
        <v>1.4209000000000001</v>
      </c>
      <c r="AD85">
        <f t="shared" si="16"/>
        <v>14.346299999999999</v>
      </c>
      <c r="AE85">
        <f t="shared" si="17"/>
        <v>20.404312100999999</v>
      </c>
      <c r="AF85" s="9"/>
      <c r="AG85" s="22">
        <v>0.27771000000000001</v>
      </c>
      <c r="AH85" s="22">
        <v>140.4</v>
      </c>
      <c r="AI85" s="22">
        <v>-1.57074E-2</v>
      </c>
      <c r="AJ85" s="22">
        <v>75</v>
      </c>
      <c r="AK85" s="22">
        <v>0.27722200000000002</v>
      </c>
      <c r="AL85">
        <f t="shared" si="18"/>
        <v>15.7074</v>
      </c>
      <c r="AM85">
        <f t="shared" si="19"/>
        <v>4.3621020540000002</v>
      </c>
      <c r="AP85" s="9"/>
      <c r="AQ85" s="22">
        <v>1.4222699999999999</v>
      </c>
      <c r="AR85" s="22">
        <v>189.77799999999999</v>
      </c>
      <c r="AS85" s="22">
        <v>-1.42609E-2</v>
      </c>
      <c r="AT85" s="22">
        <v>75</v>
      </c>
      <c r="AU85" s="22">
        <v>1.42181</v>
      </c>
      <c r="AV85">
        <f t="shared" si="20"/>
        <v>14.260899999999999</v>
      </c>
      <c r="AW85">
        <f t="shared" si="21"/>
        <v>20.282850242999999</v>
      </c>
      <c r="AX85" s="9"/>
      <c r="AY85" s="22">
        <v>0.27771000000000001</v>
      </c>
      <c r="AZ85" s="22">
        <v>239.16200000000001</v>
      </c>
      <c r="BA85" s="22">
        <v>-1.5670799999999999E-2</v>
      </c>
      <c r="BB85" s="22">
        <v>75</v>
      </c>
      <c r="BC85" s="22">
        <v>0.27719100000000002</v>
      </c>
      <c r="BD85">
        <f t="shared" si="22"/>
        <v>15.670799999999998</v>
      </c>
      <c r="BE85">
        <f t="shared" si="23"/>
        <v>4.3519378679999994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9.7517899999999997</v>
      </c>
      <c r="I86" s="22">
        <v>-1.4294400000000001E-2</v>
      </c>
      <c r="J86" s="22">
        <v>76</v>
      </c>
      <c r="K86" s="22">
        <v>1.41632</v>
      </c>
      <c r="L86">
        <f t="shared" si="12"/>
        <v>14.294400000000001</v>
      </c>
      <c r="M86">
        <f t="shared" si="13"/>
        <v>20.258595456000002</v>
      </c>
      <c r="N86" s="9"/>
      <c r="O86" s="22">
        <v>0.28274500000000002</v>
      </c>
      <c r="P86" s="22">
        <v>59.173200000000001</v>
      </c>
      <c r="Q86" s="22">
        <v>-1.5695199999999999E-2</v>
      </c>
      <c r="R86" s="22">
        <v>76</v>
      </c>
      <c r="S86" s="22">
        <v>0.28216599999999997</v>
      </c>
      <c r="T86">
        <f t="shared" si="14"/>
        <v>15.6952</v>
      </c>
      <c r="U86">
        <f t="shared" si="15"/>
        <v>4.4377393240000007</v>
      </c>
      <c r="X86" s="9"/>
      <c r="Y86" s="22">
        <v>1.4172400000000001</v>
      </c>
      <c r="Z86" s="22">
        <v>108.751</v>
      </c>
      <c r="AA86" s="22">
        <v>-1.4385999999999999E-2</v>
      </c>
      <c r="AB86" s="22">
        <v>76</v>
      </c>
      <c r="AC86" s="22">
        <v>1.41693</v>
      </c>
      <c r="AD86">
        <f t="shared" si="16"/>
        <v>14.385999999999999</v>
      </c>
      <c r="AE86">
        <f t="shared" si="17"/>
        <v>20.388414640000001</v>
      </c>
      <c r="AF86" s="9"/>
      <c r="AG86" s="22">
        <v>0.28274500000000002</v>
      </c>
      <c r="AH86" s="22">
        <v>140.41</v>
      </c>
      <c r="AI86" s="22">
        <v>-1.5701300000000001E-2</v>
      </c>
      <c r="AJ86" s="22">
        <v>76</v>
      </c>
      <c r="AK86" s="22">
        <v>0.28216599999999997</v>
      </c>
      <c r="AL86">
        <f t="shared" si="18"/>
        <v>15.701300000000002</v>
      </c>
      <c r="AM86">
        <f t="shared" si="19"/>
        <v>4.4394640685000004</v>
      </c>
      <c r="AP86" s="9"/>
      <c r="AQ86" s="22">
        <v>1.4172400000000001</v>
      </c>
      <c r="AR86" s="22">
        <v>189.78800000000001</v>
      </c>
      <c r="AS86" s="22">
        <v>-1.4294400000000001E-2</v>
      </c>
      <c r="AT86" s="22">
        <v>76</v>
      </c>
      <c r="AU86" s="22">
        <v>1.4166300000000001</v>
      </c>
      <c r="AV86">
        <f t="shared" si="20"/>
        <v>14.294400000000001</v>
      </c>
      <c r="AW86">
        <f t="shared" si="21"/>
        <v>20.258595456000002</v>
      </c>
      <c r="AX86" s="9"/>
      <c r="AY86" s="22">
        <v>0.28274500000000002</v>
      </c>
      <c r="AZ86" s="22">
        <v>239.172</v>
      </c>
      <c r="BA86" s="22">
        <v>-1.5670799999999999E-2</v>
      </c>
      <c r="BB86" s="22">
        <v>76</v>
      </c>
      <c r="BC86" s="22">
        <v>0.282196</v>
      </c>
      <c r="BD86">
        <f t="shared" si="22"/>
        <v>15.670799999999998</v>
      </c>
      <c r="BE86">
        <f t="shared" si="23"/>
        <v>4.4308403460000001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9.7618600000000004</v>
      </c>
      <c r="I87" s="22">
        <v>-1.43188E-2</v>
      </c>
      <c r="J87" s="22">
        <v>77</v>
      </c>
      <c r="K87" s="22">
        <v>1.41144</v>
      </c>
      <c r="L87">
        <f t="shared" si="12"/>
        <v>14.3188</v>
      </c>
      <c r="M87">
        <f t="shared" si="13"/>
        <v>20.221009359999996</v>
      </c>
      <c r="N87" s="9"/>
      <c r="O87" s="22">
        <v>0.28778100000000001</v>
      </c>
      <c r="P87" s="22">
        <v>59.183300000000003</v>
      </c>
      <c r="Q87" s="22">
        <v>-1.56921E-2</v>
      </c>
      <c r="R87" s="22">
        <v>77</v>
      </c>
      <c r="S87" s="22">
        <v>0.28723100000000001</v>
      </c>
      <c r="T87">
        <f t="shared" si="14"/>
        <v>15.6921</v>
      </c>
      <c r="U87">
        <f t="shared" si="15"/>
        <v>4.5158882300999998</v>
      </c>
      <c r="X87" s="9"/>
      <c r="Y87" s="22">
        <v>1.4121999999999999</v>
      </c>
      <c r="Z87" s="22">
        <v>108.761</v>
      </c>
      <c r="AA87" s="22">
        <v>-1.44257E-2</v>
      </c>
      <c r="AB87" s="22">
        <v>77</v>
      </c>
      <c r="AC87" s="22">
        <v>1.41174</v>
      </c>
      <c r="AD87">
        <f t="shared" si="16"/>
        <v>14.425699999999999</v>
      </c>
      <c r="AE87">
        <f t="shared" si="17"/>
        <v>20.371973539999995</v>
      </c>
      <c r="AF87" s="9"/>
      <c r="AG87" s="22">
        <v>0.28778100000000001</v>
      </c>
      <c r="AH87" s="22">
        <v>140.41999999999999</v>
      </c>
      <c r="AI87" s="22">
        <v>-1.5695199999999999E-2</v>
      </c>
      <c r="AJ87" s="22">
        <v>77</v>
      </c>
      <c r="AK87" s="22">
        <v>0.28723100000000001</v>
      </c>
      <c r="AL87">
        <f t="shared" si="18"/>
        <v>15.6952</v>
      </c>
      <c r="AM87">
        <f t="shared" si="19"/>
        <v>4.5167803512000004</v>
      </c>
      <c r="AP87" s="9"/>
      <c r="AQ87" s="22">
        <v>1.4121999999999999</v>
      </c>
      <c r="AR87" s="22">
        <v>189.798</v>
      </c>
      <c r="AS87" s="22">
        <v>-1.4346299999999999E-2</v>
      </c>
      <c r="AT87" s="22">
        <v>77</v>
      </c>
      <c r="AU87" s="22">
        <v>1.41144</v>
      </c>
      <c r="AV87">
        <f t="shared" si="20"/>
        <v>14.346299999999999</v>
      </c>
      <c r="AW87">
        <f t="shared" si="21"/>
        <v>20.259844859999998</v>
      </c>
      <c r="AX87" s="9"/>
      <c r="AY87" s="22">
        <v>0.28778100000000001</v>
      </c>
      <c r="AZ87" s="22">
        <v>239.18199999999999</v>
      </c>
      <c r="BA87" s="22">
        <v>-1.5673800000000002E-2</v>
      </c>
      <c r="BB87" s="22">
        <v>77</v>
      </c>
      <c r="BC87" s="22">
        <v>0.28716999999999998</v>
      </c>
      <c r="BD87">
        <f t="shared" si="22"/>
        <v>15.673800000000002</v>
      </c>
      <c r="BE87">
        <f t="shared" si="23"/>
        <v>4.5106218378000005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9.7719299999999993</v>
      </c>
      <c r="I88" s="22">
        <v>-1.43433E-2</v>
      </c>
      <c r="J88" s="22">
        <v>78</v>
      </c>
      <c r="K88" s="22">
        <v>1.40656</v>
      </c>
      <c r="L88">
        <f t="shared" si="12"/>
        <v>14.343299999999999</v>
      </c>
      <c r="M88">
        <f t="shared" si="13"/>
        <v>20.183461461</v>
      </c>
      <c r="N88" s="9"/>
      <c r="O88" s="22">
        <v>0.29281600000000002</v>
      </c>
      <c r="P88" s="22">
        <v>59.193399999999997</v>
      </c>
      <c r="Q88" s="22">
        <v>-1.5698199999999999E-2</v>
      </c>
      <c r="R88" s="22">
        <v>78</v>
      </c>
      <c r="S88" s="22">
        <v>0.29217500000000002</v>
      </c>
      <c r="T88">
        <f t="shared" si="14"/>
        <v>15.698199999999998</v>
      </c>
      <c r="U88">
        <f t="shared" si="15"/>
        <v>4.5966841312</v>
      </c>
      <c r="X88" s="9"/>
      <c r="Y88" s="22">
        <v>1.40717</v>
      </c>
      <c r="Z88" s="22">
        <v>108.771</v>
      </c>
      <c r="AA88" s="22">
        <v>-1.44592E-2</v>
      </c>
      <c r="AB88" s="22">
        <v>78</v>
      </c>
      <c r="AC88" s="22">
        <v>1.40686</v>
      </c>
      <c r="AD88">
        <f t="shared" si="16"/>
        <v>14.459200000000001</v>
      </c>
      <c r="AE88">
        <f t="shared" si="17"/>
        <v>20.346552464000002</v>
      </c>
      <c r="AF88" s="9"/>
      <c r="AG88" s="22">
        <v>0.29281600000000002</v>
      </c>
      <c r="AH88" s="22">
        <v>140.43</v>
      </c>
      <c r="AI88" s="22">
        <v>-1.56921E-2</v>
      </c>
      <c r="AJ88" s="22">
        <v>78</v>
      </c>
      <c r="AK88" s="22">
        <v>0.292236</v>
      </c>
      <c r="AL88">
        <f t="shared" si="18"/>
        <v>15.6921</v>
      </c>
      <c r="AM88">
        <f t="shared" si="19"/>
        <v>4.5948979536000003</v>
      </c>
      <c r="AP88" s="9"/>
      <c r="AQ88" s="22">
        <v>1.40717</v>
      </c>
      <c r="AR88" s="22">
        <v>189.80799999999999</v>
      </c>
      <c r="AS88" s="22">
        <v>-1.43768E-2</v>
      </c>
      <c r="AT88" s="22">
        <v>78</v>
      </c>
      <c r="AU88" s="22">
        <v>1.40594</v>
      </c>
      <c r="AV88">
        <f t="shared" si="20"/>
        <v>14.376800000000001</v>
      </c>
      <c r="AW88">
        <f t="shared" si="21"/>
        <v>20.230601656000001</v>
      </c>
      <c r="AX88" s="9"/>
      <c r="AY88" s="22">
        <v>0.29281600000000002</v>
      </c>
      <c r="AZ88" s="22">
        <v>239.19200000000001</v>
      </c>
      <c r="BA88" s="22">
        <v>-1.5676900000000001E-2</v>
      </c>
      <c r="BB88" s="22">
        <v>78</v>
      </c>
      <c r="BC88" s="22">
        <v>0.29220600000000002</v>
      </c>
      <c r="BD88">
        <f t="shared" si="22"/>
        <v>15.6769</v>
      </c>
      <c r="BE88">
        <f t="shared" si="23"/>
        <v>4.5904471504000002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9.7820099999999996</v>
      </c>
      <c r="I89" s="22">
        <v>-1.4367700000000001E-2</v>
      </c>
      <c r="J89" s="22">
        <v>79</v>
      </c>
      <c r="K89" s="22">
        <v>1.40167</v>
      </c>
      <c r="L89">
        <f t="shared" si="12"/>
        <v>14.367700000000001</v>
      </c>
      <c r="M89">
        <f t="shared" si="13"/>
        <v>20.145383201000001</v>
      </c>
      <c r="N89" s="9"/>
      <c r="O89" s="22">
        <v>0.29785200000000001</v>
      </c>
      <c r="P89" s="22">
        <v>59.203400000000002</v>
      </c>
      <c r="Q89" s="22">
        <v>-1.5698199999999999E-2</v>
      </c>
      <c r="R89" s="22">
        <v>79</v>
      </c>
      <c r="S89" s="22">
        <v>0.29718</v>
      </c>
      <c r="T89">
        <f t="shared" si="14"/>
        <v>15.698199999999998</v>
      </c>
      <c r="U89">
        <f t="shared" si="15"/>
        <v>4.6757402663999992</v>
      </c>
      <c r="X89" s="9"/>
      <c r="Y89" s="22">
        <v>1.4021300000000001</v>
      </c>
      <c r="Z89" s="22">
        <v>108.78100000000001</v>
      </c>
      <c r="AA89" s="22">
        <v>-1.4483599999999999E-2</v>
      </c>
      <c r="AB89" s="22">
        <v>79</v>
      </c>
      <c r="AC89" s="22">
        <v>1.40137</v>
      </c>
      <c r="AD89">
        <f t="shared" si="16"/>
        <v>14.483599999999999</v>
      </c>
      <c r="AE89">
        <f t="shared" si="17"/>
        <v>20.307890067999999</v>
      </c>
      <c r="AF89" s="9"/>
      <c r="AG89" s="22">
        <v>0.29785200000000001</v>
      </c>
      <c r="AH89" s="22">
        <v>140.44</v>
      </c>
      <c r="AI89" s="22">
        <v>-1.5689100000000001E-2</v>
      </c>
      <c r="AJ89" s="22">
        <v>79</v>
      </c>
      <c r="AK89" s="22">
        <v>0.297211</v>
      </c>
      <c r="AL89">
        <f t="shared" si="18"/>
        <v>15.689100000000002</v>
      </c>
      <c r="AM89">
        <f t="shared" si="19"/>
        <v>4.6730298132000003</v>
      </c>
      <c r="AP89" s="9"/>
      <c r="AQ89" s="22">
        <v>1.4021300000000001</v>
      </c>
      <c r="AR89" s="22">
        <v>189.81800000000001</v>
      </c>
      <c r="AS89" s="22">
        <v>-1.4413499999999999E-2</v>
      </c>
      <c r="AT89" s="22">
        <v>79</v>
      </c>
      <c r="AU89" s="22">
        <v>1.40137</v>
      </c>
      <c r="AV89">
        <f t="shared" si="20"/>
        <v>14.413499999999999</v>
      </c>
      <c r="AW89">
        <f t="shared" si="21"/>
        <v>20.209600755</v>
      </c>
      <c r="AX89" s="9"/>
      <c r="AY89" s="22">
        <v>0.29785200000000001</v>
      </c>
      <c r="AZ89" s="22">
        <v>239.202</v>
      </c>
      <c r="BA89" s="22">
        <v>-1.5676900000000001E-2</v>
      </c>
      <c r="BB89" s="22">
        <v>79</v>
      </c>
      <c r="BC89" s="22">
        <v>0.29718</v>
      </c>
      <c r="BD89">
        <f t="shared" si="22"/>
        <v>15.6769</v>
      </c>
      <c r="BE89">
        <f t="shared" si="23"/>
        <v>4.6693960187999997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9.7920800000000003</v>
      </c>
      <c r="I90" s="22">
        <v>-1.4401199999999999E-2</v>
      </c>
      <c r="J90" s="22">
        <v>80</v>
      </c>
      <c r="K90" s="22">
        <v>1.3964799999999999</v>
      </c>
      <c r="L90">
        <f t="shared" si="12"/>
        <v>14.401199999999999</v>
      </c>
      <c r="M90">
        <f t="shared" si="13"/>
        <v>20.119772507999997</v>
      </c>
      <c r="N90" s="9"/>
      <c r="O90" s="22">
        <v>0.30288700000000002</v>
      </c>
      <c r="P90" s="22">
        <v>59.213500000000003</v>
      </c>
      <c r="Q90" s="22">
        <v>-1.5698199999999999E-2</v>
      </c>
      <c r="R90" s="22">
        <v>80</v>
      </c>
      <c r="S90" s="22">
        <v>0.30230699999999999</v>
      </c>
      <c r="T90">
        <f t="shared" si="14"/>
        <v>15.698199999999998</v>
      </c>
      <c r="U90">
        <f t="shared" si="15"/>
        <v>4.7547807033999998</v>
      </c>
      <c r="X90" s="9"/>
      <c r="Y90" s="22">
        <v>1.3970899999999999</v>
      </c>
      <c r="Z90" s="22">
        <v>108.791</v>
      </c>
      <c r="AA90" s="22">
        <v>-1.4505000000000001E-2</v>
      </c>
      <c r="AB90" s="22">
        <v>80</v>
      </c>
      <c r="AC90" s="22">
        <v>1.3964799999999999</v>
      </c>
      <c r="AD90">
        <f t="shared" si="16"/>
        <v>14.505000000000001</v>
      </c>
      <c r="AE90">
        <f t="shared" si="17"/>
        <v>20.26479045</v>
      </c>
      <c r="AF90" s="9"/>
      <c r="AG90" s="22">
        <v>0.30288700000000002</v>
      </c>
      <c r="AH90" s="22">
        <v>140.44999999999999</v>
      </c>
      <c r="AI90" s="22">
        <v>-1.5685999999999999E-2</v>
      </c>
      <c r="AJ90" s="22">
        <v>80</v>
      </c>
      <c r="AK90" s="22">
        <v>0.30239899999999997</v>
      </c>
      <c r="AL90">
        <f t="shared" si="18"/>
        <v>15.685999999999998</v>
      </c>
      <c r="AM90">
        <f t="shared" si="19"/>
        <v>4.7510854819999997</v>
      </c>
      <c r="AP90" s="9"/>
      <c r="AQ90" s="22">
        <v>1.3970899999999999</v>
      </c>
      <c r="AR90" s="22">
        <v>189.828</v>
      </c>
      <c r="AS90" s="22">
        <v>-1.44501E-2</v>
      </c>
      <c r="AT90" s="22">
        <v>80</v>
      </c>
      <c r="AU90" s="22">
        <v>1.3964799999999999</v>
      </c>
      <c r="AV90">
        <f t="shared" si="20"/>
        <v>14.450100000000001</v>
      </c>
      <c r="AW90">
        <f t="shared" si="21"/>
        <v>20.188090209000002</v>
      </c>
      <c r="AX90" s="9"/>
      <c r="AY90" s="22">
        <v>0.30288700000000002</v>
      </c>
      <c r="AZ90" s="22">
        <v>239.21199999999999</v>
      </c>
      <c r="BA90" s="22">
        <v>-1.5676900000000001E-2</v>
      </c>
      <c r="BB90" s="22">
        <v>80</v>
      </c>
      <c r="BC90" s="22">
        <v>0.30227700000000002</v>
      </c>
      <c r="BD90">
        <f t="shared" si="22"/>
        <v>15.6769</v>
      </c>
      <c r="BE90">
        <f t="shared" si="23"/>
        <v>4.7483292103000005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9.8021499999999993</v>
      </c>
      <c r="I91" s="22">
        <v>-1.44257E-2</v>
      </c>
      <c r="J91" s="22">
        <v>81</v>
      </c>
      <c r="K91" s="22">
        <v>1.3913</v>
      </c>
      <c r="L91">
        <f t="shared" si="12"/>
        <v>14.425699999999999</v>
      </c>
      <c r="M91">
        <f t="shared" si="13"/>
        <v>20.081439941999999</v>
      </c>
      <c r="N91" s="9"/>
      <c r="O91" s="22">
        <v>0.30792199999999997</v>
      </c>
      <c r="P91" s="22">
        <v>59.223599999999998</v>
      </c>
      <c r="Q91" s="22">
        <v>-1.5698199999999999E-2</v>
      </c>
      <c r="R91" s="22">
        <v>81</v>
      </c>
      <c r="S91" s="22">
        <v>0.30743399999999999</v>
      </c>
      <c r="T91">
        <f t="shared" si="14"/>
        <v>15.698199999999998</v>
      </c>
      <c r="U91">
        <f t="shared" si="15"/>
        <v>4.8338211403999987</v>
      </c>
      <c r="X91" s="9"/>
      <c r="Y91" s="22">
        <v>1.3920600000000001</v>
      </c>
      <c r="Z91" s="22">
        <v>108.801</v>
      </c>
      <c r="AA91" s="22">
        <v>-1.45294E-2</v>
      </c>
      <c r="AB91" s="22">
        <v>81</v>
      </c>
      <c r="AC91" s="22">
        <v>1.3913</v>
      </c>
      <c r="AD91">
        <f t="shared" si="16"/>
        <v>14.529399999999999</v>
      </c>
      <c r="AE91">
        <f t="shared" si="17"/>
        <v>20.225796563999999</v>
      </c>
      <c r="AF91" s="9"/>
      <c r="AG91" s="22">
        <v>0.30792199999999997</v>
      </c>
      <c r="AH91" s="22">
        <v>140.46</v>
      </c>
      <c r="AI91" s="22">
        <v>-1.56799E-2</v>
      </c>
      <c r="AJ91" s="22">
        <v>81</v>
      </c>
      <c r="AK91" s="22">
        <v>0.30734299999999998</v>
      </c>
      <c r="AL91">
        <f t="shared" si="18"/>
        <v>15.6799</v>
      </c>
      <c r="AM91">
        <f t="shared" si="19"/>
        <v>4.8281861677999993</v>
      </c>
      <c r="AP91" s="9"/>
      <c r="AQ91" s="22">
        <v>1.3920600000000001</v>
      </c>
      <c r="AR91" s="22">
        <v>189.839</v>
      </c>
      <c r="AS91" s="22">
        <v>-1.4483599999999999E-2</v>
      </c>
      <c r="AT91" s="22">
        <v>81</v>
      </c>
      <c r="AU91" s="22">
        <v>1.3915999999999999</v>
      </c>
      <c r="AV91">
        <f t="shared" si="20"/>
        <v>14.483599999999999</v>
      </c>
      <c r="AW91">
        <f t="shared" si="21"/>
        <v>20.162040216000001</v>
      </c>
      <c r="AX91" s="9"/>
      <c r="AY91" s="22">
        <v>0.30792199999999997</v>
      </c>
      <c r="AZ91" s="22">
        <v>239.22200000000001</v>
      </c>
      <c r="BA91" s="22">
        <v>-1.5673800000000002E-2</v>
      </c>
      <c r="BB91" s="22">
        <v>81</v>
      </c>
      <c r="BC91" s="22">
        <v>0.30737300000000001</v>
      </c>
      <c r="BD91">
        <f t="shared" si="22"/>
        <v>15.673800000000002</v>
      </c>
      <c r="BE91">
        <f t="shared" si="23"/>
        <v>4.8263078436000004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9.8122199999999999</v>
      </c>
      <c r="I92" s="22">
        <v>-1.44531E-2</v>
      </c>
      <c r="J92" s="22">
        <v>82</v>
      </c>
      <c r="K92" s="22">
        <v>1.38672</v>
      </c>
      <c r="L92">
        <f t="shared" si="12"/>
        <v>14.453099999999999</v>
      </c>
      <c r="M92">
        <f t="shared" si="13"/>
        <v>20.046738761999997</v>
      </c>
      <c r="N92" s="9"/>
      <c r="O92" s="22">
        <v>0.31295800000000001</v>
      </c>
      <c r="P92" s="22">
        <v>59.233600000000003</v>
      </c>
      <c r="Q92" s="22">
        <v>-1.5698199999999999E-2</v>
      </c>
      <c r="R92" s="22">
        <v>82</v>
      </c>
      <c r="S92" s="22">
        <v>0.31243900000000002</v>
      </c>
      <c r="T92">
        <f t="shared" si="14"/>
        <v>15.698199999999998</v>
      </c>
      <c r="U92">
        <f t="shared" si="15"/>
        <v>4.9128772755999996</v>
      </c>
      <c r="X92" s="9"/>
      <c r="Y92" s="22">
        <v>1.3870199999999999</v>
      </c>
      <c r="Z92" s="22">
        <v>108.81100000000001</v>
      </c>
      <c r="AA92" s="22">
        <v>-1.4556899999999999E-2</v>
      </c>
      <c r="AB92" s="22">
        <v>82</v>
      </c>
      <c r="AC92" s="22">
        <v>1.38611</v>
      </c>
      <c r="AD92">
        <f t="shared" si="16"/>
        <v>14.556899999999999</v>
      </c>
      <c r="AE92">
        <f t="shared" si="17"/>
        <v>20.190711437999997</v>
      </c>
      <c r="AF92" s="9"/>
      <c r="AG92" s="22">
        <v>0.31295800000000001</v>
      </c>
      <c r="AH92" s="22">
        <v>140.47</v>
      </c>
      <c r="AI92" s="22">
        <v>-1.56799E-2</v>
      </c>
      <c r="AJ92" s="22">
        <v>82</v>
      </c>
      <c r="AK92" s="22">
        <v>0.31234699999999999</v>
      </c>
      <c r="AL92">
        <f t="shared" si="18"/>
        <v>15.6799</v>
      </c>
      <c r="AM92">
        <f t="shared" si="19"/>
        <v>4.9071501442000001</v>
      </c>
      <c r="AP92" s="9"/>
      <c r="AQ92" s="22">
        <v>1.3870199999999999</v>
      </c>
      <c r="AR92" s="22">
        <v>189.84899999999999</v>
      </c>
      <c r="AS92" s="22">
        <v>-1.4523299999999999E-2</v>
      </c>
      <c r="AT92" s="22">
        <v>82</v>
      </c>
      <c r="AU92" s="22">
        <v>1.3864099999999999</v>
      </c>
      <c r="AV92">
        <f t="shared" si="20"/>
        <v>14.523299999999999</v>
      </c>
      <c r="AW92">
        <f t="shared" si="21"/>
        <v>20.144107565999999</v>
      </c>
      <c r="AX92" s="9"/>
      <c r="AY92" s="22">
        <v>0.31295800000000001</v>
      </c>
      <c r="AZ92" s="22">
        <v>239.232</v>
      </c>
      <c r="BA92" s="22">
        <v>-1.5673800000000002E-2</v>
      </c>
      <c r="BB92" s="22">
        <v>82</v>
      </c>
      <c r="BC92" s="22">
        <v>0.31240800000000002</v>
      </c>
      <c r="BD92">
        <f t="shared" si="22"/>
        <v>15.673800000000002</v>
      </c>
      <c r="BE92">
        <f t="shared" si="23"/>
        <v>4.9052411004000005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9.8222900000000006</v>
      </c>
      <c r="I93" s="22">
        <v>-1.44867E-2</v>
      </c>
      <c r="J93" s="22">
        <v>83</v>
      </c>
      <c r="K93" s="22">
        <v>1.38123</v>
      </c>
      <c r="L93">
        <f t="shared" si="12"/>
        <v>14.486700000000001</v>
      </c>
      <c r="M93">
        <f t="shared" si="13"/>
        <v>20.020474533000002</v>
      </c>
      <c r="N93" s="9"/>
      <c r="O93" s="22">
        <v>0.31799300000000003</v>
      </c>
      <c r="P93" s="22">
        <v>59.243699999999997</v>
      </c>
      <c r="Q93" s="22">
        <v>-1.5698199999999999E-2</v>
      </c>
      <c r="R93" s="22">
        <v>83</v>
      </c>
      <c r="S93" s="22">
        <v>0.317413</v>
      </c>
      <c r="T93">
        <f t="shared" si="14"/>
        <v>15.698199999999998</v>
      </c>
      <c r="U93">
        <f t="shared" si="15"/>
        <v>4.9919177125999994</v>
      </c>
      <c r="X93" s="9"/>
      <c r="Y93" s="22">
        <v>1.3819900000000001</v>
      </c>
      <c r="Z93" s="22">
        <v>108.821</v>
      </c>
      <c r="AA93" s="22">
        <v>-1.45813E-2</v>
      </c>
      <c r="AB93" s="22">
        <v>83</v>
      </c>
      <c r="AC93" s="22">
        <v>1.38123</v>
      </c>
      <c r="AD93">
        <f t="shared" si="16"/>
        <v>14.581300000000001</v>
      </c>
      <c r="AE93">
        <f t="shared" si="17"/>
        <v>20.151210787</v>
      </c>
      <c r="AF93" s="9"/>
      <c r="AG93" s="22">
        <v>0.31799300000000003</v>
      </c>
      <c r="AH93" s="22">
        <v>140.47999999999999</v>
      </c>
      <c r="AI93" s="22">
        <v>-1.56799E-2</v>
      </c>
      <c r="AJ93" s="22">
        <v>83</v>
      </c>
      <c r="AK93" s="22">
        <v>0.31735200000000002</v>
      </c>
      <c r="AL93">
        <f t="shared" si="18"/>
        <v>15.6799</v>
      </c>
      <c r="AM93">
        <f t="shared" si="19"/>
        <v>4.9860984407000002</v>
      </c>
      <c r="AP93" s="9"/>
      <c r="AQ93" s="22">
        <v>1.3819900000000001</v>
      </c>
      <c r="AR93" s="22">
        <v>189.85900000000001</v>
      </c>
      <c r="AS93" s="22">
        <v>-1.45538E-2</v>
      </c>
      <c r="AT93" s="22">
        <v>83</v>
      </c>
      <c r="AU93" s="22">
        <v>1.3815299999999999</v>
      </c>
      <c r="AV93">
        <f t="shared" si="20"/>
        <v>14.553800000000001</v>
      </c>
      <c r="AW93">
        <f t="shared" si="21"/>
        <v>20.113206062000003</v>
      </c>
      <c r="AX93" s="9"/>
      <c r="AY93" s="22">
        <v>0.31799300000000003</v>
      </c>
      <c r="AZ93" s="22">
        <v>239.24199999999999</v>
      </c>
      <c r="BA93" s="22">
        <v>-1.5673800000000002E-2</v>
      </c>
      <c r="BB93" s="22">
        <v>83</v>
      </c>
      <c r="BC93" s="22">
        <v>0.317413</v>
      </c>
      <c r="BD93">
        <f t="shared" si="22"/>
        <v>15.673800000000002</v>
      </c>
      <c r="BE93">
        <f t="shared" si="23"/>
        <v>4.9841586834000013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9.8323599999999995</v>
      </c>
      <c r="I94" s="22">
        <v>-1.4508099999999999E-2</v>
      </c>
      <c r="J94" s="22">
        <v>84</v>
      </c>
      <c r="K94" s="22">
        <v>1.3763399999999999</v>
      </c>
      <c r="L94">
        <f t="shared" si="12"/>
        <v>14.508099999999999</v>
      </c>
      <c r="M94">
        <f t="shared" si="13"/>
        <v>19.976928294999997</v>
      </c>
      <c r="N94" s="9"/>
      <c r="O94" s="22">
        <v>0.32302900000000001</v>
      </c>
      <c r="P94" s="22">
        <v>59.253799999999998</v>
      </c>
      <c r="Q94" s="22">
        <v>-1.5695199999999999E-2</v>
      </c>
      <c r="R94" s="22">
        <v>84</v>
      </c>
      <c r="S94" s="22">
        <v>0.322357</v>
      </c>
      <c r="T94">
        <f t="shared" si="14"/>
        <v>15.6952</v>
      </c>
      <c r="U94">
        <f t="shared" si="15"/>
        <v>5.0700047607999998</v>
      </c>
      <c r="X94" s="9"/>
      <c r="Y94" s="22">
        <v>1.3769499999999999</v>
      </c>
      <c r="Z94" s="22">
        <v>108.831</v>
      </c>
      <c r="AA94" s="22">
        <v>-1.46027E-2</v>
      </c>
      <c r="AB94" s="22">
        <v>84</v>
      </c>
      <c r="AC94" s="22">
        <v>1.3760399999999999</v>
      </c>
      <c r="AD94">
        <f t="shared" si="16"/>
        <v>14.6027</v>
      </c>
      <c r="AE94">
        <f t="shared" si="17"/>
        <v>20.107187764999999</v>
      </c>
      <c r="AF94" s="9"/>
      <c r="AG94" s="22">
        <v>0.32302900000000001</v>
      </c>
      <c r="AH94" s="22">
        <v>140.49</v>
      </c>
      <c r="AI94" s="22">
        <v>-1.5676900000000001E-2</v>
      </c>
      <c r="AJ94" s="22">
        <v>84</v>
      </c>
      <c r="AK94" s="22">
        <v>0.32244899999999999</v>
      </c>
      <c r="AL94">
        <f t="shared" si="18"/>
        <v>15.6769</v>
      </c>
      <c r="AM94">
        <f t="shared" si="19"/>
        <v>5.0640933301000004</v>
      </c>
      <c r="AP94" s="9"/>
      <c r="AQ94" s="22">
        <v>1.3769499999999999</v>
      </c>
      <c r="AR94" s="22">
        <v>189.869</v>
      </c>
      <c r="AS94" s="22">
        <v>-1.4584400000000001E-2</v>
      </c>
      <c r="AT94" s="22">
        <v>84</v>
      </c>
      <c r="AU94" s="22">
        <v>1.3760399999999999</v>
      </c>
      <c r="AV94">
        <f t="shared" si="20"/>
        <v>14.5844</v>
      </c>
      <c r="AW94">
        <f t="shared" si="21"/>
        <v>20.081989579999998</v>
      </c>
      <c r="AX94" s="9"/>
      <c r="AY94" s="22">
        <v>0.32302900000000001</v>
      </c>
      <c r="AZ94" s="22">
        <v>239.25200000000001</v>
      </c>
      <c r="BA94" s="22">
        <v>-1.5676900000000001E-2</v>
      </c>
      <c r="BB94" s="22">
        <v>84</v>
      </c>
      <c r="BC94" s="22">
        <v>0.32241799999999998</v>
      </c>
      <c r="BD94">
        <f t="shared" si="22"/>
        <v>15.6769</v>
      </c>
      <c r="BE94">
        <f t="shared" si="23"/>
        <v>5.0640933301000004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9.8424300000000002</v>
      </c>
      <c r="I95" s="22">
        <v>-1.45294E-2</v>
      </c>
      <c r="J95" s="22">
        <v>85</v>
      </c>
      <c r="K95" s="22">
        <v>1.3714599999999999</v>
      </c>
      <c r="L95">
        <f t="shared" si="12"/>
        <v>14.529399999999999</v>
      </c>
      <c r="M95">
        <f t="shared" si="13"/>
        <v>19.933174447999999</v>
      </c>
      <c r="N95" s="9"/>
      <c r="O95" s="22">
        <v>0.32806400000000002</v>
      </c>
      <c r="P95" s="22">
        <v>59.2639</v>
      </c>
      <c r="Q95" s="22">
        <v>-1.56921E-2</v>
      </c>
      <c r="R95" s="22">
        <v>85</v>
      </c>
      <c r="S95" s="22">
        <v>0.327484</v>
      </c>
      <c r="T95">
        <f t="shared" si="14"/>
        <v>15.6921</v>
      </c>
      <c r="U95">
        <f t="shared" si="15"/>
        <v>5.1480130944000004</v>
      </c>
      <c r="X95" s="9"/>
      <c r="Y95" s="22">
        <v>1.37192</v>
      </c>
      <c r="Z95" s="22">
        <v>108.84099999999999</v>
      </c>
      <c r="AA95" s="22">
        <v>-1.4624E-2</v>
      </c>
      <c r="AB95" s="22">
        <v>85</v>
      </c>
      <c r="AC95" s="22">
        <v>1.3711500000000001</v>
      </c>
      <c r="AD95">
        <f t="shared" si="16"/>
        <v>14.624000000000001</v>
      </c>
      <c r="AE95">
        <f t="shared" si="17"/>
        <v>20.062958080000001</v>
      </c>
      <c r="AF95" s="9"/>
      <c r="AG95" s="22">
        <v>0.32806400000000002</v>
      </c>
      <c r="AH95" s="22">
        <v>140.5</v>
      </c>
      <c r="AI95" s="22">
        <v>-1.56799E-2</v>
      </c>
      <c r="AJ95" s="22">
        <v>85</v>
      </c>
      <c r="AK95" s="22">
        <v>0.32742300000000002</v>
      </c>
      <c r="AL95">
        <f t="shared" si="18"/>
        <v>15.6799</v>
      </c>
      <c r="AM95">
        <f t="shared" si="19"/>
        <v>5.1440107136000002</v>
      </c>
      <c r="AP95" s="9"/>
      <c r="AQ95" s="22">
        <v>1.37192</v>
      </c>
      <c r="AR95" s="22">
        <v>189.87899999999999</v>
      </c>
      <c r="AS95" s="22">
        <v>-1.46088E-2</v>
      </c>
      <c r="AT95" s="22">
        <v>85</v>
      </c>
      <c r="AU95" s="22">
        <v>1.3711500000000001</v>
      </c>
      <c r="AV95">
        <f t="shared" si="20"/>
        <v>14.6088</v>
      </c>
      <c r="AW95">
        <f t="shared" si="21"/>
        <v>20.042104896000001</v>
      </c>
      <c r="AX95" s="9"/>
      <c r="AY95" s="22">
        <v>0.32806400000000002</v>
      </c>
      <c r="AZ95" s="22">
        <v>239.262</v>
      </c>
      <c r="BA95" s="22">
        <v>-1.56799E-2</v>
      </c>
      <c r="BB95" s="22">
        <v>85</v>
      </c>
      <c r="BC95" s="22">
        <v>0.32742300000000002</v>
      </c>
      <c r="BD95">
        <f t="shared" si="22"/>
        <v>15.6799</v>
      </c>
      <c r="BE95">
        <f t="shared" si="23"/>
        <v>5.1440107136000002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9.8524999999999991</v>
      </c>
      <c r="I96" s="22">
        <v>-1.45538E-2</v>
      </c>
      <c r="J96" s="22">
        <v>86</v>
      </c>
      <c r="K96" s="22">
        <v>1.3659699999999999</v>
      </c>
      <c r="L96">
        <f t="shared" si="12"/>
        <v>14.553800000000001</v>
      </c>
      <c r="M96">
        <f t="shared" si="13"/>
        <v>19.893298144000003</v>
      </c>
      <c r="N96" s="9"/>
      <c r="O96" s="22">
        <v>0.33309899999999998</v>
      </c>
      <c r="P96" s="22">
        <v>59.273899999999998</v>
      </c>
      <c r="Q96" s="22">
        <v>-1.56921E-2</v>
      </c>
      <c r="R96" s="22">
        <v>86</v>
      </c>
      <c r="S96" s="22">
        <v>0.33245799999999998</v>
      </c>
      <c r="T96">
        <f t="shared" si="14"/>
        <v>15.6921</v>
      </c>
      <c r="U96">
        <f t="shared" si="15"/>
        <v>5.2270228179</v>
      </c>
      <c r="X96" s="9"/>
      <c r="Y96" s="22">
        <v>1.3668800000000001</v>
      </c>
      <c r="Z96" s="22">
        <v>108.851</v>
      </c>
      <c r="AA96" s="22">
        <v>-1.4648400000000001E-2</v>
      </c>
      <c r="AB96" s="22">
        <v>86</v>
      </c>
      <c r="AC96" s="22">
        <v>1.3662700000000001</v>
      </c>
      <c r="AD96">
        <f t="shared" si="16"/>
        <v>14.648400000000001</v>
      </c>
      <c r="AE96">
        <f t="shared" si="17"/>
        <v>20.022604992000002</v>
      </c>
      <c r="AF96" s="9"/>
      <c r="AG96" s="22">
        <v>0.33309899999999998</v>
      </c>
      <c r="AH96" s="22">
        <v>140.51</v>
      </c>
      <c r="AI96" s="22">
        <v>-1.5676900000000001E-2</v>
      </c>
      <c r="AJ96" s="22">
        <v>86</v>
      </c>
      <c r="AK96" s="22">
        <v>0.33255000000000001</v>
      </c>
      <c r="AL96">
        <f t="shared" si="18"/>
        <v>15.6769</v>
      </c>
      <c r="AM96">
        <f t="shared" si="19"/>
        <v>5.2219597130999995</v>
      </c>
      <c r="AP96" s="9"/>
      <c r="AQ96" s="22">
        <v>1.3668800000000001</v>
      </c>
      <c r="AR96" s="22">
        <v>189.88900000000001</v>
      </c>
      <c r="AS96" s="22">
        <v>-1.4624E-2</v>
      </c>
      <c r="AT96" s="22">
        <v>86</v>
      </c>
      <c r="AU96" s="22">
        <v>1.3659699999999999</v>
      </c>
      <c r="AV96">
        <f t="shared" si="20"/>
        <v>14.624000000000001</v>
      </c>
      <c r="AW96">
        <f t="shared" si="21"/>
        <v>19.989253120000001</v>
      </c>
      <c r="AX96" s="9"/>
      <c r="AY96" s="22">
        <v>0.33309899999999998</v>
      </c>
      <c r="AZ96" s="22">
        <v>239.27199999999999</v>
      </c>
      <c r="BA96" s="22">
        <v>-1.5676900000000001E-2</v>
      </c>
      <c r="BB96" s="22">
        <v>86</v>
      </c>
      <c r="BC96" s="22">
        <v>0.33248899999999998</v>
      </c>
      <c r="BD96">
        <f t="shared" si="22"/>
        <v>15.6769</v>
      </c>
      <c r="BE96">
        <f t="shared" si="23"/>
        <v>5.2219597130999995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9.8625699999999998</v>
      </c>
      <c r="I97" s="22">
        <v>-1.4578199999999999E-2</v>
      </c>
      <c r="J97" s="22">
        <v>87</v>
      </c>
      <c r="K97" s="22">
        <v>1.3613900000000001</v>
      </c>
      <c r="L97">
        <f t="shared" si="12"/>
        <v>14.578199999999999</v>
      </c>
      <c r="M97">
        <f t="shared" si="13"/>
        <v>19.85332167</v>
      </c>
      <c r="N97" s="9"/>
      <c r="O97" s="22">
        <v>0.33813500000000002</v>
      </c>
      <c r="P97" s="22">
        <v>59.283999999999999</v>
      </c>
      <c r="Q97" s="22">
        <v>-1.56921E-2</v>
      </c>
      <c r="R97" s="22">
        <v>87</v>
      </c>
      <c r="S97" s="22">
        <v>0.33755499999999999</v>
      </c>
      <c r="T97">
        <f t="shared" si="14"/>
        <v>15.6921</v>
      </c>
      <c r="U97">
        <f t="shared" si="15"/>
        <v>5.3060482335000003</v>
      </c>
      <c r="X97" s="9"/>
      <c r="Y97" s="22">
        <v>1.36185</v>
      </c>
      <c r="Z97" s="22">
        <v>108.861</v>
      </c>
      <c r="AA97" s="22">
        <v>-1.4682000000000001E-2</v>
      </c>
      <c r="AB97" s="22">
        <v>87</v>
      </c>
      <c r="AC97" s="22">
        <v>1.3613900000000001</v>
      </c>
      <c r="AD97">
        <f t="shared" si="16"/>
        <v>14.682</v>
      </c>
      <c r="AE97">
        <f t="shared" si="17"/>
        <v>19.994681700000001</v>
      </c>
      <c r="AF97" s="9"/>
      <c r="AG97" s="22">
        <v>0.33813500000000002</v>
      </c>
      <c r="AH97" s="22">
        <v>140.52099999999999</v>
      </c>
      <c r="AI97" s="22">
        <v>-1.5676900000000001E-2</v>
      </c>
      <c r="AJ97" s="22">
        <v>87</v>
      </c>
      <c r="AK97" s="22">
        <v>0.33758500000000002</v>
      </c>
      <c r="AL97">
        <f t="shared" si="18"/>
        <v>15.6769</v>
      </c>
      <c r="AM97">
        <f t="shared" si="19"/>
        <v>5.3009085814999999</v>
      </c>
      <c r="AP97" s="9"/>
      <c r="AQ97" s="22">
        <v>1.36185</v>
      </c>
      <c r="AR97" s="22">
        <v>189.899</v>
      </c>
      <c r="AS97" s="22">
        <v>-1.4639299999999999E-2</v>
      </c>
      <c r="AT97" s="22">
        <v>87</v>
      </c>
      <c r="AU97" s="22">
        <v>1.3610800000000001</v>
      </c>
      <c r="AV97">
        <f t="shared" si="20"/>
        <v>14.639299999999999</v>
      </c>
      <c r="AW97">
        <f t="shared" si="21"/>
        <v>19.936530704999999</v>
      </c>
      <c r="AX97" s="9"/>
      <c r="AY97" s="22">
        <v>0.33813500000000002</v>
      </c>
      <c r="AZ97" s="22">
        <v>239.28200000000001</v>
      </c>
      <c r="BA97" s="22">
        <v>-1.5676900000000001E-2</v>
      </c>
      <c r="BB97" s="22">
        <v>87</v>
      </c>
      <c r="BC97" s="22">
        <v>0.33749400000000002</v>
      </c>
      <c r="BD97">
        <f t="shared" si="22"/>
        <v>15.6769</v>
      </c>
      <c r="BE97">
        <f t="shared" si="23"/>
        <v>5.3009085814999999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9.8726400000000005</v>
      </c>
      <c r="I98" s="22">
        <v>-1.4599600000000001E-2</v>
      </c>
      <c r="J98" s="22">
        <v>88</v>
      </c>
      <c r="K98" s="22">
        <v>1.3562000000000001</v>
      </c>
      <c r="L98">
        <f t="shared" si="12"/>
        <v>14.599600000000001</v>
      </c>
      <c r="M98">
        <f t="shared" si="13"/>
        <v>19.808883276000003</v>
      </c>
      <c r="N98" s="9"/>
      <c r="O98" s="22">
        <v>0.34316999999999998</v>
      </c>
      <c r="P98" s="22">
        <v>59.2941</v>
      </c>
      <c r="Q98" s="22">
        <v>-1.5689100000000001E-2</v>
      </c>
      <c r="R98" s="22">
        <v>88</v>
      </c>
      <c r="S98" s="22">
        <v>0.34262100000000001</v>
      </c>
      <c r="T98">
        <f t="shared" si="14"/>
        <v>15.689100000000002</v>
      </c>
      <c r="U98">
        <f t="shared" si="15"/>
        <v>5.3840284470000004</v>
      </c>
      <c r="X98" s="9"/>
      <c r="Y98" s="22">
        <v>1.3568100000000001</v>
      </c>
      <c r="Z98" s="22">
        <v>108.871</v>
      </c>
      <c r="AA98" s="22">
        <v>-1.47186E-2</v>
      </c>
      <c r="AB98" s="22">
        <v>88</v>
      </c>
      <c r="AC98" s="22">
        <v>1.3559000000000001</v>
      </c>
      <c r="AD98">
        <f t="shared" si="16"/>
        <v>14.7186</v>
      </c>
      <c r="AE98">
        <f t="shared" si="17"/>
        <v>19.970343666000002</v>
      </c>
      <c r="AF98" s="9"/>
      <c r="AG98" s="22">
        <v>0.34316999999999998</v>
      </c>
      <c r="AH98" s="22">
        <v>140.53100000000001</v>
      </c>
      <c r="AI98" s="22">
        <v>-1.5673800000000002E-2</v>
      </c>
      <c r="AJ98" s="22">
        <v>88</v>
      </c>
      <c r="AK98" s="22">
        <v>0.34255999999999998</v>
      </c>
      <c r="AL98">
        <f t="shared" si="18"/>
        <v>15.673800000000002</v>
      </c>
      <c r="AM98">
        <f t="shared" si="19"/>
        <v>5.3787779460000005</v>
      </c>
      <c r="AP98" s="9"/>
      <c r="AQ98" s="22">
        <v>1.3568100000000001</v>
      </c>
      <c r="AR98" s="22">
        <v>189.90899999999999</v>
      </c>
      <c r="AS98" s="22">
        <v>-1.46515E-2</v>
      </c>
      <c r="AT98" s="22">
        <v>88</v>
      </c>
      <c r="AU98" s="22">
        <v>1.3565100000000001</v>
      </c>
      <c r="AV98">
        <f t="shared" si="20"/>
        <v>14.6515</v>
      </c>
      <c r="AW98">
        <f t="shared" si="21"/>
        <v>19.879301715</v>
      </c>
      <c r="AX98" s="9"/>
      <c r="AY98" s="22">
        <v>0.34316999999999998</v>
      </c>
      <c r="AZ98" s="22">
        <v>239.292</v>
      </c>
      <c r="BA98" s="22">
        <v>-1.5673800000000002E-2</v>
      </c>
      <c r="BB98" s="22">
        <v>88</v>
      </c>
      <c r="BC98" s="22">
        <v>0.34259000000000001</v>
      </c>
      <c r="BD98">
        <f t="shared" si="22"/>
        <v>15.673800000000002</v>
      </c>
      <c r="BE98">
        <f t="shared" si="23"/>
        <v>5.3787779460000005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9.8827200000000008</v>
      </c>
      <c r="I99" s="22">
        <v>-1.4624E-2</v>
      </c>
      <c r="J99" s="22">
        <v>89</v>
      </c>
      <c r="K99" s="22">
        <v>1.3504</v>
      </c>
      <c r="L99">
        <f t="shared" si="12"/>
        <v>14.624000000000001</v>
      </c>
      <c r="M99">
        <f t="shared" si="13"/>
        <v>19.768430720000001</v>
      </c>
      <c r="N99" s="9"/>
      <c r="O99" s="22">
        <v>0.34820600000000002</v>
      </c>
      <c r="P99" s="22">
        <v>59.304099999999998</v>
      </c>
      <c r="Q99" s="22">
        <v>-1.5689100000000001E-2</v>
      </c>
      <c r="R99" s="22">
        <v>89</v>
      </c>
      <c r="S99" s="22">
        <v>0.34762599999999999</v>
      </c>
      <c r="T99">
        <f t="shared" si="14"/>
        <v>15.689100000000002</v>
      </c>
      <c r="U99">
        <f t="shared" si="15"/>
        <v>5.4630387546000012</v>
      </c>
      <c r="X99" s="9"/>
      <c r="Y99" s="22">
        <v>1.35178</v>
      </c>
      <c r="Z99" s="22">
        <v>108.88200000000001</v>
      </c>
      <c r="AA99" s="22">
        <v>-1.47461E-2</v>
      </c>
      <c r="AB99" s="22">
        <v>89</v>
      </c>
      <c r="AC99" s="22">
        <v>1.3513200000000001</v>
      </c>
      <c r="AD99">
        <f t="shared" si="16"/>
        <v>14.7461</v>
      </c>
      <c r="AE99">
        <f t="shared" si="17"/>
        <v>19.933483058</v>
      </c>
      <c r="AF99" s="9"/>
      <c r="AG99" s="22">
        <v>0.34820600000000002</v>
      </c>
      <c r="AH99" s="22">
        <v>140.541</v>
      </c>
      <c r="AI99" s="22">
        <v>-1.5670799999999999E-2</v>
      </c>
      <c r="AJ99" s="22">
        <v>89</v>
      </c>
      <c r="AK99" s="22">
        <v>0.34759499999999999</v>
      </c>
      <c r="AL99">
        <f t="shared" si="18"/>
        <v>15.670799999999998</v>
      </c>
      <c r="AM99">
        <f t="shared" si="19"/>
        <v>5.4566665847999998</v>
      </c>
      <c r="AP99" s="9"/>
      <c r="AQ99" s="22">
        <v>1.35178</v>
      </c>
      <c r="AR99" s="22">
        <v>189.91900000000001</v>
      </c>
      <c r="AS99" s="22">
        <v>-1.46851E-2</v>
      </c>
      <c r="AT99" s="22">
        <v>89</v>
      </c>
      <c r="AU99" s="22">
        <v>1.3504</v>
      </c>
      <c r="AV99">
        <f t="shared" si="20"/>
        <v>14.6851</v>
      </c>
      <c r="AW99">
        <f t="shared" si="21"/>
        <v>19.851024477999999</v>
      </c>
      <c r="AX99" s="9"/>
      <c r="AY99" s="22">
        <v>0.34820600000000002</v>
      </c>
      <c r="AZ99" s="22">
        <v>239.303</v>
      </c>
      <c r="BA99" s="22">
        <v>-1.5670799999999999E-2</v>
      </c>
      <c r="BB99" s="22">
        <v>89</v>
      </c>
      <c r="BC99" s="22">
        <v>0.34762599999999999</v>
      </c>
      <c r="BD99">
        <f t="shared" si="22"/>
        <v>15.670799999999998</v>
      </c>
      <c r="BE99">
        <f t="shared" si="23"/>
        <v>5.4566665847999998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9.8927899999999998</v>
      </c>
      <c r="I100" s="22">
        <v>-1.46515E-2</v>
      </c>
      <c r="J100" s="22">
        <v>90</v>
      </c>
      <c r="K100" s="22">
        <v>1.3458300000000001</v>
      </c>
      <c r="L100">
        <f t="shared" si="12"/>
        <v>14.6515</v>
      </c>
      <c r="M100">
        <f t="shared" si="13"/>
        <v>19.731761110000001</v>
      </c>
      <c r="N100" s="9"/>
      <c r="O100" s="22">
        <v>0.35324100000000003</v>
      </c>
      <c r="P100" s="22">
        <v>59.3142</v>
      </c>
      <c r="Q100" s="22">
        <v>-1.5685999999999999E-2</v>
      </c>
      <c r="R100" s="22">
        <v>90</v>
      </c>
      <c r="S100" s="22">
        <v>0.35260000000000002</v>
      </c>
      <c r="T100">
        <f t="shared" si="14"/>
        <v>15.685999999999998</v>
      </c>
      <c r="U100">
        <f t="shared" si="15"/>
        <v>5.540938326</v>
      </c>
      <c r="X100" s="9"/>
      <c r="Y100" s="22">
        <v>1.34674</v>
      </c>
      <c r="Z100" s="22">
        <v>108.892</v>
      </c>
      <c r="AA100" s="22">
        <v>-1.47644E-2</v>
      </c>
      <c r="AB100" s="22">
        <v>90</v>
      </c>
      <c r="AC100" s="22">
        <v>1.3464400000000001</v>
      </c>
      <c r="AD100">
        <f t="shared" si="16"/>
        <v>14.7644</v>
      </c>
      <c r="AE100">
        <f t="shared" si="17"/>
        <v>19.883808055999999</v>
      </c>
      <c r="AF100" s="9"/>
      <c r="AG100" s="22">
        <v>0.35324100000000003</v>
      </c>
      <c r="AH100" s="22">
        <v>140.55099999999999</v>
      </c>
      <c r="AI100" s="22">
        <v>-1.56677E-2</v>
      </c>
      <c r="AJ100" s="22">
        <v>90</v>
      </c>
      <c r="AK100" s="22">
        <v>0.35272199999999998</v>
      </c>
      <c r="AL100">
        <f t="shared" si="18"/>
        <v>15.6677</v>
      </c>
      <c r="AM100">
        <f t="shared" si="19"/>
        <v>5.5344740157000007</v>
      </c>
      <c r="AP100" s="9"/>
      <c r="AQ100" s="22">
        <v>1.34674</v>
      </c>
      <c r="AR100" s="22">
        <v>189.929</v>
      </c>
      <c r="AS100" s="22">
        <v>-1.47186E-2</v>
      </c>
      <c r="AT100" s="22">
        <v>90</v>
      </c>
      <c r="AU100" s="22">
        <v>1.34552</v>
      </c>
      <c r="AV100">
        <f t="shared" si="20"/>
        <v>14.7186</v>
      </c>
      <c r="AW100">
        <f t="shared" si="21"/>
        <v>19.822127364</v>
      </c>
      <c r="AX100" s="9"/>
      <c r="AY100" s="22">
        <v>0.35324100000000003</v>
      </c>
      <c r="AZ100" s="22">
        <v>239.31299999999999</v>
      </c>
      <c r="BA100" s="22">
        <v>-1.5670799999999999E-2</v>
      </c>
      <c r="BB100" s="22">
        <v>90</v>
      </c>
      <c r="BC100" s="22">
        <v>0.35263100000000003</v>
      </c>
      <c r="BD100">
        <f t="shared" si="22"/>
        <v>15.670799999999998</v>
      </c>
      <c r="BE100">
        <f t="shared" si="23"/>
        <v>5.5355690627999996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9.9028600000000004</v>
      </c>
      <c r="I101" s="22">
        <v>-1.4678999999999999E-2</v>
      </c>
      <c r="J101" s="22">
        <v>91</v>
      </c>
      <c r="K101" s="22">
        <v>1.3412500000000001</v>
      </c>
      <c r="L101">
        <f t="shared" si="12"/>
        <v>14.678999999999998</v>
      </c>
      <c r="M101">
        <f t="shared" si="13"/>
        <v>19.694961089999996</v>
      </c>
      <c r="N101" s="9"/>
      <c r="O101" s="22">
        <v>0.35827599999999998</v>
      </c>
      <c r="P101" s="22">
        <v>59.324300000000001</v>
      </c>
      <c r="Q101" s="22">
        <v>-1.5689100000000001E-2</v>
      </c>
      <c r="R101" s="22">
        <v>91</v>
      </c>
      <c r="S101" s="22">
        <v>0.35766599999999998</v>
      </c>
      <c r="T101">
        <f t="shared" si="14"/>
        <v>15.689100000000002</v>
      </c>
      <c r="U101">
        <f t="shared" si="15"/>
        <v>5.6210279916000001</v>
      </c>
      <c r="X101" s="9"/>
      <c r="Y101" s="22">
        <v>1.34171</v>
      </c>
      <c r="Z101" s="22">
        <v>108.902</v>
      </c>
      <c r="AA101" s="22">
        <v>-1.47888E-2</v>
      </c>
      <c r="AB101" s="22">
        <v>91</v>
      </c>
      <c r="AC101" s="22">
        <v>1.34094</v>
      </c>
      <c r="AD101">
        <f t="shared" si="16"/>
        <v>14.7888</v>
      </c>
      <c r="AE101">
        <f t="shared" si="17"/>
        <v>19.842280847999998</v>
      </c>
      <c r="AF101" s="9"/>
      <c r="AG101" s="22">
        <v>0.35827599999999998</v>
      </c>
      <c r="AH101" s="22">
        <v>140.56100000000001</v>
      </c>
      <c r="AI101" s="22">
        <v>-1.56677E-2</v>
      </c>
      <c r="AJ101" s="22">
        <v>91</v>
      </c>
      <c r="AK101" s="22">
        <v>0.35763499999999998</v>
      </c>
      <c r="AL101">
        <f t="shared" si="18"/>
        <v>15.6677</v>
      </c>
      <c r="AM101">
        <f t="shared" si="19"/>
        <v>5.6133608851999997</v>
      </c>
      <c r="AP101" s="9"/>
      <c r="AQ101" s="22">
        <v>1.34171</v>
      </c>
      <c r="AR101" s="22">
        <v>189.93899999999999</v>
      </c>
      <c r="AS101" s="22">
        <v>-1.474E-2</v>
      </c>
      <c r="AT101" s="22">
        <v>91</v>
      </c>
      <c r="AU101" s="22">
        <v>1.3406400000000001</v>
      </c>
      <c r="AV101">
        <f t="shared" si="20"/>
        <v>14.74</v>
      </c>
      <c r="AW101">
        <f t="shared" si="21"/>
        <v>19.776805400000001</v>
      </c>
      <c r="AX101" s="9"/>
      <c r="AY101" s="22">
        <v>0.35827599999999998</v>
      </c>
      <c r="AZ101" s="22">
        <v>239.32300000000001</v>
      </c>
      <c r="BA101" s="22">
        <v>-1.56647E-2</v>
      </c>
      <c r="BB101" s="22">
        <v>91</v>
      </c>
      <c r="BC101" s="22">
        <v>0.35778799999999999</v>
      </c>
      <c r="BD101">
        <f t="shared" si="22"/>
        <v>15.6647</v>
      </c>
      <c r="BE101">
        <f t="shared" si="23"/>
        <v>5.6122860571999995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9.9129299999999994</v>
      </c>
      <c r="I102" s="22">
        <v>-1.47064E-2</v>
      </c>
      <c r="J102" s="22">
        <v>92</v>
      </c>
      <c r="K102" s="22">
        <v>1.33606</v>
      </c>
      <c r="L102">
        <f t="shared" si="12"/>
        <v>14.7064</v>
      </c>
      <c r="M102">
        <f t="shared" si="13"/>
        <v>19.657603688000002</v>
      </c>
      <c r="N102" s="9"/>
      <c r="O102" s="22">
        <v>0.36331200000000002</v>
      </c>
      <c r="P102" s="22">
        <v>59.334400000000002</v>
      </c>
      <c r="Q102" s="22">
        <v>-1.5685999999999999E-2</v>
      </c>
      <c r="R102" s="22">
        <v>92</v>
      </c>
      <c r="S102" s="22">
        <v>0.362701</v>
      </c>
      <c r="T102">
        <f t="shared" si="14"/>
        <v>15.685999999999998</v>
      </c>
      <c r="U102">
        <f t="shared" si="15"/>
        <v>5.698912032</v>
      </c>
      <c r="X102" s="9"/>
      <c r="Y102" s="22">
        <v>1.33667</v>
      </c>
      <c r="Z102" s="22">
        <v>108.91200000000001</v>
      </c>
      <c r="AA102" s="22">
        <v>-1.4798E-2</v>
      </c>
      <c r="AB102" s="22">
        <v>92</v>
      </c>
      <c r="AC102" s="22">
        <v>1.33636</v>
      </c>
      <c r="AD102">
        <f t="shared" si="16"/>
        <v>14.798</v>
      </c>
      <c r="AE102">
        <f t="shared" si="17"/>
        <v>19.780042659999999</v>
      </c>
      <c r="AF102" s="9"/>
      <c r="AG102" s="22">
        <v>0.36331200000000002</v>
      </c>
      <c r="AH102" s="22">
        <v>140.571</v>
      </c>
      <c r="AI102" s="22">
        <v>-1.56677E-2</v>
      </c>
      <c r="AJ102" s="22">
        <v>92</v>
      </c>
      <c r="AK102" s="22">
        <v>0.362732</v>
      </c>
      <c r="AL102">
        <f t="shared" si="18"/>
        <v>15.6677</v>
      </c>
      <c r="AM102">
        <f t="shared" si="19"/>
        <v>5.6922634223999999</v>
      </c>
      <c r="AP102" s="9"/>
      <c r="AQ102" s="22">
        <v>1.33667</v>
      </c>
      <c r="AR102" s="22">
        <v>189.94900000000001</v>
      </c>
      <c r="AS102" s="22">
        <v>-1.47552E-2</v>
      </c>
      <c r="AT102" s="22">
        <v>92</v>
      </c>
      <c r="AU102" s="22">
        <v>1.33575</v>
      </c>
      <c r="AV102">
        <f t="shared" si="20"/>
        <v>14.7552</v>
      </c>
      <c r="AW102">
        <f t="shared" si="21"/>
        <v>19.722833184000002</v>
      </c>
      <c r="AX102" s="9"/>
      <c r="AY102" s="22">
        <v>0.36331200000000002</v>
      </c>
      <c r="AZ102" s="22">
        <v>239.333</v>
      </c>
      <c r="BA102" s="22">
        <v>-1.56647E-2</v>
      </c>
      <c r="BB102" s="22">
        <v>92</v>
      </c>
      <c r="BC102" s="22">
        <v>0.362701</v>
      </c>
      <c r="BD102">
        <f t="shared" si="22"/>
        <v>15.6647</v>
      </c>
      <c r="BE102">
        <f t="shared" si="23"/>
        <v>5.6911734864000003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9.923</v>
      </c>
      <c r="I103" s="22">
        <v>-1.4733899999999999E-2</v>
      </c>
      <c r="J103" s="22">
        <v>93</v>
      </c>
      <c r="K103" s="22">
        <v>1.33118</v>
      </c>
      <c r="L103">
        <f t="shared" si="12"/>
        <v>14.7339</v>
      </c>
      <c r="M103">
        <f t="shared" si="13"/>
        <v>19.620103257</v>
      </c>
      <c r="N103" s="9"/>
      <c r="O103" s="22">
        <v>0.36834699999999998</v>
      </c>
      <c r="P103" s="22">
        <v>59.3444</v>
      </c>
      <c r="Q103" s="22">
        <v>-1.5685999999999999E-2</v>
      </c>
      <c r="R103" s="22">
        <v>93</v>
      </c>
      <c r="S103" s="22">
        <v>0.36776700000000001</v>
      </c>
      <c r="T103">
        <f t="shared" si="14"/>
        <v>15.685999999999998</v>
      </c>
      <c r="U103">
        <f t="shared" si="15"/>
        <v>5.7778910419999994</v>
      </c>
      <c r="X103" s="9"/>
      <c r="Y103" s="22">
        <v>1.3316300000000001</v>
      </c>
      <c r="Z103" s="22">
        <v>108.922</v>
      </c>
      <c r="AA103" s="22">
        <v>-1.48071E-2</v>
      </c>
      <c r="AB103" s="22">
        <v>93</v>
      </c>
      <c r="AC103" s="22">
        <v>1.33118</v>
      </c>
      <c r="AD103">
        <f t="shared" si="16"/>
        <v>14.8071</v>
      </c>
      <c r="AE103">
        <f t="shared" si="17"/>
        <v>19.717578573000001</v>
      </c>
      <c r="AF103" s="9"/>
      <c r="AG103" s="22">
        <v>0.36834699999999998</v>
      </c>
      <c r="AH103" s="22">
        <v>140.58099999999999</v>
      </c>
      <c r="AI103" s="22">
        <v>-1.56677E-2</v>
      </c>
      <c r="AJ103" s="22">
        <v>93</v>
      </c>
      <c r="AK103" s="22">
        <v>0.36773699999999998</v>
      </c>
      <c r="AL103">
        <f t="shared" si="18"/>
        <v>15.6677</v>
      </c>
      <c r="AM103">
        <f t="shared" si="19"/>
        <v>5.7711502918999997</v>
      </c>
      <c r="AP103" s="9"/>
      <c r="AQ103" s="22">
        <v>1.3316300000000001</v>
      </c>
      <c r="AR103" s="22">
        <v>189.959</v>
      </c>
      <c r="AS103" s="22">
        <v>-1.4761399999999999E-2</v>
      </c>
      <c r="AT103" s="22">
        <v>93</v>
      </c>
      <c r="AU103" s="22">
        <v>1.33118</v>
      </c>
      <c r="AV103">
        <f t="shared" si="20"/>
        <v>14.761399999999998</v>
      </c>
      <c r="AW103">
        <f t="shared" si="21"/>
        <v>19.656723081999999</v>
      </c>
      <c r="AX103" s="9"/>
      <c r="AY103" s="22">
        <v>0.36834699999999998</v>
      </c>
      <c r="AZ103" s="22">
        <v>239.34299999999999</v>
      </c>
      <c r="BA103" s="22">
        <v>-1.5661600000000001E-2</v>
      </c>
      <c r="BB103" s="22">
        <v>93</v>
      </c>
      <c r="BC103" s="22">
        <v>0.36776700000000001</v>
      </c>
      <c r="BD103">
        <f t="shared" si="22"/>
        <v>15.661600000000002</v>
      </c>
      <c r="BE103">
        <f t="shared" si="23"/>
        <v>5.7689033752000007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9.9330700000000007</v>
      </c>
      <c r="I104" s="22">
        <v>-1.4761399999999999E-2</v>
      </c>
      <c r="J104" s="22">
        <v>94</v>
      </c>
      <c r="K104" s="22">
        <v>1.32599</v>
      </c>
      <c r="L104">
        <f t="shared" si="12"/>
        <v>14.761399999999998</v>
      </c>
      <c r="M104">
        <f t="shared" si="13"/>
        <v>19.582473239999999</v>
      </c>
      <c r="N104" s="9"/>
      <c r="O104" s="22">
        <v>0.37338300000000002</v>
      </c>
      <c r="P104" s="22">
        <v>59.354500000000002</v>
      </c>
      <c r="Q104" s="22">
        <v>-1.5682999999999999E-2</v>
      </c>
      <c r="R104" s="22">
        <v>94</v>
      </c>
      <c r="S104" s="22">
        <v>0.37271100000000001</v>
      </c>
      <c r="T104">
        <f t="shared" si="14"/>
        <v>15.683</v>
      </c>
      <c r="U104">
        <f t="shared" si="15"/>
        <v>5.8557655890000007</v>
      </c>
      <c r="X104" s="9"/>
      <c r="Y104" s="22">
        <v>1.3266</v>
      </c>
      <c r="Z104" s="22">
        <v>108.932</v>
      </c>
      <c r="AA104" s="22">
        <v>-1.4819300000000001E-2</v>
      </c>
      <c r="AB104" s="22">
        <v>94</v>
      </c>
      <c r="AC104" s="22">
        <v>1.32599</v>
      </c>
      <c r="AD104">
        <f t="shared" si="16"/>
        <v>14.8193</v>
      </c>
      <c r="AE104">
        <f t="shared" si="17"/>
        <v>19.659283380000002</v>
      </c>
      <c r="AF104" s="9"/>
      <c r="AG104" s="22">
        <v>0.37338300000000002</v>
      </c>
      <c r="AH104" s="22">
        <v>140.59100000000001</v>
      </c>
      <c r="AI104" s="22">
        <v>-1.56647E-2</v>
      </c>
      <c r="AJ104" s="22">
        <v>94</v>
      </c>
      <c r="AK104" s="22">
        <v>0.37283300000000003</v>
      </c>
      <c r="AL104">
        <f t="shared" si="18"/>
        <v>15.6647</v>
      </c>
      <c r="AM104">
        <f t="shared" si="19"/>
        <v>5.8489326800999999</v>
      </c>
      <c r="AP104" s="9"/>
      <c r="AQ104" s="22">
        <v>1.3266</v>
      </c>
      <c r="AR104" s="22">
        <v>189.96899999999999</v>
      </c>
      <c r="AS104" s="22">
        <v>-1.4770500000000001E-2</v>
      </c>
      <c r="AT104" s="22">
        <v>94</v>
      </c>
      <c r="AU104" s="22">
        <v>1.32599</v>
      </c>
      <c r="AV104">
        <f t="shared" si="20"/>
        <v>14.7705</v>
      </c>
      <c r="AW104">
        <f t="shared" si="21"/>
        <v>19.5945453</v>
      </c>
      <c r="AX104" s="9"/>
      <c r="AY104" s="22">
        <v>0.37338300000000002</v>
      </c>
      <c r="AZ104" s="22">
        <v>239.35300000000001</v>
      </c>
      <c r="BA104" s="22">
        <v>-1.5661600000000001E-2</v>
      </c>
      <c r="BB104" s="22">
        <v>94</v>
      </c>
      <c r="BC104" s="22">
        <v>0.37277199999999999</v>
      </c>
      <c r="BD104">
        <f t="shared" si="22"/>
        <v>15.661600000000002</v>
      </c>
      <c r="BE104">
        <f t="shared" si="23"/>
        <v>5.8477751928000012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9.9431399999999996</v>
      </c>
      <c r="I105" s="22">
        <v>-1.4767499999999999E-2</v>
      </c>
      <c r="J105" s="22">
        <v>95</v>
      </c>
      <c r="K105" s="22">
        <v>1.32111</v>
      </c>
      <c r="L105">
        <f t="shared" si="12"/>
        <v>14.7675</v>
      </c>
      <c r="M105">
        <f t="shared" si="13"/>
        <v>19.5161373</v>
      </c>
      <c r="N105" s="9"/>
      <c r="O105" s="22">
        <v>0.37841799999999998</v>
      </c>
      <c r="P105" s="22">
        <v>59.364600000000003</v>
      </c>
      <c r="Q105" s="22">
        <v>-1.56799E-2</v>
      </c>
      <c r="R105" s="22">
        <v>95</v>
      </c>
      <c r="S105" s="22">
        <v>0.37783800000000001</v>
      </c>
      <c r="T105">
        <f t="shared" si="14"/>
        <v>15.6799</v>
      </c>
      <c r="U105">
        <f t="shared" si="15"/>
        <v>5.9335563981999995</v>
      </c>
      <c r="X105" s="9"/>
      <c r="Y105" s="22">
        <v>1.3215600000000001</v>
      </c>
      <c r="Z105" s="22">
        <v>108.94199999999999</v>
      </c>
      <c r="AA105" s="22">
        <v>-1.48285E-2</v>
      </c>
      <c r="AB105" s="22">
        <v>95</v>
      </c>
      <c r="AC105" s="22">
        <v>1.3208</v>
      </c>
      <c r="AD105">
        <f t="shared" si="16"/>
        <v>14.8285</v>
      </c>
      <c r="AE105">
        <f t="shared" si="17"/>
        <v>19.596752460000001</v>
      </c>
      <c r="AF105" s="9"/>
      <c r="AG105" s="22">
        <v>0.37841799999999998</v>
      </c>
      <c r="AH105" s="22">
        <v>140.601</v>
      </c>
      <c r="AI105" s="22">
        <v>-1.5658600000000002E-2</v>
      </c>
      <c r="AJ105" s="22">
        <v>95</v>
      </c>
      <c r="AK105" s="22">
        <v>0.37786900000000001</v>
      </c>
      <c r="AL105">
        <f t="shared" si="18"/>
        <v>15.658600000000002</v>
      </c>
      <c r="AM105">
        <f t="shared" si="19"/>
        <v>5.9254960948000006</v>
      </c>
      <c r="AP105" s="9"/>
      <c r="AQ105" s="22">
        <v>1.3215600000000001</v>
      </c>
      <c r="AR105" s="22">
        <v>189.97900000000001</v>
      </c>
      <c r="AS105" s="22">
        <v>-1.47858E-2</v>
      </c>
      <c r="AT105" s="22">
        <v>95</v>
      </c>
      <c r="AU105" s="22">
        <v>1.32019</v>
      </c>
      <c r="AV105">
        <f t="shared" si="20"/>
        <v>14.7858</v>
      </c>
      <c r="AW105">
        <f t="shared" si="21"/>
        <v>19.540321848000001</v>
      </c>
      <c r="AX105" s="9"/>
      <c r="AY105" s="22">
        <v>0.37841799999999998</v>
      </c>
      <c r="AZ105" s="22">
        <v>239.363</v>
      </c>
      <c r="BA105" s="22">
        <v>-1.5661600000000001E-2</v>
      </c>
      <c r="BB105" s="22">
        <v>95</v>
      </c>
      <c r="BC105" s="22">
        <v>0.37783800000000001</v>
      </c>
      <c r="BD105">
        <f t="shared" si="22"/>
        <v>15.661600000000002</v>
      </c>
      <c r="BE105">
        <f t="shared" si="23"/>
        <v>5.9266313488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9.9532100000000003</v>
      </c>
      <c r="I106" s="22">
        <v>-1.47736E-2</v>
      </c>
      <c r="J106" s="22">
        <v>96</v>
      </c>
      <c r="K106" s="22">
        <v>1.31531</v>
      </c>
      <c r="L106">
        <f t="shared" si="12"/>
        <v>14.7736</v>
      </c>
      <c r="M106">
        <f t="shared" si="13"/>
        <v>19.449887608000001</v>
      </c>
      <c r="N106" s="9"/>
      <c r="O106" s="22">
        <v>0.38345299999999999</v>
      </c>
      <c r="P106" s="22">
        <v>59.374600000000001</v>
      </c>
      <c r="Q106" s="22">
        <v>-1.5676900000000001E-2</v>
      </c>
      <c r="R106" s="22">
        <v>96</v>
      </c>
      <c r="S106" s="22">
        <v>0.38281300000000001</v>
      </c>
      <c r="T106">
        <f t="shared" si="14"/>
        <v>15.6769</v>
      </c>
      <c r="U106">
        <f t="shared" si="15"/>
        <v>6.0113543357000001</v>
      </c>
      <c r="X106" s="9"/>
      <c r="Y106" s="22">
        <v>1.31653</v>
      </c>
      <c r="Z106" s="22">
        <v>108.952</v>
      </c>
      <c r="AA106" s="22">
        <v>-1.4837599999999999E-2</v>
      </c>
      <c r="AB106" s="22">
        <v>96</v>
      </c>
      <c r="AC106" s="22">
        <v>1.3156099999999999</v>
      </c>
      <c r="AD106">
        <f t="shared" si="16"/>
        <v>14.8376</v>
      </c>
      <c r="AE106">
        <f t="shared" si="17"/>
        <v>19.534145528</v>
      </c>
      <c r="AF106" s="9"/>
      <c r="AG106" s="22">
        <v>0.38345299999999999</v>
      </c>
      <c r="AH106" s="22">
        <v>140.61099999999999</v>
      </c>
      <c r="AI106" s="22">
        <v>-1.5658600000000002E-2</v>
      </c>
      <c r="AJ106" s="22">
        <v>96</v>
      </c>
      <c r="AK106" s="22">
        <v>0.38284299999999999</v>
      </c>
      <c r="AL106">
        <f t="shared" si="18"/>
        <v>15.658600000000002</v>
      </c>
      <c r="AM106">
        <f t="shared" si="19"/>
        <v>6.0043371458000001</v>
      </c>
      <c r="AP106" s="9"/>
      <c r="AQ106" s="22">
        <v>1.31653</v>
      </c>
      <c r="AR106" s="22">
        <v>189.99</v>
      </c>
      <c r="AS106" s="22">
        <v>-1.48071E-2</v>
      </c>
      <c r="AT106" s="22">
        <v>96</v>
      </c>
      <c r="AU106" s="22">
        <v>1.31531</v>
      </c>
      <c r="AV106">
        <f t="shared" si="20"/>
        <v>14.8071</v>
      </c>
      <c r="AW106">
        <f t="shared" si="21"/>
        <v>19.493991362999999</v>
      </c>
      <c r="AX106" s="9"/>
      <c r="AY106" s="22">
        <v>0.38345299999999999</v>
      </c>
      <c r="AZ106" s="22">
        <v>239.37299999999999</v>
      </c>
      <c r="BA106" s="22">
        <v>-1.5658600000000002E-2</v>
      </c>
      <c r="BB106" s="22">
        <v>96</v>
      </c>
      <c r="BC106" s="22">
        <v>0.38290400000000002</v>
      </c>
      <c r="BD106">
        <f t="shared" si="22"/>
        <v>15.658600000000002</v>
      </c>
      <c r="BE106">
        <f t="shared" si="23"/>
        <v>6.0043371458000001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9.9632799999999992</v>
      </c>
      <c r="I107" s="22">
        <v>-1.4782699999999999E-2</v>
      </c>
      <c r="J107" s="22">
        <v>97</v>
      </c>
      <c r="K107" s="22">
        <v>1.3104199999999999</v>
      </c>
      <c r="L107">
        <f t="shared" si="12"/>
        <v>14.7827</v>
      </c>
      <c r="M107">
        <f t="shared" si="13"/>
        <v>19.387363223000001</v>
      </c>
      <c r="N107" s="9"/>
      <c r="O107" s="22">
        <v>0.38848899999999997</v>
      </c>
      <c r="P107" s="22">
        <v>59.384700000000002</v>
      </c>
      <c r="Q107" s="22">
        <v>-1.5673800000000002E-2</v>
      </c>
      <c r="R107" s="22">
        <v>97</v>
      </c>
      <c r="S107" s="22">
        <v>0.387878</v>
      </c>
      <c r="T107">
        <f t="shared" si="14"/>
        <v>15.673800000000002</v>
      </c>
      <c r="U107">
        <f t="shared" si="15"/>
        <v>6.0890988882000006</v>
      </c>
      <c r="X107" s="9"/>
      <c r="Y107" s="22">
        <v>1.31149</v>
      </c>
      <c r="Z107" s="22">
        <v>108.962</v>
      </c>
      <c r="AA107" s="22">
        <v>-1.4849899999999999E-2</v>
      </c>
      <c r="AB107" s="22">
        <v>97</v>
      </c>
      <c r="AC107" s="22">
        <v>1.31073</v>
      </c>
      <c r="AD107">
        <f t="shared" si="16"/>
        <v>14.8499</v>
      </c>
      <c r="AE107">
        <f t="shared" si="17"/>
        <v>19.475495350999999</v>
      </c>
      <c r="AF107" s="9"/>
      <c r="AG107" s="22">
        <v>0.38848899999999997</v>
      </c>
      <c r="AH107" s="22">
        <v>140.62100000000001</v>
      </c>
      <c r="AI107" s="22">
        <v>-1.5661600000000001E-2</v>
      </c>
      <c r="AJ107" s="22">
        <v>97</v>
      </c>
      <c r="AK107" s="22">
        <v>0.38793899999999998</v>
      </c>
      <c r="AL107">
        <f t="shared" si="18"/>
        <v>15.661600000000002</v>
      </c>
      <c r="AM107">
        <f t="shared" si="19"/>
        <v>6.0843593224000001</v>
      </c>
      <c r="AP107" s="9"/>
      <c r="AQ107" s="22">
        <v>1.31149</v>
      </c>
      <c r="AR107" s="22">
        <v>190</v>
      </c>
      <c r="AS107" s="22">
        <v>-1.4831499999999999E-2</v>
      </c>
      <c r="AT107" s="22">
        <v>97</v>
      </c>
      <c r="AU107" s="22">
        <v>1.31073</v>
      </c>
      <c r="AV107">
        <f t="shared" si="20"/>
        <v>14.831499999999998</v>
      </c>
      <c r="AW107">
        <f t="shared" si="21"/>
        <v>19.451363935</v>
      </c>
      <c r="AX107" s="9"/>
      <c r="AY107" s="22">
        <v>0.38848899999999997</v>
      </c>
      <c r="AZ107" s="22">
        <v>239.38300000000001</v>
      </c>
      <c r="BA107" s="22">
        <v>-1.5658600000000002E-2</v>
      </c>
      <c r="BB107" s="22">
        <v>97</v>
      </c>
      <c r="BC107" s="22">
        <v>0.387909</v>
      </c>
      <c r="BD107">
        <f t="shared" si="22"/>
        <v>15.658600000000002</v>
      </c>
      <c r="BE107">
        <f t="shared" si="23"/>
        <v>6.0831938554000002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9.9733499999999999</v>
      </c>
      <c r="I108" s="22">
        <v>-1.47919E-2</v>
      </c>
      <c r="J108" s="22">
        <v>98</v>
      </c>
      <c r="K108" s="22">
        <v>1.30646</v>
      </c>
      <c r="L108">
        <f t="shared" si="12"/>
        <v>14.7919</v>
      </c>
      <c r="M108">
        <f t="shared" si="13"/>
        <v>19.325025673999999</v>
      </c>
      <c r="N108" s="9"/>
      <c r="O108" s="22">
        <v>0.39352399999999998</v>
      </c>
      <c r="P108" s="22">
        <v>59.394799999999996</v>
      </c>
      <c r="Q108" s="22">
        <v>-1.5670799999999999E-2</v>
      </c>
      <c r="R108" s="22">
        <v>98</v>
      </c>
      <c r="S108" s="22">
        <v>0.39297500000000002</v>
      </c>
      <c r="T108">
        <f t="shared" si="14"/>
        <v>15.670799999999998</v>
      </c>
      <c r="U108">
        <f t="shared" si="15"/>
        <v>6.1668358991999987</v>
      </c>
      <c r="X108" s="9"/>
      <c r="Y108" s="22">
        <v>1.30646</v>
      </c>
      <c r="Z108" s="22">
        <v>108.97199999999999</v>
      </c>
      <c r="AA108" s="22">
        <v>-1.4865099999999999E-2</v>
      </c>
      <c r="AB108" s="22">
        <v>98</v>
      </c>
      <c r="AC108" s="22">
        <v>1.3055399999999999</v>
      </c>
      <c r="AD108">
        <f t="shared" si="16"/>
        <v>14.8651</v>
      </c>
      <c r="AE108">
        <f t="shared" si="17"/>
        <v>19.420658545999999</v>
      </c>
      <c r="AF108" s="9"/>
      <c r="AG108" s="22">
        <v>0.39352399999999998</v>
      </c>
      <c r="AH108" s="22">
        <v>140.631</v>
      </c>
      <c r="AI108" s="22">
        <v>-1.5655499999999999E-2</v>
      </c>
      <c r="AJ108" s="22">
        <v>98</v>
      </c>
      <c r="AK108" s="22">
        <v>0.39294400000000002</v>
      </c>
      <c r="AL108">
        <f t="shared" si="18"/>
        <v>15.6555</v>
      </c>
      <c r="AM108">
        <f t="shared" si="19"/>
        <v>6.1608149819999998</v>
      </c>
      <c r="AP108" s="9"/>
      <c r="AQ108" s="22">
        <v>1.30646</v>
      </c>
      <c r="AR108" s="22">
        <v>190.01</v>
      </c>
      <c r="AS108" s="22">
        <v>-1.48468E-2</v>
      </c>
      <c r="AT108" s="22">
        <v>98</v>
      </c>
      <c r="AU108" s="22">
        <v>1.3055399999999999</v>
      </c>
      <c r="AV108">
        <f t="shared" si="20"/>
        <v>14.8468</v>
      </c>
      <c r="AW108">
        <f t="shared" si="21"/>
        <v>19.396750328</v>
      </c>
      <c r="AX108" s="9"/>
      <c r="AY108" s="22">
        <v>0.39352399999999998</v>
      </c>
      <c r="AZ108" s="22">
        <v>239.393</v>
      </c>
      <c r="BA108" s="22">
        <v>-1.5655499999999999E-2</v>
      </c>
      <c r="BB108" s="22">
        <v>98</v>
      </c>
      <c r="BC108" s="22">
        <v>0.39291399999999999</v>
      </c>
      <c r="BD108">
        <f t="shared" si="22"/>
        <v>15.6555</v>
      </c>
      <c r="BE108">
        <f t="shared" si="23"/>
        <v>6.1608149819999998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9.9834300000000002</v>
      </c>
      <c r="I109" s="22">
        <v>-1.48071E-2</v>
      </c>
      <c r="J109" s="22">
        <v>99</v>
      </c>
      <c r="K109" s="22">
        <v>1.3006599999999999</v>
      </c>
      <c r="L109">
        <f t="shared" si="12"/>
        <v>14.8071</v>
      </c>
      <c r="M109">
        <f t="shared" si="13"/>
        <v>19.270256082</v>
      </c>
      <c r="N109" s="9"/>
      <c r="O109" s="22">
        <v>0.39856000000000003</v>
      </c>
      <c r="P109" s="22">
        <v>59.404800000000002</v>
      </c>
      <c r="Q109" s="22">
        <v>-1.5670799999999999E-2</v>
      </c>
      <c r="R109" s="22">
        <v>99</v>
      </c>
      <c r="S109" s="22">
        <v>0.39800999999999997</v>
      </c>
      <c r="T109">
        <f t="shared" si="14"/>
        <v>15.670799999999998</v>
      </c>
      <c r="U109">
        <f t="shared" si="15"/>
        <v>6.2457540479999993</v>
      </c>
      <c r="X109" s="9"/>
      <c r="Y109" s="22">
        <v>1.30142</v>
      </c>
      <c r="Z109" s="22">
        <v>108.982</v>
      </c>
      <c r="AA109" s="22">
        <v>-1.48773E-2</v>
      </c>
      <c r="AB109" s="22">
        <v>99</v>
      </c>
      <c r="AC109" s="22">
        <v>1.3012699999999999</v>
      </c>
      <c r="AD109">
        <f t="shared" si="16"/>
        <v>14.8773</v>
      </c>
      <c r="AE109">
        <f t="shared" si="17"/>
        <v>19.361615766</v>
      </c>
      <c r="AF109" s="9"/>
      <c r="AG109" s="22">
        <v>0.39856000000000003</v>
      </c>
      <c r="AH109" s="22">
        <v>140.64099999999999</v>
      </c>
      <c r="AI109" s="22">
        <v>-1.5655499999999999E-2</v>
      </c>
      <c r="AJ109" s="22">
        <v>99</v>
      </c>
      <c r="AK109" s="22">
        <v>0.39800999999999997</v>
      </c>
      <c r="AL109">
        <f t="shared" si="18"/>
        <v>15.6555</v>
      </c>
      <c r="AM109">
        <f t="shared" si="19"/>
        <v>6.2396560800000005</v>
      </c>
      <c r="AP109" s="9"/>
      <c r="AQ109" s="22">
        <v>1.30142</v>
      </c>
      <c r="AR109" s="22">
        <v>190.02</v>
      </c>
      <c r="AS109" s="22">
        <v>-1.4865099999999999E-2</v>
      </c>
      <c r="AT109" s="22">
        <v>99</v>
      </c>
      <c r="AU109" s="22">
        <v>1.3009599999999999</v>
      </c>
      <c r="AV109">
        <f t="shared" si="20"/>
        <v>14.8651</v>
      </c>
      <c r="AW109">
        <f t="shared" si="21"/>
        <v>19.345738442000002</v>
      </c>
      <c r="AX109" s="9"/>
      <c r="AY109" s="22">
        <v>0.39856000000000003</v>
      </c>
      <c r="AZ109" s="22">
        <v>239.40299999999999</v>
      </c>
      <c r="BA109" s="22">
        <v>-1.5649400000000001E-2</v>
      </c>
      <c r="BB109" s="22">
        <v>99</v>
      </c>
      <c r="BC109" s="22">
        <v>0.39791900000000002</v>
      </c>
      <c r="BD109">
        <f t="shared" si="22"/>
        <v>15.6494</v>
      </c>
      <c r="BE109">
        <f t="shared" si="23"/>
        <v>6.2372248640000008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9.9934999999999992</v>
      </c>
      <c r="I110" s="22">
        <v>-1.4825400000000001E-2</v>
      </c>
      <c r="J110" s="22">
        <v>100</v>
      </c>
      <c r="K110" s="22">
        <v>1.2957799999999999</v>
      </c>
      <c r="L110">
        <f t="shared" si="12"/>
        <v>14.8254</v>
      </c>
      <c r="M110">
        <f t="shared" si="13"/>
        <v>19.219500306</v>
      </c>
      <c r="N110" s="9"/>
      <c r="O110" s="22">
        <v>0.40359499999999998</v>
      </c>
      <c r="P110" s="22">
        <v>59.414900000000003</v>
      </c>
      <c r="Q110" s="22">
        <v>-1.56647E-2</v>
      </c>
      <c r="R110" s="22">
        <v>100</v>
      </c>
      <c r="S110" s="22">
        <v>0.40304600000000002</v>
      </c>
      <c r="T110">
        <f t="shared" si="14"/>
        <v>15.6647</v>
      </c>
      <c r="U110">
        <f t="shared" si="15"/>
        <v>6.3221945964999993</v>
      </c>
      <c r="X110" s="9"/>
      <c r="Y110" s="22">
        <v>1.2963899999999999</v>
      </c>
      <c r="Z110" s="22">
        <v>108.992</v>
      </c>
      <c r="AA110" s="22">
        <v>-1.4892600000000001E-2</v>
      </c>
      <c r="AB110" s="22">
        <v>100</v>
      </c>
      <c r="AC110" s="22">
        <v>1.2957799999999999</v>
      </c>
      <c r="AD110">
        <f t="shared" si="16"/>
        <v>14.8926</v>
      </c>
      <c r="AE110">
        <f t="shared" si="17"/>
        <v>19.306617713999998</v>
      </c>
      <c r="AF110" s="9"/>
      <c r="AG110" s="22">
        <v>0.40359499999999998</v>
      </c>
      <c r="AH110" s="22">
        <v>140.65100000000001</v>
      </c>
      <c r="AI110" s="22">
        <v>-1.5658600000000002E-2</v>
      </c>
      <c r="AJ110" s="22">
        <v>100</v>
      </c>
      <c r="AK110" s="22">
        <v>0.40307599999999999</v>
      </c>
      <c r="AL110">
        <f t="shared" si="18"/>
        <v>15.658600000000002</v>
      </c>
      <c r="AM110">
        <f t="shared" si="19"/>
        <v>6.3197326670000002</v>
      </c>
      <c r="AP110" s="9"/>
      <c r="AQ110" s="22">
        <v>1.2963899999999999</v>
      </c>
      <c r="AR110" s="22">
        <v>190.03</v>
      </c>
      <c r="AS110" s="22">
        <v>-1.4892600000000001E-2</v>
      </c>
      <c r="AT110" s="22">
        <v>100</v>
      </c>
      <c r="AU110" s="22">
        <v>1.2954699999999999</v>
      </c>
      <c r="AV110">
        <f t="shared" si="20"/>
        <v>14.8926</v>
      </c>
      <c r="AW110">
        <f t="shared" si="21"/>
        <v>19.306617713999998</v>
      </c>
      <c r="AX110" s="9"/>
      <c r="AY110" s="22">
        <v>0.40359499999999998</v>
      </c>
      <c r="AZ110" s="22">
        <v>239.41300000000001</v>
      </c>
      <c r="BA110" s="22">
        <v>-1.5649400000000001E-2</v>
      </c>
      <c r="BB110" s="22">
        <v>100</v>
      </c>
      <c r="BC110" s="22">
        <v>0.40304600000000002</v>
      </c>
      <c r="BD110">
        <f t="shared" si="22"/>
        <v>15.6494</v>
      </c>
      <c r="BE110">
        <f t="shared" si="23"/>
        <v>6.316019593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10.0036</v>
      </c>
      <c r="I111" s="22">
        <v>-1.48407E-2</v>
      </c>
      <c r="J111" s="22">
        <v>101</v>
      </c>
      <c r="K111" s="22">
        <v>1.2911999999999999</v>
      </c>
      <c r="L111">
        <f t="shared" si="12"/>
        <v>14.8407</v>
      </c>
      <c r="M111">
        <f t="shared" si="13"/>
        <v>19.164537944999999</v>
      </c>
      <c r="N111" s="9"/>
      <c r="O111" s="22">
        <v>0.40862999999999999</v>
      </c>
      <c r="P111" s="22">
        <v>59.424999999999997</v>
      </c>
      <c r="Q111" s="22">
        <v>-1.56647E-2</v>
      </c>
      <c r="R111" s="22">
        <v>101</v>
      </c>
      <c r="S111" s="22">
        <v>0.40801999999999999</v>
      </c>
      <c r="T111">
        <f t="shared" si="14"/>
        <v>15.6647</v>
      </c>
      <c r="U111">
        <f t="shared" si="15"/>
        <v>6.4010663609999998</v>
      </c>
      <c r="X111" s="9"/>
      <c r="Y111" s="22">
        <v>1.29135</v>
      </c>
      <c r="Z111" s="22">
        <v>109.002</v>
      </c>
      <c r="AA111" s="22">
        <v>-1.4904799999999999E-2</v>
      </c>
      <c r="AB111" s="22">
        <v>101</v>
      </c>
      <c r="AC111" s="22">
        <v>1.2905899999999999</v>
      </c>
      <c r="AD111">
        <f t="shared" si="16"/>
        <v>14.9048</v>
      </c>
      <c r="AE111">
        <f t="shared" si="17"/>
        <v>19.247313479999999</v>
      </c>
      <c r="AF111" s="9"/>
      <c r="AG111" s="22">
        <v>0.40862999999999999</v>
      </c>
      <c r="AH111" s="22">
        <v>140.66200000000001</v>
      </c>
      <c r="AI111" s="22">
        <v>-1.56647E-2</v>
      </c>
      <c r="AJ111" s="22">
        <v>101</v>
      </c>
      <c r="AK111" s="22">
        <v>0.408051</v>
      </c>
      <c r="AL111">
        <f t="shared" si="18"/>
        <v>15.6647</v>
      </c>
      <c r="AM111">
        <f t="shared" si="19"/>
        <v>6.4010663609999998</v>
      </c>
      <c r="AP111" s="9"/>
      <c r="AQ111" s="22">
        <v>1.29135</v>
      </c>
      <c r="AR111" s="22">
        <v>190.04</v>
      </c>
      <c r="AS111" s="22">
        <v>-1.4907800000000001E-2</v>
      </c>
      <c r="AT111" s="22">
        <v>101</v>
      </c>
      <c r="AU111" s="22">
        <v>1.2908900000000001</v>
      </c>
      <c r="AV111">
        <f t="shared" si="20"/>
        <v>14.9078</v>
      </c>
      <c r="AW111">
        <f t="shared" si="21"/>
        <v>19.251187529999999</v>
      </c>
      <c r="AX111" s="9"/>
      <c r="AY111" s="22">
        <v>0.40862999999999999</v>
      </c>
      <c r="AZ111" s="22">
        <v>239.423</v>
      </c>
      <c r="BA111" s="22">
        <v>-1.5643299999999999E-2</v>
      </c>
      <c r="BB111" s="22">
        <v>101</v>
      </c>
      <c r="BC111" s="22">
        <v>0.40801999999999999</v>
      </c>
      <c r="BD111">
        <f t="shared" si="22"/>
        <v>15.643299999999998</v>
      </c>
      <c r="BE111">
        <f t="shared" si="23"/>
        <v>6.3923216789999993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10.0136</v>
      </c>
      <c r="I112" s="22">
        <v>-1.4859000000000001E-2</v>
      </c>
      <c r="J112" s="22">
        <v>102</v>
      </c>
      <c r="K112" s="22">
        <v>1.2854000000000001</v>
      </c>
      <c r="L112">
        <f t="shared" si="12"/>
        <v>14.859</v>
      </c>
      <c r="M112">
        <f t="shared" si="13"/>
        <v>19.113428879999997</v>
      </c>
      <c r="N112" s="9"/>
      <c r="O112" s="22">
        <v>0.41366599999999998</v>
      </c>
      <c r="P112" s="22">
        <v>59.435099999999998</v>
      </c>
      <c r="Q112" s="22">
        <v>-1.5658600000000002E-2</v>
      </c>
      <c r="R112" s="22">
        <v>102</v>
      </c>
      <c r="S112" s="22">
        <v>0.41314699999999999</v>
      </c>
      <c r="T112">
        <f t="shared" si="14"/>
        <v>15.658600000000002</v>
      </c>
      <c r="U112">
        <f t="shared" si="15"/>
        <v>6.4774304276000008</v>
      </c>
      <c r="X112" s="9"/>
      <c r="Y112" s="22">
        <v>1.2863199999999999</v>
      </c>
      <c r="Z112" s="22">
        <v>109.012</v>
      </c>
      <c r="AA112" s="22">
        <v>-1.49292E-2</v>
      </c>
      <c r="AB112" s="22">
        <v>102</v>
      </c>
      <c r="AC112" s="22">
        <v>1.2866200000000001</v>
      </c>
      <c r="AD112">
        <f t="shared" si="16"/>
        <v>14.9292</v>
      </c>
      <c r="AE112">
        <f t="shared" si="17"/>
        <v>19.203728543999997</v>
      </c>
      <c r="AF112" s="9"/>
      <c r="AG112" s="22">
        <v>0.41366599999999998</v>
      </c>
      <c r="AH112" s="22">
        <v>140.672</v>
      </c>
      <c r="AI112" s="22">
        <v>-1.56647E-2</v>
      </c>
      <c r="AJ112" s="22">
        <v>102</v>
      </c>
      <c r="AK112" s="22">
        <v>0.41308600000000001</v>
      </c>
      <c r="AL112">
        <f t="shared" si="18"/>
        <v>15.6647</v>
      </c>
      <c r="AM112">
        <f t="shared" si="19"/>
        <v>6.4799537901999997</v>
      </c>
      <c r="AP112" s="9"/>
      <c r="AQ112" s="22">
        <v>1.2863199999999999</v>
      </c>
      <c r="AR112" s="22">
        <v>190.05</v>
      </c>
      <c r="AS112" s="22">
        <v>-1.49353E-2</v>
      </c>
      <c r="AT112" s="22">
        <v>102</v>
      </c>
      <c r="AU112" s="22">
        <v>1.2860100000000001</v>
      </c>
      <c r="AV112">
        <f t="shared" si="20"/>
        <v>14.9353</v>
      </c>
      <c r="AW112">
        <f t="shared" si="21"/>
        <v>19.211575095999997</v>
      </c>
      <c r="AX112" s="9"/>
      <c r="AY112" s="22">
        <v>0.41366599999999998</v>
      </c>
      <c r="AZ112" s="22">
        <v>239.43299999999999</v>
      </c>
      <c r="BA112" s="22">
        <v>-1.5640299999999999E-2</v>
      </c>
      <c r="BB112" s="22">
        <v>102</v>
      </c>
      <c r="BC112" s="22">
        <v>0.41305500000000001</v>
      </c>
      <c r="BD112">
        <f t="shared" si="22"/>
        <v>15.6403</v>
      </c>
      <c r="BE112">
        <f t="shared" si="23"/>
        <v>6.4698603397999994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10.0237</v>
      </c>
      <c r="I113" s="22">
        <v>-1.48773E-2</v>
      </c>
      <c r="J113" s="22">
        <v>103</v>
      </c>
      <c r="K113" s="22">
        <v>1.2802100000000001</v>
      </c>
      <c r="L113">
        <f t="shared" si="12"/>
        <v>14.8773</v>
      </c>
      <c r="M113">
        <f t="shared" si="13"/>
        <v>19.061986944000001</v>
      </c>
      <c r="N113" s="9"/>
      <c r="O113" s="22">
        <v>0.41870099999999999</v>
      </c>
      <c r="P113" s="22">
        <v>59.445099999999996</v>
      </c>
      <c r="Q113" s="22">
        <v>-1.56525E-2</v>
      </c>
      <c r="R113" s="22">
        <v>103</v>
      </c>
      <c r="S113" s="22">
        <v>0.41812100000000002</v>
      </c>
      <c r="T113">
        <f t="shared" si="14"/>
        <v>15.6525</v>
      </c>
      <c r="U113">
        <f t="shared" si="15"/>
        <v>6.5537174024999993</v>
      </c>
      <c r="X113" s="9"/>
      <c r="Y113" s="22">
        <v>1.28128</v>
      </c>
      <c r="Z113" s="22">
        <v>109.023</v>
      </c>
      <c r="AA113" s="22">
        <v>-1.4953599999999999E-2</v>
      </c>
      <c r="AB113" s="22">
        <v>103</v>
      </c>
      <c r="AC113" s="22">
        <v>1.2805200000000001</v>
      </c>
      <c r="AD113">
        <f t="shared" si="16"/>
        <v>14.9536</v>
      </c>
      <c r="AE113">
        <f t="shared" si="17"/>
        <v>19.159748608000001</v>
      </c>
      <c r="AF113" s="9"/>
      <c r="AG113" s="22">
        <v>0.41870099999999999</v>
      </c>
      <c r="AH113" s="22">
        <v>140.68199999999999</v>
      </c>
      <c r="AI113" s="22">
        <v>-1.5661600000000001E-2</v>
      </c>
      <c r="AJ113" s="22">
        <v>103</v>
      </c>
      <c r="AK113" s="22">
        <v>0.41805999999999999</v>
      </c>
      <c r="AL113">
        <f t="shared" si="18"/>
        <v>15.661600000000002</v>
      </c>
      <c r="AM113">
        <f t="shared" si="19"/>
        <v>6.5575275816000005</v>
      </c>
      <c r="AP113" s="9"/>
      <c r="AQ113" s="22">
        <v>1.28128</v>
      </c>
      <c r="AR113" s="22">
        <v>190.06</v>
      </c>
      <c r="AS113" s="22">
        <v>-1.4947500000000001E-2</v>
      </c>
      <c r="AT113" s="22">
        <v>103</v>
      </c>
      <c r="AU113" s="22">
        <v>1.2808200000000001</v>
      </c>
      <c r="AV113">
        <f t="shared" si="20"/>
        <v>14.947500000000002</v>
      </c>
      <c r="AW113">
        <f t="shared" si="21"/>
        <v>19.151932800000001</v>
      </c>
      <c r="AX113" s="9"/>
      <c r="AY113" s="22">
        <v>0.41870099999999999</v>
      </c>
      <c r="AZ113" s="22">
        <v>239.44399999999999</v>
      </c>
      <c r="BA113" s="22">
        <v>-1.5640299999999999E-2</v>
      </c>
      <c r="BB113" s="22">
        <v>103</v>
      </c>
      <c r="BC113" s="22">
        <v>0.41809099999999999</v>
      </c>
      <c r="BD113">
        <f t="shared" si="22"/>
        <v>15.6403</v>
      </c>
      <c r="BE113">
        <f t="shared" si="23"/>
        <v>6.5486092503000002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10.033799999999999</v>
      </c>
      <c r="I114" s="22">
        <v>-1.48895E-2</v>
      </c>
      <c r="J114" s="22">
        <v>104</v>
      </c>
      <c r="K114" s="22">
        <v>1.2753300000000001</v>
      </c>
      <c r="L114">
        <f t="shared" si="12"/>
        <v>14.8895</v>
      </c>
      <c r="M114">
        <f t="shared" si="13"/>
        <v>19.002724375000003</v>
      </c>
      <c r="N114" s="9"/>
      <c r="O114" s="22">
        <v>0.42373699999999997</v>
      </c>
      <c r="P114" s="22">
        <v>59.455199999999998</v>
      </c>
      <c r="Q114" s="22">
        <v>-1.56525E-2</v>
      </c>
      <c r="R114" s="22">
        <v>104</v>
      </c>
      <c r="S114" s="22">
        <v>0.423126</v>
      </c>
      <c r="T114">
        <f t="shared" si="14"/>
        <v>15.6525</v>
      </c>
      <c r="U114">
        <f t="shared" si="15"/>
        <v>6.6325433924999997</v>
      </c>
      <c r="X114" s="9"/>
      <c r="Y114" s="22">
        <v>1.2762500000000001</v>
      </c>
      <c r="Z114" s="22">
        <v>109.033</v>
      </c>
      <c r="AA114" s="22">
        <v>-1.4978E-2</v>
      </c>
      <c r="AB114" s="22">
        <v>104</v>
      </c>
      <c r="AC114" s="22">
        <v>1.2759400000000001</v>
      </c>
      <c r="AD114">
        <f t="shared" si="16"/>
        <v>14.978</v>
      </c>
      <c r="AE114">
        <f t="shared" si="17"/>
        <v>19.115672500000002</v>
      </c>
      <c r="AF114" s="9"/>
      <c r="AG114" s="22">
        <v>0.42373699999999997</v>
      </c>
      <c r="AH114" s="22">
        <v>140.69200000000001</v>
      </c>
      <c r="AI114" s="22">
        <v>-1.5661600000000001E-2</v>
      </c>
      <c r="AJ114" s="22">
        <v>104</v>
      </c>
      <c r="AK114" s="22">
        <v>0.42306500000000002</v>
      </c>
      <c r="AL114">
        <f t="shared" si="18"/>
        <v>15.661600000000002</v>
      </c>
      <c r="AM114">
        <f t="shared" si="19"/>
        <v>6.6363993992000001</v>
      </c>
      <c r="AP114" s="9"/>
      <c r="AQ114" s="22">
        <v>1.2762500000000001</v>
      </c>
      <c r="AR114" s="22">
        <v>190.07</v>
      </c>
      <c r="AS114" s="22">
        <v>-1.4959699999999999E-2</v>
      </c>
      <c r="AT114" s="22">
        <v>104</v>
      </c>
      <c r="AU114" s="22">
        <v>1.2753300000000001</v>
      </c>
      <c r="AV114">
        <f t="shared" si="20"/>
        <v>14.9597</v>
      </c>
      <c r="AW114">
        <f t="shared" si="21"/>
        <v>19.092317125000001</v>
      </c>
      <c r="AX114" s="9"/>
      <c r="AY114" s="22">
        <v>0.42373699999999997</v>
      </c>
      <c r="AZ114" s="22">
        <v>239.45400000000001</v>
      </c>
      <c r="BA114" s="22">
        <v>-1.5640299999999999E-2</v>
      </c>
      <c r="BB114" s="22">
        <v>104</v>
      </c>
      <c r="BC114" s="22">
        <v>0.42318699999999998</v>
      </c>
      <c r="BD114">
        <f t="shared" si="22"/>
        <v>15.6403</v>
      </c>
      <c r="BE114">
        <f t="shared" si="23"/>
        <v>6.6273738010999992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10.043900000000001</v>
      </c>
      <c r="I115" s="22">
        <v>-1.49017E-2</v>
      </c>
      <c r="J115" s="22">
        <v>105</v>
      </c>
      <c r="K115" s="22">
        <v>1.27075</v>
      </c>
      <c r="L115">
        <f t="shared" si="12"/>
        <v>14.9017</v>
      </c>
      <c r="M115">
        <f t="shared" si="13"/>
        <v>18.943190056999999</v>
      </c>
      <c r="N115" s="9"/>
      <c r="O115" s="22">
        <v>0.42877199999999999</v>
      </c>
      <c r="P115" s="22">
        <v>59.465299999999999</v>
      </c>
      <c r="Q115" s="22">
        <v>-1.5649400000000001E-2</v>
      </c>
      <c r="R115" s="22">
        <v>105</v>
      </c>
      <c r="S115" s="22">
        <v>0.42810100000000001</v>
      </c>
      <c r="T115">
        <f t="shared" si="14"/>
        <v>15.6494</v>
      </c>
      <c r="U115">
        <f t="shared" si="15"/>
        <v>6.7100245367999998</v>
      </c>
      <c r="X115" s="9"/>
      <c r="Y115" s="22">
        <v>1.27121</v>
      </c>
      <c r="Z115" s="22">
        <v>109.04300000000001</v>
      </c>
      <c r="AA115" s="22">
        <v>-1.49994E-2</v>
      </c>
      <c r="AB115" s="22">
        <v>105</v>
      </c>
      <c r="AC115" s="22">
        <v>1.2704500000000001</v>
      </c>
      <c r="AD115">
        <f t="shared" si="16"/>
        <v>14.9994</v>
      </c>
      <c r="AE115">
        <f t="shared" si="17"/>
        <v>19.067387273999998</v>
      </c>
      <c r="AF115" s="9"/>
      <c r="AG115" s="22">
        <v>0.42877199999999999</v>
      </c>
      <c r="AH115" s="22">
        <v>140.702</v>
      </c>
      <c r="AI115" s="22">
        <v>-1.5655499999999999E-2</v>
      </c>
      <c r="AJ115" s="22">
        <v>105</v>
      </c>
      <c r="AK115" s="22">
        <v>0.42813099999999998</v>
      </c>
      <c r="AL115">
        <f t="shared" si="18"/>
        <v>15.6555</v>
      </c>
      <c r="AM115">
        <f t="shared" si="19"/>
        <v>6.7126400459999997</v>
      </c>
      <c r="AP115" s="9"/>
      <c r="AQ115" s="22">
        <v>1.27121</v>
      </c>
      <c r="AR115" s="22">
        <v>190.08</v>
      </c>
      <c r="AS115" s="22">
        <v>-1.49719E-2</v>
      </c>
      <c r="AT115" s="22">
        <v>105</v>
      </c>
      <c r="AU115" s="22">
        <v>1.27014</v>
      </c>
      <c r="AV115">
        <f t="shared" si="20"/>
        <v>14.9719</v>
      </c>
      <c r="AW115">
        <f t="shared" si="21"/>
        <v>19.032428999</v>
      </c>
      <c r="AX115" s="9"/>
      <c r="AY115" s="22">
        <v>0.42877199999999999</v>
      </c>
      <c r="AZ115" s="22">
        <v>239.464</v>
      </c>
      <c r="BA115" s="22">
        <v>-1.5643299999999999E-2</v>
      </c>
      <c r="BB115" s="22">
        <v>105</v>
      </c>
      <c r="BC115" s="22">
        <v>0.42816199999999999</v>
      </c>
      <c r="BD115">
        <f t="shared" si="22"/>
        <v>15.643299999999998</v>
      </c>
      <c r="BE115">
        <f t="shared" si="23"/>
        <v>6.7074090275999989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10.053900000000001</v>
      </c>
      <c r="I116" s="22">
        <v>-1.4907800000000001E-2</v>
      </c>
      <c r="J116" s="22">
        <v>106</v>
      </c>
      <c r="K116" s="22">
        <v>1.26556</v>
      </c>
      <c r="L116">
        <f t="shared" si="12"/>
        <v>14.9078</v>
      </c>
      <c r="M116">
        <f t="shared" si="13"/>
        <v>18.875809126</v>
      </c>
      <c r="N116" s="9"/>
      <c r="O116" s="22">
        <v>0.433807</v>
      </c>
      <c r="P116" s="22">
        <v>59.475299999999997</v>
      </c>
      <c r="Q116" s="22">
        <v>-1.56525E-2</v>
      </c>
      <c r="R116" s="22">
        <v>106</v>
      </c>
      <c r="S116" s="22">
        <v>0.43325799999999998</v>
      </c>
      <c r="T116">
        <f t="shared" si="14"/>
        <v>15.6525</v>
      </c>
      <c r="U116">
        <f t="shared" si="15"/>
        <v>6.7901640675000001</v>
      </c>
      <c r="X116" s="9"/>
      <c r="Y116" s="22">
        <v>1.26617</v>
      </c>
      <c r="Z116" s="22">
        <v>109.053</v>
      </c>
      <c r="AA116" s="22">
        <v>-1.50055E-2</v>
      </c>
      <c r="AB116" s="22">
        <v>106</v>
      </c>
      <c r="AC116" s="22">
        <v>1.26556</v>
      </c>
      <c r="AD116">
        <f t="shared" si="16"/>
        <v>15.0055</v>
      </c>
      <c r="AE116">
        <f t="shared" si="17"/>
        <v>18.999513935</v>
      </c>
      <c r="AF116" s="9"/>
      <c r="AG116" s="22">
        <v>0.433807</v>
      </c>
      <c r="AH116" s="22">
        <v>140.71199999999999</v>
      </c>
      <c r="AI116" s="22">
        <v>-1.5655499999999999E-2</v>
      </c>
      <c r="AJ116" s="22">
        <v>106</v>
      </c>
      <c r="AK116" s="22">
        <v>0.43325799999999998</v>
      </c>
      <c r="AL116">
        <f t="shared" si="18"/>
        <v>15.6555</v>
      </c>
      <c r="AM116">
        <f t="shared" si="19"/>
        <v>6.7914654885000001</v>
      </c>
      <c r="AP116" s="9"/>
      <c r="AQ116" s="22">
        <v>1.26617</v>
      </c>
      <c r="AR116" s="22">
        <v>190.09</v>
      </c>
      <c r="AS116" s="22">
        <v>-1.4987199999999999E-2</v>
      </c>
      <c r="AT116" s="22">
        <v>106</v>
      </c>
      <c r="AU116" s="22">
        <v>1.2658700000000001</v>
      </c>
      <c r="AV116">
        <f t="shared" si="20"/>
        <v>14.9872</v>
      </c>
      <c r="AW116">
        <f t="shared" si="21"/>
        <v>18.976343023999998</v>
      </c>
      <c r="AX116" s="9"/>
      <c r="AY116" s="22">
        <v>0.433807</v>
      </c>
      <c r="AZ116" s="22">
        <v>239.47399999999999</v>
      </c>
      <c r="BA116" s="22">
        <v>-1.5640299999999999E-2</v>
      </c>
      <c r="BB116" s="22">
        <v>106</v>
      </c>
      <c r="BC116" s="22">
        <v>0.433228</v>
      </c>
      <c r="BD116">
        <f t="shared" si="22"/>
        <v>15.6403</v>
      </c>
      <c r="BE116">
        <f t="shared" si="23"/>
        <v>6.7848716220999998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10.064</v>
      </c>
      <c r="I117" s="22">
        <v>-1.4926099999999999E-2</v>
      </c>
      <c r="J117" s="22">
        <v>107</v>
      </c>
      <c r="K117" s="22">
        <v>1.26007</v>
      </c>
      <c r="L117">
        <f t="shared" si="12"/>
        <v>14.9261</v>
      </c>
      <c r="M117">
        <f t="shared" si="13"/>
        <v>18.823901753999998</v>
      </c>
      <c r="N117" s="9"/>
      <c r="O117" s="22">
        <v>0.43884299999999998</v>
      </c>
      <c r="P117" s="22">
        <v>59.485399999999998</v>
      </c>
      <c r="Q117" s="22">
        <v>-1.56525E-2</v>
      </c>
      <c r="R117" s="22">
        <v>107</v>
      </c>
      <c r="S117" s="22">
        <v>0.43826300000000001</v>
      </c>
      <c r="T117">
        <f t="shared" si="14"/>
        <v>15.6525</v>
      </c>
      <c r="U117">
        <f t="shared" si="15"/>
        <v>6.8689900574999996</v>
      </c>
      <c r="X117" s="9"/>
      <c r="Y117" s="22">
        <v>1.2611399999999999</v>
      </c>
      <c r="Z117" s="22">
        <v>109.063</v>
      </c>
      <c r="AA117" s="22">
        <v>-1.50177E-2</v>
      </c>
      <c r="AB117" s="22">
        <v>107</v>
      </c>
      <c r="AC117" s="22">
        <v>1.2603800000000001</v>
      </c>
      <c r="AD117">
        <f t="shared" si="16"/>
        <v>15.0177</v>
      </c>
      <c r="AE117">
        <f t="shared" si="17"/>
        <v>18.939422177999997</v>
      </c>
      <c r="AF117" s="9"/>
      <c r="AG117" s="22">
        <v>0.43884299999999998</v>
      </c>
      <c r="AH117" s="22">
        <v>140.72200000000001</v>
      </c>
      <c r="AI117" s="22">
        <v>-1.5655499999999999E-2</v>
      </c>
      <c r="AJ117" s="22">
        <v>107</v>
      </c>
      <c r="AK117" s="22">
        <v>0.43832399999999999</v>
      </c>
      <c r="AL117">
        <f t="shared" si="18"/>
        <v>15.6555</v>
      </c>
      <c r="AM117">
        <f t="shared" si="19"/>
        <v>6.8703065864999999</v>
      </c>
      <c r="AP117" s="9"/>
      <c r="AQ117" s="22">
        <v>1.2611399999999999</v>
      </c>
      <c r="AR117" s="22">
        <v>190.1</v>
      </c>
      <c r="AS117" s="22">
        <v>-1.5002400000000001E-2</v>
      </c>
      <c r="AT117" s="22">
        <v>107</v>
      </c>
      <c r="AU117" s="22">
        <v>1.26068</v>
      </c>
      <c r="AV117">
        <f t="shared" si="20"/>
        <v>15.002400000000002</v>
      </c>
      <c r="AW117">
        <f t="shared" si="21"/>
        <v>18.920126736</v>
      </c>
      <c r="AX117" s="9"/>
      <c r="AY117" s="22">
        <v>0.43884299999999998</v>
      </c>
      <c r="AZ117" s="22">
        <v>239.48400000000001</v>
      </c>
      <c r="BA117" s="22">
        <v>-1.5640299999999999E-2</v>
      </c>
      <c r="BB117" s="22">
        <v>107</v>
      </c>
      <c r="BC117" s="22">
        <v>0.43820199999999998</v>
      </c>
      <c r="BD117">
        <f t="shared" si="22"/>
        <v>15.6403</v>
      </c>
      <c r="BE117">
        <f t="shared" si="23"/>
        <v>6.8636361728999997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10.0741</v>
      </c>
      <c r="I118" s="22">
        <v>-1.4944499999999999E-2</v>
      </c>
      <c r="J118" s="22">
        <v>108</v>
      </c>
      <c r="K118" s="22">
        <v>1.25549</v>
      </c>
      <c r="L118">
        <f t="shared" si="12"/>
        <v>14.9445</v>
      </c>
      <c r="M118">
        <f t="shared" si="13"/>
        <v>18.77178645</v>
      </c>
      <c r="N118" s="9"/>
      <c r="O118" s="22">
        <v>0.44387799999999999</v>
      </c>
      <c r="P118" s="22">
        <v>59.4955</v>
      </c>
      <c r="Q118" s="22">
        <v>-1.56525E-2</v>
      </c>
      <c r="R118" s="22">
        <v>108</v>
      </c>
      <c r="S118" s="22">
        <v>0.44329800000000003</v>
      </c>
      <c r="T118">
        <f t="shared" si="14"/>
        <v>15.6525</v>
      </c>
      <c r="U118">
        <f t="shared" si="15"/>
        <v>6.9478003949999998</v>
      </c>
      <c r="X118" s="9"/>
      <c r="Y118" s="22">
        <v>1.2561</v>
      </c>
      <c r="Z118" s="22">
        <v>109.07299999999999</v>
      </c>
      <c r="AA118" s="22">
        <v>-1.5029900000000001E-2</v>
      </c>
      <c r="AB118" s="22">
        <v>108</v>
      </c>
      <c r="AC118" s="22">
        <v>1.25519</v>
      </c>
      <c r="AD118">
        <f t="shared" si="16"/>
        <v>15.029900000000001</v>
      </c>
      <c r="AE118">
        <f t="shared" si="17"/>
        <v>18.879057390000003</v>
      </c>
      <c r="AF118" s="9"/>
      <c r="AG118" s="22">
        <v>0.44387799999999999</v>
      </c>
      <c r="AH118" s="22">
        <v>140.732</v>
      </c>
      <c r="AI118" s="22">
        <v>-1.5655499999999999E-2</v>
      </c>
      <c r="AJ118" s="22">
        <v>108</v>
      </c>
      <c r="AK118" s="22">
        <v>0.443359</v>
      </c>
      <c r="AL118">
        <f t="shared" si="18"/>
        <v>15.6555</v>
      </c>
      <c r="AM118">
        <f t="shared" si="19"/>
        <v>6.9491320290000003</v>
      </c>
      <c r="AP118" s="9"/>
      <c r="AQ118" s="22">
        <v>1.2561</v>
      </c>
      <c r="AR118" s="22">
        <v>190.11</v>
      </c>
      <c r="AS118" s="22">
        <v>-1.50238E-2</v>
      </c>
      <c r="AT118" s="22">
        <v>108</v>
      </c>
      <c r="AU118" s="22">
        <v>1.25549</v>
      </c>
      <c r="AV118">
        <f t="shared" si="20"/>
        <v>15.0238</v>
      </c>
      <c r="AW118">
        <f t="shared" si="21"/>
        <v>18.87139518</v>
      </c>
      <c r="AX118" s="9"/>
      <c r="AY118" s="22">
        <v>0.44387799999999999</v>
      </c>
      <c r="AZ118" s="22">
        <v>239.494</v>
      </c>
      <c r="BA118" s="22">
        <v>-1.5643299999999999E-2</v>
      </c>
      <c r="BB118" s="22">
        <v>108</v>
      </c>
      <c r="BC118" s="22">
        <v>0.44332899999999997</v>
      </c>
      <c r="BD118">
        <f t="shared" si="22"/>
        <v>15.643299999999998</v>
      </c>
      <c r="BE118">
        <f t="shared" si="23"/>
        <v>6.9437167173999992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10.084099999999999</v>
      </c>
      <c r="I119" s="22">
        <v>-1.49628E-2</v>
      </c>
      <c r="J119" s="22">
        <v>109</v>
      </c>
      <c r="K119" s="22">
        <v>1.25061</v>
      </c>
      <c r="L119">
        <f t="shared" si="12"/>
        <v>14.9628</v>
      </c>
      <c r="M119">
        <f t="shared" si="13"/>
        <v>18.719510195999998</v>
      </c>
      <c r="N119" s="9"/>
      <c r="O119" s="22">
        <v>0.44891399999999998</v>
      </c>
      <c r="P119" s="22">
        <v>59.505600000000001</v>
      </c>
      <c r="Q119" s="22">
        <v>-1.5649400000000001E-2</v>
      </c>
      <c r="R119" s="22">
        <v>109</v>
      </c>
      <c r="S119" s="22">
        <v>0.44824199999999997</v>
      </c>
      <c r="T119">
        <f t="shared" si="14"/>
        <v>15.6494</v>
      </c>
      <c r="U119">
        <f t="shared" si="15"/>
        <v>7.0252347515999993</v>
      </c>
      <c r="X119" s="9"/>
      <c r="Y119" s="22">
        <v>1.2510699999999999</v>
      </c>
      <c r="Z119" s="22">
        <v>109.083</v>
      </c>
      <c r="AA119" s="22">
        <v>-1.50574E-2</v>
      </c>
      <c r="AB119" s="22">
        <v>109</v>
      </c>
      <c r="AC119" s="22">
        <v>1.25061</v>
      </c>
      <c r="AD119">
        <f t="shared" si="16"/>
        <v>15.057399999999999</v>
      </c>
      <c r="AE119">
        <f t="shared" si="17"/>
        <v>18.837861417999999</v>
      </c>
      <c r="AF119" s="9"/>
      <c r="AG119" s="22">
        <v>0.44891399999999998</v>
      </c>
      <c r="AH119" s="22">
        <v>140.74199999999999</v>
      </c>
      <c r="AI119" s="22">
        <v>-1.56525E-2</v>
      </c>
      <c r="AJ119" s="22">
        <v>109</v>
      </c>
      <c r="AK119" s="22">
        <v>0.44827299999999998</v>
      </c>
      <c r="AL119">
        <f t="shared" si="18"/>
        <v>15.6525</v>
      </c>
      <c r="AM119">
        <f t="shared" si="19"/>
        <v>7.0266263849999993</v>
      </c>
      <c r="AP119" s="9"/>
      <c r="AQ119" s="22">
        <v>1.2510699999999999</v>
      </c>
      <c r="AR119" s="22">
        <v>190.12</v>
      </c>
      <c r="AS119" s="22">
        <v>-1.50391E-2</v>
      </c>
      <c r="AT119" s="22">
        <v>109</v>
      </c>
      <c r="AU119" s="22">
        <v>1.25061</v>
      </c>
      <c r="AV119">
        <f t="shared" si="20"/>
        <v>15.039099999999999</v>
      </c>
      <c r="AW119">
        <f t="shared" si="21"/>
        <v>18.814966836999997</v>
      </c>
      <c r="AX119" s="9"/>
      <c r="AY119" s="22">
        <v>0.44891399999999998</v>
      </c>
      <c r="AZ119" s="22">
        <v>239.50399999999999</v>
      </c>
      <c r="BA119" s="22">
        <v>-1.5643299999999999E-2</v>
      </c>
      <c r="BB119" s="22">
        <v>109</v>
      </c>
      <c r="BC119" s="22">
        <v>0.44830300000000001</v>
      </c>
      <c r="BD119">
        <f t="shared" si="22"/>
        <v>15.643299999999998</v>
      </c>
      <c r="BE119">
        <f t="shared" si="23"/>
        <v>7.0224963761999986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10.094200000000001</v>
      </c>
      <c r="I120" s="22">
        <v>-1.49719E-2</v>
      </c>
      <c r="J120" s="22">
        <v>110</v>
      </c>
      <c r="K120" s="22">
        <v>1.24512</v>
      </c>
      <c r="L120">
        <f t="shared" si="12"/>
        <v>14.9719</v>
      </c>
      <c r="M120">
        <f t="shared" si="13"/>
        <v>18.655436556999998</v>
      </c>
      <c r="N120" s="9"/>
      <c r="O120" s="22">
        <v>0.45394899999999999</v>
      </c>
      <c r="P120" s="22">
        <v>59.515599999999999</v>
      </c>
      <c r="Q120" s="22">
        <v>-1.5646400000000001E-2</v>
      </c>
      <c r="R120" s="22">
        <v>110</v>
      </c>
      <c r="S120" s="22">
        <v>0.45336900000000002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109.093</v>
      </c>
      <c r="AA120" s="22">
        <v>-1.50787E-2</v>
      </c>
      <c r="AB120" s="22">
        <v>110</v>
      </c>
      <c r="AC120" s="22">
        <v>1.24481</v>
      </c>
      <c r="AD120">
        <f t="shared" si="16"/>
        <v>15.078700000000001</v>
      </c>
      <c r="AE120">
        <f t="shared" si="17"/>
        <v>18.788512561000001</v>
      </c>
      <c r="AF120" s="9"/>
      <c r="AG120" s="22">
        <v>0.45394899999999999</v>
      </c>
      <c r="AH120" s="22">
        <v>140.75200000000001</v>
      </c>
      <c r="AI120" s="22">
        <v>-1.5646400000000001E-2</v>
      </c>
      <c r="AJ120" s="22">
        <v>110</v>
      </c>
      <c r="AK120" s="22">
        <v>0.453461</v>
      </c>
      <c r="AL120">
        <f t="shared" si="18"/>
        <v>15.646400000000002</v>
      </c>
      <c r="AM120">
        <f t="shared" si="19"/>
        <v>7.1026676336000003</v>
      </c>
      <c r="AP120" s="9"/>
      <c r="AQ120" s="22">
        <v>1.24603</v>
      </c>
      <c r="AR120" s="22">
        <v>190.131</v>
      </c>
      <c r="AS120" s="22">
        <v>-1.50391E-2</v>
      </c>
      <c r="AT120" s="22">
        <v>110</v>
      </c>
      <c r="AU120" s="22">
        <v>1.24542</v>
      </c>
      <c r="AV120">
        <f t="shared" si="20"/>
        <v>15.039099999999999</v>
      </c>
      <c r="AW120">
        <f t="shared" si="21"/>
        <v>18.739169773</v>
      </c>
      <c r="AX120" s="9"/>
      <c r="AY120" s="22">
        <v>0.45394899999999999</v>
      </c>
      <c r="AZ120" s="22">
        <v>239.51400000000001</v>
      </c>
      <c r="BA120" s="22">
        <v>-1.56372E-2</v>
      </c>
      <c r="BB120" s="22">
        <v>110</v>
      </c>
      <c r="BC120" s="22">
        <v>0.45340000000000003</v>
      </c>
      <c r="BD120">
        <f t="shared" si="22"/>
        <v>15.6372</v>
      </c>
      <c r="BE120">
        <f t="shared" si="23"/>
        <v>7.0984913028000003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10.1043</v>
      </c>
      <c r="I121" s="22">
        <v>-1.4987199999999999E-2</v>
      </c>
      <c r="J121" s="22">
        <v>111</v>
      </c>
      <c r="K121" s="22">
        <v>1.24054</v>
      </c>
      <c r="L121">
        <f t="shared" si="12"/>
        <v>14.9872</v>
      </c>
      <c r="M121">
        <f t="shared" si="13"/>
        <v>18.5991152</v>
      </c>
      <c r="N121" s="9"/>
      <c r="O121" s="22">
        <v>0.458984</v>
      </c>
      <c r="P121" s="22">
        <v>59.525700000000001</v>
      </c>
      <c r="Q121" s="22">
        <v>-1.5643299999999999E-2</v>
      </c>
      <c r="R121" s="22">
        <v>111</v>
      </c>
      <c r="S121" s="22">
        <v>0.458374</v>
      </c>
      <c r="T121">
        <f t="shared" si="14"/>
        <v>15.643299999999998</v>
      </c>
      <c r="U121">
        <f t="shared" si="15"/>
        <v>7.1800244071999995</v>
      </c>
      <c r="X121" s="9"/>
      <c r="Y121" s="22">
        <v>1.2410000000000001</v>
      </c>
      <c r="Z121" s="22">
        <v>109.10299999999999</v>
      </c>
      <c r="AA121" s="22">
        <v>-1.51001E-2</v>
      </c>
      <c r="AB121" s="22">
        <v>111</v>
      </c>
      <c r="AC121" s="22">
        <v>1.2402299999999999</v>
      </c>
      <c r="AD121">
        <f t="shared" si="16"/>
        <v>15.100099999999999</v>
      </c>
      <c r="AE121">
        <f t="shared" si="17"/>
        <v>18.739224100000001</v>
      </c>
      <c r="AF121" s="9"/>
      <c r="AG121" s="22">
        <v>0.458984</v>
      </c>
      <c r="AH121" s="22">
        <v>140.762</v>
      </c>
      <c r="AI121" s="22">
        <v>-1.56372E-2</v>
      </c>
      <c r="AJ121" s="22">
        <v>111</v>
      </c>
      <c r="AK121" s="22">
        <v>0.45834399999999997</v>
      </c>
      <c r="AL121">
        <f t="shared" si="18"/>
        <v>15.6372</v>
      </c>
      <c r="AM121">
        <f t="shared" si="19"/>
        <v>7.1772246048000001</v>
      </c>
      <c r="AP121" s="9"/>
      <c r="AQ121" s="22">
        <v>1.2410000000000001</v>
      </c>
      <c r="AR121" s="22">
        <v>190.14099999999999</v>
      </c>
      <c r="AS121" s="22">
        <v>-1.50574E-2</v>
      </c>
      <c r="AT121" s="22">
        <v>111</v>
      </c>
      <c r="AU121" s="22">
        <v>1.2402299999999999</v>
      </c>
      <c r="AV121">
        <f t="shared" si="20"/>
        <v>15.057399999999999</v>
      </c>
      <c r="AW121">
        <f t="shared" si="21"/>
        <v>18.686233400000003</v>
      </c>
      <c r="AX121" s="9"/>
      <c r="AY121" s="22">
        <v>0.458984</v>
      </c>
      <c r="AZ121" s="22">
        <v>239.524</v>
      </c>
      <c r="BA121" s="22">
        <v>-1.5634200000000001E-2</v>
      </c>
      <c r="BB121" s="22">
        <v>111</v>
      </c>
      <c r="BC121" s="22">
        <v>0.458374</v>
      </c>
      <c r="BD121">
        <f t="shared" si="22"/>
        <v>15.634200000000002</v>
      </c>
      <c r="BE121">
        <f t="shared" si="23"/>
        <v>7.1758476528000008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10.1143</v>
      </c>
      <c r="I122" s="22">
        <v>-1.5002400000000001E-2</v>
      </c>
      <c r="J122" s="22">
        <v>112</v>
      </c>
      <c r="K122" s="22">
        <v>1.23505</v>
      </c>
      <c r="L122">
        <f t="shared" si="12"/>
        <v>15.002400000000002</v>
      </c>
      <c r="M122">
        <f t="shared" si="13"/>
        <v>18.542366304000002</v>
      </c>
      <c r="N122" s="9"/>
      <c r="O122" s="22">
        <v>0.46401999999999999</v>
      </c>
      <c r="P122" s="22">
        <v>59.535800000000002</v>
      </c>
      <c r="Q122" s="22">
        <v>-1.5643299999999999E-2</v>
      </c>
      <c r="R122" s="22">
        <v>112</v>
      </c>
      <c r="S122" s="22">
        <v>0.46340900000000002</v>
      </c>
      <c r="T122">
        <f t="shared" si="14"/>
        <v>15.643299999999998</v>
      </c>
      <c r="U122">
        <f t="shared" si="15"/>
        <v>7.2588040659999988</v>
      </c>
      <c r="X122" s="9"/>
      <c r="Y122" s="22">
        <v>1.2359599999999999</v>
      </c>
      <c r="Z122" s="22">
        <v>109.113</v>
      </c>
      <c r="AA122" s="22">
        <v>-1.51062E-2</v>
      </c>
      <c r="AB122" s="22">
        <v>112</v>
      </c>
      <c r="AC122" s="22">
        <v>1.2353499999999999</v>
      </c>
      <c r="AD122">
        <f t="shared" si="16"/>
        <v>15.106199999999999</v>
      </c>
      <c r="AE122">
        <f t="shared" si="17"/>
        <v>18.670658952</v>
      </c>
      <c r="AF122" s="9"/>
      <c r="AG122" s="22">
        <v>0.46401999999999999</v>
      </c>
      <c r="AH122" s="22">
        <v>140.77199999999999</v>
      </c>
      <c r="AI122" s="22">
        <v>-1.56372E-2</v>
      </c>
      <c r="AJ122" s="22">
        <v>112</v>
      </c>
      <c r="AK122" s="22">
        <v>0.46340900000000002</v>
      </c>
      <c r="AL122">
        <f t="shared" si="18"/>
        <v>15.6372</v>
      </c>
      <c r="AM122">
        <f t="shared" si="19"/>
        <v>7.2559735439999997</v>
      </c>
      <c r="AP122" s="9"/>
      <c r="AQ122" s="22">
        <v>1.2359599999999999</v>
      </c>
      <c r="AR122" s="22">
        <v>190.15100000000001</v>
      </c>
      <c r="AS122" s="22">
        <v>-1.5075699999999999E-2</v>
      </c>
      <c r="AT122" s="22">
        <v>112</v>
      </c>
      <c r="AU122" s="22">
        <v>1.23505</v>
      </c>
      <c r="AV122">
        <f t="shared" si="20"/>
        <v>15.075699999999999</v>
      </c>
      <c r="AW122">
        <f t="shared" si="21"/>
        <v>18.632962171999999</v>
      </c>
      <c r="AX122" s="9"/>
      <c r="AY122" s="22">
        <v>0.46401999999999999</v>
      </c>
      <c r="AZ122" s="22">
        <v>239.53399999999999</v>
      </c>
      <c r="BA122" s="22">
        <v>-1.5631099999999998E-2</v>
      </c>
      <c r="BB122" s="22">
        <v>112</v>
      </c>
      <c r="BC122" s="22">
        <v>0.46346999999999999</v>
      </c>
      <c r="BD122">
        <f t="shared" si="22"/>
        <v>15.631099999999998</v>
      </c>
      <c r="BE122">
        <f t="shared" si="23"/>
        <v>7.2531430219999988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10.1244</v>
      </c>
      <c r="I123" s="22">
        <v>-1.5014599999999999E-2</v>
      </c>
      <c r="J123" s="22">
        <v>113</v>
      </c>
      <c r="K123" s="22">
        <v>1.2301599999999999</v>
      </c>
      <c r="L123">
        <f t="shared" si="12"/>
        <v>15.0146</v>
      </c>
      <c r="M123">
        <f t="shared" si="13"/>
        <v>18.481921578000001</v>
      </c>
      <c r="N123" s="9"/>
      <c r="O123" s="22">
        <v>0.469055</v>
      </c>
      <c r="P123" s="22">
        <v>59.5458</v>
      </c>
      <c r="Q123" s="22">
        <v>-1.5643299999999999E-2</v>
      </c>
      <c r="R123" s="22">
        <v>113</v>
      </c>
      <c r="S123" s="22">
        <v>0.46847499999999997</v>
      </c>
      <c r="T123">
        <f t="shared" si="14"/>
        <v>15.643299999999998</v>
      </c>
      <c r="U123">
        <f t="shared" si="15"/>
        <v>7.3375680814999988</v>
      </c>
      <c r="X123" s="9"/>
      <c r="Y123" s="22">
        <v>1.2309300000000001</v>
      </c>
      <c r="Z123" s="22">
        <v>109.123</v>
      </c>
      <c r="AA123" s="22">
        <v>-1.5118400000000001E-2</v>
      </c>
      <c r="AB123" s="22">
        <v>113</v>
      </c>
      <c r="AC123" s="22">
        <v>1.22986</v>
      </c>
      <c r="AD123">
        <f t="shared" si="16"/>
        <v>15.118400000000001</v>
      </c>
      <c r="AE123">
        <f t="shared" si="17"/>
        <v>18.609692112000001</v>
      </c>
      <c r="AF123" s="9"/>
      <c r="AG123" s="22">
        <v>0.469055</v>
      </c>
      <c r="AH123" s="22">
        <v>140.78200000000001</v>
      </c>
      <c r="AI123" s="22">
        <v>-1.56372E-2</v>
      </c>
      <c r="AJ123" s="22">
        <v>113</v>
      </c>
      <c r="AK123" s="22">
        <v>0.46847499999999997</v>
      </c>
      <c r="AL123">
        <f t="shared" si="18"/>
        <v>15.6372</v>
      </c>
      <c r="AM123">
        <f t="shared" si="19"/>
        <v>7.3347068459999996</v>
      </c>
      <c r="AP123" s="9"/>
      <c r="AQ123" s="22">
        <v>1.2309300000000001</v>
      </c>
      <c r="AR123" s="22">
        <v>190.161</v>
      </c>
      <c r="AS123" s="22">
        <v>-1.5094E-2</v>
      </c>
      <c r="AT123" s="22">
        <v>113</v>
      </c>
      <c r="AU123" s="22">
        <v>1.23047</v>
      </c>
      <c r="AV123">
        <f t="shared" si="20"/>
        <v>15.093999999999999</v>
      </c>
      <c r="AW123">
        <f t="shared" si="21"/>
        <v>18.57965742</v>
      </c>
      <c r="AX123" s="9"/>
      <c r="AY123" s="22">
        <v>0.469055</v>
      </c>
      <c r="AZ123" s="22">
        <v>239.54400000000001</v>
      </c>
      <c r="BA123" s="22">
        <v>-1.5634200000000001E-2</v>
      </c>
      <c r="BB123" s="22">
        <v>113</v>
      </c>
      <c r="BC123" s="22">
        <v>0.46847499999999997</v>
      </c>
      <c r="BD123">
        <f t="shared" si="22"/>
        <v>15.634200000000002</v>
      </c>
      <c r="BE123">
        <f t="shared" si="23"/>
        <v>7.3332996810000006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10.134499999999999</v>
      </c>
      <c r="I124" s="22">
        <v>-1.5032999999999999E-2</v>
      </c>
      <c r="J124" s="22">
        <v>114</v>
      </c>
      <c r="K124" s="22">
        <v>1.22437</v>
      </c>
      <c r="L124">
        <f t="shared" si="12"/>
        <v>15.032999999999999</v>
      </c>
      <c r="M124">
        <f t="shared" si="13"/>
        <v>18.428804369999998</v>
      </c>
      <c r="N124" s="9"/>
      <c r="O124" s="22">
        <v>0.47409099999999998</v>
      </c>
      <c r="P124" s="22">
        <v>59.555900000000001</v>
      </c>
      <c r="Q124" s="22">
        <v>-1.5640299999999999E-2</v>
      </c>
      <c r="R124" s="22">
        <v>114</v>
      </c>
      <c r="S124" s="22">
        <v>0.47344999999999998</v>
      </c>
      <c r="T124">
        <f t="shared" si="14"/>
        <v>15.6403</v>
      </c>
      <c r="U124">
        <f t="shared" si="15"/>
        <v>7.4149254672999998</v>
      </c>
      <c r="X124" s="9"/>
      <c r="Y124" s="22">
        <v>1.2258899999999999</v>
      </c>
      <c r="Z124" s="22">
        <v>109.133</v>
      </c>
      <c r="AA124" s="22">
        <v>-1.5130599999999999E-2</v>
      </c>
      <c r="AB124" s="22">
        <v>114</v>
      </c>
      <c r="AC124" s="22">
        <v>1.22498</v>
      </c>
      <c r="AD124">
        <f t="shared" si="16"/>
        <v>15.130599999999999</v>
      </c>
      <c r="AE124">
        <f t="shared" si="17"/>
        <v>18.548451233999998</v>
      </c>
      <c r="AF124" s="9"/>
      <c r="AG124" s="22">
        <v>0.47409099999999998</v>
      </c>
      <c r="AH124" s="22">
        <v>140.792</v>
      </c>
      <c r="AI124" s="22">
        <v>-1.5634200000000001E-2</v>
      </c>
      <c r="AJ124" s="22">
        <v>114</v>
      </c>
      <c r="AK124" s="22">
        <v>0.47351100000000002</v>
      </c>
      <c r="AL124">
        <f t="shared" si="18"/>
        <v>15.634200000000002</v>
      </c>
      <c r="AM124">
        <f t="shared" si="19"/>
        <v>7.4120335122000007</v>
      </c>
      <c r="AP124" s="9"/>
      <c r="AQ124" s="22">
        <v>1.2258899999999999</v>
      </c>
      <c r="AR124" s="22">
        <v>190.17099999999999</v>
      </c>
      <c r="AS124" s="22">
        <v>-1.51123E-2</v>
      </c>
      <c r="AT124" s="22">
        <v>114</v>
      </c>
      <c r="AU124" s="22">
        <v>1.2252799999999999</v>
      </c>
      <c r="AV124">
        <f t="shared" si="20"/>
        <v>15.112300000000001</v>
      </c>
      <c r="AW124">
        <f t="shared" si="21"/>
        <v>18.526017447000001</v>
      </c>
      <c r="AX124" s="9"/>
      <c r="AY124" s="22">
        <v>0.47409099999999998</v>
      </c>
      <c r="AZ124" s="22">
        <v>239.554</v>
      </c>
      <c r="BA124" s="22">
        <v>-1.5634200000000001E-2</v>
      </c>
      <c r="BB124" s="22">
        <v>114</v>
      </c>
      <c r="BC124" s="22">
        <v>0.47341899999999998</v>
      </c>
      <c r="BD124">
        <f t="shared" si="22"/>
        <v>15.634200000000002</v>
      </c>
      <c r="BE124">
        <f t="shared" si="23"/>
        <v>7.4120335122000007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10.144600000000001</v>
      </c>
      <c r="I125" s="22">
        <v>-1.50452E-2</v>
      </c>
      <c r="J125" s="22">
        <v>115</v>
      </c>
      <c r="K125" s="22">
        <v>1.2210099999999999</v>
      </c>
      <c r="L125">
        <f t="shared" si="12"/>
        <v>15.045199999999999</v>
      </c>
      <c r="M125">
        <f t="shared" si="13"/>
        <v>18.368082871999999</v>
      </c>
      <c r="N125" s="9"/>
      <c r="O125" s="22">
        <v>0.479126</v>
      </c>
      <c r="P125" s="22">
        <v>59.566000000000003</v>
      </c>
      <c r="Q125" s="22">
        <v>-1.56372E-2</v>
      </c>
      <c r="R125" s="22">
        <v>115</v>
      </c>
      <c r="S125" s="22">
        <v>0.478516</v>
      </c>
      <c r="T125">
        <f t="shared" si="14"/>
        <v>15.6372</v>
      </c>
      <c r="U125">
        <f t="shared" si="15"/>
        <v>7.4921890871999999</v>
      </c>
      <c r="X125" s="9"/>
      <c r="Y125" s="22">
        <v>1.2208600000000001</v>
      </c>
      <c r="Z125" s="22">
        <v>109.143</v>
      </c>
      <c r="AA125" s="22">
        <v>-1.51489E-2</v>
      </c>
      <c r="AB125" s="22">
        <v>115</v>
      </c>
      <c r="AC125" s="22">
        <v>1.2197899999999999</v>
      </c>
      <c r="AD125">
        <f t="shared" si="16"/>
        <v>15.148899999999999</v>
      </c>
      <c r="AE125">
        <f t="shared" si="17"/>
        <v>18.494686053999999</v>
      </c>
      <c r="AF125" s="9"/>
      <c r="AG125" s="22">
        <v>0.479126</v>
      </c>
      <c r="AH125" s="22">
        <v>140.803</v>
      </c>
      <c r="AI125" s="22">
        <v>-1.5634200000000001E-2</v>
      </c>
      <c r="AJ125" s="22">
        <v>115</v>
      </c>
      <c r="AK125" s="22">
        <v>0.47845500000000002</v>
      </c>
      <c r="AL125">
        <f t="shared" si="18"/>
        <v>15.634200000000002</v>
      </c>
      <c r="AM125">
        <f t="shared" si="19"/>
        <v>7.4907517092000004</v>
      </c>
      <c r="AP125" s="9"/>
      <c r="AQ125" s="22">
        <v>1.2208600000000001</v>
      </c>
      <c r="AR125" s="22">
        <v>190.18100000000001</v>
      </c>
      <c r="AS125" s="22">
        <v>-1.5130599999999999E-2</v>
      </c>
      <c r="AT125" s="22">
        <v>115</v>
      </c>
      <c r="AU125" s="22">
        <v>1.2197899999999999</v>
      </c>
      <c r="AV125">
        <f t="shared" si="20"/>
        <v>15.130599999999999</v>
      </c>
      <c r="AW125">
        <f t="shared" si="21"/>
        <v>18.472344316000001</v>
      </c>
      <c r="AX125" s="9"/>
      <c r="AY125" s="22">
        <v>0.479126</v>
      </c>
      <c r="AZ125" s="22">
        <v>239.56399999999999</v>
      </c>
      <c r="BA125" s="22">
        <v>-1.5628099999999999E-2</v>
      </c>
      <c r="BB125" s="22">
        <v>115</v>
      </c>
      <c r="BC125" s="22">
        <v>0.47848499999999999</v>
      </c>
      <c r="BD125">
        <f t="shared" si="22"/>
        <v>15.628099999999998</v>
      </c>
      <c r="BE125">
        <f t="shared" si="23"/>
        <v>7.4878290405999994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10.1546</v>
      </c>
      <c r="I126" s="22">
        <v>-1.50513E-2</v>
      </c>
      <c r="J126" s="22">
        <v>116</v>
      </c>
      <c r="K126" s="22">
        <v>1.2149000000000001</v>
      </c>
      <c r="L126">
        <f t="shared" si="12"/>
        <v>15.051299999999999</v>
      </c>
      <c r="M126">
        <f t="shared" si="13"/>
        <v>18.299671565999997</v>
      </c>
      <c r="N126" s="9"/>
      <c r="O126" s="22">
        <v>0.48416100000000001</v>
      </c>
      <c r="P126" s="22">
        <v>59.576099999999997</v>
      </c>
      <c r="Q126" s="22">
        <v>-1.56372E-2</v>
      </c>
      <c r="R126" s="22">
        <v>116</v>
      </c>
      <c r="S126" s="22">
        <v>0.48358200000000001</v>
      </c>
      <c r="T126">
        <f t="shared" si="14"/>
        <v>15.6372</v>
      </c>
      <c r="U126">
        <f t="shared" si="15"/>
        <v>7.5709223891999997</v>
      </c>
      <c r="X126" s="9"/>
      <c r="Y126" s="22">
        <v>1.2158199999999999</v>
      </c>
      <c r="Z126" s="22">
        <v>109.15300000000001</v>
      </c>
      <c r="AA126" s="22">
        <v>-1.5158100000000001E-2</v>
      </c>
      <c r="AB126" s="22">
        <v>116</v>
      </c>
      <c r="AC126" s="22">
        <v>1.2142900000000001</v>
      </c>
      <c r="AD126">
        <f t="shared" si="16"/>
        <v>15.158100000000001</v>
      </c>
      <c r="AE126">
        <f t="shared" si="17"/>
        <v>18.429521141999999</v>
      </c>
      <c r="AF126" s="9"/>
      <c r="AG126" s="22">
        <v>0.48416100000000001</v>
      </c>
      <c r="AH126" s="22">
        <v>140.81299999999999</v>
      </c>
      <c r="AI126" s="22">
        <v>-1.5634200000000001E-2</v>
      </c>
      <c r="AJ126" s="22">
        <v>116</v>
      </c>
      <c r="AK126" s="22">
        <v>0.48355100000000001</v>
      </c>
      <c r="AL126">
        <f t="shared" si="18"/>
        <v>15.634200000000002</v>
      </c>
      <c r="AM126">
        <f t="shared" si="19"/>
        <v>7.569469906200001</v>
      </c>
      <c r="AP126" s="9"/>
      <c r="AQ126" s="22">
        <v>1.2158199999999999</v>
      </c>
      <c r="AR126" s="22">
        <v>190.191</v>
      </c>
      <c r="AS126" s="22">
        <v>-1.51398E-2</v>
      </c>
      <c r="AT126" s="22">
        <v>116</v>
      </c>
      <c r="AU126" s="22">
        <v>1.2152099999999999</v>
      </c>
      <c r="AV126">
        <f t="shared" si="20"/>
        <v>15.139799999999999</v>
      </c>
      <c r="AW126">
        <f t="shared" si="21"/>
        <v>18.407271635999997</v>
      </c>
      <c r="AX126" s="9"/>
      <c r="AY126" s="22">
        <v>0.48416100000000001</v>
      </c>
      <c r="AZ126" s="22">
        <v>239.57400000000001</v>
      </c>
      <c r="BA126" s="22">
        <v>-1.5625E-2</v>
      </c>
      <c r="BB126" s="22">
        <v>116</v>
      </c>
      <c r="BC126" s="22">
        <v>0.48352099999999998</v>
      </c>
      <c r="BD126">
        <f t="shared" si="22"/>
        <v>15.625</v>
      </c>
      <c r="BE126">
        <f t="shared" si="23"/>
        <v>7.565015625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10.1647</v>
      </c>
      <c r="I127" s="22">
        <v>-1.50574E-2</v>
      </c>
      <c r="J127" s="22">
        <v>117</v>
      </c>
      <c r="K127" s="22">
        <v>1.2100200000000001</v>
      </c>
      <c r="L127">
        <f t="shared" si="12"/>
        <v>15.057399999999999</v>
      </c>
      <c r="M127">
        <f t="shared" si="13"/>
        <v>18.231198771999999</v>
      </c>
      <c r="N127" s="9"/>
      <c r="O127" s="22">
        <v>0.48919699999999999</v>
      </c>
      <c r="P127" s="22">
        <v>59.586100000000002</v>
      </c>
      <c r="Q127" s="22">
        <v>-1.5634200000000001E-2</v>
      </c>
      <c r="R127" s="22">
        <v>117</v>
      </c>
      <c r="S127" s="22">
        <v>0.48858600000000002</v>
      </c>
      <c r="T127">
        <f t="shared" si="14"/>
        <v>15.634200000000002</v>
      </c>
      <c r="U127">
        <f t="shared" si="15"/>
        <v>7.6482037374000003</v>
      </c>
      <c r="X127" s="9"/>
      <c r="Y127" s="22">
        <v>1.21078</v>
      </c>
      <c r="Z127" s="22">
        <v>109.164</v>
      </c>
      <c r="AA127" s="22">
        <v>-1.5170299999999999E-2</v>
      </c>
      <c r="AB127" s="22">
        <v>117</v>
      </c>
      <c r="AC127" s="22">
        <v>1.2103299999999999</v>
      </c>
      <c r="AD127">
        <f t="shared" si="16"/>
        <v>15.170299999999999</v>
      </c>
      <c r="AE127">
        <f t="shared" si="17"/>
        <v>18.367895833999999</v>
      </c>
      <c r="AF127" s="9"/>
      <c r="AG127" s="22">
        <v>0.48919699999999999</v>
      </c>
      <c r="AH127" s="22">
        <v>140.82300000000001</v>
      </c>
      <c r="AI127" s="22">
        <v>-1.56372E-2</v>
      </c>
      <c r="AJ127" s="22">
        <v>117</v>
      </c>
      <c r="AK127" s="22">
        <v>0.48858600000000002</v>
      </c>
      <c r="AL127">
        <f t="shared" si="18"/>
        <v>15.6372</v>
      </c>
      <c r="AM127">
        <f t="shared" si="19"/>
        <v>7.6496713284000002</v>
      </c>
      <c r="AP127" s="9"/>
      <c r="AQ127" s="22">
        <v>1.21078</v>
      </c>
      <c r="AR127" s="22">
        <v>190.20099999999999</v>
      </c>
      <c r="AS127" s="22">
        <v>-1.51459E-2</v>
      </c>
      <c r="AT127" s="22">
        <v>117</v>
      </c>
      <c r="AU127" s="22">
        <v>1.2100200000000001</v>
      </c>
      <c r="AV127">
        <f t="shared" si="20"/>
        <v>15.145900000000001</v>
      </c>
      <c r="AW127">
        <f t="shared" si="21"/>
        <v>18.338352801999999</v>
      </c>
      <c r="AX127" s="9"/>
      <c r="AY127" s="22">
        <v>0.48919699999999999</v>
      </c>
      <c r="AZ127" s="22">
        <v>239.584</v>
      </c>
      <c r="BA127" s="22">
        <v>-1.5621899999999999E-2</v>
      </c>
      <c r="BB127" s="22">
        <v>117</v>
      </c>
      <c r="BC127" s="22">
        <v>0.48861700000000002</v>
      </c>
      <c r="BD127">
        <f t="shared" si="22"/>
        <v>15.6219</v>
      </c>
      <c r="BE127">
        <f t="shared" si="23"/>
        <v>7.6421866142999999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10.174799999999999</v>
      </c>
      <c r="I128" s="22">
        <v>-1.50726E-2</v>
      </c>
      <c r="J128" s="22">
        <v>118</v>
      </c>
      <c r="K128" s="22">
        <v>1.2051400000000001</v>
      </c>
      <c r="L128">
        <f t="shared" si="12"/>
        <v>15.0726</v>
      </c>
      <c r="M128">
        <f t="shared" si="13"/>
        <v>18.173787450000003</v>
      </c>
      <c r="N128" s="9"/>
      <c r="O128" s="22">
        <v>0.494232</v>
      </c>
      <c r="P128" s="22">
        <v>59.596200000000003</v>
      </c>
      <c r="Q128" s="22">
        <v>-1.5631099999999998E-2</v>
      </c>
      <c r="R128" s="22">
        <v>118</v>
      </c>
      <c r="S128" s="22">
        <v>0.49365199999999998</v>
      </c>
      <c r="T128">
        <f t="shared" si="14"/>
        <v>15.631099999999998</v>
      </c>
      <c r="U128">
        <f t="shared" si="15"/>
        <v>7.7253898151999989</v>
      </c>
      <c r="X128" s="9"/>
      <c r="Y128" s="22">
        <v>1.2057500000000001</v>
      </c>
      <c r="Z128" s="22">
        <v>109.17400000000001</v>
      </c>
      <c r="AA128" s="22">
        <v>-1.51764E-2</v>
      </c>
      <c r="AB128" s="22">
        <v>118</v>
      </c>
      <c r="AC128" s="22">
        <v>1.2051400000000001</v>
      </c>
      <c r="AD128">
        <f t="shared" si="16"/>
        <v>15.176399999999999</v>
      </c>
      <c r="AE128">
        <f t="shared" si="17"/>
        <v>18.298944300000002</v>
      </c>
      <c r="AF128" s="9"/>
      <c r="AG128" s="22">
        <v>0.494232</v>
      </c>
      <c r="AH128" s="22">
        <v>140.833</v>
      </c>
      <c r="AI128" s="22">
        <v>-1.56372E-2</v>
      </c>
      <c r="AJ128" s="22">
        <v>118</v>
      </c>
      <c r="AK128" s="22">
        <v>0.49365199999999998</v>
      </c>
      <c r="AL128">
        <f t="shared" si="18"/>
        <v>15.6372</v>
      </c>
      <c r="AM128">
        <f t="shared" si="19"/>
        <v>7.7284046304</v>
      </c>
      <c r="AP128" s="9"/>
      <c r="AQ128" s="22">
        <v>1.2057500000000001</v>
      </c>
      <c r="AR128" s="22">
        <v>190.21100000000001</v>
      </c>
      <c r="AS128" s="22">
        <v>-1.51459E-2</v>
      </c>
      <c r="AT128" s="22">
        <v>118</v>
      </c>
      <c r="AU128" s="22">
        <v>1.2051400000000001</v>
      </c>
      <c r="AV128">
        <f t="shared" si="20"/>
        <v>15.145900000000001</v>
      </c>
      <c r="AW128">
        <f t="shared" si="21"/>
        <v>18.262168925000001</v>
      </c>
      <c r="AX128" s="9"/>
      <c r="AY128" s="22">
        <v>0.494232</v>
      </c>
      <c r="AZ128" s="22">
        <v>239.595</v>
      </c>
      <c r="BA128" s="22">
        <v>-1.5621899999999999E-2</v>
      </c>
      <c r="BB128" s="22">
        <v>118</v>
      </c>
      <c r="BC128" s="22">
        <v>0.49362200000000001</v>
      </c>
      <c r="BD128">
        <f t="shared" si="22"/>
        <v>15.6219</v>
      </c>
      <c r="BE128">
        <f t="shared" si="23"/>
        <v>7.7208428808000003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10.184799999999999</v>
      </c>
      <c r="I129" s="22">
        <v>-1.5090900000000001E-2</v>
      </c>
      <c r="J129" s="22">
        <v>119</v>
      </c>
      <c r="K129" s="22">
        <v>1.1999500000000001</v>
      </c>
      <c r="L129">
        <f t="shared" si="12"/>
        <v>15.090900000000001</v>
      </c>
      <c r="M129">
        <f t="shared" si="13"/>
        <v>18.119794539000001</v>
      </c>
      <c r="N129" s="9"/>
      <c r="O129" s="22">
        <v>0.49926799999999999</v>
      </c>
      <c r="P129" s="22">
        <v>59.606299999999997</v>
      </c>
      <c r="Q129" s="22">
        <v>-1.5631099999999998E-2</v>
      </c>
      <c r="R129" s="22">
        <v>119</v>
      </c>
      <c r="S129" s="22">
        <v>0.49862699999999999</v>
      </c>
      <c r="T129">
        <f t="shared" si="14"/>
        <v>15.631099999999998</v>
      </c>
      <c r="U129">
        <f t="shared" si="15"/>
        <v>7.8041080347999987</v>
      </c>
      <c r="X129" s="9"/>
      <c r="Y129" s="22">
        <v>1.2007099999999999</v>
      </c>
      <c r="Z129" s="22">
        <v>109.184</v>
      </c>
      <c r="AA129" s="22">
        <v>-1.5191700000000001E-2</v>
      </c>
      <c r="AB129" s="22">
        <v>119</v>
      </c>
      <c r="AC129" s="22">
        <v>1.1996500000000001</v>
      </c>
      <c r="AD129">
        <f t="shared" si="16"/>
        <v>15.191700000000001</v>
      </c>
      <c r="AE129">
        <f t="shared" si="17"/>
        <v>18.240826107</v>
      </c>
      <c r="AF129" s="9"/>
      <c r="AG129" s="22">
        <v>0.49926799999999999</v>
      </c>
      <c r="AH129" s="22">
        <v>140.84299999999999</v>
      </c>
      <c r="AI129" s="22">
        <v>-1.5634200000000001E-2</v>
      </c>
      <c r="AJ129" s="22">
        <v>119</v>
      </c>
      <c r="AK129" s="22">
        <v>0.49862699999999999</v>
      </c>
      <c r="AL129">
        <f t="shared" si="18"/>
        <v>15.634200000000002</v>
      </c>
      <c r="AM129">
        <f t="shared" si="19"/>
        <v>7.805655765600001</v>
      </c>
      <c r="AP129" s="9"/>
      <c r="AQ129" s="22">
        <v>1.2007099999999999</v>
      </c>
      <c r="AR129" s="22">
        <v>190.221</v>
      </c>
      <c r="AS129" s="22">
        <v>-1.5155E-2</v>
      </c>
      <c r="AT129" s="22">
        <v>119</v>
      </c>
      <c r="AU129" s="22">
        <v>1.1999500000000001</v>
      </c>
      <c r="AV129">
        <f t="shared" si="20"/>
        <v>15.154999999999999</v>
      </c>
      <c r="AW129">
        <f t="shared" si="21"/>
        <v>18.196760049999998</v>
      </c>
      <c r="AX129" s="9"/>
      <c r="AY129" s="22">
        <v>0.49926799999999999</v>
      </c>
      <c r="AZ129" s="22">
        <v>239.60499999999999</v>
      </c>
      <c r="BA129" s="22">
        <v>-1.5621899999999999E-2</v>
      </c>
      <c r="BB129" s="22">
        <v>119</v>
      </c>
      <c r="BC129" s="22">
        <v>0.49859599999999998</v>
      </c>
      <c r="BD129">
        <f t="shared" si="22"/>
        <v>15.6219</v>
      </c>
      <c r="BE129">
        <f t="shared" si="23"/>
        <v>7.7995147692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10.194900000000001</v>
      </c>
      <c r="I130" s="22">
        <v>-1.51001E-2</v>
      </c>
      <c r="J130" s="22">
        <v>120</v>
      </c>
      <c r="K130" s="22">
        <v>1.19476</v>
      </c>
      <c r="L130">
        <f t="shared" si="12"/>
        <v>15.100099999999999</v>
      </c>
      <c r="M130">
        <f t="shared" si="13"/>
        <v>18.054887568000002</v>
      </c>
      <c r="N130" s="9"/>
      <c r="O130" s="22">
        <v>0.50430299999999995</v>
      </c>
      <c r="P130" s="22">
        <v>59.616300000000003</v>
      </c>
      <c r="Q130" s="22">
        <v>-1.5628099999999999E-2</v>
      </c>
      <c r="R130" s="22">
        <v>120</v>
      </c>
      <c r="S130" s="22">
        <v>0.50369299999999995</v>
      </c>
      <c r="T130">
        <f t="shared" si="14"/>
        <v>15.628099999999998</v>
      </c>
      <c r="U130">
        <f t="shared" si="15"/>
        <v>7.8812977142999978</v>
      </c>
      <c r="X130" s="9"/>
      <c r="Y130" s="22">
        <v>1.1956800000000001</v>
      </c>
      <c r="Z130" s="22">
        <v>109.194</v>
      </c>
      <c r="AA130" s="22">
        <v>-1.52008E-2</v>
      </c>
      <c r="AB130" s="22">
        <v>120</v>
      </c>
      <c r="AC130" s="22">
        <v>1.19476</v>
      </c>
      <c r="AD130">
        <f t="shared" si="16"/>
        <v>15.200800000000001</v>
      </c>
      <c r="AE130">
        <f t="shared" si="17"/>
        <v>18.175292544000001</v>
      </c>
      <c r="AF130" s="9"/>
      <c r="AG130" s="22">
        <v>0.50430299999999995</v>
      </c>
      <c r="AH130" s="22">
        <v>140.85300000000001</v>
      </c>
      <c r="AI130" s="22">
        <v>-1.5631099999999998E-2</v>
      </c>
      <c r="AJ130" s="22">
        <v>120</v>
      </c>
      <c r="AK130" s="22">
        <v>0.50369299999999995</v>
      </c>
      <c r="AL130">
        <f t="shared" si="18"/>
        <v>15.631099999999998</v>
      </c>
      <c r="AM130">
        <f t="shared" si="19"/>
        <v>7.8828106232999984</v>
      </c>
      <c r="AP130" s="9"/>
      <c r="AQ130" s="22">
        <v>1.1956800000000001</v>
      </c>
      <c r="AR130" s="22">
        <v>190.23099999999999</v>
      </c>
      <c r="AS130" s="22">
        <v>-1.5158100000000001E-2</v>
      </c>
      <c r="AT130" s="22">
        <v>120</v>
      </c>
      <c r="AU130" s="22">
        <v>1.1944600000000001</v>
      </c>
      <c r="AV130">
        <f t="shared" si="20"/>
        <v>15.158100000000001</v>
      </c>
      <c r="AW130">
        <f t="shared" si="21"/>
        <v>18.124237008000001</v>
      </c>
      <c r="AX130" s="9"/>
      <c r="AY130" s="22">
        <v>0.50430299999999995</v>
      </c>
      <c r="AZ130" s="22">
        <v>239.61500000000001</v>
      </c>
      <c r="BA130" s="22">
        <v>-1.56189E-2</v>
      </c>
      <c r="BB130" s="22">
        <v>120</v>
      </c>
      <c r="BC130" s="22">
        <v>0.50372300000000003</v>
      </c>
      <c r="BD130">
        <f t="shared" si="22"/>
        <v>15.6189</v>
      </c>
      <c r="BE130">
        <f t="shared" si="23"/>
        <v>7.8766581266999989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10.205</v>
      </c>
      <c r="I131" s="22">
        <v>-1.51123E-2</v>
      </c>
      <c r="J131" s="22">
        <v>121</v>
      </c>
      <c r="K131" s="22">
        <v>1.18896</v>
      </c>
      <c r="L131">
        <f t="shared" si="12"/>
        <v>15.112300000000001</v>
      </c>
      <c r="M131">
        <f t="shared" si="13"/>
        <v>17.993308872</v>
      </c>
      <c r="N131" s="9"/>
      <c r="O131" s="22">
        <v>0.50933799999999996</v>
      </c>
      <c r="P131" s="22">
        <v>59.626399999999997</v>
      </c>
      <c r="Q131" s="22">
        <v>-1.5621899999999999E-2</v>
      </c>
      <c r="R131" s="22">
        <v>121</v>
      </c>
      <c r="S131" s="22">
        <v>0.50872799999999996</v>
      </c>
      <c r="T131">
        <f t="shared" si="14"/>
        <v>15.6219</v>
      </c>
      <c r="U131">
        <f t="shared" si="15"/>
        <v>7.9568273021999998</v>
      </c>
      <c r="X131" s="9"/>
      <c r="Y131" s="22">
        <v>1.1906399999999999</v>
      </c>
      <c r="Z131" s="22">
        <v>109.20399999999999</v>
      </c>
      <c r="AA131" s="22">
        <v>-1.5206900000000001E-2</v>
      </c>
      <c r="AB131" s="22">
        <v>121</v>
      </c>
      <c r="AC131" s="22">
        <v>1.1901900000000001</v>
      </c>
      <c r="AD131">
        <f t="shared" si="16"/>
        <v>15.206900000000001</v>
      </c>
      <c r="AE131">
        <f t="shared" si="17"/>
        <v>18.105943415999999</v>
      </c>
      <c r="AF131" s="9"/>
      <c r="AG131" s="22">
        <v>0.50933799999999996</v>
      </c>
      <c r="AH131" s="22">
        <v>140.863</v>
      </c>
      <c r="AI131" s="22">
        <v>-1.5625E-2</v>
      </c>
      <c r="AJ131" s="22">
        <v>121</v>
      </c>
      <c r="AK131" s="22">
        <v>0.50875899999999996</v>
      </c>
      <c r="AL131">
        <f t="shared" si="18"/>
        <v>15.625</v>
      </c>
      <c r="AM131">
        <f t="shared" si="19"/>
        <v>7.9584062499999995</v>
      </c>
      <c r="AP131" s="9"/>
      <c r="AQ131" s="22">
        <v>1.1906399999999999</v>
      </c>
      <c r="AR131" s="22">
        <v>190.24100000000001</v>
      </c>
      <c r="AS131" s="22">
        <v>-1.5164199999999999E-2</v>
      </c>
      <c r="AT131" s="22">
        <v>121</v>
      </c>
      <c r="AU131" s="22">
        <v>1.1901900000000001</v>
      </c>
      <c r="AV131">
        <f t="shared" si="20"/>
        <v>15.164199999999999</v>
      </c>
      <c r="AW131">
        <f t="shared" si="21"/>
        <v>18.055103087999999</v>
      </c>
      <c r="AX131" s="9"/>
      <c r="AY131" s="22">
        <v>0.50933799999999996</v>
      </c>
      <c r="AZ131" s="22">
        <v>239.625</v>
      </c>
      <c r="BA131" s="22">
        <v>-1.5615800000000001E-2</v>
      </c>
      <c r="BB131" s="22">
        <v>121</v>
      </c>
      <c r="BC131" s="22">
        <v>0.50869799999999998</v>
      </c>
      <c r="BD131">
        <f t="shared" si="22"/>
        <v>15.6158</v>
      </c>
      <c r="BE131">
        <f t="shared" si="23"/>
        <v>7.9537203403999994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10.2151</v>
      </c>
      <c r="I132" s="22">
        <v>-1.5115399999999999E-2</v>
      </c>
      <c r="J132" s="22">
        <v>122</v>
      </c>
      <c r="K132" s="22">
        <v>1.1850000000000001</v>
      </c>
      <c r="L132">
        <f t="shared" si="12"/>
        <v>15.115399999999999</v>
      </c>
      <c r="M132">
        <f t="shared" si="13"/>
        <v>17.920969394</v>
      </c>
      <c r="N132" s="9"/>
      <c r="O132" s="22">
        <v>0.514374</v>
      </c>
      <c r="P132" s="22">
        <v>59.636499999999998</v>
      </c>
      <c r="Q132" s="22">
        <v>-1.5621899999999999E-2</v>
      </c>
      <c r="R132" s="22">
        <v>122</v>
      </c>
      <c r="S132" s="22">
        <v>0.51376299999999997</v>
      </c>
      <c r="T132">
        <f t="shared" si="14"/>
        <v>15.6219</v>
      </c>
      <c r="U132">
        <f t="shared" si="15"/>
        <v>8.0354991905999995</v>
      </c>
      <c r="X132" s="9"/>
      <c r="Y132" s="22">
        <v>1.1856100000000001</v>
      </c>
      <c r="Z132" s="22">
        <v>109.214</v>
      </c>
      <c r="AA132" s="22">
        <v>-1.5213000000000001E-2</v>
      </c>
      <c r="AB132" s="22">
        <v>122</v>
      </c>
      <c r="AC132" s="22">
        <v>1.18469</v>
      </c>
      <c r="AD132">
        <f t="shared" si="16"/>
        <v>15.213000000000001</v>
      </c>
      <c r="AE132">
        <f t="shared" si="17"/>
        <v>18.036684930000003</v>
      </c>
      <c r="AF132" s="9"/>
      <c r="AG132" s="22">
        <v>0.514374</v>
      </c>
      <c r="AH132" s="22">
        <v>140.87299999999999</v>
      </c>
      <c r="AI132" s="22">
        <v>-1.5625E-2</v>
      </c>
      <c r="AJ132" s="22">
        <v>122</v>
      </c>
      <c r="AK132" s="22">
        <v>0.513733</v>
      </c>
      <c r="AL132">
        <f t="shared" si="18"/>
        <v>15.625</v>
      </c>
      <c r="AM132">
        <f t="shared" si="19"/>
        <v>8.0370937500000004</v>
      </c>
      <c r="AP132" s="9"/>
      <c r="AQ132" s="22">
        <v>1.1856100000000001</v>
      </c>
      <c r="AR132" s="22">
        <v>190.251</v>
      </c>
      <c r="AS132" s="22">
        <v>-1.5170299999999999E-2</v>
      </c>
      <c r="AT132" s="22">
        <v>122</v>
      </c>
      <c r="AU132" s="22">
        <v>1.1843900000000001</v>
      </c>
      <c r="AV132">
        <f t="shared" si="20"/>
        <v>15.170299999999999</v>
      </c>
      <c r="AW132">
        <f t="shared" si="21"/>
        <v>17.986059383000001</v>
      </c>
      <c r="AX132" s="9"/>
      <c r="AY132" s="22">
        <v>0.514374</v>
      </c>
      <c r="AZ132" s="22">
        <v>239.63499999999999</v>
      </c>
      <c r="BA132" s="22">
        <v>-1.5615800000000001E-2</v>
      </c>
      <c r="BB132" s="22">
        <v>122</v>
      </c>
      <c r="BC132" s="22">
        <v>0.51376299999999997</v>
      </c>
      <c r="BD132">
        <f t="shared" si="22"/>
        <v>15.6158</v>
      </c>
      <c r="BE132">
        <f t="shared" si="23"/>
        <v>8.0323615091999994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10.225099999999999</v>
      </c>
      <c r="I133" s="22">
        <v>-1.51215E-2</v>
      </c>
      <c r="J133" s="22">
        <v>123</v>
      </c>
      <c r="K133" s="22">
        <v>1.17981</v>
      </c>
      <c r="L133">
        <f t="shared" si="12"/>
        <v>15.121499999999999</v>
      </c>
      <c r="M133">
        <f t="shared" si="13"/>
        <v>17.851989254999996</v>
      </c>
      <c r="N133" s="9"/>
      <c r="O133" s="22">
        <v>0.51940900000000001</v>
      </c>
      <c r="P133" s="22">
        <v>59.646599999999999</v>
      </c>
      <c r="Q133" s="22">
        <v>-1.56189E-2</v>
      </c>
      <c r="R133" s="22">
        <v>123</v>
      </c>
      <c r="S133" s="22">
        <v>0.51873800000000003</v>
      </c>
      <c r="T133">
        <f t="shared" si="14"/>
        <v>15.6189</v>
      </c>
      <c r="U133">
        <f t="shared" si="15"/>
        <v>8.1125972301000004</v>
      </c>
      <c r="X133" s="9"/>
      <c r="Y133" s="22">
        <v>1.1805699999999999</v>
      </c>
      <c r="Z133" s="22">
        <v>109.224</v>
      </c>
      <c r="AA133" s="22">
        <v>-1.5219099999999999E-2</v>
      </c>
      <c r="AB133" s="22">
        <v>123</v>
      </c>
      <c r="AC133" s="22">
        <v>1.18011</v>
      </c>
      <c r="AD133">
        <f t="shared" si="16"/>
        <v>15.219099999999999</v>
      </c>
      <c r="AE133">
        <f t="shared" si="17"/>
        <v>17.967212886999999</v>
      </c>
      <c r="AF133" s="9"/>
      <c r="AG133" s="22">
        <v>0.51940900000000001</v>
      </c>
      <c r="AH133" s="22">
        <v>140.88300000000001</v>
      </c>
      <c r="AI133" s="22">
        <v>-1.5625E-2</v>
      </c>
      <c r="AJ133" s="22">
        <v>123</v>
      </c>
      <c r="AK133" s="22">
        <v>0.51873800000000003</v>
      </c>
      <c r="AL133">
        <f t="shared" si="18"/>
        <v>15.625</v>
      </c>
      <c r="AM133">
        <f t="shared" si="19"/>
        <v>8.1157656249999999</v>
      </c>
      <c r="AP133" s="9"/>
      <c r="AQ133" s="22">
        <v>1.1805699999999999</v>
      </c>
      <c r="AR133" s="22">
        <v>190.261</v>
      </c>
      <c r="AS133" s="22">
        <v>-1.5179399999999999E-2</v>
      </c>
      <c r="AT133" s="22">
        <v>123</v>
      </c>
      <c r="AU133" s="22">
        <v>1.1792</v>
      </c>
      <c r="AV133">
        <f t="shared" si="20"/>
        <v>15.179399999999999</v>
      </c>
      <c r="AW133">
        <f t="shared" si="21"/>
        <v>17.920344257999997</v>
      </c>
      <c r="AX133" s="9"/>
      <c r="AY133" s="22">
        <v>0.51940900000000001</v>
      </c>
      <c r="AZ133" s="22">
        <v>239.64500000000001</v>
      </c>
      <c r="BA133" s="22">
        <v>-1.56189E-2</v>
      </c>
      <c r="BB133" s="22">
        <v>123</v>
      </c>
      <c r="BC133" s="22">
        <v>0.51879900000000001</v>
      </c>
      <c r="BD133">
        <f t="shared" si="22"/>
        <v>15.6189</v>
      </c>
      <c r="BE133">
        <f t="shared" si="23"/>
        <v>8.1125972301000004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10.235200000000001</v>
      </c>
      <c r="I134" s="22">
        <v>-1.5136699999999999E-2</v>
      </c>
      <c r="J134" s="22">
        <v>124</v>
      </c>
      <c r="K134" s="22">
        <v>1.17493</v>
      </c>
      <c r="L134">
        <f t="shared" si="12"/>
        <v>15.136699999999999</v>
      </c>
      <c r="M134">
        <f t="shared" si="13"/>
        <v>17.793796317999998</v>
      </c>
      <c r="N134" s="9"/>
      <c r="O134" s="22">
        <v>0.52444500000000005</v>
      </c>
      <c r="P134" s="22">
        <v>59.656599999999997</v>
      </c>
      <c r="Q134" s="22">
        <v>-1.5615800000000001E-2</v>
      </c>
      <c r="R134" s="22">
        <v>124</v>
      </c>
      <c r="S134" s="22">
        <v>0.52383400000000002</v>
      </c>
      <c r="T134">
        <f t="shared" si="14"/>
        <v>15.6158</v>
      </c>
      <c r="U134">
        <f t="shared" si="15"/>
        <v>8.1896282310000004</v>
      </c>
      <c r="X134" s="9"/>
      <c r="Y134" s="22">
        <v>1.17554</v>
      </c>
      <c r="Z134" s="22">
        <v>109.23399999999999</v>
      </c>
      <c r="AA134" s="22">
        <v>-1.52313E-2</v>
      </c>
      <c r="AB134" s="22">
        <v>124</v>
      </c>
      <c r="AC134" s="22">
        <v>1.17462</v>
      </c>
      <c r="AD134">
        <f t="shared" si="16"/>
        <v>15.231299999999999</v>
      </c>
      <c r="AE134">
        <f t="shared" si="17"/>
        <v>17.905002402000001</v>
      </c>
      <c r="AF134" s="9"/>
      <c r="AG134" s="22">
        <v>0.52444500000000005</v>
      </c>
      <c r="AH134" s="22">
        <v>140.893</v>
      </c>
      <c r="AI134" s="22">
        <v>-1.56189E-2</v>
      </c>
      <c r="AJ134" s="22">
        <v>124</v>
      </c>
      <c r="AK134" s="22">
        <v>0.52380400000000005</v>
      </c>
      <c r="AL134">
        <f t="shared" si="18"/>
        <v>15.6189</v>
      </c>
      <c r="AM134">
        <f t="shared" si="19"/>
        <v>8.1912540105000016</v>
      </c>
      <c r="AP134" s="9"/>
      <c r="AQ134" s="22">
        <v>1.17554</v>
      </c>
      <c r="AR134" s="22">
        <v>190.27199999999999</v>
      </c>
      <c r="AS134" s="22">
        <v>-1.51886E-2</v>
      </c>
      <c r="AT134" s="22">
        <v>124</v>
      </c>
      <c r="AU134" s="22">
        <v>1.17432</v>
      </c>
      <c r="AV134">
        <f t="shared" si="20"/>
        <v>15.188599999999999</v>
      </c>
      <c r="AW134">
        <f t="shared" si="21"/>
        <v>17.854806843999999</v>
      </c>
      <c r="AX134" s="9"/>
      <c r="AY134" s="22">
        <v>0.52444500000000005</v>
      </c>
      <c r="AZ134" s="22">
        <v>239.655</v>
      </c>
      <c r="BA134" s="22">
        <v>-1.56189E-2</v>
      </c>
      <c r="BB134" s="22">
        <v>124</v>
      </c>
      <c r="BC134" s="22">
        <v>0.52383400000000002</v>
      </c>
      <c r="BD134">
        <f t="shared" si="22"/>
        <v>15.6189</v>
      </c>
      <c r="BE134">
        <f t="shared" si="23"/>
        <v>8.1912540105000016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10.2453</v>
      </c>
      <c r="I135" s="22">
        <v>-1.5152000000000001E-2</v>
      </c>
      <c r="J135" s="22">
        <v>125</v>
      </c>
      <c r="K135" s="22">
        <v>1.16913</v>
      </c>
      <c r="L135">
        <f t="shared" si="12"/>
        <v>15.152000000000001</v>
      </c>
      <c r="M135">
        <f t="shared" si="13"/>
        <v>17.735416000000004</v>
      </c>
      <c r="N135" s="9"/>
      <c r="O135" s="22">
        <v>0.52947999999999995</v>
      </c>
      <c r="P135" s="22">
        <v>59.666699999999999</v>
      </c>
      <c r="Q135" s="22">
        <v>-1.5615800000000001E-2</v>
      </c>
      <c r="R135" s="22">
        <v>125</v>
      </c>
      <c r="S135" s="22">
        <v>0.52886999999999995</v>
      </c>
      <c r="T135">
        <f t="shared" si="14"/>
        <v>15.6158</v>
      </c>
      <c r="U135">
        <f t="shared" si="15"/>
        <v>8.2682537839999988</v>
      </c>
      <c r="X135" s="9"/>
      <c r="Y135" s="22">
        <v>1.1705000000000001</v>
      </c>
      <c r="Z135" s="22">
        <v>109.244</v>
      </c>
      <c r="AA135" s="22">
        <v>-1.52435E-2</v>
      </c>
      <c r="AB135" s="22">
        <v>125</v>
      </c>
      <c r="AC135" s="22">
        <v>1.16943</v>
      </c>
      <c r="AD135">
        <f t="shared" si="16"/>
        <v>15.243500000000001</v>
      </c>
      <c r="AE135">
        <f t="shared" si="17"/>
        <v>17.842516750000001</v>
      </c>
      <c r="AF135" s="9"/>
      <c r="AG135" s="22">
        <v>0.52947999999999995</v>
      </c>
      <c r="AH135" s="22">
        <v>140.90299999999999</v>
      </c>
      <c r="AI135" s="22">
        <v>-1.56128E-2</v>
      </c>
      <c r="AJ135" s="22">
        <v>125</v>
      </c>
      <c r="AK135" s="22">
        <v>0.52886999999999995</v>
      </c>
      <c r="AL135">
        <f t="shared" si="18"/>
        <v>15.6128</v>
      </c>
      <c r="AM135">
        <f t="shared" si="19"/>
        <v>8.2666653439999997</v>
      </c>
      <c r="AP135" s="9"/>
      <c r="AQ135" s="22">
        <v>1.1705000000000001</v>
      </c>
      <c r="AR135" s="22">
        <v>190.28200000000001</v>
      </c>
      <c r="AS135" s="22">
        <v>-1.5191700000000001E-2</v>
      </c>
      <c r="AT135" s="22">
        <v>125</v>
      </c>
      <c r="AU135" s="22">
        <v>1.16913</v>
      </c>
      <c r="AV135">
        <f t="shared" si="20"/>
        <v>15.191700000000001</v>
      </c>
      <c r="AW135">
        <f t="shared" si="21"/>
        <v>17.781884850000001</v>
      </c>
      <c r="AX135" s="9"/>
      <c r="AY135" s="22">
        <v>0.52947999999999995</v>
      </c>
      <c r="AZ135" s="22">
        <v>239.66499999999999</v>
      </c>
      <c r="BA135" s="22">
        <v>-1.56189E-2</v>
      </c>
      <c r="BB135" s="22">
        <v>125</v>
      </c>
      <c r="BC135" s="22">
        <v>0.52883899999999995</v>
      </c>
      <c r="BD135">
        <f t="shared" si="22"/>
        <v>15.6189</v>
      </c>
      <c r="BE135">
        <f t="shared" si="23"/>
        <v>8.269895172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10.2553</v>
      </c>
      <c r="I136" s="22">
        <v>-1.5164199999999999E-2</v>
      </c>
      <c r="J136" s="22">
        <v>126</v>
      </c>
      <c r="K136" s="22">
        <v>1.16425</v>
      </c>
      <c r="L136">
        <f t="shared" si="12"/>
        <v>15.164199999999999</v>
      </c>
      <c r="M136">
        <f t="shared" si="13"/>
        <v>17.673420174</v>
      </c>
      <c r="N136" s="9"/>
      <c r="O136" s="22">
        <v>0.53451499999999996</v>
      </c>
      <c r="P136" s="22">
        <v>59.6768</v>
      </c>
      <c r="Q136" s="22">
        <v>-1.56189E-2</v>
      </c>
      <c r="R136" s="22">
        <v>126</v>
      </c>
      <c r="S136" s="22">
        <v>0.53381299999999998</v>
      </c>
      <c r="T136">
        <f t="shared" si="14"/>
        <v>15.6189</v>
      </c>
      <c r="U136">
        <f t="shared" si="15"/>
        <v>8.3485363335000002</v>
      </c>
      <c r="X136" s="9"/>
      <c r="Y136" s="22">
        <v>1.16547</v>
      </c>
      <c r="Z136" s="22">
        <v>109.254</v>
      </c>
      <c r="AA136" s="22">
        <v>-1.5246600000000001E-2</v>
      </c>
      <c r="AB136" s="22">
        <v>126</v>
      </c>
      <c r="AC136" s="22">
        <v>1.16486</v>
      </c>
      <c r="AD136">
        <f t="shared" si="16"/>
        <v>15.246600000000001</v>
      </c>
      <c r="AE136">
        <f t="shared" si="17"/>
        <v>17.769454902</v>
      </c>
      <c r="AF136" s="9"/>
      <c r="AG136" s="22">
        <v>0.53451499999999996</v>
      </c>
      <c r="AH136" s="22">
        <v>140.91300000000001</v>
      </c>
      <c r="AI136" s="22">
        <v>-1.5606699999999999E-2</v>
      </c>
      <c r="AJ136" s="22">
        <v>126</v>
      </c>
      <c r="AK136" s="22">
        <v>0.53384399999999999</v>
      </c>
      <c r="AL136">
        <f t="shared" si="18"/>
        <v>15.6067</v>
      </c>
      <c r="AM136">
        <f t="shared" si="19"/>
        <v>8.3420152504999994</v>
      </c>
      <c r="AP136" s="9"/>
      <c r="AQ136" s="22">
        <v>1.16547</v>
      </c>
      <c r="AR136" s="22">
        <v>190.292</v>
      </c>
      <c r="AS136" s="22">
        <v>-1.52008E-2</v>
      </c>
      <c r="AT136" s="22">
        <v>126</v>
      </c>
      <c r="AU136" s="22">
        <v>1.16425</v>
      </c>
      <c r="AV136">
        <f t="shared" si="20"/>
        <v>15.200800000000001</v>
      </c>
      <c r="AW136">
        <f t="shared" si="21"/>
        <v>17.716076376</v>
      </c>
      <c r="AX136" s="9"/>
      <c r="AY136" s="22">
        <v>0.53451499999999996</v>
      </c>
      <c r="AZ136" s="22">
        <v>239.67500000000001</v>
      </c>
      <c r="BA136" s="22">
        <v>-1.5609700000000001E-2</v>
      </c>
      <c r="BB136" s="22">
        <v>126</v>
      </c>
      <c r="BC136" s="22">
        <v>0.53384399999999999</v>
      </c>
      <c r="BD136">
        <f t="shared" si="22"/>
        <v>15.6097</v>
      </c>
      <c r="BE136">
        <f t="shared" si="23"/>
        <v>8.3436187954999994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10.2654</v>
      </c>
      <c r="I137" s="22">
        <v>-1.51672E-2</v>
      </c>
      <c r="J137" s="22">
        <v>127</v>
      </c>
      <c r="K137" s="22">
        <v>1.1593599999999999</v>
      </c>
      <c r="L137">
        <f t="shared" si="12"/>
        <v>15.167200000000001</v>
      </c>
      <c r="M137">
        <f t="shared" si="13"/>
        <v>17.600473896000004</v>
      </c>
      <c r="N137" s="9"/>
      <c r="O137" s="22">
        <v>0.539551</v>
      </c>
      <c r="P137" s="22">
        <v>59.686799999999998</v>
      </c>
      <c r="Q137" s="22">
        <v>-1.56189E-2</v>
      </c>
      <c r="R137" s="22">
        <v>127</v>
      </c>
      <c r="S137" s="22">
        <v>0.53893999999999997</v>
      </c>
      <c r="T137">
        <f t="shared" si="14"/>
        <v>15.6189</v>
      </c>
      <c r="U137">
        <f t="shared" si="15"/>
        <v>8.4271931138999996</v>
      </c>
      <c r="X137" s="9"/>
      <c r="Y137" s="22">
        <v>1.1604300000000001</v>
      </c>
      <c r="Z137" s="22">
        <v>109.264</v>
      </c>
      <c r="AA137" s="22">
        <v>-1.52496E-2</v>
      </c>
      <c r="AB137" s="22">
        <v>127</v>
      </c>
      <c r="AC137" s="22">
        <v>1.15906</v>
      </c>
      <c r="AD137">
        <f t="shared" si="16"/>
        <v>15.249600000000001</v>
      </c>
      <c r="AE137">
        <f t="shared" si="17"/>
        <v>17.696093328000003</v>
      </c>
      <c r="AF137" s="9"/>
      <c r="AG137" s="22">
        <v>0.539551</v>
      </c>
      <c r="AH137" s="22">
        <v>140.923</v>
      </c>
      <c r="AI137" s="22">
        <v>-1.55975E-2</v>
      </c>
      <c r="AJ137" s="22">
        <v>127</v>
      </c>
      <c r="AK137" s="22">
        <v>0.538879</v>
      </c>
      <c r="AL137">
        <f t="shared" si="18"/>
        <v>15.5975</v>
      </c>
      <c r="AM137">
        <f t="shared" si="19"/>
        <v>8.4156467225</v>
      </c>
      <c r="AP137" s="9"/>
      <c r="AQ137" s="22">
        <v>1.1604300000000001</v>
      </c>
      <c r="AR137" s="22">
        <v>190.30199999999999</v>
      </c>
      <c r="AS137" s="22">
        <v>-1.5203899999999999E-2</v>
      </c>
      <c r="AT137" s="22">
        <v>127</v>
      </c>
      <c r="AU137" s="22">
        <v>1.1599699999999999</v>
      </c>
      <c r="AV137">
        <f t="shared" si="20"/>
        <v>15.203899999999999</v>
      </c>
      <c r="AW137">
        <f t="shared" si="21"/>
        <v>17.643061676999999</v>
      </c>
      <c r="AX137" s="9"/>
      <c r="AY137" s="22">
        <v>0.539551</v>
      </c>
      <c r="AZ137" s="22">
        <v>239.685</v>
      </c>
      <c r="BA137" s="22">
        <v>-1.5606699999999999E-2</v>
      </c>
      <c r="BB137" s="22">
        <v>127</v>
      </c>
      <c r="BC137" s="22">
        <v>0.53897099999999998</v>
      </c>
      <c r="BD137">
        <f t="shared" si="22"/>
        <v>15.6067</v>
      </c>
      <c r="BE137">
        <f t="shared" si="23"/>
        <v>8.4206105917000009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10.275499999999999</v>
      </c>
      <c r="I138" s="22">
        <v>-1.51672E-2</v>
      </c>
      <c r="J138" s="22">
        <v>128</v>
      </c>
      <c r="K138" s="22">
        <v>1.15479</v>
      </c>
      <c r="L138">
        <f t="shared" si="12"/>
        <v>15.167200000000001</v>
      </c>
      <c r="M138">
        <f t="shared" si="13"/>
        <v>17.524182880000001</v>
      </c>
      <c r="N138" s="9"/>
      <c r="O138" s="22">
        <v>0.54458600000000001</v>
      </c>
      <c r="P138" s="22">
        <v>59.696899999999999</v>
      </c>
      <c r="Q138" s="22">
        <v>-1.56189E-2</v>
      </c>
      <c r="R138" s="22">
        <v>128</v>
      </c>
      <c r="S138" s="22">
        <v>0.54391500000000004</v>
      </c>
      <c r="T138">
        <f t="shared" si="14"/>
        <v>15.6189</v>
      </c>
      <c r="U138">
        <f t="shared" si="15"/>
        <v>8.5058342753999998</v>
      </c>
      <c r="X138" s="9"/>
      <c r="Y138" s="22">
        <v>1.1554</v>
      </c>
      <c r="Z138" s="22">
        <v>109.274</v>
      </c>
      <c r="AA138" s="22">
        <v>-1.52496E-2</v>
      </c>
      <c r="AB138" s="22">
        <v>128</v>
      </c>
      <c r="AC138" s="22">
        <v>1.15479</v>
      </c>
      <c r="AD138">
        <f t="shared" si="16"/>
        <v>15.249600000000001</v>
      </c>
      <c r="AE138">
        <f t="shared" si="17"/>
        <v>17.619387840000002</v>
      </c>
      <c r="AF138" s="9"/>
      <c r="AG138" s="22">
        <v>0.54458600000000001</v>
      </c>
      <c r="AH138" s="22">
        <v>140.93299999999999</v>
      </c>
      <c r="AI138" s="22">
        <v>-1.5600599999999999E-2</v>
      </c>
      <c r="AJ138" s="22">
        <v>128</v>
      </c>
      <c r="AK138" s="22">
        <v>0.54391500000000004</v>
      </c>
      <c r="AL138">
        <f t="shared" si="18"/>
        <v>15.6006</v>
      </c>
      <c r="AM138">
        <f t="shared" si="19"/>
        <v>8.4958683516000004</v>
      </c>
      <c r="AP138" s="9"/>
      <c r="AQ138" s="22">
        <v>1.1554</v>
      </c>
      <c r="AR138" s="22">
        <v>190.31200000000001</v>
      </c>
      <c r="AS138" s="22">
        <v>-1.521E-2</v>
      </c>
      <c r="AT138" s="22">
        <v>128</v>
      </c>
      <c r="AU138" s="22">
        <v>1.15479</v>
      </c>
      <c r="AV138">
        <f t="shared" si="20"/>
        <v>15.209999999999999</v>
      </c>
      <c r="AW138">
        <f t="shared" si="21"/>
        <v>17.573633999999998</v>
      </c>
      <c r="AX138" s="9"/>
      <c r="AY138" s="22">
        <v>0.54458600000000001</v>
      </c>
      <c r="AZ138" s="22">
        <v>239.69499999999999</v>
      </c>
      <c r="BA138" s="22">
        <v>-1.5606699999999999E-2</v>
      </c>
      <c r="BB138" s="22">
        <v>128</v>
      </c>
      <c r="BC138" s="22">
        <v>0.54391500000000004</v>
      </c>
      <c r="BD138">
        <f t="shared" si="22"/>
        <v>15.6067</v>
      </c>
      <c r="BE138">
        <f t="shared" si="23"/>
        <v>8.4991903262000008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10.285600000000001</v>
      </c>
      <c r="I139" s="22">
        <v>-1.5170299999999999E-2</v>
      </c>
      <c r="J139" s="22">
        <v>129</v>
      </c>
      <c r="K139" s="22">
        <v>1.1496</v>
      </c>
      <c r="L139">
        <f t="shared" si="12"/>
        <v>15.170299999999999</v>
      </c>
      <c r="M139">
        <f t="shared" si="13"/>
        <v>17.451306307999999</v>
      </c>
      <c r="N139" s="9"/>
      <c r="O139" s="22">
        <v>0.54962200000000005</v>
      </c>
      <c r="P139" s="22">
        <v>59.707000000000001</v>
      </c>
      <c r="Q139" s="22">
        <v>-1.56189E-2</v>
      </c>
      <c r="R139" s="22">
        <v>129</v>
      </c>
      <c r="S139" s="22">
        <v>0.54904200000000003</v>
      </c>
      <c r="T139">
        <f t="shared" si="14"/>
        <v>15.6189</v>
      </c>
      <c r="U139">
        <f t="shared" si="15"/>
        <v>8.5844910558000009</v>
      </c>
      <c r="X139" s="9"/>
      <c r="Y139" s="22">
        <v>1.15036</v>
      </c>
      <c r="Z139" s="22">
        <v>109.28400000000001</v>
      </c>
      <c r="AA139" s="22">
        <v>-1.5255700000000001E-2</v>
      </c>
      <c r="AB139" s="22">
        <v>129</v>
      </c>
      <c r="AC139" s="22">
        <v>1.1496</v>
      </c>
      <c r="AD139">
        <f t="shared" si="16"/>
        <v>15.255700000000001</v>
      </c>
      <c r="AE139">
        <f t="shared" si="17"/>
        <v>17.549547052000001</v>
      </c>
      <c r="AF139" s="9"/>
      <c r="AG139" s="22">
        <v>0.54962200000000005</v>
      </c>
      <c r="AH139" s="22">
        <v>140.94399999999999</v>
      </c>
      <c r="AI139" s="22">
        <v>-1.5600599999999999E-2</v>
      </c>
      <c r="AJ139" s="22">
        <v>129</v>
      </c>
      <c r="AK139" s="22">
        <v>0.54901100000000003</v>
      </c>
      <c r="AL139">
        <f t="shared" si="18"/>
        <v>15.6006</v>
      </c>
      <c r="AM139">
        <f t="shared" si="19"/>
        <v>8.5744329732000004</v>
      </c>
      <c r="AP139" s="9"/>
      <c r="AQ139" s="22">
        <v>1.15036</v>
      </c>
      <c r="AR139" s="22">
        <v>190.322</v>
      </c>
      <c r="AS139" s="22">
        <v>-1.5213000000000001E-2</v>
      </c>
      <c r="AT139" s="22">
        <v>129</v>
      </c>
      <c r="AU139" s="22">
        <v>1.14899</v>
      </c>
      <c r="AV139">
        <f t="shared" si="20"/>
        <v>15.213000000000001</v>
      </c>
      <c r="AW139">
        <f t="shared" si="21"/>
        <v>17.50042668</v>
      </c>
      <c r="AX139" s="9"/>
      <c r="AY139" s="22">
        <v>0.54962200000000005</v>
      </c>
      <c r="AZ139" s="22">
        <v>239.70500000000001</v>
      </c>
      <c r="BA139" s="22">
        <v>-1.56036E-2</v>
      </c>
      <c r="BB139" s="22">
        <v>129</v>
      </c>
      <c r="BC139" s="22">
        <v>0.54898100000000005</v>
      </c>
      <c r="BD139">
        <f t="shared" si="22"/>
        <v>15.6036</v>
      </c>
      <c r="BE139">
        <f t="shared" si="23"/>
        <v>8.5760818392000004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10.2956</v>
      </c>
      <c r="I140" s="22">
        <v>-1.5173300000000001E-2</v>
      </c>
      <c r="J140" s="22">
        <v>130</v>
      </c>
      <c r="K140" s="22">
        <v>1.1447099999999999</v>
      </c>
      <c r="L140">
        <f t="shared" ref="L140:L203" si="24">-I140/$F$2*1000</f>
        <v>15.173300000000001</v>
      </c>
      <c r="M140">
        <f t="shared" ref="M140:M203" si="25">L140*G140</f>
        <v>17.378283956000001</v>
      </c>
      <c r="N140" s="9"/>
      <c r="O140" s="22">
        <v>0.55465699999999996</v>
      </c>
      <c r="P140" s="22">
        <v>59.717100000000002</v>
      </c>
      <c r="Q140" s="22">
        <v>-1.56189E-2</v>
      </c>
      <c r="R140" s="22">
        <v>130</v>
      </c>
      <c r="S140" s="22">
        <v>0.55395499999999998</v>
      </c>
      <c r="T140">
        <f t="shared" ref="T140:T203" si="26">-Q140/$F$2*1000</f>
        <v>15.6189</v>
      </c>
      <c r="U140">
        <f t="shared" ref="U140:U203" si="27">T140*O140</f>
        <v>8.6631322172999994</v>
      </c>
      <c r="X140" s="9"/>
      <c r="Y140" s="22">
        <v>1.1453199999999999</v>
      </c>
      <c r="Z140" s="22">
        <v>109.294</v>
      </c>
      <c r="AA140" s="22">
        <v>-1.5261800000000001E-2</v>
      </c>
      <c r="AB140" s="22">
        <v>130</v>
      </c>
      <c r="AC140" s="22">
        <v>1.1447099999999999</v>
      </c>
      <c r="AD140">
        <f t="shared" ref="AD140:AD203" si="28">-AA140/$F$2*1000</f>
        <v>15.261800000000001</v>
      </c>
      <c r="AE140">
        <f t="shared" ref="AE140:AE203" si="29">AD140*Y140</f>
        <v>17.479644776000001</v>
      </c>
      <c r="AF140" s="9"/>
      <c r="AG140" s="22">
        <v>0.55465699999999996</v>
      </c>
      <c r="AH140" s="22">
        <v>140.95400000000001</v>
      </c>
      <c r="AI140" s="22">
        <v>-1.5606699999999999E-2</v>
      </c>
      <c r="AJ140" s="22">
        <v>130</v>
      </c>
      <c r="AK140" s="22">
        <v>0.55401599999999995</v>
      </c>
      <c r="AL140">
        <f t="shared" ref="AL140:AL203" si="30">-AI140/$F$2*1000</f>
        <v>15.6067</v>
      </c>
      <c r="AM140">
        <f t="shared" ref="AM140:AM203" si="31">AL140*AG140</f>
        <v>8.6563654018999987</v>
      </c>
      <c r="AP140" s="9"/>
      <c r="AQ140" s="22">
        <v>1.1453199999999999</v>
      </c>
      <c r="AR140" s="22">
        <v>190.33199999999999</v>
      </c>
      <c r="AS140" s="22">
        <v>-1.5225199999999999E-2</v>
      </c>
      <c r="AT140" s="22">
        <v>130</v>
      </c>
      <c r="AU140" s="22">
        <v>1.1444099999999999</v>
      </c>
      <c r="AV140">
        <f t="shared" ref="AV140:AV203" si="32">-AS140/$F$2*1000</f>
        <v>15.225199999999999</v>
      </c>
      <c r="AW140">
        <f t="shared" ref="AW140:AW203" si="33">AV140*AQ140</f>
        <v>17.437726063999996</v>
      </c>
      <c r="AX140" s="9"/>
      <c r="AY140" s="22">
        <v>0.55465699999999996</v>
      </c>
      <c r="AZ140" s="22">
        <v>239.715</v>
      </c>
      <c r="BA140" s="22">
        <v>-1.5606699999999999E-2</v>
      </c>
      <c r="BB140" s="22">
        <v>130</v>
      </c>
      <c r="BC140" s="22">
        <v>0.55407700000000004</v>
      </c>
      <c r="BD140">
        <f t="shared" ref="BD140:BD203" si="34">-BA140/$F$2*1000</f>
        <v>15.6067</v>
      </c>
      <c r="BE140">
        <f t="shared" ref="BE140:BE203" si="35">BD140*AY140</f>
        <v>8.6563654018999987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10.3057</v>
      </c>
      <c r="I141" s="22">
        <v>-1.5179399999999999E-2</v>
      </c>
      <c r="J141" s="22">
        <v>131</v>
      </c>
      <c r="K141" s="22">
        <v>1.1392199999999999</v>
      </c>
      <c r="L141">
        <f t="shared" si="24"/>
        <v>15.179399999999999</v>
      </c>
      <c r="M141">
        <f t="shared" si="25"/>
        <v>17.308918026000001</v>
      </c>
      <c r="N141" s="9"/>
      <c r="O141" s="22">
        <v>0.55969199999999997</v>
      </c>
      <c r="P141" s="22">
        <v>59.7271</v>
      </c>
      <c r="Q141" s="22">
        <v>-1.56128E-2</v>
      </c>
      <c r="R141" s="22">
        <v>131</v>
      </c>
      <c r="S141" s="22">
        <v>0.55905199999999999</v>
      </c>
      <c r="T141">
        <f t="shared" si="26"/>
        <v>15.6128</v>
      </c>
      <c r="U141">
        <f t="shared" si="27"/>
        <v>8.7383592575999991</v>
      </c>
      <c r="X141" s="9"/>
      <c r="Y141" s="22">
        <v>1.14029</v>
      </c>
      <c r="Z141" s="22">
        <v>109.30500000000001</v>
      </c>
      <c r="AA141" s="22">
        <v>-1.5267899999999999E-2</v>
      </c>
      <c r="AB141" s="22">
        <v>131</v>
      </c>
      <c r="AC141" s="22">
        <v>1.1389199999999999</v>
      </c>
      <c r="AD141">
        <f t="shared" si="28"/>
        <v>15.267899999999999</v>
      </c>
      <c r="AE141">
        <f t="shared" si="29"/>
        <v>17.409833690999999</v>
      </c>
      <c r="AF141" s="9"/>
      <c r="AG141" s="22">
        <v>0.55969199999999997</v>
      </c>
      <c r="AH141" s="22">
        <v>140.964</v>
      </c>
      <c r="AI141" s="22">
        <v>-1.56036E-2</v>
      </c>
      <c r="AJ141" s="22">
        <v>131</v>
      </c>
      <c r="AK141" s="22">
        <v>0.55911299999999997</v>
      </c>
      <c r="AL141">
        <f t="shared" si="30"/>
        <v>15.6036</v>
      </c>
      <c r="AM141">
        <f t="shared" si="31"/>
        <v>8.7332100912000001</v>
      </c>
      <c r="AP141" s="9"/>
      <c r="AQ141" s="22">
        <v>1.14029</v>
      </c>
      <c r="AR141" s="22">
        <v>190.34200000000001</v>
      </c>
      <c r="AS141" s="22">
        <v>-1.5225199999999999E-2</v>
      </c>
      <c r="AT141" s="22">
        <v>131</v>
      </c>
      <c r="AU141" s="22">
        <v>1.1392199999999999</v>
      </c>
      <c r="AV141">
        <f t="shared" si="32"/>
        <v>15.225199999999999</v>
      </c>
      <c r="AW141">
        <f t="shared" si="33"/>
        <v>17.361143307999999</v>
      </c>
      <c r="AX141" s="9"/>
      <c r="AY141" s="22">
        <v>0.55969199999999997</v>
      </c>
      <c r="AZ141" s="22">
        <v>239.72499999999999</v>
      </c>
      <c r="BA141" s="22">
        <v>-1.5600599999999999E-2</v>
      </c>
      <c r="BB141" s="22">
        <v>131</v>
      </c>
      <c r="BC141" s="22">
        <v>0.55902099999999999</v>
      </c>
      <c r="BD141">
        <f t="shared" si="34"/>
        <v>15.6006</v>
      </c>
      <c r="BE141">
        <f t="shared" si="35"/>
        <v>8.7315310151999999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10.315799999999999</v>
      </c>
      <c r="I142" s="22">
        <v>-1.51886E-2</v>
      </c>
      <c r="J142" s="22">
        <v>132</v>
      </c>
      <c r="K142" s="22">
        <v>1.1346400000000001</v>
      </c>
      <c r="L142">
        <f t="shared" si="24"/>
        <v>15.188599999999999</v>
      </c>
      <c r="M142">
        <f t="shared" si="25"/>
        <v>17.24285815</v>
      </c>
      <c r="N142" s="9"/>
      <c r="O142" s="22">
        <v>0.56472800000000001</v>
      </c>
      <c r="P142" s="22">
        <v>59.737200000000001</v>
      </c>
      <c r="Q142" s="22">
        <v>-1.5609700000000001E-2</v>
      </c>
      <c r="R142" s="22">
        <v>132</v>
      </c>
      <c r="S142" s="22">
        <v>0.56408700000000001</v>
      </c>
      <c r="T142">
        <f t="shared" si="26"/>
        <v>15.6097</v>
      </c>
      <c r="U142">
        <f t="shared" si="27"/>
        <v>8.8152346615999999</v>
      </c>
      <c r="X142" s="9"/>
      <c r="Y142" s="22">
        <v>1.1352500000000001</v>
      </c>
      <c r="Z142" s="22">
        <v>109.315</v>
      </c>
      <c r="AA142" s="22">
        <v>-1.52771E-2</v>
      </c>
      <c r="AB142" s="22">
        <v>132</v>
      </c>
      <c r="AC142" s="22">
        <v>1.1346400000000001</v>
      </c>
      <c r="AD142">
        <f t="shared" si="28"/>
        <v>15.277100000000001</v>
      </c>
      <c r="AE142">
        <f t="shared" si="29"/>
        <v>17.343327775000002</v>
      </c>
      <c r="AF142" s="9"/>
      <c r="AG142" s="22">
        <v>0.56472800000000001</v>
      </c>
      <c r="AH142" s="22">
        <v>140.97399999999999</v>
      </c>
      <c r="AI142" s="22">
        <v>-1.56036E-2</v>
      </c>
      <c r="AJ142" s="22">
        <v>132</v>
      </c>
      <c r="AK142" s="22">
        <v>0.56414799999999998</v>
      </c>
      <c r="AL142">
        <f t="shared" si="30"/>
        <v>15.6036</v>
      </c>
      <c r="AM142">
        <f t="shared" si="31"/>
        <v>8.8117898207999996</v>
      </c>
      <c r="AP142" s="9"/>
      <c r="AQ142" s="22">
        <v>1.1352500000000001</v>
      </c>
      <c r="AR142" s="22">
        <v>190.352</v>
      </c>
      <c r="AS142" s="22">
        <v>-1.52313E-2</v>
      </c>
      <c r="AT142" s="22">
        <v>132</v>
      </c>
      <c r="AU142" s="22">
        <v>1.1340300000000001</v>
      </c>
      <c r="AV142">
        <f t="shared" si="32"/>
        <v>15.231299999999999</v>
      </c>
      <c r="AW142">
        <f t="shared" si="33"/>
        <v>17.291333325</v>
      </c>
      <c r="AX142" s="9"/>
      <c r="AY142" s="22">
        <v>0.56472800000000001</v>
      </c>
      <c r="AZ142" s="22">
        <v>239.73599999999999</v>
      </c>
      <c r="BA142" s="22">
        <v>-1.5600599999999999E-2</v>
      </c>
      <c r="BB142" s="22">
        <v>132</v>
      </c>
      <c r="BC142" s="22">
        <v>0.56402600000000003</v>
      </c>
      <c r="BD142">
        <f t="shared" si="34"/>
        <v>15.6006</v>
      </c>
      <c r="BE142">
        <f t="shared" si="35"/>
        <v>8.8100956367999999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10.325799999999999</v>
      </c>
      <c r="I143" s="22">
        <v>-1.52008E-2</v>
      </c>
      <c r="J143" s="22">
        <v>133</v>
      </c>
      <c r="K143" s="22">
        <v>1.1294599999999999</v>
      </c>
      <c r="L143">
        <f t="shared" si="24"/>
        <v>15.200800000000001</v>
      </c>
      <c r="M143">
        <f t="shared" si="25"/>
        <v>17.180248176000003</v>
      </c>
      <c r="N143" s="9"/>
      <c r="O143" s="22">
        <v>0.56976300000000002</v>
      </c>
      <c r="P143" s="22">
        <v>59.747300000000003</v>
      </c>
      <c r="Q143" s="22">
        <v>-1.5609700000000001E-2</v>
      </c>
      <c r="R143" s="22">
        <v>133</v>
      </c>
      <c r="S143" s="22">
        <v>0.56912200000000002</v>
      </c>
      <c r="T143">
        <f t="shared" si="26"/>
        <v>15.6097</v>
      </c>
      <c r="U143">
        <f t="shared" si="27"/>
        <v>8.8938295011000008</v>
      </c>
      <c r="X143" s="9"/>
      <c r="Y143" s="22">
        <v>1.13022</v>
      </c>
      <c r="Z143" s="22">
        <v>109.325</v>
      </c>
      <c r="AA143" s="22">
        <v>-1.5280200000000001E-2</v>
      </c>
      <c r="AB143" s="22">
        <v>133</v>
      </c>
      <c r="AC143" s="22">
        <v>1.1294599999999999</v>
      </c>
      <c r="AD143">
        <f t="shared" si="28"/>
        <v>15.280200000000001</v>
      </c>
      <c r="AE143">
        <f t="shared" si="29"/>
        <v>17.269987644</v>
      </c>
      <c r="AF143" s="9"/>
      <c r="AG143" s="22">
        <v>0.56976300000000002</v>
      </c>
      <c r="AH143" s="22">
        <v>140.98400000000001</v>
      </c>
      <c r="AI143" s="22">
        <v>-1.5600599999999999E-2</v>
      </c>
      <c r="AJ143" s="22">
        <v>133</v>
      </c>
      <c r="AK143" s="22">
        <v>0.56915300000000002</v>
      </c>
      <c r="AL143">
        <f t="shared" si="30"/>
        <v>15.6006</v>
      </c>
      <c r="AM143">
        <f t="shared" si="31"/>
        <v>8.8886446578000005</v>
      </c>
      <c r="AP143" s="9"/>
      <c r="AQ143" s="22">
        <v>1.13022</v>
      </c>
      <c r="AR143" s="22">
        <v>190.36199999999999</v>
      </c>
      <c r="AS143" s="22">
        <v>-1.5240500000000001E-2</v>
      </c>
      <c r="AT143" s="22">
        <v>133</v>
      </c>
      <c r="AU143" s="22">
        <v>1.1291500000000001</v>
      </c>
      <c r="AV143">
        <f t="shared" si="32"/>
        <v>15.240500000000001</v>
      </c>
      <c r="AW143">
        <f t="shared" si="33"/>
        <v>17.225117910000002</v>
      </c>
      <c r="AX143" s="9"/>
      <c r="AY143" s="22">
        <v>0.56976300000000002</v>
      </c>
      <c r="AZ143" s="22">
        <v>239.74600000000001</v>
      </c>
      <c r="BA143" s="22">
        <v>-1.55975E-2</v>
      </c>
      <c r="BB143" s="22">
        <v>133</v>
      </c>
      <c r="BC143" s="22">
        <v>0.56912200000000002</v>
      </c>
      <c r="BD143">
        <f t="shared" si="34"/>
        <v>15.5975</v>
      </c>
      <c r="BE143">
        <f t="shared" si="35"/>
        <v>8.8868783924999999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10.335900000000001</v>
      </c>
      <c r="I144" s="22">
        <v>-1.5203899999999999E-2</v>
      </c>
      <c r="J144" s="22">
        <v>134</v>
      </c>
      <c r="K144" s="22">
        <v>1.1239600000000001</v>
      </c>
      <c r="L144">
        <f t="shared" si="24"/>
        <v>15.203899999999999</v>
      </c>
      <c r="M144">
        <f t="shared" si="25"/>
        <v>17.107124202000001</v>
      </c>
      <c r="N144" s="9"/>
      <c r="O144" s="22">
        <v>0.57479899999999995</v>
      </c>
      <c r="P144" s="22">
        <v>59.757300000000001</v>
      </c>
      <c r="Q144" s="22">
        <v>-1.56128E-2</v>
      </c>
      <c r="R144" s="22">
        <v>134</v>
      </c>
      <c r="S144" s="22">
        <v>0.57418800000000003</v>
      </c>
      <c r="T144">
        <f t="shared" si="26"/>
        <v>15.6128</v>
      </c>
      <c r="U144">
        <f t="shared" si="27"/>
        <v>8.9742218271999992</v>
      </c>
      <c r="X144" s="9"/>
      <c r="Y144" s="22">
        <v>1.1251800000000001</v>
      </c>
      <c r="Z144" s="22">
        <v>109.33499999999999</v>
      </c>
      <c r="AA144" s="22">
        <v>-1.52832E-2</v>
      </c>
      <c r="AB144" s="22">
        <v>134</v>
      </c>
      <c r="AC144" s="22">
        <v>1.1242700000000001</v>
      </c>
      <c r="AD144">
        <f t="shared" si="28"/>
        <v>15.283200000000001</v>
      </c>
      <c r="AE144">
        <f t="shared" si="29"/>
        <v>17.196350976000002</v>
      </c>
      <c r="AF144" s="9"/>
      <c r="AG144" s="22">
        <v>0.57479899999999995</v>
      </c>
      <c r="AH144" s="22">
        <v>140.994</v>
      </c>
      <c r="AI144" s="22">
        <v>-1.56036E-2</v>
      </c>
      <c r="AJ144" s="22">
        <v>134</v>
      </c>
      <c r="AK144" s="22">
        <v>0.57412700000000005</v>
      </c>
      <c r="AL144">
        <f t="shared" si="30"/>
        <v>15.6036</v>
      </c>
      <c r="AM144">
        <f t="shared" si="31"/>
        <v>8.9689336763999989</v>
      </c>
      <c r="AP144" s="9"/>
      <c r="AQ144" s="22">
        <v>1.1251800000000001</v>
      </c>
      <c r="AR144" s="22">
        <v>190.37200000000001</v>
      </c>
      <c r="AS144" s="22">
        <v>-1.52374E-2</v>
      </c>
      <c r="AT144" s="22">
        <v>134</v>
      </c>
      <c r="AU144" s="22">
        <v>1.1242700000000001</v>
      </c>
      <c r="AV144">
        <f t="shared" si="32"/>
        <v>15.237399999999999</v>
      </c>
      <c r="AW144">
        <f t="shared" si="33"/>
        <v>17.144817732</v>
      </c>
      <c r="AX144" s="9"/>
      <c r="AY144" s="22">
        <v>0.57479899999999995</v>
      </c>
      <c r="AZ144" s="22">
        <v>239.756</v>
      </c>
      <c r="BA144" s="22">
        <v>-1.55914E-2</v>
      </c>
      <c r="BB144" s="22">
        <v>134</v>
      </c>
      <c r="BC144" s="22">
        <v>0.57412700000000005</v>
      </c>
      <c r="BD144">
        <f t="shared" si="34"/>
        <v>15.5914</v>
      </c>
      <c r="BE144">
        <f t="shared" si="35"/>
        <v>8.9619211285999985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10.346</v>
      </c>
      <c r="I145" s="22">
        <v>-1.52161E-2</v>
      </c>
      <c r="J145" s="22">
        <v>135</v>
      </c>
      <c r="K145" s="22">
        <v>1.11938</v>
      </c>
      <c r="L145">
        <f t="shared" si="24"/>
        <v>15.216099999999999</v>
      </c>
      <c r="M145">
        <f t="shared" si="25"/>
        <v>17.044314414999999</v>
      </c>
      <c r="N145" s="9"/>
      <c r="O145" s="22">
        <v>0.57983399999999996</v>
      </c>
      <c r="P145" s="22">
        <v>59.767400000000002</v>
      </c>
      <c r="Q145" s="22">
        <v>-1.56128E-2</v>
      </c>
      <c r="R145" s="22">
        <v>135</v>
      </c>
      <c r="S145" s="22">
        <v>0.57919299999999996</v>
      </c>
      <c r="T145">
        <f t="shared" si="26"/>
        <v>15.6128</v>
      </c>
      <c r="U145">
        <f t="shared" si="27"/>
        <v>9.0528322752000001</v>
      </c>
      <c r="X145" s="9"/>
      <c r="Y145" s="22">
        <v>1.12015</v>
      </c>
      <c r="Z145" s="22">
        <v>109.345</v>
      </c>
      <c r="AA145" s="22">
        <v>-1.52832E-2</v>
      </c>
      <c r="AB145" s="22">
        <v>135</v>
      </c>
      <c r="AC145" s="22">
        <v>1.11938</v>
      </c>
      <c r="AD145">
        <f t="shared" si="28"/>
        <v>15.283200000000001</v>
      </c>
      <c r="AE145">
        <f t="shared" si="29"/>
        <v>17.119476479999999</v>
      </c>
      <c r="AF145" s="9"/>
      <c r="AG145" s="22">
        <v>0.57983399999999996</v>
      </c>
      <c r="AH145" s="22">
        <v>141.00399999999999</v>
      </c>
      <c r="AI145" s="22">
        <v>-1.5606699999999999E-2</v>
      </c>
      <c r="AJ145" s="22">
        <v>135</v>
      </c>
      <c r="AK145" s="22">
        <v>0.57916299999999998</v>
      </c>
      <c r="AL145">
        <f t="shared" si="30"/>
        <v>15.6067</v>
      </c>
      <c r="AM145">
        <f t="shared" si="31"/>
        <v>9.0492952877999997</v>
      </c>
      <c r="AP145" s="9"/>
      <c r="AQ145" s="22">
        <v>1.12015</v>
      </c>
      <c r="AR145" s="22">
        <v>190.38200000000001</v>
      </c>
      <c r="AS145" s="22">
        <v>-1.5246600000000001E-2</v>
      </c>
      <c r="AT145" s="22">
        <v>135</v>
      </c>
      <c r="AU145" s="22">
        <v>1.11938</v>
      </c>
      <c r="AV145">
        <f t="shared" si="32"/>
        <v>15.246600000000001</v>
      </c>
      <c r="AW145">
        <f t="shared" si="33"/>
        <v>17.078478990000001</v>
      </c>
      <c r="AX145" s="9"/>
      <c r="AY145" s="22">
        <v>0.57983399999999996</v>
      </c>
      <c r="AZ145" s="22">
        <v>239.76599999999999</v>
      </c>
      <c r="BA145" s="22">
        <v>-1.55914E-2</v>
      </c>
      <c r="BB145" s="22">
        <v>135</v>
      </c>
      <c r="BC145" s="22">
        <v>0.57922399999999996</v>
      </c>
      <c r="BD145">
        <f t="shared" si="34"/>
        <v>15.5914</v>
      </c>
      <c r="BE145">
        <f t="shared" si="35"/>
        <v>9.0404238275999997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10.3561</v>
      </c>
      <c r="I146" s="22">
        <v>-1.5225199999999999E-2</v>
      </c>
      <c r="J146" s="22">
        <v>136</v>
      </c>
      <c r="K146" s="22">
        <v>1.1145</v>
      </c>
      <c r="L146">
        <f t="shared" si="24"/>
        <v>15.225199999999999</v>
      </c>
      <c r="M146">
        <f t="shared" si="25"/>
        <v>16.977772771999998</v>
      </c>
      <c r="N146" s="9"/>
      <c r="O146" s="22">
        <v>0.58486899999999997</v>
      </c>
      <c r="P146" s="22">
        <v>59.777500000000003</v>
      </c>
      <c r="Q146" s="22">
        <v>-1.5609700000000001E-2</v>
      </c>
      <c r="R146" s="22">
        <v>136</v>
      </c>
      <c r="S146" s="22">
        <v>0.584229</v>
      </c>
      <c r="T146">
        <f t="shared" si="26"/>
        <v>15.6097</v>
      </c>
      <c r="U146">
        <f t="shared" si="27"/>
        <v>9.1296296293000001</v>
      </c>
      <c r="X146" s="9"/>
      <c r="Y146" s="22">
        <v>1.11511</v>
      </c>
      <c r="Z146" s="22">
        <v>109.355</v>
      </c>
      <c r="AA146" s="22">
        <v>-1.52832E-2</v>
      </c>
      <c r="AB146" s="22">
        <v>136</v>
      </c>
      <c r="AC146" s="22">
        <v>1.1148100000000001</v>
      </c>
      <c r="AD146">
        <f t="shared" si="28"/>
        <v>15.283200000000001</v>
      </c>
      <c r="AE146">
        <f t="shared" si="29"/>
        <v>17.042449152000003</v>
      </c>
      <c r="AF146" s="9"/>
      <c r="AG146" s="22">
        <v>0.58486899999999997</v>
      </c>
      <c r="AH146" s="22">
        <v>141.01400000000001</v>
      </c>
      <c r="AI146" s="22">
        <v>-1.5600599999999999E-2</v>
      </c>
      <c r="AJ146" s="22">
        <v>136</v>
      </c>
      <c r="AK146" s="22">
        <v>0.58428999999999998</v>
      </c>
      <c r="AL146">
        <f t="shared" si="30"/>
        <v>15.6006</v>
      </c>
      <c r="AM146">
        <f t="shared" si="31"/>
        <v>9.1243073213999999</v>
      </c>
      <c r="AP146" s="9"/>
      <c r="AQ146" s="22">
        <v>1.11511</v>
      </c>
      <c r="AR146" s="22">
        <v>190.392</v>
      </c>
      <c r="AS146" s="22">
        <v>-1.52496E-2</v>
      </c>
      <c r="AT146" s="22">
        <v>136</v>
      </c>
      <c r="AU146" s="22">
        <v>1.1145</v>
      </c>
      <c r="AV146">
        <f t="shared" si="32"/>
        <v>15.249600000000001</v>
      </c>
      <c r="AW146">
        <f t="shared" si="33"/>
        <v>17.004981456000003</v>
      </c>
      <c r="AX146" s="9"/>
      <c r="AY146" s="22">
        <v>0.58486899999999997</v>
      </c>
      <c r="AZ146" s="22">
        <v>239.77600000000001</v>
      </c>
      <c r="BA146" s="22">
        <v>-1.5588400000000001E-2</v>
      </c>
      <c r="BB146" s="22">
        <v>136</v>
      </c>
      <c r="BC146" s="22">
        <v>0.58416699999999999</v>
      </c>
      <c r="BD146">
        <f t="shared" si="34"/>
        <v>15.5884</v>
      </c>
      <c r="BE146">
        <f t="shared" si="35"/>
        <v>9.1171719195999987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10.366099999999999</v>
      </c>
      <c r="I147" s="22">
        <v>-1.52344E-2</v>
      </c>
      <c r="J147" s="22">
        <v>137</v>
      </c>
      <c r="K147" s="22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2">
        <v>0.58990500000000001</v>
      </c>
      <c r="P147" s="22">
        <v>59.787500000000001</v>
      </c>
      <c r="Q147" s="22">
        <v>-1.56036E-2</v>
      </c>
      <c r="R147" s="22">
        <v>137</v>
      </c>
      <c r="S147" s="22">
        <v>0.58932499999999999</v>
      </c>
      <c r="T147">
        <f t="shared" si="26"/>
        <v>15.6036</v>
      </c>
      <c r="U147">
        <f t="shared" si="27"/>
        <v>9.2046416579999999</v>
      </c>
      <c r="X147" s="9"/>
      <c r="Y147" s="22">
        <v>1.11008</v>
      </c>
      <c r="Z147" s="22">
        <v>109.36499999999999</v>
      </c>
      <c r="AA147" s="22">
        <v>-1.52893E-2</v>
      </c>
      <c r="AB147" s="22">
        <v>137</v>
      </c>
      <c r="AC147" s="22">
        <v>1.10931</v>
      </c>
      <c r="AD147">
        <f t="shared" si="28"/>
        <v>15.289300000000001</v>
      </c>
      <c r="AE147">
        <f t="shared" si="29"/>
        <v>16.972346143999999</v>
      </c>
      <c r="AF147" s="9"/>
      <c r="AG147" s="22">
        <v>0.58990500000000001</v>
      </c>
      <c r="AH147" s="22">
        <v>141.024</v>
      </c>
      <c r="AI147" s="22">
        <v>-1.56036E-2</v>
      </c>
      <c r="AJ147" s="22">
        <v>137</v>
      </c>
      <c r="AK147" s="22">
        <v>0.58929399999999998</v>
      </c>
      <c r="AL147">
        <f t="shared" si="30"/>
        <v>15.6036</v>
      </c>
      <c r="AM147">
        <f t="shared" si="31"/>
        <v>9.2046416579999999</v>
      </c>
      <c r="AP147" s="9"/>
      <c r="AQ147" s="22">
        <v>1.11008</v>
      </c>
      <c r="AR147" s="22">
        <v>190.40199999999999</v>
      </c>
      <c r="AS147" s="22">
        <v>-1.5252699999999999E-2</v>
      </c>
      <c r="AT147" s="22">
        <v>137</v>
      </c>
      <c r="AU147" s="22">
        <v>1.1090100000000001</v>
      </c>
      <c r="AV147">
        <f t="shared" si="32"/>
        <v>15.252699999999999</v>
      </c>
      <c r="AW147">
        <f t="shared" si="33"/>
        <v>16.931717215999999</v>
      </c>
      <c r="AX147" s="9"/>
      <c r="AY147" s="22">
        <v>0.58990500000000001</v>
      </c>
      <c r="AZ147" s="22">
        <v>239.786</v>
      </c>
      <c r="BA147" s="22">
        <v>-1.5588400000000001E-2</v>
      </c>
      <c r="BB147" s="22">
        <v>137</v>
      </c>
      <c r="BC147" s="22">
        <v>0.58929399999999998</v>
      </c>
      <c r="BD147">
        <f t="shared" si="34"/>
        <v>15.5884</v>
      </c>
      <c r="BE147">
        <f t="shared" si="35"/>
        <v>9.1956751020000009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10.376200000000001</v>
      </c>
      <c r="I148" s="22">
        <v>-1.52435E-2</v>
      </c>
      <c r="J148" s="22">
        <v>138</v>
      </c>
      <c r="K148" s="22">
        <v>1.10443</v>
      </c>
      <c r="L148">
        <f t="shared" si="24"/>
        <v>15.243500000000001</v>
      </c>
      <c r="M148">
        <f t="shared" si="25"/>
        <v>16.844677240000003</v>
      </c>
      <c r="N148" s="9"/>
      <c r="O148" s="22">
        <v>0.59494000000000002</v>
      </c>
      <c r="P148" s="22">
        <v>59.797600000000003</v>
      </c>
      <c r="Q148" s="22">
        <v>-1.56036E-2</v>
      </c>
      <c r="R148" s="22">
        <v>138</v>
      </c>
      <c r="S148" s="22">
        <v>0.59436</v>
      </c>
      <c r="T148">
        <f t="shared" si="26"/>
        <v>15.6036</v>
      </c>
      <c r="U148">
        <f t="shared" si="27"/>
        <v>9.2832057839999997</v>
      </c>
      <c r="X148" s="9"/>
      <c r="Y148" s="22">
        <v>1.10504</v>
      </c>
      <c r="Z148" s="22">
        <v>109.375</v>
      </c>
      <c r="AA148" s="22">
        <v>-1.5292399999999999E-2</v>
      </c>
      <c r="AB148" s="22">
        <v>138</v>
      </c>
      <c r="AC148" s="22">
        <v>1.10443</v>
      </c>
      <c r="AD148">
        <f t="shared" si="28"/>
        <v>15.292399999999999</v>
      </c>
      <c r="AE148">
        <f t="shared" si="29"/>
        <v>16.898713695999998</v>
      </c>
      <c r="AF148" s="9"/>
      <c r="AG148" s="22">
        <v>0.59494000000000002</v>
      </c>
      <c r="AH148" s="22">
        <v>141.03399999999999</v>
      </c>
      <c r="AI148" s="22">
        <v>-1.55975E-2</v>
      </c>
      <c r="AJ148" s="22">
        <v>138</v>
      </c>
      <c r="AK148" s="22">
        <v>0.59426900000000005</v>
      </c>
      <c r="AL148">
        <f t="shared" si="30"/>
        <v>15.5975</v>
      </c>
      <c r="AM148">
        <f t="shared" si="31"/>
        <v>9.279576650000001</v>
      </c>
      <c r="AP148" s="9"/>
      <c r="AQ148" s="22">
        <v>1.10504</v>
      </c>
      <c r="AR148" s="22">
        <v>190.41300000000001</v>
      </c>
      <c r="AS148" s="22">
        <v>-1.5258799999999999E-2</v>
      </c>
      <c r="AT148" s="22">
        <v>138</v>
      </c>
      <c r="AU148" s="22">
        <v>1.10382</v>
      </c>
      <c r="AV148">
        <f t="shared" si="32"/>
        <v>15.258799999999999</v>
      </c>
      <c r="AW148">
        <f t="shared" si="33"/>
        <v>16.861584351999998</v>
      </c>
      <c r="AX148" s="9"/>
      <c r="AY148" s="22">
        <v>0.59494000000000002</v>
      </c>
      <c r="AZ148" s="22">
        <v>239.79599999999999</v>
      </c>
      <c r="BA148" s="22">
        <v>-1.5588400000000001E-2</v>
      </c>
      <c r="BB148" s="22">
        <v>138</v>
      </c>
      <c r="BC148" s="22">
        <v>0.59429900000000002</v>
      </c>
      <c r="BD148">
        <f t="shared" si="34"/>
        <v>15.5884</v>
      </c>
      <c r="BE148">
        <f t="shared" si="35"/>
        <v>9.2741626960000012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10.3863</v>
      </c>
      <c r="I149" s="22">
        <v>-1.52496E-2</v>
      </c>
      <c r="J149" s="22">
        <v>139</v>
      </c>
      <c r="K149" s="22">
        <v>1.09924</v>
      </c>
      <c r="L149">
        <f t="shared" si="24"/>
        <v>15.249600000000001</v>
      </c>
      <c r="M149">
        <f t="shared" si="25"/>
        <v>16.774712495999999</v>
      </c>
      <c r="N149" s="9"/>
      <c r="O149" s="22">
        <v>0.59997599999999995</v>
      </c>
      <c r="P149" s="22">
        <v>59.807699999999997</v>
      </c>
      <c r="Q149" s="22">
        <v>-1.5606699999999999E-2</v>
      </c>
      <c r="R149" s="22">
        <v>139</v>
      </c>
      <c r="S149" s="22">
        <v>0.59936500000000004</v>
      </c>
      <c r="T149">
        <f t="shared" si="26"/>
        <v>15.6067</v>
      </c>
      <c r="U149">
        <f t="shared" si="27"/>
        <v>9.363645439199999</v>
      </c>
      <c r="X149" s="9"/>
      <c r="Y149" s="22">
        <v>1.1000099999999999</v>
      </c>
      <c r="Z149" s="22">
        <v>109.38500000000001</v>
      </c>
      <c r="AA149" s="22">
        <v>-1.5301500000000001E-2</v>
      </c>
      <c r="AB149" s="22">
        <v>139</v>
      </c>
      <c r="AC149" s="22">
        <v>1.09955</v>
      </c>
      <c r="AD149">
        <f t="shared" si="28"/>
        <v>15.301500000000001</v>
      </c>
      <c r="AE149">
        <f t="shared" si="29"/>
        <v>16.831803014999998</v>
      </c>
      <c r="AF149" s="9"/>
      <c r="AG149" s="22">
        <v>0.59997599999999995</v>
      </c>
      <c r="AH149" s="22">
        <v>141.04400000000001</v>
      </c>
      <c r="AI149" s="22">
        <v>-1.55914E-2</v>
      </c>
      <c r="AJ149" s="22">
        <v>139</v>
      </c>
      <c r="AK149" s="22">
        <v>0.59939600000000004</v>
      </c>
      <c r="AL149">
        <f t="shared" si="30"/>
        <v>15.5914</v>
      </c>
      <c r="AM149">
        <f t="shared" si="31"/>
        <v>9.3544658063999986</v>
      </c>
      <c r="AP149" s="9"/>
      <c r="AQ149" s="22">
        <v>1.1000099999999999</v>
      </c>
      <c r="AR149" s="22">
        <v>190.423</v>
      </c>
      <c r="AS149" s="22">
        <v>-1.5261800000000001E-2</v>
      </c>
      <c r="AT149" s="22">
        <v>139</v>
      </c>
      <c r="AU149" s="22">
        <v>1.09894</v>
      </c>
      <c r="AV149">
        <f t="shared" si="32"/>
        <v>15.261800000000001</v>
      </c>
      <c r="AW149">
        <f t="shared" si="33"/>
        <v>16.788132617999999</v>
      </c>
      <c r="AX149" s="9"/>
      <c r="AY149" s="22">
        <v>0.59997599999999995</v>
      </c>
      <c r="AZ149" s="22">
        <v>239.80600000000001</v>
      </c>
      <c r="BA149" s="22">
        <v>-1.5594500000000001E-2</v>
      </c>
      <c r="BB149" s="22">
        <v>139</v>
      </c>
      <c r="BC149" s="22">
        <v>0.59936500000000004</v>
      </c>
      <c r="BD149">
        <f t="shared" si="34"/>
        <v>15.5945</v>
      </c>
      <c r="BE149">
        <f t="shared" si="35"/>
        <v>9.3563257320000002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10.3963</v>
      </c>
      <c r="I150" s="22">
        <v>-1.5261800000000001E-2</v>
      </c>
      <c r="J150" s="22">
        <v>140</v>
      </c>
      <c r="K150" s="22">
        <v>1.09406</v>
      </c>
      <c r="L150">
        <f t="shared" si="24"/>
        <v>15.261800000000001</v>
      </c>
      <c r="M150">
        <f t="shared" si="25"/>
        <v>16.711213146000002</v>
      </c>
      <c r="N150" s="9"/>
      <c r="O150" s="22">
        <v>0.60501099999999997</v>
      </c>
      <c r="P150" s="22">
        <v>59.817799999999998</v>
      </c>
      <c r="Q150" s="22">
        <v>-1.5609700000000001E-2</v>
      </c>
      <c r="R150" s="22">
        <v>140</v>
      </c>
      <c r="S150" s="22">
        <v>0.60430899999999999</v>
      </c>
      <c r="T150">
        <f t="shared" si="26"/>
        <v>15.6097</v>
      </c>
      <c r="U150">
        <f t="shared" si="27"/>
        <v>9.4440402066999987</v>
      </c>
      <c r="X150" s="9"/>
      <c r="Y150" s="22">
        <v>1.09497</v>
      </c>
      <c r="Z150" s="22">
        <v>109.395</v>
      </c>
      <c r="AA150" s="22">
        <v>-1.53046E-2</v>
      </c>
      <c r="AB150" s="22">
        <v>140</v>
      </c>
      <c r="AC150" s="22">
        <v>1.09406</v>
      </c>
      <c r="AD150">
        <f t="shared" si="28"/>
        <v>15.304600000000001</v>
      </c>
      <c r="AE150">
        <f t="shared" si="29"/>
        <v>16.758077862</v>
      </c>
      <c r="AF150" s="9"/>
      <c r="AG150" s="22">
        <v>0.60501099999999997</v>
      </c>
      <c r="AH150" s="22">
        <v>141.054</v>
      </c>
      <c r="AI150" s="22">
        <v>-1.55823E-2</v>
      </c>
      <c r="AJ150" s="22">
        <v>140</v>
      </c>
      <c r="AK150" s="22">
        <v>0.60433999999999999</v>
      </c>
      <c r="AL150">
        <f t="shared" si="30"/>
        <v>15.5823</v>
      </c>
      <c r="AM150">
        <f t="shared" si="31"/>
        <v>9.4274629052999988</v>
      </c>
      <c r="AP150" s="9"/>
      <c r="AQ150" s="22">
        <v>1.09497</v>
      </c>
      <c r="AR150" s="22">
        <v>190.43299999999999</v>
      </c>
      <c r="AS150" s="22">
        <v>-1.5261800000000001E-2</v>
      </c>
      <c r="AT150" s="22">
        <v>140</v>
      </c>
      <c r="AU150" s="22">
        <v>1.09406</v>
      </c>
      <c r="AV150">
        <f t="shared" si="32"/>
        <v>15.261800000000001</v>
      </c>
      <c r="AW150">
        <f t="shared" si="33"/>
        <v>16.711213146000002</v>
      </c>
      <c r="AX150" s="9"/>
      <c r="AY150" s="22">
        <v>0.60501099999999997</v>
      </c>
      <c r="AZ150" s="22">
        <v>239.816</v>
      </c>
      <c r="BA150" s="22">
        <v>-1.5594500000000001E-2</v>
      </c>
      <c r="BB150" s="22">
        <v>140</v>
      </c>
      <c r="BC150" s="22">
        <v>0.60433999999999999</v>
      </c>
      <c r="BD150">
        <f t="shared" si="34"/>
        <v>15.5945</v>
      </c>
      <c r="BE150">
        <f t="shared" si="35"/>
        <v>9.4348440394999997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10.4064</v>
      </c>
      <c r="I151" s="22">
        <v>-1.5267899999999999E-2</v>
      </c>
      <c r="J151" s="22">
        <v>141</v>
      </c>
      <c r="K151" s="22">
        <v>1.08887</v>
      </c>
      <c r="L151">
        <f t="shared" si="24"/>
        <v>15.267899999999999</v>
      </c>
      <c r="M151">
        <f t="shared" si="25"/>
        <v>16.641094925999997</v>
      </c>
      <c r="N151" s="9"/>
      <c r="O151" s="22">
        <v>0.61004599999999998</v>
      </c>
      <c r="P151" s="22">
        <v>59.827800000000003</v>
      </c>
      <c r="Q151" s="22">
        <v>-1.56128E-2</v>
      </c>
      <c r="R151" s="22">
        <v>141</v>
      </c>
      <c r="S151" s="22">
        <v>0.609406</v>
      </c>
      <c r="T151">
        <f t="shared" si="26"/>
        <v>15.6128</v>
      </c>
      <c r="U151">
        <f t="shared" si="27"/>
        <v>9.5245261887999995</v>
      </c>
      <c r="X151" s="9"/>
      <c r="Y151" s="22">
        <v>1.0899399999999999</v>
      </c>
      <c r="Z151" s="22">
        <v>109.405</v>
      </c>
      <c r="AA151" s="22">
        <v>-1.5307599999999999E-2</v>
      </c>
      <c r="AB151" s="22">
        <v>141</v>
      </c>
      <c r="AC151" s="22">
        <v>1.08917</v>
      </c>
      <c r="AD151">
        <f t="shared" si="28"/>
        <v>15.307599999999999</v>
      </c>
      <c r="AE151">
        <f t="shared" si="29"/>
        <v>16.684365543999998</v>
      </c>
      <c r="AF151" s="9"/>
      <c r="AG151" s="22">
        <v>0.61004599999999998</v>
      </c>
      <c r="AH151" s="22">
        <v>141.06399999999999</v>
      </c>
      <c r="AI151" s="22">
        <v>-1.55823E-2</v>
      </c>
      <c r="AJ151" s="22">
        <v>141</v>
      </c>
      <c r="AK151" s="22">
        <v>0.609375</v>
      </c>
      <c r="AL151">
        <f t="shared" si="30"/>
        <v>15.5823</v>
      </c>
      <c r="AM151">
        <f t="shared" si="31"/>
        <v>9.5059197857999997</v>
      </c>
      <c r="AP151" s="9"/>
      <c r="AQ151" s="22">
        <v>1.0899399999999999</v>
      </c>
      <c r="AR151" s="22">
        <v>190.44300000000001</v>
      </c>
      <c r="AS151" s="22">
        <v>-1.5261800000000001E-2</v>
      </c>
      <c r="AT151" s="22">
        <v>141</v>
      </c>
      <c r="AU151" s="22">
        <v>1.08917</v>
      </c>
      <c r="AV151">
        <f t="shared" si="32"/>
        <v>15.261800000000001</v>
      </c>
      <c r="AW151">
        <f t="shared" si="33"/>
        <v>16.634446292</v>
      </c>
      <c r="AX151" s="9"/>
      <c r="AY151" s="22">
        <v>0.61004599999999998</v>
      </c>
      <c r="AZ151" s="22">
        <v>239.82599999999999</v>
      </c>
      <c r="BA151" s="22">
        <v>-1.5594500000000001E-2</v>
      </c>
      <c r="BB151" s="22">
        <v>141</v>
      </c>
      <c r="BC151" s="22">
        <v>0.60943599999999998</v>
      </c>
      <c r="BD151">
        <f t="shared" si="34"/>
        <v>15.5945</v>
      </c>
      <c r="BE151">
        <f t="shared" si="35"/>
        <v>9.5133623469999993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10.416499999999999</v>
      </c>
      <c r="I152" s="22">
        <v>-1.5271E-2</v>
      </c>
      <c r="J152" s="22">
        <v>142</v>
      </c>
      <c r="K152" s="22">
        <v>1.0845899999999999</v>
      </c>
      <c r="L152">
        <f t="shared" si="24"/>
        <v>15.270999999999999</v>
      </c>
      <c r="M152">
        <f t="shared" si="25"/>
        <v>16.567507899999999</v>
      </c>
      <c r="N152" s="9"/>
      <c r="O152" s="22">
        <v>0.61508200000000002</v>
      </c>
      <c r="P152" s="22">
        <v>59.837899999999998</v>
      </c>
      <c r="Q152" s="22">
        <v>-1.5609700000000001E-2</v>
      </c>
      <c r="R152" s="22">
        <v>142</v>
      </c>
      <c r="S152" s="22">
        <v>0.61444100000000001</v>
      </c>
      <c r="T152">
        <f t="shared" si="26"/>
        <v>15.6097</v>
      </c>
      <c r="U152">
        <f t="shared" si="27"/>
        <v>9.6012454954000006</v>
      </c>
      <c r="X152" s="9"/>
      <c r="Y152" s="22">
        <v>1.0849</v>
      </c>
      <c r="Z152" s="22">
        <v>109.41500000000001</v>
      </c>
      <c r="AA152" s="22">
        <v>-1.53137E-2</v>
      </c>
      <c r="AB152" s="22">
        <v>142</v>
      </c>
      <c r="AC152" s="22">
        <v>1.08368</v>
      </c>
      <c r="AD152">
        <f t="shared" si="28"/>
        <v>15.313699999999999</v>
      </c>
      <c r="AE152">
        <f t="shared" si="29"/>
        <v>16.61383313</v>
      </c>
      <c r="AF152" s="9"/>
      <c r="AG152" s="22">
        <v>0.61508200000000002</v>
      </c>
      <c r="AH152" s="22">
        <v>141.07400000000001</v>
      </c>
      <c r="AI152" s="22">
        <v>-1.55823E-2</v>
      </c>
      <c r="AJ152" s="22">
        <v>142</v>
      </c>
      <c r="AK152" s="22">
        <v>0.61444100000000001</v>
      </c>
      <c r="AL152">
        <f t="shared" si="30"/>
        <v>15.5823</v>
      </c>
      <c r="AM152">
        <f t="shared" si="31"/>
        <v>9.5843922486000004</v>
      </c>
      <c r="AP152" s="9"/>
      <c r="AQ152" s="22">
        <v>1.0849</v>
      </c>
      <c r="AR152" s="22">
        <v>190.453</v>
      </c>
      <c r="AS152" s="22">
        <v>-1.5267899999999999E-2</v>
      </c>
      <c r="AT152" s="22">
        <v>142</v>
      </c>
      <c r="AU152" s="22">
        <v>1.0845899999999999</v>
      </c>
      <c r="AV152">
        <f t="shared" si="32"/>
        <v>15.267899999999999</v>
      </c>
      <c r="AW152">
        <f t="shared" si="33"/>
        <v>16.564144709999997</v>
      </c>
      <c r="AX152" s="9"/>
      <c r="AY152" s="22">
        <v>0.61508200000000002</v>
      </c>
      <c r="AZ152" s="22">
        <v>239.83600000000001</v>
      </c>
      <c r="BA152" s="22">
        <v>-1.5594500000000001E-2</v>
      </c>
      <c r="BB152" s="22">
        <v>142</v>
      </c>
      <c r="BC152" s="22">
        <v>0.61447099999999999</v>
      </c>
      <c r="BD152">
        <f t="shared" si="34"/>
        <v>15.5945</v>
      </c>
      <c r="BE152">
        <f t="shared" si="35"/>
        <v>9.5918962489999995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10.426500000000001</v>
      </c>
      <c r="I153" s="22">
        <v>-1.52771E-2</v>
      </c>
      <c r="J153" s="22">
        <v>143</v>
      </c>
      <c r="K153" s="22">
        <v>1.0790999999999999</v>
      </c>
      <c r="L153">
        <f t="shared" si="24"/>
        <v>15.277100000000001</v>
      </c>
      <c r="M153">
        <f t="shared" si="25"/>
        <v>16.497129206</v>
      </c>
      <c r="N153" s="9"/>
      <c r="O153" s="22">
        <v>0.62011700000000003</v>
      </c>
      <c r="P153" s="22">
        <v>59.847999999999999</v>
      </c>
      <c r="Q153" s="22">
        <v>-1.5606699999999999E-2</v>
      </c>
      <c r="R153" s="22">
        <v>143</v>
      </c>
      <c r="S153" s="22">
        <v>0.61950700000000003</v>
      </c>
      <c r="T153">
        <f t="shared" si="26"/>
        <v>15.6067</v>
      </c>
      <c r="U153">
        <f t="shared" si="27"/>
        <v>9.6779799839000002</v>
      </c>
      <c r="X153" s="9"/>
      <c r="Y153" s="22">
        <v>1.07986</v>
      </c>
      <c r="Z153" s="22">
        <v>109.425</v>
      </c>
      <c r="AA153" s="22">
        <v>-1.53198E-2</v>
      </c>
      <c r="AB153" s="22">
        <v>143</v>
      </c>
      <c r="AC153" s="22">
        <v>1.0790999999999999</v>
      </c>
      <c r="AD153">
        <f t="shared" si="28"/>
        <v>15.319799999999999</v>
      </c>
      <c r="AE153">
        <f t="shared" si="29"/>
        <v>16.543239228000001</v>
      </c>
      <c r="AF153" s="9"/>
      <c r="AG153" s="22">
        <v>0.62011700000000003</v>
      </c>
      <c r="AH153" s="22">
        <v>141.084</v>
      </c>
      <c r="AI153" s="22">
        <v>-1.55792E-2</v>
      </c>
      <c r="AJ153" s="22">
        <v>143</v>
      </c>
      <c r="AK153" s="22">
        <v>0.61950700000000003</v>
      </c>
      <c r="AL153">
        <f t="shared" si="30"/>
        <v>15.5792</v>
      </c>
      <c r="AM153">
        <f t="shared" si="31"/>
        <v>9.6609267664000011</v>
      </c>
      <c r="AP153" s="9"/>
      <c r="AQ153" s="22">
        <v>1.07986</v>
      </c>
      <c r="AR153" s="22">
        <v>190.46299999999999</v>
      </c>
      <c r="AS153" s="22">
        <v>-1.5273999999999999E-2</v>
      </c>
      <c r="AT153" s="22">
        <v>143</v>
      </c>
      <c r="AU153" s="22">
        <v>1.0784899999999999</v>
      </c>
      <c r="AV153">
        <f t="shared" si="32"/>
        <v>15.273999999999999</v>
      </c>
      <c r="AW153">
        <f t="shared" si="33"/>
        <v>16.493781639999998</v>
      </c>
      <c r="AX153" s="9"/>
      <c r="AY153" s="22">
        <v>0.62011700000000003</v>
      </c>
      <c r="AZ153" s="22">
        <v>239.846</v>
      </c>
      <c r="BA153" s="22">
        <v>-1.55914E-2</v>
      </c>
      <c r="BB153" s="22">
        <v>143</v>
      </c>
      <c r="BC153" s="22">
        <v>0.61947600000000003</v>
      </c>
      <c r="BD153">
        <f t="shared" si="34"/>
        <v>15.5914</v>
      </c>
      <c r="BE153">
        <f t="shared" si="35"/>
        <v>9.6684921938000006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10.4366</v>
      </c>
      <c r="I154" s="22">
        <v>-1.5280200000000001E-2</v>
      </c>
      <c r="J154" s="22">
        <v>144</v>
      </c>
      <c r="K154" s="22">
        <v>1.0739099999999999</v>
      </c>
      <c r="L154">
        <f t="shared" si="24"/>
        <v>15.280200000000001</v>
      </c>
      <c r="M154">
        <f t="shared" si="25"/>
        <v>16.423617365999998</v>
      </c>
      <c r="N154" s="9"/>
      <c r="O154" s="22">
        <v>0.62515299999999996</v>
      </c>
      <c r="P154" s="22">
        <v>59.857999999999997</v>
      </c>
      <c r="Q154" s="22">
        <v>-1.5606699999999999E-2</v>
      </c>
      <c r="R154" s="22">
        <v>144</v>
      </c>
      <c r="S154" s="22">
        <v>0.62454200000000004</v>
      </c>
      <c r="T154">
        <f t="shared" si="26"/>
        <v>15.6067</v>
      </c>
      <c r="U154">
        <f t="shared" si="27"/>
        <v>9.7565753251</v>
      </c>
      <c r="X154" s="9"/>
      <c r="Y154" s="22">
        <v>1.07483</v>
      </c>
      <c r="Z154" s="22">
        <v>109.435</v>
      </c>
      <c r="AA154" s="22">
        <v>-1.53259E-2</v>
      </c>
      <c r="AB154" s="22">
        <v>144</v>
      </c>
      <c r="AC154" s="22">
        <v>1.07361</v>
      </c>
      <c r="AD154">
        <f t="shared" si="28"/>
        <v>15.325900000000001</v>
      </c>
      <c r="AE154">
        <f t="shared" si="29"/>
        <v>16.472737097</v>
      </c>
      <c r="AF154" s="9"/>
      <c r="AG154" s="22">
        <v>0.62515299999999996</v>
      </c>
      <c r="AH154" s="22">
        <v>141.095</v>
      </c>
      <c r="AI154" s="22">
        <v>-1.55792E-2</v>
      </c>
      <c r="AJ154" s="22">
        <v>144</v>
      </c>
      <c r="AK154" s="22">
        <v>0.62454200000000004</v>
      </c>
      <c r="AL154">
        <f t="shared" si="30"/>
        <v>15.5792</v>
      </c>
      <c r="AM154">
        <f t="shared" si="31"/>
        <v>9.7393836175999997</v>
      </c>
      <c r="AP154" s="9"/>
      <c r="AQ154" s="22">
        <v>1.07483</v>
      </c>
      <c r="AR154" s="22">
        <v>190.47300000000001</v>
      </c>
      <c r="AS154" s="22">
        <v>-1.52832E-2</v>
      </c>
      <c r="AT154" s="22">
        <v>144</v>
      </c>
      <c r="AU154" s="22">
        <v>1.07422</v>
      </c>
      <c r="AV154">
        <f t="shared" si="32"/>
        <v>15.283200000000001</v>
      </c>
      <c r="AW154">
        <f t="shared" si="33"/>
        <v>16.426841855999999</v>
      </c>
      <c r="AX154" s="9"/>
      <c r="AY154" s="22">
        <v>0.62515299999999996</v>
      </c>
      <c r="AZ154" s="22">
        <v>239.85599999999999</v>
      </c>
      <c r="BA154" s="22">
        <v>-1.55914E-2</v>
      </c>
      <c r="BB154" s="22">
        <v>144</v>
      </c>
      <c r="BC154" s="22">
        <v>0.62454200000000004</v>
      </c>
      <c r="BD154">
        <f t="shared" si="34"/>
        <v>15.5914</v>
      </c>
      <c r="BE154">
        <f t="shared" si="35"/>
        <v>9.7470104841999987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10.4467</v>
      </c>
      <c r="I155" s="22">
        <v>-1.52832E-2</v>
      </c>
      <c r="J155" s="22">
        <v>145</v>
      </c>
      <c r="K155" s="22">
        <v>1.0684199999999999</v>
      </c>
      <c r="L155">
        <f t="shared" si="24"/>
        <v>15.283200000000001</v>
      </c>
      <c r="M155">
        <f t="shared" si="25"/>
        <v>16.349814528</v>
      </c>
      <c r="N155" s="9"/>
      <c r="O155" s="22">
        <v>0.63018799999999997</v>
      </c>
      <c r="P155" s="22">
        <v>59.868099999999998</v>
      </c>
      <c r="Q155" s="22">
        <v>-1.5600599999999999E-2</v>
      </c>
      <c r="R155" s="22">
        <v>145</v>
      </c>
      <c r="S155" s="22">
        <v>0.62951699999999999</v>
      </c>
      <c r="T155">
        <f t="shared" si="26"/>
        <v>15.6006</v>
      </c>
      <c r="U155">
        <f t="shared" si="27"/>
        <v>9.8313109127999994</v>
      </c>
      <c r="X155" s="9"/>
      <c r="Y155" s="22">
        <v>1.06979</v>
      </c>
      <c r="Z155" s="22">
        <v>109.446</v>
      </c>
      <c r="AA155" s="22">
        <v>-1.5335100000000001E-2</v>
      </c>
      <c r="AB155" s="22">
        <v>145</v>
      </c>
      <c r="AC155" s="22">
        <v>1.06873</v>
      </c>
      <c r="AD155">
        <f t="shared" si="28"/>
        <v>15.335100000000001</v>
      </c>
      <c r="AE155">
        <f t="shared" si="29"/>
        <v>16.405336629000001</v>
      </c>
      <c r="AF155" s="9"/>
      <c r="AG155" s="22">
        <v>0.63018799999999997</v>
      </c>
      <c r="AH155" s="22">
        <v>141.10499999999999</v>
      </c>
      <c r="AI155" s="22">
        <v>-1.55792E-2</v>
      </c>
      <c r="AJ155" s="22">
        <v>145</v>
      </c>
      <c r="AK155" s="22">
        <v>0.62957799999999997</v>
      </c>
      <c r="AL155">
        <f t="shared" si="30"/>
        <v>15.5792</v>
      </c>
      <c r="AM155">
        <f t="shared" si="31"/>
        <v>9.8178248895999989</v>
      </c>
      <c r="AP155" s="9"/>
      <c r="AQ155" s="22">
        <v>1.06979</v>
      </c>
      <c r="AR155" s="22">
        <v>190.483</v>
      </c>
      <c r="AS155" s="22">
        <v>-1.52893E-2</v>
      </c>
      <c r="AT155" s="22">
        <v>145</v>
      </c>
      <c r="AU155" s="22">
        <v>1.06873</v>
      </c>
      <c r="AV155">
        <f t="shared" si="32"/>
        <v>15.289300000000001</v>
      </c>
      <c r="AW155">
        <f t="shared" si="33"/>
        <v>16.356340247000002</v>
      </c>
      <c r="AX155" s="9"/>
      <c r="AY155" s="22">
        <v>0.63018799999999997</v>
      </c>
      <c r="AZ155" s="22">
        <v>239.86600000000001</v>
      </c>
      <c r="BA155" s="22">
        <v>-1.5588400000000001E-2</v>
      </c>
      <c r="BB155" s="22">
        <v>145</v>
      </c>
      <c r="BC155" s="22">
        <v>0.62954699999999997</v>
      </c>
      <c r="BD155">
        <f t="shared" si="34"/>
        <v>15.5884</v>
      </c>
      <c r="BE155">
        <f t="shared" si="35"/>
        <v>9.8236226192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10.456799999999999</v>
      </c>
      <c r="I156" s="22">
        <v>-1.52893E-2</v>
      </c>
      <c r="J156" s="22">
        <v>146</v>
      </c>
      <c r="K156" s="22">
        <v>1.0638399999999999</v>
      </c>
      <c r="L156">
        <f t="shared" si="24"/>
        <v>15.289300000000001</v>
      </c>
      <c r="M156">
        <f t="shared" si="25"/>
        <v>16.279435068000002</v>
      </c>
      <c r="N156" s="9"/>
      <c r="O156" s="22">
        <v>0.63522299999999998</v>
      </c>
      <c r="P156" s="22">
        <v>59.8782</v>
      </c>
      <c r="Q156" s="22">
        <v>-1.56036E-2</v>
      </c>
      <c r="R156" s="22">
        <v>146</v>
      </c>
      <c r="S156" s="22">
        <v>0.63461299999999998</v>
      </c>
      <c r="T156">
        <f t="shared" si="26"/>
        <v>15.6036</v>
      </c>
      <c r="U156">
        <f t="shared" si="27"/>
        <v>9.9117656027999992</v>
      </c>
      <c r="X156" s="9"/>
      <c r="Y156" s="22">
        <v>1.0647599999999999</v>
      </c>
      <c r="Z156" s="22">
        <v>109.456</v>
      </c>
      <c r="AA156" s="22">
        <v>-1.53381E-2</v>
      </c>
      <c r="AB156" s="22">
        <v>146</v>
      </c>
      <c r="AC156" s="22">
        <v>1.0641499999999999</v>
      </c>
      <c r="AD156">
        <f t="shared" si="28"/>
        <v>15.338100000000001</v>
      </c>
      <c r="AE156">
        <f t="shared" si="29"/>
        <v>16.331395355999998</v>
      </c>
      <c r="AF156" s="9"/>
      <c r="AG156" s="22">
        <v>0.63522299999999998</v>
      </c>
      <c r="AH156" s="22">
        <v>141.11500000000001</v>
      </c>
      <c r="AI156" s="22">
        <v>-1.55792E-2</v>
      </c>
      <c r="AJ156" s="22">
        <v>146</v>
      </c>
      <c r="AK156" s="22">
        <v>0.634521</v>
      </c>
      <c r="AL156">
        <f t="shared" si="30"/>
        <v>15.5792</v>
      </c>
      <c r="AM156">
        <f t="shared" si="31"/>
        <v>9.8962661615999998</v>
      </c>
      <c r="AP156" s="9"/>
      <c r="AQ156" s="22">
        <v>1.0647599999999999</v>
      </c>
      <c r="AR156" s="22">
        <v>190.49299999999999</v>
      </c>
      <c r="AS156" s="22">
        <v>-1.5292399999999999E-2</v>
      </c>
      <c r="AT156" s="22">
        <v>146</v>
      </c>
      <c r="AU156" s="22">
        <v>1.0638399999999999</v>
      </c>
      <c r="AV156">
        <f t="shared" si="32"/>
        <v>15.292399999999999</v>
      </c>
      <c r="AW156">
        <f t="shared" si="33"/>
        <v>16.282735823999996</v>
      </c>
      <c r="AX156" s="9"/>
      <c r="AY156" s="22">
        <v>0.63522299999999998</v>
      </c>
      <c r="AZ156" s="22">
        <v>239.87700000000001</v>
      </c>
      <c r="BA156" s="22">
        <v>-1.55823E-2</v>
      </c>
      <c r="BB156" s="22">
        <v>146</v>
      </c>
      <c r="BC156" s="22">
        <v>0.63464399999999999</v>
      </c>
      <c r="BD156">
        <f t="shared" si="34"/>
        <v>15.5823</v>
      </c>
      <c r="BE156">
        <f t="shared" si="35"/>
        <v>9.8982353529000004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10.466799999999999</v>
      </c>
      <c r="I157" s="22">
        <v>-1.5295400000000001E-2</v>
      </c>
      <c r="J157" s="22">
        <v>147</v>
      </c>
      <c r="K157" s="22">
        <v>1.0586500000000001</v>
      </c>
      <c r="L157">
        <f t="shared" si="24"/>
        <v>15.295400000000001</v>
      </c>
      <c r="M157">
        <f t="shared" si="25"/>
        <v>16.208841288000002</v>
      </c>
      <c r="N157" s="9"/>
      <c r="O157" s="22">
        <v>0.64025900000000002</v>
      </c>
      <c r="P157" s="22">
        <v>59.888300000000001</v>
      </c>
      <c r="Q157" s="22">
        <v>-1.5600599999999999E-2</v>
      </c>
      <c r="R157" s="22">
        <v>147</v>
      </c>
      <c r="S157" s="22">
        <v>0.639679</v>
      </c>
      <c r="T157">
        <f t="shared" si="26"/>
        <v>15.6006</v>
      </c>
      <c r="U157">
        <f t="shared" si="27"/>
        <v>9.9884245554</v>
      </c>
      <c r="X157" s="9"/>
      <c r="Y157" s="22">
        <v>1.05972</v>
      </c>
      <c r="Z157" s="22">
        <v>109.46599999999999</v>
      </c>
      <c r="AA157" s="22">
        <v>-1.53381E-2</v>
      </c>
      <c r="AB157" s="22">
        <v>147</v>
      </c>
      <c r="AC157" s="22">
        <v>1.0586500000000001</v>
      </c>
      <c r="AD157">
        <f t="shared" si="28"/>
        <v>15.338100000000001</v>
      </c>
      <c r="AE157">
        <f t="shared" si="29"/>
        <v>16.254091332000002</v>
      </c>
      <c r="AF157" s="9"/>
      <c r="AG157" s="22">
        <v>0.64025900000000002</v>
      </c>
      <c r="AH157" s="22">
        <v>141.125</v>
      </c>
      <c r="AI157" s="22">
        <v>-1.55823E-2</v>
      </c>
      <c r="AJ157" s="22">
        <v>147</v>
      </c>
      <c r="AK157" s="22">
        <v>0.639679</v>
      </c>
      <c r="AL157">
        <f t="shared" si="30"/>
        <v>15.5823</v>
      </c>
      <c r="AM157">
        <f t="shared" si="31"/>
        <v>9.9767078157000011</v>
      </c>
      <c r="AP157" s="9"/>
      <c r="AQ157" s="22">
        <v>1.05972</v>
      </c>
      <c r="AR157" s="22">
        <v>190.50299999999999</v>
      </c>
      <c r="AS157" s="22">
        <v>-1.5301500000000001E-2</v>
      </c>
      <c r="AT157" s="22">
        <v>147</v>
      </c>
      <c r="AU157" s="22">
        <v>1.0586500000000001</v>
      </c>
      <c r="AV157">
        <f t="shared" si="32"/>
        <v>15.301500000000001</v>
      </c>
      <c r="AW157">
        <f t="shared" si="33"/>
        <v>16.215305579999999</v>
      </c>
      <c r="AX157" s="9"/>
      <c r="AY157" s="22">
        <v>0.64025900000000002</v>
      </c>
      <c r="AZ157" s="22">
        <v>239.887</v>
      </c>
      <c r="BA157" s="22">
        <v>-1.55762E-2</v>
      </c>
      <c r="BB157" s="22">
        <v>147</v>
      </c>
      <c r="BC157" s="22">
        <v>0.63955700000000004</v>
      </c>
      <c r="BD157">
        <f t="shared" si="34"/>
        <v>15.5762</v>
      </c>
      <c r="BE157">
        <f t="shared" si="35"/>
        <v>9.9728022357999997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10.476900000000001</v>
      </c>
      <c r="I158" s="22">
        <v>-1.5301500000000001E-2</v>
      </c>
      <c r="J158" s="22">
        <v>148</v>
      </c>
      <c r="K158" s="22">
        <v>1.0534699999999999</v>
      </c>
      <c r="L158">
        <f t="shared" si="24"/>
        <v>15.301500000000001</v>
      </c>
      <c r="M158">
        <f t="shared" si="25"/>
        <v>16.138339034999998</v>
      </c>
      <c r="N158" s="9"/>
      <c r="O158" s="22">
        <v>0.64529400000000003</v>
      </c>
      <c r="P158" s="22">
        <v>59.898299999999999</v>
      </c>
      <c r="Q158" s="22">
        <v>-1.5600599999999999E-2</v>
      </c>
      <c r="R158" s="22">
        <v>148</v>
      </c>
      <c r="S158" s="22">
        <v>0.64468400000000003</v>
      </c>
      <c r="T158">
        <f t="shared" si="26"/>
        <v>15.6006</v>
      </c>
      <c r="U158">
        <f t="shared" si="27"/>
        <v>10.066973576400001</v>
      </c>
      <c r="X158" s="9"/>
      <c r="Y158" s="22">
        <v>1.0546899999999999</v>
      </c>
      <c r="Z158" s="22">
        <v>109.476</v>
      </c>
      <c r="AA158" s="22">
        <v>-1.5341199999999999E-2</v>
      </c>
      <c r="AB158" s="22">
        <v>148</v>
      </c>
      <c r="AC158" s="22">
        <v>1.0534699999999999</v>
      </c>
      <c r="AD158">
        <f t="shared" si="28"/>
        <v>15.341199999999999</v>
      </c>
      <c r="AE158">
        <f t="shared" si="29"/>
        <v>16.180210227999996</v>
      </c>
      <c r="AF158" s="9"/>
      <c r="AG158" s="22">
        <v>0.64529400000000003</v>
      </c>
      <c r="AH158" s="22">
        <v>141.13499999999999</v>
      </c>
      <c r="AI158" s="22">
        <v>-1.55792E-2</v>
      </c>
      <c r="AJ158" s="22">
        <v>148</v>
      </c>
      <c r="AK158" s="22">
        <v>0.64465300000000003</v>
      </c>
      <c r="AL158">
        <f t="shared" si="30"/>
        <v>15.5792</v>
      </c>
      <c r="AM158">
        <f t="shared" si="31"/>
        <v>10.053164284800001</v>
      </c>
      <c r="AP158" s="9"/>
      <c r="AQ158" s="22">
        <v>1.0546899999999999</v>
      </c>
      <c r="AR158" s="22">
        <v>190.51300000000001</v>
      </c>
      <c r="AS158" s="22">
        <v>-1.53046E-2</v>
      </c>
      <c r="AT158" s="22">
        <v>148</v>
      </c>
      <c r="AU158" s="22">
        <v>1.0540799999999999</v>
      </c>
      <c r="AV158">
        <f t="shared" si="32"/>
        <v>15.304600000000001</v>
      </c>
      <c r="AW158">
        <f t="shared" si="33"/>
        <v>16.141608573999999</v>
      </c>
      <c r="AX158" s="9"/>
      <c r="AY158" s="22">
        <v>0.64529400000000003</v>
      </c>
      <c r="AZ158" s="22">
        <v>239.89699999999999</v>
      </c>
      <c r="BA158" s="22">
        <v>-1.5573099999999999E-2</v>
      </c>
      <c r="BB158" s="22">
        <v>148</v>
      </c>
      <c r="BC158" s="22">
        <v>0.64465300000000003</v>
      </c>
      <c r="BD158">
        <f t="shared" si="34"/>
        <v>15.5731</v>
      </c>
      <c r="BE158">
        <f t="shared" si="35"/>
        <v>10.0492279914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10.487</v>
      </c>
      <c r="I159" s="22">
        <v>-1.5307599999999999E-2</v>
      </c>
      <c r="J159" s="22">
        <v>149</v>
      </c>
      <c r="K159" s="22">
        <v>1.0485800000000001</v>
      </c>
      <c r="L159">
        <f t="shared" si="24"/>
        <v>15.307599999999999</v>
      </c>
      <c r="M159">
        <f t="shared" si="25"/>
        <v>16.06762234</v>
      </c>
      <c r="N159" s="9"/>
      <c r="O159" s="22">
        <v>0.65032999999999996</v>
      </c>
      <c r="P159" s="22">
        <v>59.9084</v>
      </c>
      <c r="Q159" s="22">
        <v>-1.5594500000000001E-2</v>
      </c>
      <c r="R159" s="22">
        <v>149</v>
      </c>
      <c r="S159" s="22">
        <v>0.64968899999999996</v>
      </c>
      <c r="T159">
        <f t="shared" si="26"/>
        <v>15.5945</v>
      </c>
      <c r="U159">
        <f t="shared" si="27"/>
        <v>10.141571185</v>
      </c>
      <c r="X159" s="9"/>
      <c r="Y159" s="22">
        <v>1.04965</v>
      </c>
      <c r="Z159" s="22">
        <v>109.486</v>
      </c>
      <c r="AA159" s="22">
        <v>-1.5347299999999999E-2</v>
      </c>
      <c r="AB159" s="22">
        <v>149</v>
      </c>
      <c r="AC159" s="22">
        <v>1.0485800000000001</v>
      </c>
      <c r="AD159">
        <f t="shared" si="28"/>
        <v>15.347299999999999</v>
      </c>
      <c r="AE159">
        <f t="shared" si="29"/>
        <v>16.109293444999999</v>
      </c>
      <c r="AF159" s="9"/>
      <c r="AG159" s="22">
        <v>0.65032999999999996</v>
      </c>
      <c r="AH159" s="22">
        <v>141.14500000000001</v>
      </c>
      <c r="AI159" s="22">
        <v>-1.55762E-2</v>
      </c>
      <c r="AJ159" s="22">
        <v>149</v>
      </c>
      <c r="AK159" s="22">
        <v>0.64975000000000005</v>
      </c>
      <c r="AL159">
        <f t="shared" si="30"/>
        <v>15.5762</v>
      </c>
      <c r="AM159">
        <f t="shared" si="31"/>
        <v>10.129670145999999</v>
      </c>
      <c r="AP159" s="9"/>
      <c r="AQ159" s="22">
        <v>1.04965</v>
      </c>
      <c r="AR159" s="22">
        <v>190.523</v>
      </c>
      <c r="AS159" s="22">
        <v>-1.5307599999999999E-2</v>
      </c>
      <c r="AT159" s="22">
        <v>149</v>
      </c>
      <c r="AU159" s="22">
        <v>1.0488900000000001</v>
      </c>
      <c r="AV159">
        <f t="shared" si="32"/>
        <v>15.307599999999999</v>
      </c>
      <c r="AW159">
        <f t="shared" si="33"/>
        <v>16.06762234</v>
      </c>
      <c r="AX159" s="9"/>
      <c r="AY159" s="22">
        <v>0.65032999999999996</v>
      </c>
      <c r="AZ159" s="22">
        <v>239.90700000000001</v>
      </c>
      <c r="BA159" s="22">
        <v>-1.55701E-2</v>
      </c>
      <c r="BB159" s="22">
        <v>149</v>
      </c>
      <c r="BC159" s="22">
        <v>0.64968899999999996</v>
      </c>
      <c r="BD159">
        <f t="shared" si="34"/>
        <v>15.5701</v>
      </c>
      <c r="BE159">
        <f t="shared" si="35"/>
        <v>10.125703133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10.497</v>
      </c>
      <c r="I160" s="22">
        <v>-1.53168E-2</v>
      </c>
      <c r="J160" s="22">
        <v>150</v>
      </c>
      <c r="K160" s="22">
        <v>1.0434000000000001</v>
      </c>
      <c r="L160">
        <f t="shared" si="24"/>
        <v>15.316800000000001</v>
      </c>
      <c r="M160">
        <f t="shared" si="25"/>
        <v>16.000235616000001</v>
      </c>
      <c r="N160" s="9"/>
      <c r="O160" s="22">
        <v>0.65536499999999998</v>
      </c>
      <c r="P160" s="22">
        <v>59.918500000000002</v>
      </c>
      <c r="Q160" s="22">
        <v>-1.55914E-2</v>
      </c>
      <c r="R160" s="22">
        <v>150</v>
      </c>
      <c r="S160" s="22">
        <v>0.65472399999999997</v>
      </c>
      <c r="T160">
        <f t="shared" si="26"/>
        <v>15.5914</v>
      </c>
      <c r="U160">
        <f t="shared" si="27"/>
        <v>10.218057861</v>
      </c>
      <c r="X160" s="9"/>
      <c r="Y160" s="22">
        <v>1.0446200000000001</v>
      </c>
      <c r="Z160" s="22">
        <v>109.496</v>
      </c>
      <c r="AA160" s="22">
        <v>-1.5347299999999999E-2</v>
      </c>
      <c r="AB160" s="22">
        <v>150</v>
      </c>
      <c r="AC160" s="22">
        <v>1.0430900000000001</v>
      </c>
      <c r="AD160">
        <f t="shared" si="28"/>
        <v>15.347299999999999</v>
      </c>
      <c r="AE160">
        <f t="shared" si="29"/>
        <v>16.032096526</v>
      </c>
      <c r="AF160" s="9"/>
      <c r="AG160" s="22">
        <v>0.65536499999999998</v>
      </c>
      <c r="AH160" s="22">
        <v>141.155</v>
      </c>
      <c r="AI160" s="22">
        <v>-1.5573099999999999E-2</v>
      </c>
      <c r="AJ160" s="22">
        <v>150</v>
      </c>
      <c r="AK160" s="22">
        <v>0.65472399999999997</v>
      </c>
      <c r="AL160">
        <f t="shared" si="30"/>
        <v>15.5731</v>
      </c>
      <c r="AM160">
        <f t="shared" si="31"/>
        <v>10.206064681499999</v>
      </c>
      <c r="AP160" s="9"/>
      <c r="AQ160" s="22">
        <v>1.0446200000000001</v>
      </c>
      <c r="AR160" s="22">
        <v>190.53299999999999</v>
      </c>
      <c r="AS160" s="22">
        <v>-1.53107E-2</v>
      </c>
      <c r="AT160" s="22">
        <v>150</v>
      </c>
      <c r="AU160" s="22">
        <v>1.0440100000000001</v>
      </c>
      <c r="AV160">
        <f t="shared" si="32"/>
        <v>15.310700000000001</v>
      </c>
      <c r="AW160">
        <f t="shared" si="33"/>
        <v>15.993863434000001</v>
      </c>
      <c r="AX160" s="9"/>
      <c r="AY160" s="22">
        <v>0.65536499999999998</v>
      </c>
      <c r="AZ160" s="22">
        <v>239.917</v>
      </c>
      <c r="BA160" s="22">
        <v>-1.5564E-2</v>
      </c>
      <c r="BB160" s="22">
        <v>150</v>
      </c>
      <c r="BC160" s="22">
        <v>0.65472399999999997</v>
      </c>
      <c r="BD160">
        <f t="shared" si="34"/>
        <v>15.564</v>
      </c>
      <c r="BE160">
        <f t="shared" si="35"/>
        <v>10.200100859999999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10.507099999999999</v>
      </c>
      <c r="I161" s="22">
        <v>-1.53137E-2</v>
      </c>
      <c r="J161" s="22">
        <v>151</v>
      </c>
      <c r="K161" s="22">
        <v>1.03851</v>
      </c>
      <c r="L161">
        <f t="shared" si="24"/>
        <v>15.313699999999999</v>
      </c>
      <c r="M161">
        <f t="shared" si="25"/>
        <v>15.919816245999998</v>
      </c>
      <c r="N161" s="9"/>
      <c r="O161" s="22">
        <v>0.66039999999999999</v>
      </c>
      <c r="P161" s="22">
        <v>59.9285</v>
      </c>
      <c r="Q161" s="22">
        <v>-1.55914E-2</v>
      </c>
      <c r="R161" s="22">
        <v>151</v>
      </c>
      <c r="S161" s="22">
        <v>0.65972900000000001</v>
      </c>
      <c r="T161">
        <f t="shared" si="26"/>
        <v>15.5914</v>
      </c>
      <c r="U161">
        <f t="shared" si="27"/>
        <v>10.29656056</v>
      </c>
      <c r="X161" s="9"/>
      <c r="Y161" s="22">
        <v>1.0395799999999999</v>
      </c>
      <c r="Z161" s="22">
        <v>109.506</v>
      </c>
      <c r="AA161" s="22">
        <v>-1.5347299999999999E-2</v>
      </c>
      <c r="AB161" s="22">
        <v>151</v>
      </c>
      <c r="AC161" s="22">
        <v>1.03851</v>
      </c>
      <c r="AD161">
        <f t="shared" si="28"/>
        <v>15.347299999999999</v>
      </c>
      <c r="AE161">
        <f t="shared" si="29"/>
        <v>15.954746133999999</v>
      </c>
      <c r="AF161" s="9"/>
      <c r="AG161" s="22">
        <v>0.66039999999999999</v>
      </c>
      <c r="AH161" s="22">
        <v>141.16499999999999</v>
      </c>
      <c r="AI161" s="22">
        <v>-1.5573099999999999E-2</v>
      </c>
      <c r="AJ161" s="22">
        <v>151</v>
      </c>
      <c r="AK161" s="22">
        <v>0.65978999999999999</v>
      </c>
      <c r="AL161">
        <f t="shared" si="30"/>
        <v>15.5731</v>
      </c>
      <c r="AM161">
        <f t="shared" si="31"/>
        <v>10.284475239999999</v>
      </c>
      <c r="AP161" s="9"/>
      <c r="AQ161" s="22">
        <v>1.0395799999999999</v>
      </c>
      <c r="AR161" s="22">
        <v>190.54300000000001</v>
      </c>
      <c r="AS161" s="22">
        <v>-1.53107E-2</v>
      </c>
      <c r="AT161" s="22">
        <v>151</v>
      </c>
      <c r="AU161" s="22">
        <v>1.0379</v>
      </c>
      <c r="AV161">
        <f t="shared" si="32"/>
        <v>15.310700000000001</v>
      </c>
      <c r="AW161">
        <f t="shared" si="33"/>
        <v>15.916697506</v>
      </c>
      <c r="AX161" s="9"/>
      <c r="AY161" s="22">
        <v>0.66039999999999999</v>
      </c>
      <c r="AZ161" s="22">
        <v>239.92699999999999</v>
      </c>
      <c r="BA161" s="22">
        <v>-1.5564E-2</v>
      </c>
      <c r="BB161" s="22">
        <v>151</v>
      </c>
      <c r="BC161" s="22">
        <v>0.65978999999999999</v>
      </c>
      <c r="BD161">
        <f t="shared" si="34"/>
        <v>15.564</v>
      </c>
      <c r="BE161">
        <f t="shared" si="35"/>
        <v>10.278465600000001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10.517200000000001</v>
      </c>
      <c r="I162" s="22">
        <v>-1.5307599999999999E-2</v>
      </c>
      <c r="J162" s="22">
        <v>152</v>
      </c>
      <c r="K162" s="22">
        <v>1.03363</v>
      </c>
      <c r="L162">
        <f t="shared" si="24"/>
        <v>15.307599999999999</v>
      </c>
      <c r="M162">
        <f t="shared" si="25"/>
        <v>15.83647758</v>
      </c>
      <c r="N162" s="9"/>
      <c r="O162" s="22">
        <v>0.66543600000000003</v>
      </c>
      <c r="P162" s="22">
        <v>59.938600000000001</v>
      </c>
      <c r="Q162" s="22">
        <v>-1.55853E-2</v>
      </c>
      <c r="R162" s="22">
        <v>152</v>
      </c>
      <c r="S162" s="22">
        <v>0.66470300000000004</v>
      </c>
      <c r="T162">
        <f t="shared" si="26"/>
        <v>15.5853</v>
      </c>
      <c r="U162">
        <f t="shared" si="27"/>
        <v>10.371019690800001</v>
      </c>
      <c r="X162" s="9"/>
      <c r="Y162" s="22">
        <v>1.0345500000000001</v>
      </c>
      <c r="Z162" s="22">
        <v>109.51600000000001</v>
      </c>
      <c r="AA162" s="22">
        <v>-1.5347299999999999E-2</v>
      </c>
      <c r="AB162" s="22">
        <v>152</v>
      </c>
      <c r="AC162" s="22">
        <v>1.03363</v>
      </c>
      <c r="AD162">
        <f t="shared" si="28"/>
        <v>15.347299999999999</v>
      </c>
      <c r="AE162">
        <f t="shared" si="29"/>
        <v>15.877549215</v>
      </c>
      <c r="AF162" s="9"/>
      <c r="AG162" s="22">
        <v>0.66543600000000003</v>
      </c>
      <c r="AH162" s="22">
        <v>141.17500000000001</v>
      </c>
      <c r="AI162" s="22">
        <v>-1.55701E-2</v>
      </c>
      <c r="AJ162" s="22">
        <v>152</v>
      </c>
      <c r="AK162" s="22">
        <v>0.664856</v>
      </c>
      <c r="AL162">
        <f t="shared" si="30"/>
        <v>15.5701</v>
      </c>
      <c r="AM162">
        <f t="shared" si="31"/>
        <v>10.360905063600001</v>
      </c>
      <c r="AP162" s="9"/>
      <c r="AQ162" s="22">
        <v>1.0345500000000001</v>
      </c>
      <c r="AR162" s="22">
        <v>190.554</v>
      </c>
      <c r="AS162" s="22">
        <v>-1.53137E-2</v>
      </c>
      <c r="AT162" s="22">
        <v>152</v>
      </c>
      <c r="AU162" s="22">
        <v>1.0333300000000001</v>
      </c>
      <c r="AV162">
        <f t="shared" si="32"/>
        <v>15.313699999999999</v>
      </c>
      <c r="AW162">
        <f t="shared" si="33"/>
        <v>15.842788335</v>
      </c>
      <c r="AX162" s="9"/>
      <c r="AY162" s="22">
        <v>0.66543600000000003</v>
      </c>
      <c r="AZ162" s="22">
        <v>239.93700000000001</v>
      </c>
      <c r="BA162" s="22">
        <v>-1.5564E-2</v>
      </c>
      <c r="BB162" s="22">
        <v>152</v>
      </c>
      <c r="BC162" s="22">
        <v>0.664825</v>
      </c>
      <c r="BD162">
        <f t="shared" si="34"/>
        <v>15.564</v>
      </c>
      <c r="BE162">
        <f t="shared" si="35"/>
        <v>10.356845904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10.5273</v>
      </c>
      <c r="I163" s="22">
        <v>-1.5307599999999999E-2</v>
      </c>
      <c r="J163" s="22">
        <v>153</v>
      </c>
      <c r="K163" s="22">
        <v>1.0293600000000001</v>
      </c>
      <c r="L163">
        <f t="shared" si="24"/>
        <v>15.307599999999999</v>
      </c>
      <c r="M163">
        <f t="shared" si="25"/>
        <v>15.759327275999997</v>
      </c>
      <c r="N163" s="9"/>
      <c r="O163" s="22">
        <v>0.67047100000000004</v>
      </c>
      <c r="P163" s="22">
        <v>59.948700000000002</v>
      </c>
      <c r="Q163" s="22">
        <v>-1.5588400000000001E-2</v>
      </c>
      <c r="R163" s="22">
        <v>153</v>
      </c>
      <c r="S163" s="22">
        <v>0.66983000000000004</v>
      </c>
      <c r="T163">
        <f t="shared" si="26"/>
        <v>15.5884</v>
      </c>
      <c r="U163">
        <f t="shared" si="27"/>
        <v>10.451570136400001</v>
      </c>
      <c r="X163" s="9"/>
      <c r="Y163" s="22">
        <v>1.0295099999999999</v>
      </c>
      <c r="Z163" s="22">
        <v>109.526</v>
      </c>
      <c r="AA163" s="22">
        <v>-1.5347299999999999E-2</v>
      </c>
      <c r="AB163" s="22">
        <v>153</v>
      </c>
      <c r="AC163" s="22">
        <v>1.02844</v>
      </c>
      <c r="AD163">
        <f t="shared" si="28"/>
        <v>15.347299999999999</v>
      </c>
      <c r="AE163">
        <f t="shared" si="29"/>
        <v>15.800198822999997</v>
      </c>
      <c r="AF163" s="9"/>
      <c r="AG163" s="22">
        <v>0.67047100000000004</v>
      </c>
      <c r="AH163" s="22">
        <v>141.185</v>
      </c>
      <c r="AI163" s="22">
        <v>-1.5560900000000001E-2</v>
      </c>
      <c r="AJ163" s="22">
        <v>153</v>
      </c>
      <c r="AK163" s="22">
        <v>0.66983000000000004</v>
      </c>
      <c r="AL163">
        <f t="shared" si="30"/>
        <v>15.5609</v>
      </c>
      <c r="AM163">
        <f t="shared" si="31"/>
        <v>10.433132183900002</v>
      </c>
      <c r="AP163" s="9"/>
      <c r="AQ163" s="22">
        <v>1.0295099999999999</v>
      </c>
      <c r="AR163" s="22">
        <v>190.56399999999999</v>
      </c>
      <c r="AS163" s="22">
        <v>-1.53198E-2</v>
      </c>
      <c r="AT163" s="22">
        <v>153</v>
      </c>
      <c r="AU163" s="22">
        <v>1.02844</v>
      </c>
      <c r="AV163">
        <f t="shared" si="32"/>
        <v>15.319799999999999</v>
      </c>
      <c r="AW163">
        <f t="shared" si="33"/>
        <v>15.771887297999998</v>
      </c>
      <c r="AX163" s="9"/>
      <c r="AY163" s="22">
        <v>0.67047100000000004</v>
      </c>
      <c r="AZ163" s="22">
        <v>239.947</v>
      </c>
      <c r="BA163" s="22">
        <v>-1.5566999999999999E-2</v>
      </c>
      <c r="BB163" s="22">
        <v>153</v>
      </c>
      <c r="BC163" s="22">
        <v>0.66983000000000004</v>
      </c>
      <c r="BD163">
        <f t="shared" si="34"/>
        <v>15.566999999999998</v>
      </c>
      <c r="BE163">
        <f t="shared" si="35"/>
        <v>10.437222057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10.5373</v>
      </c>
      <c r="I164" s="22">
        <v>-1.53107E-2</v>
      </c>
      <c r="J164" s="22">
        <v>154</v>
      </c>
      <c r="K164" s="22">
        <v>1.02356</v>
      </c>
      <c r="L164">
        <f t="shared" si="24"/>
        <v>15.310700000000001</v>
      </c>
      <c r="M164">
        <f t="shared" si="25"/>
        <v>15.685505936000002</v>
      </c>
      <c r="N164" s="9"/>
      <c r="O164" s="22">
        <v>0.67550699999999997</v>
      </c>
      <c r="P164" s="22">
        <v>59.958799999999997</v>
      </c>
      <c r="Q164" s="22">
        <v>-1.55853E-2</v>
      </c>
      <c r="R164" s="22">
        <v>154</v>
      </c>
      <c r="S164" s="22">
        <v>0.67474400000000001</v>
      </c>
      <c r="T164">
        <f t="shared" si="26"/>
        <v>15.5853</v>
      </c>
      <c r="U164">
        <f t="shared" si="27"/>
        <v>10.527979247099999</v>
      </c>
      <c r="X164" s="9"/>
      <c r="Y164" s="22">
        <v>1.0244800000000001</v>
      </c>
      <c r="Z164" s="22">
        <v>109.536</v>
      </c>
      <c r="AA164" s="22">
        <v>-1.5347299999999999E-2</v>
      </c>
      <c r="AB164" s="22">
        <v>154</v>
      </c>
      <c r="AC164" s="22">
        <v>1.02356</v>
      </c>
      <c r="AD164">
        <f t="shared" si="28"/>
        <v>15.347299999999999</v>
      </c>
      <c r="AE164">
        <f t="shared" si="29"/>
        <v>15.723001904</v>
      </c>
      <c r="AF164" s="9"/>
      <c r="AG164" s="22">
        <v>0.67550699999999997</v>
      </c>
      <c r="AH164" s="22">
        <v>141.19499999999999</v>
      </c>
      <c r="AI164" s="22">
        <v>-1.5554800000000001E-2</v>
      </c>
      <c r="AJ164" s="22">
        <v>154</v>
      </c>
      <c r="AK164" s="22">
        <v>0.67486599999999997</v>
      </c>
      <c r="AL164">
        <f t="shared" si="30"/>
        <v>15.5548</v>
      </c>
      <c r="AM164">
        <f t="shared" si="31"/>
        <v>10.507376283599999</v>
      </c>
      <c r="AP164" s="9"/>
      <c r="AQ164" s="22">
        <v>1.0244800000000001</v>
      </c>
      <c r="AR164" s="22">
        <v>190.57400000000001</v>
      </c>
      <c r="AS164" s="22">
        <v>-1.5329000000000001E-2</v>
      </c>
      <c r="AT164" s="22">
        <v>154</v>
      </c>
      <c r="AU164" s="22">
        <v>1.02325</v>
      </c>
      <c r="AV164">
        <f t="shared" si="32"/>
        <v>15.329000000000001</v>
      </c>
      <c r="AW164">
        <f t="shared" si="33"/>
        <v>15.704253920000001</v>
      </c>
      <c r="AX164" s="9"/>
      <c r="AY164" s="22">
        <v>0.67550699999999997</v>
      </c>
      <c r="AZ164" s="22">
        <v>239.95699999999999</v>
      </c>
      <c r="BA164" s="22">
        <v>-1.5560900000000001E-2</v>
      </c>
      <c r="BB164" s="22">
        <v>154</v>
      </c>
      <c r="BC164" s="22">
        <v>0.67486599999999997</v>
      </c>
      <c r="BD164">
        <f t="shared" si="34"/>
        <v>15.5609</v>
      </c>
      <c r="BE164">
        <f t="shared" si="35"/>
        <v>10.511496876299999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10.5474</v>
      </c>
      <c r="I165" s="22">
        <v>-1.53168E-2</v>
      </c>
      <c r="J165" s="22">
        <v>155</v>
      </c>
      <c r="K165" s="22">
        <v>1.01837</v>
      </c>
      <c r="L165">
        <f t="shared" si="24"/>
        <v>15.316800000000001</v>
      </c>
      <c r="M165">
        <f t="shared" si="25"/>
        <v>15.614558592</v>
      </c>
      <c r="N165" s="9"/>
      <c r="O165" s="22">
        <v>0.68054199999999998</v>
      </c>
      <c r="P165" s="22">
        <v>59.968800000000002</v>
      </c>
      <c r="Q165" s="22">
        <v>-1.5573099999999999E-2</v>
      </c>
      <c r="R165" s="22">
        <v>155</v>
      </c>
      <c r="S165" s="22">
        <v>0.67996199999999996</v>
      </c>
      <c r="T165">
        <f t="shared" si="26"/>
        <v>15.5731</v>
      </c>
      <c r="U165">
        <f t="shared" si="27"/>
        <v>10.5981486202</v>
      </c>
      <c r="X165" s="9"/>
      <c r="Y165" s="22">
        <v>1.0194399999999999</v>
      </c>
      <c r="Z165" s="22">
        <v>109.54600000000001</v>
      </c>
      <c r="AA165" s="22">
        <v>-1.53534E-2</v>
      </c>
      <c r="AB165" s="22">
        <v>155</v>
      </c>
      <c r="AC165" s="22">
        <v>1.01837</v>
      </c>
      <c r="AD165">
        <f t="shared" si="28"/>
        <v>15.353399999999999</v>
      </c>
      <c r="AE165">
        <f t="shared" si="29"/>
        <v>15.651870095999998</v>
      </c>
      <c r="AF165" s="9"/>
      <c r="AG165" s="22">
        <v>0.68054199999999998</v>
      </c>
      <c r="AH165" s="22">
        <v>141.20500000000001</v>
      </c>
      <c r="AI165" s="22">
        <v>-1.5551799999999999E-2</v>
      </c>
      <c r="AJ165" s="22">
        <v>155</v>
      </c>
      <c r="AK165" s="22">
        <v>0.67977900000000002</v>
      </c>
      <c r="AL165">
        <f t="shared" si="30"/>
        <v>15.5518</v>
      </c>
      <c r="AM165">
        <f t="shared" si="31"/>
        <v>10.583653075599999</v>
      </c>
      <c r="AP165" s="9"/>
      <c r="AQ165" s="22">
        <v>1.0194399999999999</v>
      </c>
      <c r="AR165" s="22">
        <v>190.584</v>
      </c>
      <c r="AS165" s="22">
        <v>-1.5329000000000001E-2</v>
      </c>
      <c r="AT165" s="22">
        <v>155</v>
      </c>
      <c r="AU165" s="22">
        <v>1.01837</v>
      </c>
      <c r="AV165">
        <f t="shared" si="32"/>
        <v>15.329000000000001</v>
      </c>
      <c r="AW165">
        <f t="shared" si="33"/>
        <v>15.62699576</v>
      </c>
      <c r="AX165" s="9"/>
      <c r="AY165" s="22">
        <v>0.68054199999999998</v>
      </c>
      <c r="AZ165" s="22">
        <v>239.96700000000001</v>
      </c>
      <c r="BA165" s="22">
        <v>-1.5551799999999999E-2</v>
      </c>
      <c r="BB165" s="22">
        <v>155</v>
      </c>
      <c r="BC165" s="22">
        <v>0.679871</v>
      </c>
      <c r="BD165">
        <f t="shared" si="34"/>
        <v>15.5518</v>
      </c>
      <c r="BE165">
        <f t="shared" si="35"/>
        <v>10.583653075599999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10.557499999999999</v>
      </c>
      <c r="I166" s="22">
        <v>-1.53198E-2</v>
      </c>
      <c r="J166" s="22">
        <v>156</v>
      </c>
      <c r="K166" s="22">
        <v>1.01288</v>
      </c>
      <c r="L166">
        <f t="shared" si="24"/>
        <v>15.319799999999999</v>
      </c>
      <c r="M166">
        <f t="shared" si="25"/>
        <v>15.540405119999999</v>
      </c>
      <c r="N166" s="9"/>
      <c r="O166" s="22">
        <v>0.68557699999999999</v>
      </c>
      <c r="P166" s="22">
        <v>59.978900000000003</v>
      </c>
      <c r="Q166" s="22">
        <v>-1.55701E-2</v>
      </c>
      <c r="R166" s="22">
        <v>156</v>
      </c>
      <c r="S166" s="22">
        <v>0.68487500000000001</v>
      </c>
      <c r="T166">
        <f t="shared" si="26"/>
        <v>15.5701</v>
      </c>
      <c r="U166">
        <f t="shared" si="27"/>
        <v>10.6745024477</v>
      </c>
      <c r="X166" s="9"/>
      <c r="Y166" s="22">
        <v>1.0144</v>
      </c>
      <c r="Z166" s="22">
        <v>109.556</v>
      </c>
      <c r="AA166" s="22">
        <v>-1.5356399999999999E-2</v>
      </c>
      <c r="AB166" s="22">
        <v>156</v>
      </c>
      <c r="AC166" s="22">
        <v>1.01379</v>
      </c>
      <c r="AD166">
        <f t="shared" si="28"/>
        <v>15.356399999999999</v>
      </c>
      <c r="AE166">
        <f t="shared" si="29"/>
        <v>15.577532159999999</v>
      </c>
      <c r="AF166" s="9"/>
      <c r="AG166" s="22">
        <v>0.68557699999999999</v>
      </c>
      <c r="AH166" s="22">
        <v>141.215</v>
      </c>
      <c r="AI166" s="22">
        <v>-1.5554800000000001E-2</v>
      </c>
      <c r="AJ166" s="22">
        <v>156</v>
      </c>
      <c r="AK166" s="22">
        <v>0.68496699999999999</v>
      </c>
      <c r="AL166">
        <f t="shared" si="30"/>
        <v>15.5548</v>
      </c>
      <c r="AM166">
        <f t="shared" si="31"/>
        <v>10.6640131196</v>
      </c>
      <c r="AP166" s="9"/>
      <c r="AQ166" s="22">
        <v>1.0144</v>
      </c>
      <c r="AR166" s="22">
        <v>190.59399999999999</v>
      </c>
      <c r="AS166" s="22">
        <v>-1.5332E-2</v>
      </c>
      <c r="AT166" s="22">
        <v>156</v>
      </c>
      <c r="AU166" s="22">
        <v>1.01318</v>
      </c>
      <c r="AV166">
        <f t="shared" si="32"/>
        <v>15.332000000000001</v>
      </c>
      <c r="AW166">
        <f t="shared" si="33"/>
        <v>15.552780800000001</v>
      </c>
      <c r="AX166" s="9"/>
      <c r="AY166" s="22">
        <v>0.68557699999999999</v>
      </c>
      <c r="AZ166" s="22">
        <v>239.977</v>
      </c>
      <c r="BA166" s="22">
        <v>-1.55487E-2</v>
      </c>
      <c r="BB166" s="22">
        <v>156</v>
      </c>
      <c r="BC166" s="22">
        <v>0.68487500000000001</v>
      </c>
      <c r="BD166">
        <f t="shared" si="34"/>
        <v>15.5487</v>
      </c>
      <c r="BE166">
        <f t="shared" si="35"/>
        <v>10.6598310999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10.567500000000001</v>
      </c>
      <c r="I167" s="22">
        <v>-1.53229E-2</v>
      </c>
      <c r="J167" s="22">
        <v>157</v>
      </c>
      <c r="K167" s="22">
        <v>1.00861</v>
      </c>
      <c r="L167">
        <f t="shared" si="24"/>
        <v>15.322900000000001</v>
      </c>
      <c r="M167">
        <f t="shared" si="25"/>
        <v>15.466475573000002</v>
      </c>
      <c r="N167" s="9"/>
      <c r="O167" s="22">
        <v>0.69061300000000003</v>
      </c>
      <c r="P167" s="22">
        <v>59.988999999999997</v>
      </c>
      <c r="Q167" s="22">
        <v>-1.5564E-2</v>
      </c>
      <c r="R167" s="22">
        <v>157</v>
      </c>
      <c r="S167" s="22">
        <v>0.690002</v>
      </c>
      <c r="T167">
        <f t="shared" si="26"/>
        <v>15.564</v>
      </c>
      <c r="U167">
        <f t="shared" si="27"/>
        <v>10.748700732000001</v>
      </c>
      <c r="X167" s="9"/>
      <c r="Y167" s="22">
        <v>1.0093700000000001</v>
      </c>
      <c r="Z167" s="22">
        <v>109.566</v>
      </c>
      <c r="AA167" s="22">
        <v>-1.53595E-2</v>
      </c>
      <c r="AB167" s="22">
        <v>157</v>
      </c>
      <c r="AC167" s="22">
        <v>1.00861</v>
      </c>
      <c r="AD167">
        <f t="shared" si="28"/>
        <v>15.359500000000001</v>
      </c>
      <c r="AE167">
        <f t="shared" si="29"/>
        <v>15.503418515000002</v>
      </c>
      <c r="AF167" s="9"/>
      <c r="AG167" s="22">
        <v>0.69061300000000003</v>
      </c>
      <c r="AH167" s="22">
        <v>141.22499999999999</v>
      </c>
      <c r="AI167" s="22">
        <v>-1.5551799999999999E-2</v>
      </c>
      <c r="AJ167" s="22">
        <v>157</v>
      </c>
      <c r="AK167" s="22">
        <v>0.690002</v>
      </c>
      <c r="AL167">
        <f t="shared" si="30"/>
        <v>15.5518</v>
      </c>
      <c r="AM167">
        <f t="shared" si="31"/>
        <v>10.7402752534</v>
      </c>
      <c r="AP167" s="9"/>
      <c r="AQ167" s="22">
        <v>1.0093700000000001</v>
      </c>
      <c r="AR167" s="22">
        <v>190.60400000000001</v>
      </c>
      <c r="AS167" s="22">
        <v>-1.53381E-2</v>
      </c>
      <c r="AT167" s="22">
        <v>157</v>
      </c>
      <c r="AU167" s="22">
        <v>1.0083</v>
      </c>
      <c r="AV167">
        <f t="shared" si="32"/>
        <v>15.338100000000001</v>
      </c>
      <c r="AW167">
        <f t="shared" si="33"/>
        <v>15.481817997000002</v>
      </c>
      <c r="AX167" s="9"/>
      <c r="AY167" s="22">
        <v>0.69061300000000003</v>
      </c>
      <c r="AZ167" s="22">
        <v>239.98699999999999</v>
      </c>
      <c r="BA167" s="22">
        <v>-1.5545700000000001E-2</v>
      </c>
      <c r="BB167" s="22">
        <v>157</v>
      </c>
      <c r="BC167" s="22">
        <v>0.68994100000000003</v>
      </c>
      <c r="BD167">
        <f t="shared" si="34"/>
        <v>15.5457</v>
      </c>
      <c r="BE167">
        <f t="shared" si="35"/>
        <v>10.7360625141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10.5776</v>
      </c>
      <c r="I168" s="22">
        <v>-1.53198E-2</v>
      </c>
      <c r="J168" s="22">
        <v>158</v>
      </c>
      <c r="K168" s="22">
        <v>1.00342</v>
      </c>
      <c r="L168">
        <f t="shared" si="24"/>
        <v>15.319799999999999</v>
      </c>
      <c r="M168">
        <f t="shared" si="25"/>
        <v>15.386134733999999</v>
      </c>
      <c r="N168" s="9"/>
      <c r="O168" s="22">
        <v>0.69564800000000004</v>
      </c>
      <c r="P168" s="22">
        <v>59.999000000000002</v>
      </c>
      <c r="Q168" s="22">
        <v>-1.5560900000000001E-2</v>
      </c>
      <c r="R168" s="22">
        <v>158</v>
      </c>
      <c r="S168" s="22">
        <v>0.69503800000000004</v>
      </c>
      <c r="T168">
        <f t="shared" si="26"/>
        <v>15.5609</v>
      </c>
      <c r="U168">
        <f t="shared" si="27"/>
        <v>10.8249089632</v>
      </c>
      <c r="X168" s="9"/>
      <c r="Y168" s="22">
        <v>1.0043299999999999</v>
      </c>
      <c r="Z168" s="22">
        <v>109.57599999999999</v>
      </c>
      <c r="AA168" s="22">
        <v>-1.53595E-2</v>
      </c>
      <c r="AB168" s="22">
        <v>158</v>
      </c>
      <c r="AC168" s="22">
        <v>1.0037199999999999</v>
      </c>
      <c r="AD168">
        <f t="shared" si="28"/>
        <v>15.359500000000001</v>
      </c>
      <c r="AE168">
        <f t="shared" si="29"/>
        <v>15.426006635</v>
      </c>
      <c r="AF168" s="9"/>
      <c r="AG168" s="22">
        <v>0.69564800000000004</v>
      </c>
      <c r="AH168" s="22">
        <v>141.23599999999999</v>
      </c>
      <c r="AI168" s="22">
        <v>-1.55487E-2</v>
      </c>
      <c r="AJ168" s="22">
        <v>158</v>
      </c>
      <c r="AK168" s="22">
        <v>0.69503800000000004</v>
      </c>
      <c r="AL168">
        <f t="shared" si="30"/>
        <v>15.5487</v>
      </c>
      <c r="AM168">
        <f t="shared" si="31"/>
        <v>10.816422057600001</v>
      </c>
      <c r="AP168" s="9"/>
      <c r="AQ168" s="22">
        <v>1.0043299999999999</v>
      </c>
      <c r="AR168" s="22">
        <v>190.614</v>
      </c>
      <c r="AS168" s="22">
        <v>-1.5347299999999999E-2</v>
      </c>
      <c r="AT168" s="22">
        <v>158</v>
      </c>
      <c r="AU168" s="22">
        <v>1.00403</v>
      </c>
      <c r="AV168">
        <f t="shared" si="32"/>
        <v>15.347299999999999</v>
      </c>
      <c r="AW168">
        <f t="shared" si="33"/>
        <v>15.413753808999997</v>
      </c>
      <c r="AX168" s="9"/>
      <c r="AY168" s="22">
        <v>0.69564800000000004</v>
      </c>
      <c r="AZ168" s="22">
        <v>239.99700000000001</v>
      </c>
      <c r="BA168" s="22">
        <v>-1.55426E-2</v>
      </c>
      <c r="BB168" s="22">
        <v>158</v>
      </c>
      <c r="BC168" s="22">
        <v>0.69503800000000004</v>
      </c>
      <c r="BD168">
        <f t="shared" si="34"/>
        <v>15.5426</v>
      </c>
      <c r="BE168">
        <f t="shared" si="35"/>
        <v>10.812178604800001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10.5877</v>
      </c>
      <c r="I169" s="22">
        <v>-1.53198E-2</v>
      </c>
      <c r="J169" s="22">
        <v>159</v>
      </c>
      <c r="K169" s="22">
        <v>0.99792499999999995</v>
      </c>
      <c r="L169">
        <f t="shared" si="24"/>
        <v>15.319799999999999</v>
      </c>
      <c r="M169">
        <f t="shared" si="25"/>
        <v>15.3090455004</v>
      </c>
      <c r="N169" s="9"/>
      <c r="O169" s="22">
        <v>0.70068399999999997</v>
      </c>
      <c r="P169" s="22">
        <v>60.009099999999997</v>
      </c>
      <c r="Q169" s="22">
        <v>-1.55579E-2</v>
      </c>
      <c r="R169" s="22">
        <v>159</v>
      </c>
      <c r="S169" s="22">
        <v>0.70007299999999995</v>
      </c>
      <c r="T169">
        <f t="shared" si="26"/>
        <v>15.5579</v>
      </c>
      <c r="U169">
        <f t="shared" si="27"/>
        <v>10.9011716036</v>
      </c>
      <c r="X169" s="9"/>
      <c r="Y169" s="22">
        <v>0.99929800000000002</v>
      </c>
      <c r="Z169" s="22">
        <v>109.587</v>
      </c>
      <c r="AA169" s="22">
        <v>-1.5362499999999999E-2</v>
      </c>
      <c r="AB169" s="22">
        <v>159</v>
      </c>
      <c r="AC169" s="22">
        <v>0.99822999999999995</v>
      </c>
      <c r="AD169">
        <f t="shared" si="28"/>
        <v>15.362499999999999</v>
      </c>
      <c r="AE169">
        <f t="shared" si="29"/>
        <v>15.351715524999999</v>
      </c>
      <c r="AF169" s="9"/>
      <c r="AG169" s="22">
        <v>0.70068399999999997</v>
      </c>
      <c r="AH169" s="22">
        <v>141.24600000000001</v>
      </c>
      <c r="AI169" s="22">
        <v>-1.55487E-2</v>
      </c>
      <c r="AJ169" s="22">
        <v>159</v>
      </c>
      <c r="AK169" s="22">
        <v>0.70001199999999997</v>
      </c>
      <c r="AL169">
        <f t="shared" si="30"/>
        <v>15.5487</v>
      </c>
      <c r="AM169">
        <f t="shared" si="31"/>
        <v>10.8947253108</v>
      </c>
      <c r="AP169" s="9"/>
      <c r="AQ169" s="22">
        <v>0.99929800000000002</v>
      </c>
      <c r="AR169" s="22">
        <v>190.624</v>
      </c>
      <c r="AS169" s="22">
        <v>-1.53595E-2</v>
      </c>
      <c r="AT169" s="22">
        <v>159</v>
      </c>
      <c r="AU169" s="22">
        <v>0.99883999999999995</v>
      </c>
      <c r="AV169">
        <f t="shared" si="32"/>
        <v>15.359500000000001</v>
      </c>
      <c r="AW169">
        <f t="shared" si="33"/>
        <v>15.348717631000001</v>
      </c>
      <c r="AX169" s="9"/>
      <c r="AY169" s="22">
        <v>0.70068399999999997</v>
      </c>
      <c r="AZ169" s="22">
        <v>240.00700000000001</v>
      </c>
      <c r="BA169" s="22">
        <v>-1.5539600000000001E-2</v>
      </c>
      <c r="BB169" s="22">
        <v>159</v>
      </c>
      <c r="BC169" s="22">
        <v>0.70001199999999997</v>
      </c>
      <c r="BD169">
        <f t="shared" si="34"/>
        <v>15.5396</v>
      </c>
      <c r="BE169">
        <f t="shared" si="35"/>
        <v>10.8883490864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10.597799999999999</v>
      </c>
      <c r="I170" s="22">
        <v>-1.5329000000000001E-2</v>
      </c>
      <c r="J170" s="22">
        <v>160</v>
      </c>
      <c r="K170" s="22">
        <v>0.99365199999999998</v>
      </c>
      <c r="L170">
        <f t="shared" si="24"/>
        <v>15.329000000000001</v>
      </c>
      <c r="M170">
        <f t="shared" si="25"/>
        <v>15.241057527000001</v>
      </c>
      <c r="N170" s="9"/>
      <c r="O170" s="22">
        <v>0.70571899999999999</v>
      </c>
      <c r="P170" s="22">
        <v>60.019199999999998</v>
      </c>
      <c r="Q170" s="22">
        <v>-1.55579E-2</v>
      </c>
      <c r="R170" s="22">
        <v>160</v>
      </c>
      <c r="S170" s="22">
        <v>0.70513899999999996</v>
      </c>
      <c r="T170">
        <f t="shared" si="26"/>
        <v>15.5579</v>
      </c>
      <c r="U170">
        <f t="shared" si="27"/>
        <v>10.9795056301</v>
      </c>
      <c r="X170" s="9"/>
      <c r="Y170" s="22">
        <v>0.99426300000000001</v>
      </c>
      <c r="Z170" s="22">
        <v>109.59699999999999</v>
      </c>
      <c r="AA170" s="22">
        <v>-1.5368700000000001E-2</v>
      </c>
      <c r="AB170" s="22">
        <v>160</v>
      </c>
      <c r="AC170" s="22">
        <v>0.99304199999999998</v>
      </c>
      <c r="AD170">
        <f t="shared" si="28"/>
        <v>15.3687</v>
      </c>
      <c r="AE170">
        <f t="shared" si="29"/>
        <v>15.280529768100001</v>
      </c>
      <c r="AF170" s="9"/>
      <c r="AG170" s="22">
        <v>0.70571899999999999</v>
      </c>
      <c r="AH170" s="22">
        <v>141.256</v>
      </c>
      <c r="AI170" s="22">
        <v>-1.55426E-2</v>
      </c>
      <c r="AJ170" s="22">
        <v>160</v>
      </c>
      <c r="AK170" s="22">
        <v>0.70507799999999998</v>
      </c>
      <c r="AL170">
        <f t="shared" si="30"/>
        <v>15.5426</v>
      </c>
      <c r="AM170">
        <f t="shared" si="31"/>
        <v>10.9687081294</v>
      </c>
      <c r="AP170" s="9"/>
      <c r="AQ170" s="22">
        <v>0.99426300000000001</v>
      </c>
      <c r="AR170" s="22">
        <v>190.63399999999999</v>
      </c>
      <c r="AS170" s="22">
        <v>-1.53656E-2</v>
      </c>
      <c r="AT170" s="22">
        <v>160</v>
      </c>
      <c r="AU170" s="22">
        <v>0.99334699999999998</v>
      </c>
      <c r="AV170">
        <f t="shared" si="32"/>
        <v>15.365600000000001</v>
      </c>
      <c r="AW170">
        <f t="shared" si="33"/>
        <v>15.2774475528</v>
      </c>
      <c r="AX170" s="9"/>
      <c r="AY170" s="22">
        <v>0.70571899999999999</v>
      </c>
      <c r="AZ170" s="22">
        <v>240.018</v>
      </c>
      <c r="BA170" s="22">
        <v>-1.55365E-2</v>
      </c>
      <c r="BB170" s="22">
        <v>160</v>
      </c>
      <c r="BC170" s="22">
        <v>0.70510899999999999</v>
      </c>
      <c r="BD170">
        <f t="shared" si="34"/>
        <v>15.5365</v>
      </c>
      <c r="BE170">
        <f t="shared" si="35"/>
        <v>10.9644032435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10.607799999999999</v>
      </c>
      <c r="I171" s="22">
        <v>-1.5332E-2</v>
      </c>
      <c r="J171" s="22">
        <v>161</v>
      </c>
      <c r="K171" s="22">
        <v>0.98877000000000004</v>
      </c>
      <c r="L171">
        <f t="shared" si="24"/>
        <v>15.332000000000001</v>
      </c>
      <c r="M171">
        <f t="shared" si="25"/>
        <v>15.166828364000001</v>
      </c>
      <c r="N171" s="9"/>
      <c r="O171" s="22">
        <v>0.710754</v>
      </c>
      <c r="P171" s="22">
        <v>60.029299999999999</v>
      </c>
      <c r="Q171" s="22">
        <v>-1.5551799999999999E-2</v>
      </c>
      <c r="R171" s="22">
        <v>161</v>
      </c>
      <c r="S171" s="22">
        <v>0.710144</v>
      </c>
      <c r="T171">
        <f t="shared" si="26"/>
        <v>15.5518</v>
      </c>
      <c r="U171">
        <f t="shared" si="27"/>
        <v>11.0535040572</v>
      </c>
      <c r="X171" s="9"/>
      <c r="Y171" s="22">
        <v>0.98922699999999997</v>
      </c>
      <c r="Z171" s="22">
        <v>109.607</v>
      </c>
      <c r="AA171" s="22">
        <v>-1.53778E-2</v>
      </c>
      <c r="AB171" s="22">
        <v>161</v>
      </c>
      <c r="AC171" s="22">
        <v>0.98815900000000001</v>
      </c>
      <c r="AD171">
        <f t="shared" si="28"/>
        <v>15.377800000000001</v>
      </c>
      <c r="AE171">
        <f t="shared" si="29"/>
        <v>15.2121349606</v>
      </c>
      <c r="AF171" s="9"/>
      <c r="AG171" s="22">
        <v>0.710754</v>
      </c>
      <c r="AH171" s="22">
        <v>141.26599999999999</v>
      </c>
      <c r="AI171" s="22">
        <v>-1.55426E-2</v>
      </c>
      <c r="AJ171" s="22">
        <v>161</v>
      </c>
      <c r="AK171" s="22">
        <v>0.71008300000000002</v>
      </c>
      <c r="AL171">
        <f t="shared" si="30"/>
        <v>15.5426</v>
      </c>
      <c r="AM171">
        <f t="shared" si="31"/>
        <v>11.046965120399999</v>
      </c>
      <c r="AP171" s="9"/>
      <c r="AQ171" s="22">
        <v>0.98922699999999997</v>
      </c>
      <c r="AR171" s="22">
        <v>190.64400000000001</v>
      </c>
      <c r="AS171" s="22">
        <v>-1.53717E-2</v>
      </c>
      <c r="AT171" s="22">
        <v>161</v>
      </c>
      <c r="AU171" s="22">
        <v>0.98877000000000004</v>
      </c>
      <c r="AV171">
        <f t="shared" si="32"/>
        <v>15.371700000000001</v>
      </c>
      <c r="AW171">
        <f t="shared" si="33"/>
        <v>15.2061006759</v>
      </c>
      <c r="AX171" s="9"/>
      <c r="AY171" s="22">
        <v>0.710754</v>
      </c>
      <c r="AZ171" s="22">
        <v>240.02799999999999</v>
      </c>
      <c r="BA171" s="22">
        <v>-1.55365E-2</v>
      </c>
      <c r="BB171" s="22">
        <v>161</v>
      </c>
      <c r="BC171" s="22">
        <v>0.71011400000000002</v>
      </c>
      <c r="BD171">
        <f t="shared" si="34"/>
        <v>15.5365</v>
      </c>
      <c r="BE171">
        <f t="shared" si="35"/>
        <v>11.042629521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10.617900000000001</v>
      </c>
      <c r="I172" s="22">
        <v>-1.5335100000000001E-2</v>
      </c>
      <c r="J172" s="22">
        <v>162</v>
      </c>
      <c r="K172" s="22">
        <v>0.98297100000000004</v>
      </c>
      <c r="L172">
        <f t="shared" si="24"/>
        <v>15.335100000000001</v>
      </c>
      <c r="M172">
        <f t="shared" si="25"/>
        <v>15.092682739200001</v>
      </c>
      <c r="N172" s="9"/>
      <c r="O172" s="22">
        <v>0.71579000000000004</v>
      </c>
      <c r="P172" s="22">
        <v>60.039299999999997</v>
      </c>
      <c r="Q172" s="22">
        <v>-1.5554800000000001E-2</v>
      </c>
      <c r="R172" s="22">
        <v>162</v>
      </c>
      <c r="S172" s="22">
        <v>0.71521000000000001</v>
      </c>
      <c r="T172">
        <f t="shared" si="26"/>
        <v>15.5548</v>
      </c>
      <c r="U172">
        <f t="shared" si="27"/>
        <v>11.133970292000001</v>
      </c>
      <c r="X172" s="9"/>
      <c r="Y172" s="22">
        <v>0.98419199999999996</v>
      </c>
      <c r="Z172" s="22">
        <v>109.617</v>
      </c>
      <c r="AA172" s="22">
        <v>-1.5380899999999999E-2</v>
      </c>
      <c r="AB172" s="22">
        <v>162</v>
      </c>
      <c r="AC172" s="22">
        <v>0.98327600000000004</v>
      </c>
      <c r="AD172">
        <f t="shared" si="28"/>
        <v>15.380899999999999</v>
      </c>
      <c r="AE172">
        <f t="shared" si="29"/>
        <v>15.137758732799998</v>
      </c>
      <c r="AF172" s="9"/>
      <c r="AG172" s="22">
        <v>0.71579000000000004</v>
      </c>
      <c r="AH172" s="22">
        <v>141.27600000000001</v>
      </c>
      <c r="AI172" s="22">
        <v>-1.5539600000000001E-2</v>
      </c>
      <c r="AJ172" s="22">
        <v>162</v>
      </c>
      <c r="AK172" s="22">
        <v>0.71523999999999999</v>
      </c>
      <c r="AL172">
        <f t="shared" si="30"/>
        <v>15.5396</v>
      </c>
      <c r="AM172">
        <f t="shared" si="31"/>
        <v>11.123090284</v>
      </c>
      <c r="AP172" s="9"/>
      <c r="AQ172" s="22">
        <v>0.98419199999999996</v>
      </c>
      <c r="AR172" s="22">
        <v>190.654</v>
      </c>
      <c r="AS172" s="22">
        <v>-1.53778E-2</v>
      </c>
      <c r="AT172" s="22">
        <v>162</v>
      </c>
      <c r="AU172" s="22">
        <v>0.98297100000000004</v>
      </c>
      <c r="AV172">
        <f t="shared" si="32"/>
        <v>15.377800000000001</v>
      </c>
      <c r="AW172">
        <f t="shared" si="33"/>
        <v>15.134707737599999</v>
      </c>
      <c r="AX172" s="9"/>
      <c r="AY172" s="22">
        <v>0.71579000000000004</v>
      </c>
      <c r="AZ172" s="22">
        <v>240.03800000000001</v>
      </c>
      <c r="BA172" s="22">
        <v>-1.55365E-2</v>
      </c>
      <c r="BB172" s="22">
        <v>162</v>
      </c>
      <c r="BC172" s="22">
        <v>0.71517900000000001</v>
      </c>
      <c r="BD172">
        <f t="shared" si="34"/>
        <v>15.5365</v>
      </c>
      <c r="BE172">
        <f t="shared" si="35"/>
        <v>11.120871335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10.628</v>
      </c>
      <c r="I173" s="22">
        <v>-1.5341199999999999E-2</v>
      </c>
      <c r="J173" s="22">
        <v>163</v>
      </c>
      <c r="K173" s="22">
        <v>0.97839399999999999</v>
      </c>
      <c r="L173">
        <f t="shared" si="24"/>
        <v>15.341199999999999</v>
      </c>
      <c r="M173">
        <f t="shared" si="25"/>
        <v>15.021428027199999</v>
      </c>
      <c r="N173" s="9"/>
      <c r="O173" s="22">
        <v>0.72082500000000005</v>
      </c>
      <c r="P173" s="22">
        <v>60.049399999999999</v>
      </c>
      <c r="Q173" s="22">
        <v>-1.5551799999999999E-2</v>
      </c>
      <c r="R173" s="22">
        <v>163</v>
      </c>
      <c r="S173" s="22">
        <v>0.72018400000000005</v>
      </c>
      <c r="T173">
        <f t="shared" si="26"/>
        <v>15.5518</v>
      </c>
      <c r="U173">
        <f t="shared" si="27"/>
        <v>11.210126235000001</v>
      </c>
      <c r="X173" s="9"/>
      <c r="Y173" s="22">
        <v>0.97915600000000003</v>
      </c>
      <c r="Z173" s="22">
        <v>109.627</v>
      </c>
      <c r="AA173" s="22">
        <v>-1.5387E-2</v>
      </c>
      <c r="AB173" s="22">
        <v>163</v>
      </c>
      <c r="AC173" s="22">
        <v>0.97869899999999999</v>
      </c>
      <c r="AD173">
        <f t="shared" si="28"/>
        <v>15.387</v>
      </c>
      <c r="AE173">
        <f t="shared" si="29"/>
        <v>15.066273372000001</v>
      </c>
      <c r="AF173" s="9"/>
      <c r="AG173" s="22">
        <v>0.72082500000000005</v>
      </c>
      <c r="AH173" s="22">
        <v>141.286</v>
      </c>
      <c r="AI173" s="22">
        <v>-1.5539600000000001E-2</v>
      </c>
      <c r="AJ173" s="22">
        <v>163</v>
      </c>
      <c r="AK173" s="22">
        <v>0.72015399999999996</v>
      </c>
      <c r="AL173">
        <f t="shared" si="30"/>
        <v>15.5396</v>
      </c>
      <c r="AM173">
        <f t="shared" si="31"/>
        <v>11.201332170000001</v>
      </c>
      <c r="AP173" s="9"/>
      <c r="AQ173" s="22">
        <v>0.97915600000000003</v>
      </c>
      <c r="AR173" s="22">
        <v>190.66399999999999</v>
      </c>
      <c r="AS173" s="22">
        <v>-1.5383900000000001E-2</v>
      </c>
      <c r="AT173" s="22">
        <v>163</v>
      </c>
      <c r="AU173" s="22">
        <v>0.97808799999999996</v>
      </c>
      <c r="AV173">
        <f t="shared" si="32"/>
        <v>15.383900000000001</v>
      </c>
      <c r="AW173">
        <f t="shared" si="33"/>
        <v>15.063237988400001</v>
      </c>
      <c r="AX173" s="9"/>
      <c r="AY173" s="22">
        <v>0.72082500000000005</v>
      </c>
      <c r="AZ173" s="22">
        <v>240.048</v>
      </c>
      <c r="BA173" s="22">
        <v>-1.5539600000000001E-2</v>
      </c>
      <c r="BB173" s="22">
        <v>163</v>
      </c>
      <c r="BC173" s="22">
        <v>0.72015399999999996</v>
      </c>
      <c r="BD173">
        <f t="shared" si="34"/>
        <v>15.5396</v>
      </c>
      <c r="BE173">
        <f t="shared" si="35"/>
        <v>11.201332170000001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10.638</v>
      </c>
      <c r="I174" s="22">
        <v>-1.53534E-2</v>
      </c>
      <c r="J174" s="22">
        <v>164</v>
      </c>
      <c r="K174" s="22">
        <v>0.97289999999999999</v>
      </c>
      <c r="L174">
        <f t="shared" si="24"/>
        <v>15.353399999999999</v>
      </c>
      <c r="M174">
        <f t="shared" si="25"/>
        <v>14.956069361399999</v>
      </c>
      <c r="N174" s="9"/>
      <c r="O174" s="22">
        <v>0.72586099999999998</v>
      </c>
      <c r="P174" s="22">
        <v>60.0595</v>
      </c>
      <c r="Q174" s="22">
        <v>-1.5554800000000001E-2</v>
      </c>
      <c r="R174" s="22">
        <v>164</v>
      </c>
      <c r="S174" s="22">
        <v>0.72518899999999997</v>
      </c>
      <c r="T174">
        <f t="shared" si="26"/>
        <v>15.5548</v>
      </c>
      <c r="U174">
        <f t="shared" si="27"/>
        <v>11.2906226828</v>
      </c>
      <c r="X174" s="9"/>
      <c r="Y174" s="22">
        <v>0.97412100000000001</v>
      </c>
      <c r="Z174" s="22">
        <v>109.637</v>
      </c>
      <c r="AA174" s="22">
        <v>-1.5389999999999999E-2</v>
      </c>
      <c r="AB174" s="22">
        <v>164</v>
      </c>
      <c r="AC174" s="22">
        <v>0.97381600000000001</v>
      </c>
      <c r="AD174">
        <f t="shared" si="28"/>
        <v>15.389999999999999</v>
      </c>
      <c r="AE174">
        <f t="shared" si="29"/>
        <v>14.991722189999999</v>
      </c>
      <c r="AF174" s="9"/>
      <c r="AG174" s="22">
        <v>0.72586099999999998</v>
      </c>
      <c r="AH174" s="22">
        <v>141.29599999999999</v>
      </c>
      <c r="AI174" s="22">
        <v>-1.5539600000000001E-2</v>
      </c>
      <c r="AJ174" s="22">
        <v>164</v>
      </c>
      <c r="AK174" s="22">
        <v>0.72518899999999997</v>
      </c>
      <c r="AL174">
        <f t="shared" si="30"/>
        <v>15.5396</v>
      </c>
      <c r="AM174">
        <f t="shared" si="31"/>
        <v>11.279589595599999</v>
      </c>
      <c r="AP174" s="9"/>
      <c r="AQ174" s="22">
        <v>0.97412100000000001</v>
      </c>
      <c r="AR174" s="22">
        <v>190.67400000000001</v>
      </c>
      <c r="AS174" s="22">
        <v>-1.5387E-2</v>
      </c>
      <c r="AT174" s="22">
        <v>164</v>
      </c>
      <c r="AU174" s="22">
        <v>0.97381600000000001</v>
      </c>
      <c r="AV174">
        <f t="shared" si="32"/>
        <v>15.387</v>
      </c>
      <c r="AW174">
        <f t="shared" si="33"/>
        <v>14.988799827000001</v>
      </c>
      <c r="AX174" s="9"/>
      <c r="AY174" s="22">
        <v>0.72586099999999998</v>
      </c>
      <c r="AZ174" s="22">
        <v>240.05799999999999</v>
      </c>
      <c r="BA174" s="22">
        <v>-1.5539600000000001E-2</v>
      </c>
      <c r="BB174" s="22">
        <v>164</v>
      </c>
      <c r="BC174" s="22">
        <v>0.72528099999999995</v>
      </c>
      <c r="BD174">
        <f t="shared" si="34"/>
        <v>15.5396</v>
      </c>
      <c r="BE174">
        <f t="shared" si="35"/>
        <v>11.279589595599999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10.648099999999999</v>
      </c>
      <c r="I175" s="22">
        <v>-1.53595E-2</v>
      </c>
      <c r="J175" s="22">
        <v>165</v>
      </c>
      <c r="K175" s="22">
        <v>0.96771200000000002</v>
      </c>
      <c r="L175">
        <f t="shared" si="24"/>
        <v>15.359500000000001</v>
      </c>
      <c r="M175">
        <f t="shared" si="25"/>
        <v>14.884676417000001</v>
      </c>
      <c r="N175" s="9"/>
      <c r="O175" s="22">
        <v>0.73089599999999999</v>
      </c>
      <c r="P175" s="22">
        <v>60.069499999999998</v>
      </c>
      <c r="Q175" s="22">
        <v>-1.5554800000000001E-2</v>
      </c>
      <c r="R175" s="22">
        <v>165</v>
      </c>
      <c r="S175" s="22">
        <v>0.73019400000000001</v>
      </c>
      <c r="T175">
        <f t="shared" si="26"/>
        <v>15.5548</v>
      </c>
      <c r="U175">
        <f t="shared" si="27"/>
        <v>11.368941100800001</v>
      </c>
      <c r="X175" s="9"/>
      <c r="Y175" s="22">
        <v>0.969086</v>
      </c>
      <c r="Z175" s="22">
        <v>109.64700000000001</v>
      </c>
      <c r="AA175" s="22">
        <v>-1.53931E-2</v>
      </c>
      <c r="AB175" s="22">
        <v>165</v>
      </c>
      <c r="AC175" s="22">
        <v>0.96771200000000002</v>
      </c>
      <c r="AD175">
        <f t="shared" si="28"/>
        <v>15.3931</v>
      </c>
      <c r="AE175">
        <f t="shared" si="29"/>
        <v>14.9172377066</v>
      </c>
      <c r="AF175" s="9"/>
      <c r="AG175" s="22">
        <v>0.73089599999999999</v>
      </c>
      <c r="AH175" s="22">
        <v>141.30600000000001</v>
      </c>
      <c r="AI175" s="22">
        <v>-1.5539600000000001E-2</v>
      </c>
      <c r="AJ175" s="22">
        <v>165</v>
      </c>
      <c r="AK175" s="22">
        <v>0.73037700000000005</v>
      </c>
      <c r="AL175">
        <f t="shared" si="30"/>
        <v>15.5396</v>
      </c>
      <c r="AM175">
        <f t="shared" si="31"/>
        <v>11.3578314816</v>
      </c>
      <c r="AP175" s="9"/>
      <c r="AQ175" s="22">
        <v>0.969086</v>
      </c>
      <c r="AR175" s="22">
        <v>190.684</v>
      </c>
      <c r="AS175" s="22">
        <v>-1.53931E-2</v>
      </c>
      <c r="AT175" s="22">
        <v>165</v>
      </c>
      <c r="AU175" s="22">
        <v>0.96832300000000004</v>
      </c>
      <c r="AV175">
        <f t="shared" si="32"/>
        <v>15.3931</v>
      </c>
      <c r="AW175">
        <f t="shared" si="33"/>
        <v>14.9172377066</v>
      </c>
      <c r="AX175" s="9"/>
      <c r="AY175" s="22">
        <v>0.73089599999999999</v>
      </c>
      <c r="AZ175" s="22">
        <v>240.06800000000001</v>
      </c>
      <c r="BA175" s="22">
        <v>-1.5539600000000001E-2</v>
      </c>
      <c r="BB175" s="22">
        <v>165</v>
      </c>
      <c r="BC175" s="22">
        <v>0.73016400000000004</v>
      </c>
      <c r="BD175">
        <f t="shared" si="34"/>
        <v>15.5396</v>
      </c>
      <c r="BE175">
        <f t="shared" si="35"/>
        <v>11.3578314816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10.658200000000001</v>
      </c>
      <c r="I176" s="22">
        <v>-1.53595E-2</v>
      </c>
      <c r="J176" s="22">
        <v>166</v>
      </c>
      <c r="K176" s="22">
        <v>0.96313499999999996</v>
      </c>
      <c r="L176">
        <f t="shared" si="24"/>
        <v>15.359500000000001</v>
      </c>
      <c r="M176">
        <f t="shared" si="25"/>
        <v>14.807325974999999</v>
      </c>
      <c r="N176" s="9"/>
      <c r="O176" s="22">
        <v>0.735931</v>
      </c>
      <c r="P176" s="22">
        <v>60.079599999999999</v>
      </c>
      <c r="Q176" s="22">
        <v>-1.55579E-2</v>
      </c>
      <c r="R176" s="22">
        <v>166</v>
      </c>
      <c r="S176" s="22">
        <v>0.73535200000000001</v>
      </c>
      <c r="T176">
        <f t="shared" si="26"/>
        <v>15.5579</v>
      </c>
      <c r="U176">
        <f t="shared" si="27"/>
        <v>11.449540904899999</v>
      </c>
      <c r="X176" s="9"/>
      <c r="Y176" s="22">
        <v>0.96404999999999996</v>
      </c>
      <c r="Z176" s="22">
        <v>109.657</v>
      </c>
      <c r="AA176" s="22">
        <v>-1.53931E-2</v>
      </c>
      <c r="AB176" s="22">
        <v>166</v>
      </c>
      <c r="AC176" s="22">
        <v>0.96282999999999996</v>
      </c>
      <c r="AD176">
        <f t="shared" si="28"/>
        <v>15.3931</v>
      </c>
      <c r="AE176">
        <f t="shared" si="29"/>
        <v>14.839718055000001</v>
      </c>
      <c r="AF176" s="9"/>
      <c r="AG176" s="22">
        <v>0.735931</v>
      </c>
      <c r="AH176" s="22">
        <v>141.316</v>
      </c>
      <c r="AI176" s="22">
        <v>-1.5539600000000001E-2</v>
      </c>
      <c r="AJ176" s="22">
        <v>166</v>
      </c>
      <c r="AK176" s="22">
        <v>0.73522900000000002</v>
      </c>
      <c r="AL176">
        <f t="shared" si="30"/>
        <v>15.5396</v>
      </c>
      <c r="AM176">
        <f t="shared" si="31"/>
        <v>11.436073367600001</v>
      </c>
      <c r="AP176" s="9"/>
      <c r="AQ176" s="22">
        <v>0.96404999999999996</v>
      </c>
      <c r="AR176" s="22">
        <v>190.69499999999999</v>
      </c>
      <c r="AS176" s="22">
        <v>-1.54022E-2</v>
      </c>
      <c r="AT176" s="22">
        <v>166</v>
      </c>
      <c r="AU176" s="22">
        <v>0.96343999999999996</v>
      </c>
      <c r="AV176">
        <f t="shared" si="32"/>
        <v>15.402199999999999</v>
      </c>
      <c r="AW176">
        <f t="shared" si="33"/>
        <v>14.848490909999999</v>
      </c>
      <c r="AX176" s="9"/>
      <c r="AY176" s="22">
        <v>0.735931</v>
      </c>
      <c r="AZ176" s="22">
        <v>240.078</v>
      </c>
      <c r="BA176" s="22">
        <v>-1.5545700000000001E-2</v>
      </c>
      <c r="BB176" s="22">
        <v>166</v>
      </c>
      <c r="BC176" s="22">
        <v>0.73522900000000002</v>
      </c>
      <c r="BD176">
        <f t="shared" si="34"/>
        <v>15.5457</v>
      </c>
      <c r="BE176">
        <f t="shared" si="35"/>
        <v>11.440562546700001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10.6683</v>
      </c>
      <c r="I177" s="22">
        <v>-1.5356399999999999E-2</v>
      </c>
      <c r="J177" s="22">
        <v>167</v>
      </c>
      <c r="K177" s="22">
        <v>0.95855699999999999</v>
      </c>
      <c r="L177">
        <f t="shared" si="24"/>
        <v>15.356399999999999</v>
      </c>
      <c r="M177">
        <f t="shared" si="25"/>
        <v>14.727017945999998</v>
      </c>
      <c r="N177" s="9"/>
      <c r="O177" s="22">
        <v>0.74096700000000004</v>
      </c>
      <c r="P177" s="22">
        <v>60.089700000000001</v>
      </c>
      <c r="Q177" s="22">
        <v>-1.5554800000000001E-2</v>
      </c>
      <c r="R177" s="22">
        <v>167</v>
      </c>
      <c r="S177" s="22">
        <v>0.74023399999999995</v>
      </c>
      <c r="T177">
        <f t="shared" si="26"/>
        <v>15.5548</v>
      </c>
      <c r="U177">
        <f t="shared" si="27"/>
        <v>11.5255934916</v>
      </c>
      <c r="X177" s="9"/>
      <c r="Y177" s="22">
        <v>0.95901499999999995</v>
      </c>
      <c r="Z177" s="22">
        <v>109.667</v>
      </c>
      <c r="AA177" s="22">
        <v>-1.5396099999999999E-2</v>
      </c>
      <c r="AB177" s="22">
        <v>167</v>
      </c>
      <c r="AC177" s="22">
        <v>0.95794699999999999</v>
      </c>
      <c r="AD177">
        <f t="shared" si="28"/>
        <v>15.396099999999999</v>
      </c>
      <c r="AE177">
        <f t="shared" si="29"/>
        <v>14.765090841499998</v>
      </c>
      <c r="AF177" s="9"/>
      <c r="AG177" s="22">
        <v>0.74096700000000004</v>
      </c>
      <c r="AH177" s="22">
        <v>141.32599999999999</v>
      </c>
      <c r="AI177" s="22">
        <v>-1.5545700000000001E-2</v>
      </c>
      <c r="AJ177" s="22">
        <v>167</v>
      </c>
      <c r="AK177" s="22">
        <v>0.740448</v>
      </c>
      <c r="AL177">
        <f t="shared" si="30"/>
        <v>15.5457</v>
      </c>
      <c r="AM177">
        <f t="shared" si="31"/>
        <v>11.518850691900001</v>
      </c>
      <c r="AP177" s="9"/>
      <c r="AQ177" s="22">
        <v>0.95901499999999995</v>
      </c>
      <c r="AR177" s="22">
        <v>190.70500000000001</v>
      </c>
      <c r="AS177" s="22">
        <v>-1.54053E-2</v>
      </c>
      <c r="AT177" s="22">
        <v>167</v>
      </c>
      <c r="AU177" s="22">
        <v>0.95886199999999999</v>
      </c>
      <c r="AV177">
        <f t="shared" si="32"/>
        <v>15.4053</v>
      </c>
      <c r="AW177">
        <f t="shared" si="33"/>
        <v>14.773913779499999</v>
      </c>
      <c r="AX177" s="9"/>
      <c r="AY177" s="22">
        <v>0.74096700000000004</v>
      </c>
      <c r="AZ177" s="22">
        <v>240.08799999999999</v>
      </c>
      <c r="BA177" s="22">
        <v>-1.5545700000000001E-2</v>
      </c>
      <c r="BB177" s="22">
        <v>167</v>
      </c>
      <c r="BC177" s="22">
        <v>0.74038700000000002</v>
      </c>
      <c r="BD177">
        <f t="shared" si="34"/>
        <v>15.5457</v>
      </c>
      <c r="BE177">
        <f t="shared" si="35"/>
        <v>11.518850691900001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10.6783</v>
      </c>
      <c r="I178" s="22">
        <v>-1.53595E-2</v>
      </c>
      <c r="J178" s="22">
        <v>168</v>
      </c>
      <c r="K178" s="22">
        <v>0.95336900000000002</v>
      </c>
      <c r="L178">
        <f t="shared" si="24"/>
        <v>15.359500000000001</v>
      </c>
      <c r="M178">
        <f t="shared" si="25"/>
        <v>14.652640450500002</v>
      </c>
      <c r="N178" s="9"/>
      <c r="O178" s="22">
        <v>0.74600200000000005</v>
      </c>
      <c r="P178" s="22">
        <v>60.099699999999999</v>
      </c>
      <c r="Q178" s="22">
        <v>-1.55487E-2</v>
      </c>
      <c r="R178" s="22">
        <v>168</v>
      </c>
      <c r="S178" s="22">
        <v>0.74539200000000005</v>
      </c>
      <c r="T178">
        <f t="shared" si="26"/>
        <v>15.5487</v>
      </c>
      <c r="U178">
        <f t="shared" si="27"/>
        <v>11.599361297400002</v>
      </c>
      <c r="X178" s="9"/>
      <c r="Y178" s="22">
        <v>0.95397900000000002</v>
      </c>
      <c r="Z178" s="22">
        <v>109.67700000000001</v>
      </c>
      <c r="AA178" s="22">
        <v>-1.54053E-2</v>
      </c>
      <c r="AB178" s="22">
        <v>168</v>
      </c>
      <c r="AC178" s="22">
        <v>0.95275900000000002</v>
      </c>
      <c r="AD178">
        <f t="shared" si="28"/>
        <v>15.4053</v>
      </c>
      <c r="AE178">
        <f t="shared" si="29"/>
        <v>14.6963326887</v>
      </c>
      <c r="AF178" s="9"/>
      <c r="AG178" s="22">
        <v>0.74600200000000005</v>
      </c>
      <c r="AH178" s="22">
        <v>141.33600000000001</v>
      </c>
      <c r="AI178" s="22">
        <v>-1.5545700000000001E-2</v>
      </c>
      <c r="AJ178" s="22">
        <v>168</v>
      </c>
      <c r="AK178" s="22">
        <v>0.74545300000000003</v>
      </c>
      <c r="AL178">
        <f t="shared" si="30"/>
        <v>15.5457</v>
      </c>
      <c r="AM178">
        <f t="shared" si="31"/>
        <v>11.597123291400001</v>
      </c>
      <c r="AP178" s="9"/>
      <c r="AQ178" s="22">
        <v>0.95397900000000002</v>
      </c>
      <c r="AR178" s="22">
        <v>190.715</v>
      </c>
      <c r="AS178" s="22">
        <v>-1.54022E-2</v>
      </c>
      <c r="AT178" s="22">
        <v>168</v>
      </c>
      <c r="AU178" s="22">
        <v>0.95306400000000002</v>
      </c>
      <c r="AV178">
        <f t="shared" si="32"/>
        <v>15.402199999999999</v>
      </c>
      <c r="AW178">
        <f t="shared" si="33"/>
        <v>14.693375353799999</v>
      </c>
      <c r="AX178" s="9"/>
      <c r="AY178" s="22">
        <v>0.74600200000000005</v>
      </c>
      <c r="AZ178" s="22">
        <v>240.09800000000001</v>
      </c>
      <c r="BA178" s="22">
        <v>-1.55426E-2</v>
      </c>
      <c r="BB178" s="22">
        <v>168</v>
      </c>
      <c r="BC178" s="22">
        <v>0.74536100000000005</v>
      </c>
      <c r="BD178">
        <f t="shared" si="34"/>
        <v>15.5426</v>
      </c>
      <c r="BE178">
        <f t="shared" si="35"/>
        <v>11.594810685200001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10.6884</v>
      </c>
      <c r="I179" s="22">
        <v>-1.53595E-2</v>
      </c>
      <c r="J179" s="22">
        <v>169</v>
      </c>
      <c r="K179" s="22">
        <v>0.94757100000000005</v>
      </c>
      <c r="L179">
        <f t="shared" si="24"/>
        <v>15.359500000000001</v>
      </c>
      <c r="M179">
        <f t="shared" si="25"/>
        <v>14.575305368</v>
      </c>
      <c r="N179" s="9"/>
      <c r="O179" s="22">
        <v>0.75103799999999998</v>
      </c>
      <c r="P179" s="22">
        <v>60.1098</v>
      </c>
      <c r="Q179" s="22">
        <v>-1.5539600000000001E-2</v>
      </c>
      <c r="R179" s="22">
        <v>169</v>
      </c>
      <c r="S179" s="22">
        <v>0.75036599999999998</v>
      </c>
      <c r="T179">
        <f t="shared" si="26"/>
        <v>15.5396</v>
      </c>
      <c r="U179">
        <f t="shared" si="27"/>
        <v>11.6708301048</v>
      </c>
      <c r="X179" s="9"/>
      <c r="Y179" s="22">
        <v>0.94894400000000001</v>
      </c>
      <c r="Z179" s="22">
        <v>109.687</v>
      </c>
      <c r="AA179" s="22">
        <v>-1.54114E-2</v>
      </c>
      <c r="AB179" s="22">
        <v>169</v>
      </c>
      <c r="AC179" s="22">
        <v>0.94787600000000005</v>
      </c>
      <c r="AD179">
        <f t="shared" si="28"/>
        <v>15.4114</v>
      </c>
      <c r="AE179">
        <f t="shared" si="29"/>
        <v>14.624555561600001</v>
      </c>
      <c r="AF179" s="9"/>
      <c r="AG179" s="22">
        <v>0.75103799999999998</v>
      </c>
      <c r="AH179" s="22">
        <v>141.346</v>
      </c>
      <c r="AI179" s="22">
        <v>-1.5545700000000001E-2</v>
      </c>
      <c r="AJ179" s="22">
        <v>169</v>
      </c>
      <c r="AK179" s="22">
        <v>0.75036599999999998</v>
      </c>
      <c r="AL179">
        <f t="shared" si="30"/>
        <v>15.5457</v>
      </c>
      <c r="AM179">
        <f t="shared" si="31"/>
        <v>11.675411436599999</v>
      </c>
      <c r="AP179" s="9"/>
      <c r="AQ179" s="22">
        <v>0.94894400000000001</v>
      </c>
      <c r="AR179" s="22">
        <v>190.72499999999999</v>
      </c>
      <c r="AS179" s="22">
        <v>-1.54022E-2</v>
      </c>
      <c r="AT179" s="22">
        <v>169</v>
      </c>
      <c r="AU179" s="22">
        <v>0.94818100000000005</v>
      </c>
      <c r="AV179">
        <f t="shared" si="32"/>
        <v>15.402199999999999</v>
      </c>
      <c r="AW179">
        <f t="shared" si="33"/>
        <v>14.615825276799999</v>
      </c>
      <c r="AX179" s="9"/>
      <c r="AY179" s="22">
        <v>0.75103799999999998</v>
      </c>
      <c r="AZ179" s="22">
        <v>240.108</v>
      </c>
      <c r="BA179" s="22">
        <v>-1.5539600000000001E-2</v>
      </c>
      <c r="BB179" s="22">
        <v>169</v>
      </c>
      <c r="BC179" s="22">
        <v>0.75039699999999998</v>
      </c>
      <c r="BD179">
        <f t="shared" si="34"/>
        <v>15.5396</v>
      </c>
      <c r="BE179">
        <f t="shared" si="35"/>
        <v>11.6708301048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10.698499999999999</v>
      </c>
      <c r="I180" s="22">
        <v>-1.5362499999999999E-2</v>
      </c>
      <c r="J180" s="22">
        <v>170</v>
      </c>
      <c r="K180" s="22">
        <v>0.94268799999999997</v>
      </c>
      <c r="L180">
        <f t="shared" si="24"/>
        <v>15.362499999999999</v>
      </c>
      <c r="M180">
        <f t="shared" si="25"/>
        <v>14.500802012499999</v>
      </c>
      <c r="N180" s="9"/>
      <c r="O180" s="22">
        <v>0.756073</v>
      </c>
      <c r="P180" s="22">
        <v>60.119900000000001</v>
      </c>
      <c r="Q180" s="22">
        <v>-1.55365E-2</v>
      </c>
      <c r="R180" s="22">
        <v>170</v>
      </c>
      <c r="S180" s="22">
        <v>0.75531000000000004</v>
      </c>
      <c r="T180">
        <f t="shared" si="26"/>
        <v>15.5365</v>
      </c>
      <c r="U180">
        <f t="shared" si="27"/>
        <v>11.7467281645</v>
      </c>
      <c r="X180" s="9"/>
      <c r="Y180" s="22">
        <v>0.943909</v>
      </c>
      <c r="Z180" s="22">
        <v>109.697</v>
      </c>
      <c r="AA180" s="22">
        <v>-1.5417500000000001E-2</v>
      </c>
      <c r="AB180" s="22">
        <v>170</v>
      </c>
      <c r="AC180" s="22">
        <v>0.94238299999999997</v>
      </c>
      <c r="AD180">
        <f t="shared" si="28"/>
        <v>15.4175</v>
      </c>
      <c r="AE180">
        <f t="shared" si="29"/>
        <v>14.5527170075</v>
      </c>
      <c r="AF180" s="9"/>
      <c r="AG180" s="22">
        <v>0.756073</v>
      </c>
      <c r="AH180" s="22">
        <v>141.35599999999999</v>
      </c>
      <c r="AI180" s="22">
        <v>-1.5539600000000001E-2</v>
      </c>
      <c r="AJ180" s="22">
        <v>170</v>
      </c>
      <c r="AK180" s="22">
        <v>0.75531000000000004</v>
      </c>
      <c r="AL180">
        <f t="shared" si="30"/>
        <v>15.5396</v>
      </c>
      <c r="AM180">
        <f t="shared" si="31"/>
        <v>11.749071990799999</v>
      </c>
      <c r="AP180" s="9"/>
      <c r="AQ180" s="22">
        <v>0.943909</v>
      </c>
      <c r="AR180" s="22">
        <v>190.73500000000001</v>
      </c>
      <c r="AS180" s="22">
        <v>-1.5396099999999999E-2</v>
      </c>
      <c r="AT180" s="22">
        <v>170</v>
      </c>
      <c r="AU180" s="22">
        <v>0.94299299999999997</v>
      </c>
      <c r="AV180">
        <f t="shared" si="32"/>
        <v>15.396099999999999</v>
      </c>
      <c r="AW180">
        <f t="shared" si="33"/>
        <v>14.5325173549</v>
      </c>
      <c r="AX180" s="9"/>
      <c r="AY180" s="22">
        <v>0.756073</v>
      </c>
      <c r="AZ180" s="22">
        <v>240.11799999999999</v>
      </c>
      <c r="BA180" s="22">
        <v>-1.55365E-2</v>
      </c>
      <c r="BB180" s="22">
        <v>170</v>
      </c>
      <c r="BC180" s="22">
        <v>0.75470000000000004</v>
      </c>
      <c r="BD180">
        <f t="shared" si="34"/>
        <v>15.5365</v>
      </c>
      <c r="BE180">
        <f t="shared" si="35"/>
        <v>11.7467281645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10.708500000000001</v>
      </c>
      <c r="I181" s="22">
        <v>-1.53717E-2</v>
      </c>
      <c r="J181" s="22">
        <v>171</v>
      </c>
      <c r="K181" s="22">
        <v>0.93811</v>
      </c>
      <c r="L181">
        <f t="shared" si="24"/>
        <v>15.371700000000001</v>
      </c>
      <c r="M181">
        <f t="shared" si="25"/>
        <v>14.432074094100001</v>
      </c>
      <c r="N181" s="9"/>
      <c r="O181" s="22">
        <v>0.76110800000000001</v>
      </c>
      <c r="P181" s="22">
        <v>60.13</v>
      </c>
      <c r="Q181" s="22">
        <v>-1.5527300000000001E-2</v>
      </c>
      <c r="R181" s="22">
        <v>171</v>
      </c>
      <c r="S181" s="22">
        <v>0.76019300000000001</v>
      </c>
      <c r="T181">
        <f t="shared" si="26"/>
        <v>15.5273</v>
      </c>
      <c r="U181">
        <f t="shared" si="27"/>
        <v>11.817952248400001</v>
      </c>
      <c r="X181" s="9"/>
      <c r="Y181" s="22">
        <v>0.93887299999999996</v>
      </c>
      <c r="Z181" s="22">
        <v>109.70699999999999</v>
      </c>
      <c r="AA181" s="22">
        <v>-1.5423600000000001E-2</v>
      </c>
      <c r="AB181" s="22">
        <v>171</v>
      </c>
      <c r="AC181" s="22">
        <v>0.937805</v>
      </c>
      <c r="AD181">
        <f t="shared" si="28"/>
        <v>15.4236</v>
      </c>
      <c r="AE181">
        <f t="shared" si="29"/>
        <v>14.4808016028</v>
      </c>
      <c r="AF181" s="9"/>
      <c r="AG181" s="22">
        <v>0.76110800000000001</v>
      </c>
      <c r="AH181" s="22">
        <v>141.36600000000001</v>
      </c>
      <c r="AI181" s="22">
        <v>-1.55365E-2</v>
      </c>
      <c r="AJ181" s="22">
        <v>171</v>
      </c>
      <c r="AK181" s="22">
        <v>0.76019300000000001</v>
      </c>
      <c r="AL181">
        <f t="shared" si="30"/>
        <v>15.5365</v>
      </c>
      <c r="AM181">
        <f t="shared" si="31"/>
        <v>11.824954442000001</v>
      </c>
      <c r="AP181" s="9"/>
      <c r="AQ181" s="22">
        <v>0.93887299999999996</v>
      </c>
      <c r="AR181" s="22">
        <v>190.745</v>
      </c>
      <c r="AS181" s="22">
        <v>-1.53931E-2</v>
      </c>
      <c r="AT181" s="22">
        <v>171</v>
      </c>
      <c r="AU181" s="22">
        <v>0.93811</v>
      </c>
      <c r="AV181">
        <f t="shared" si="32"/>
        <v>15.3931</v>
      </c>
      <c r="AW181">
        <f t="shared" si="33"/>
        <v>14.4521659763</v>
      </c>
      <c r="AX181" s="9"/>
      <c r="AY181" s="22">
        <v>0.76110800000000001</v>
      </c>
      <c r="AZ181" s="22">
        <v>240.12799999999999</v>
      </c>
      <c r="BA181" s="22">
        <v>-1.5533399999999999E-2</v>
      </c>
      <c r="BB181" s="22">
        <v>171</v>
      </c>
      <c r="BC181" s="22">
        <v>0.75988800000000001</v>
      </c>
      <c r="BD181">
        <f t="shared" si="34"/>
        <v>15.533399999999999</v>
      </c>
      <c r="BE181">
        <f t="shared" si="35"/>
        <v>11.822595007199999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10.7186</v>
      </c>
      <c r="I182" s="22">
        <v>-1.53778E-2</v>
      </c>
      <c r="J182" s="22">
        <v>172</v>
      </c>
      <c r="K182" s="22">
        <v>0.93322799999999995</v>
      </c>
      <c r="L182">
        <f t="shared" si="24"/>
        <v>15.377800000000001</v>
      </c>
      <c r="M182">
        <f t="shared" si="25"/>
        <v>14.3603739964</v>
      </c>
      <c r="N182" s="9"/>
      <c r="O182" s="22">
        <v>0.76614400000000005</v>
      </c>
      <c r="P182" s="22">
        <v>60.14</v>
      </c>
      <c r="Q182" s="22">
        <v>-1.5521200000000001E-2</v>
      </c>
      <c r="R182" s="22">
        <v>172</v>
      </c>
      <c r="S182" s="22">
        <v>0.76599099999999998</v>
      </c>
      <c r="T182">
        <f t="shared" si="26"/>
        <v>15.5212</v>
      </c>
      <c r="U182">
        <f t="shared" si="27"/>
        <v>11.8914742528</v>
      </c>
      <c r="X182" s="9"/>
      <c r="Y182" s="22">
        <v>0.93383799999999995</v>
      </c>
      <c r="Z182" s="22">
        <v>109.717</v>
      </c>
      <c r="AA182" s="22">
        <v>-1.5432700000000001E-2</v>
      </c>
      <c r="AB182" s="22">
        <v>172</v>
      </c>
      <c r="AC182" s="22">
        <v>0.93292200000000003</v>
      </c>
      <c r="AD182">
        <f t="shared" si="28"/>
        <v>15.432700000000001</v>
      </c>
      <c r="AE182">
        <f t="shared" si="29"/>
        <v>14.411641702599999</v>
      </c>
      <c r="AF182" s="9"/>
      <c r="AG182" s="22">
        <v>0.76614400000000005</v>
      </c>
      <c r="AH182" s="22">
        <v>141.37700000000001</v>
      </c>
      <c r="AI182" s="22">
        <v>-1.5527300000000001E-2</v>
      </c>
      <c r="AJ182" s="22">
        <v>172</v>
      </c>
      <c r="AK182" s="22">
        <v>0.76507599999999998</v>
      </c>
      <c r="AL182">
        <f t="shared" si="30"/>
        <v>15.5273</v>
      </c>
      <c r="AM182">
        <f t="shared" si="31"/>
        <v>11.896147731200001</v>
      </c>
      <c r="AP182" s="9"/>
      <c r="AQ182" s="22">
        <v>0.93383799999999995</v>
      </c>
      <c r="AR182" s="22">
        <v>190.755</v>
      </c>
      <c r="AS182" s="22">
        <v>-1.53992E-2</v>
      </c>
      <c r="AT182" s="22">
        <v>172</v>
      </c>
      <c r="AU182" s="22">
        <v>0.93292200000000003</v>
      </c>
      <c r="AV182">
        <f t="shared" si="32"/>
        <v>15.3992</v>
      </c>
      <c r="AW182">
        <f t="shared" si="33"/>
        <v>14.380358129599999</v>
      </c>
      <c r="AX182" s="9"/>
      <c r="AY182" s="22">
        <v>0.76614400000000005</v>
      </c>
      <c r="AZ182" s="22">
        <v>240.13800000000001</v>
      </c>
      <c r="BA182" s="22">
        <v>-1.55304E-2</v>
      </c>
      <c r="BB182" s="22">
        <v>172</v>
      </c>
      <c r="BC182" s="22">
        <v>0.76507599999999998</v>
      </c>
      <c r="BD182">
        <f t="shared" si="34"/>
        <v>15.5304</v>
      </c>
      <c r="BE182">
        <f t="shared" si="35"/>
        <v>11.8985227776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10.7287</v>
      </c>
      <c r="I183" s="22">
        <v>-1.5389999999999999E-2</v>
      </c>
      <c r="J183" s="22">
        <v>173</v>
      </c>
      <c r="K183" s="22">
        <v>0.92834499999999998</v>
      </c>
      <c r="L183">
        <f t="shared" si="24"/>
        <v>15.389999999999999</v>
      </c>
      <c r="M183">
        <f t="shared" si="25"/>
        <v>14.294262779999999</v>
      </c>
      <c r="N183" s="9"/>
      <c r="O183" s="22">
        <v>0.77117899999999995</v>
      </c>
      <c r="P183" s="22">
        <v>60.150100000000002</v>
      </c>
      <c r="Q183" s="22">
        <v>-1.5521200000000001E-2</v>
      </c>
      <c r="R183" s="22">
        <v>173</v>
      </c>
      <c r="S183" s="22">
        <v>0.77056899999999995</v>
      </c>
      <c r="T183">
        <f t="shared" si="26"/>
        <v>15.5212</v>
      </c>
      <c r="U183">
        <f t="shared" si="27"/>
        <v>11.969623494799999</v>
      </c>
      <c r="X183" s="9"/>
      <c r="Y183" s="22">
        <v>0.92880200000000002</v>
      </c>
      <c r="Z183" s="22">
        <v>109.72799999999999</v>
      </c>
      <c r="AA183" s="22">
        <v>-1.54358E-2</v>
      </c>
      <c r="AB183" s="22">
        <v>173</v>
      </c>
      <c r="AC183" s="22">
        <v>0.92803999999999998</v>
      </c>
      <c r="AD183">
        <f t="shared" si="28"/>
        <v>15.4358</v>
      </c>
      <c r="AE183">
        <f t="shared" si="29"/>
        <v>14.3368019116</v>
      </c>
      <c r="AF183" s="9"/>
      <c r="AG183" s="22">
        <v>0.77117899999999995</v>
      </c>
      <c r="AH183" s="22">
        <v>141.387</v>
      </c>
      <c r="AI183" s="22">
        <v>-1.55243E-2</v>
      </c>
      <c r="AJ183" s="22">
        <v>173</v>
      </c>
      <c r="AK183" s="22">
        <v>0.77026399999999995</v>
      </c>
      <c r="AL183">
        <f t="shared" si="30"/>
        <v>15.5243</v>
      </c>
      <c r="AM183">
        <f t="shared" si="31"/>
        <v>11.9720141497</v>
      </c>
      <c r="AP183" s="9"/>
      <c r="AQ183" s="22">
        <v>0.92880200000000002</v>
      </c>
      <c r="AR183" s="22">
        <v>190.76499999999999</v>
      </c>
      <c r="AS183" s="22">
        <v>-1.54053E-2</v>
      </c>
      <c r="AT183" s="22">
        <v>173</v>
      </c>
      <c r="AU183" s="22">
        <v>0.92773399999999995</v>
      </c>
      <c r="AV183">
        <f t="shared" si="32"/>
        <v>15.4053</v>
      </c>
      <c r="AW183">
        <f t="shared" si="33"/>
        <v>14.308473450600001</v>
      </c>
      <c r="AX183" s="9"/>
      <c r="AY183" s="22">
        <v>0.77117899999999995</v>
      </c>
      <c r="AZ183" s="22">
        <v>240.148</v>
      </c>
      <c r="BA183" s="22">
        <v>-1.5521200000000001E-2</v>
      </c>
      <c r="BB183" s="22">
        <v>173</v>
      </c>
      <c r="BC183" s="22">
        <v>0.77056899999999995</v>
      </c>
      <c r="BD183">
        <f t="shared" si="34"/>
        <v>15.5212</v>
      </c>
      <c r="BE183">
        <f t="shared" si="35"/>
        <v>11.969623494799999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10.738799999999999</v>
      </c>
      <c r="I184" s="22">
        <v>-1.53931E-2</v>
      </c>
      <c r="J184" s="22">
        <v>174</v>
      </c>
      <c r="K184" s="22">
        <v>0.92285200000000001</v>
      </c>
      <c r="L184">
        <f t="shared" si="24"/>
        <v>15.3931</v>
      </c>
      <c r="M184">
        <f t="shared" si="25"/>
        <v>14.2196378077</v>
      </c>
      <c r="N184" s="9"/>
      <c r="O184" s="22">
        <v>0.77621499999999999</v>
      </c>
      <c r="P184" s="22">
        <v>60.160200000000003</v>
      </c>
      <c r="Q184" s="22">
        <v>-1.5521200000000001E-2</v>
      </c>
      <c r="R184" s="22">
        <v>174</v>
      </c>
      <c r="S184" s="22">
        <v>0.77545200000000003</v>
      </c>
      <c r="T184">
        <f t="shared" si="26"/>
        <v>15.5212</v>
      </c>
      <c r="U184">
        <f t="shared" si="27"/>
        <v>12.047788258000001</v>
      </c>
      <c r="X184" s="9"/>
      <c r="Y184" s="22">
        <v>0.923767</v>
      </c>
      <c r="Z184" s="22">
        <v>109.738</v>
      </c>
      <c r="AA184" s="22">
        <v>-1.5432700000000001E-2</v>
      </c>
      <c r="AB184" s="22">
        <v>174</v>
      </c>
      <c r="AC184" s="22">
        <v>0.92254599999999998</v>
      </c>
      <c r="AD184">
        <f t="shared" si="28"/>
        <v>15.432700000000001</v>
      </c>
      <c r="AE184">
        <f t="shared" si="29"/>
        <v>14.2562189809</v>
      </c>
      <c r="AF184" s="9"/>
      <c r="AG184" s="22">
        <v>0.77621499999999999</v>
      </c>
      <c r="AH184" s="22">
        <v>141.39699999999999</v>
      </c>
      <c r="AI184" s="22">
        <v>-1.5518199999999999E-2</v>
      </c>
      <c r="AJ184" s="22">
        <v>174</v>
      </c>
      <c r="AK184" s="22">
        <v>0.775146</v>
      </c>
      <c r="AL184">
        <f t="shared" si="30"/>
        <v>15.5182</v>
      </c>
      <c r="AM184">
        <f t="shared" si="31"/>
        <v>12.045459613</v>
      </c>
      <c r="AP184" s="9"/>
      <c r="AQ184" s="22">
        <v>0.923767</v>
      </c>
      <c r="AR184" s="22">
        <v>190.77500000000001</v>
      </c>
      <c r="AS184" s="22">
        <v>-1.5417500000000001E-2</v>
      </c>
      <c r="AT184" s="22">
        <v>174</v>
      </c>
      <c r="AU184" s="22">
        <v>0.92285200000000001</v>
      </c>
      <c r="AV184">
        <f t="shared" si="32"/>
        <v>15.4175</v>
      </c>
      <c r="AW184">
        <f t="shared" si="33"/>
        <v>14.242177722500001</v>
      </c>
      <c r="AX184" s="9"/>
      <c r="AY184" s="22">
        <v>0.77621499999999999</v>
      </c>
      <c r="AZ184" s="22">
        <v>240.15899999999999</v>
      </c>
      <c r="BA184" s="22">
        <v>-1.5512099999999999E-2</v>
      </c>
      <c r="BB184" s="22">
        <v>174</v>
      </c>
      <c r="BC184" s="22">
        <v>0.77575700000000003</v>
      </c>
      <c r="BD184">
        <f t="shared" si="34"/>
        <v>15.512099999999998</v>
      </c>
      <c r="BE184">
        <f t="shared" si="35"/>
        <v>12.040724701499999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10.748799999999999</v>
      </c>
      <c r="I185" s="22">
        <v>-1.5396099999999999E-2</v>
      </c>
      <c r="J185" s="22">
        <v>175</v>
      </c>
      <c r="K185" s="22">
        <v>0.91796900000000003</v>
      </c>
      <c r="L185">
        <f t="shared" si="24"/>
        <v>15.396099999999999</v>
      </c>
      <c r="M185">
        <f t="shared" si="25"/>
        <v>14.144889745199999</v>
      </c>
      <c r="N185" s="9"/>
      <c r="O185" s="22">
        <v>0.78125</v>
      </c>
      <c r="P185" s="22">
        <v>60.170200000000001</v>
      </c>
      <c r="Q185" s="22">
        <v>-1.5521200000000001E-2</v>
      </c>
      <c r="R185" s="22">
        <v>175</v>
      </c>
      <c r="S185" s="22">
        <v>0.78064</v>
      </c>
      <c r="T185">
        <f t="shared" si="26"/>
        <v>15.5212</v>
      </c>
      <c r="U185">
        <f t="shared" si="27"/>
        <v>12.125937500000001</v>
      </c>
      <c r="X185" s="9"/>
      <c r="Y185" s="22">
        <v>0.91873199999999999</v>
      </c>
      <c r="Z185" s="22">
        <v>109.748</v>
      </c>
      <c r="AA185" s="22">
        <v>-1.5429699999999999E-2</v>
      </c>
      <c r="AB185" s="22">
        <v>175</v>
      </c>
      <c r="AC185" s="22">
        <v>0.91796900000000003</v>
      </c>
      <c r="AD185">
        <f t="shared" si="28"/>
        <v>15.429699999999999</v>
      </c>
      <c r="AE185">
        <f t="shared" si="29"/>
        <v>14.175759140399999</v>
      </c>
      <c r="AF185" s="9"/>
      <c r="AG185" s="22">
        <v>0.78125</v>
      </c>
      <c r="AH185" s="22">
        <v>141.40700000000001</v>
      </c>
      <c r="AI185" s="22">
        <v>-1.55151E-2</v>
      </c>
      <c r="AJ185" s="22">
        <v>175</v>
      </c>
      <c r="AK185" s="22">
        <v>0.78002899999999997</v>
      </c>
      <c r="AL185">
        <f t="shared" si="30"/>
        <v>15.5151</v>
      </c>
      <c r="AM185">
        <f t="shared" si="31"/>
        <v>12.121171875</v>
      </c>
      <c r="AP185" s="9"/>
      <c r="AQ185" s="22">
        <v>0.91873199999999999</v>
      </c>
      <c r="AR185" s="22">
        <v>190.785</v>
      </c>
      <c r="AS185" s="22">
        <v>-1.54266E-2</v>
      </c>
      <c r="AT185" s="22">
        <v>175</v>
      </c>
      <c r="AU185" s="22">
        <v>0.91766400000000004</v>
      </c>
      <c r="AV185">
        <f t="shared" si="32"/>
        <v>15.426600000000001</v>
      </c>
      <c r="AW185">
        <f t="shared" si="33"/>
        <v>14.1729110712</v>
      </c>
      <c r="AX185" s="9"/>
      <c r="AY185" s="22">
        <v>0.78125</v>
      </c>
      <c r="AZ185" s="22">
        <v>240.16900000000001</v>
      </c>
      <c r="BA185" s="22">
        <v>-1.5509E-2</v>
      </c>
      <c r="BB185" s="22">
        <v>175</v>
      </c>
      <c r="BC185" s="22">
        <v>0.780945</v>
      </c>
      <c r="BD185">
        <f t="shared" si="34"/>
        <v>15.509</v>
      </c>
      <c r="BE185">
        <f t="shared" si="35"/>
        <v>12.116406250000001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10.758900000000001</v>
      </c>
      <c r="I186" s="22">
        <v>-1.5396099999999999E-2</v>
      </c>
      <c r="J186" s="22">
        <v>176</v>
      </c>
      <c r="K186" s="22">
        <v>0.91308599999999995</v>
      </c>
      <c r="L186">
        <f t="shared" si="24"/>
        <v>15.396099999999999</v>
      </c>
      <c r="M186">
        <f t="shared" si="25"/>
        <v>14.067354985599998</v>
      </c>
      <c r="N186" s="9"/>
      <c r="O186" s="22">
        <v>0.78628500000000001</v>
      </c>
      <c r="P186" s="22">
        <v>60.180300000000003</v>
      </c>
      <c r="Q186" s="22">
        <v>-1.5518199999999999E-2</v>
      </c>
      <c r="R186" s="22">
        <v>176</v>
      </c>
      <c r="S186" s="22">
        <v>0.78552200000000005</v>
      </c>
      <c r="T186">
        <f t="shared" si="26"/>
        <v>15.5182</v>
      </c>
      <c r="U186">
        <f t="shared" si="27"/>
        <v>12.201727887000001</v>
      </c>
      <c r="X186" s="9"/>
      <c r="Y186" s="22">
        <v>0.91369599999999995</v>
      </c>
      <c r="Z186" s="22">
        <v>109.758</v>
      </c>
      <c r="AA186" s="22">
        <v>-1.54358E-2</v>
      </c>
      <c r="AB186" s="22">
        <v>176</v>
      </c>
      <c r="AC186" s="22">
        <v>0.91308599999999995</v>
      </c>
      <c r="AD186">
        <f t="shared" si="28"/>
        <v>15.4358</v>
      </c>
      <c r="AE186">
        <f t="shared" si="29"/>
        <v>14.103628716799999</v>
      </c>
      <c r="AF186" s="9"/>
      <c r="AG186" s="22">
        <v>0.78628500000000001</v>
      </c>
      <c r="AH186" s="22">
        <v>141.417</v>
      </c>
      <c r="AI186" s="22">
        <v>-1.5509E-2</v>
      </c>
      <c r="AJ186" s="22">
        <v>176</v>
      </c>
      <c r="AK186" s="22">
        <v>0.78582799999999997</v>
      </c>
      <c r="AL186">
        <f t="shared" si="30"/>
        <v>15.509</v>
      </c>
      <c r="AM186">
        <f t="shared" si="31"/>
        <v>12.194494065000001</v>
      </c>
      <c r="AP186" s="9"/>
      <c r="AQ186" s="22">
        <v>0.91369599999999995</v>
      </c>
      <c r="AR186" s="22">
        <v>190.79499999999999</v>
      </c>
      <c r="AS186" s="22">
        <v>-1.5429699999999999E-2</v>
      </c>
      <c r="AT186" s="22">
        <v>176</v>
      </c>
      <c r="AU186" s="22">
        <v>0.91217000000000004</v>
      </c>
      <c r="AV186">
        <f t="shared" si="32"/>
        <v>15.429699999999999</v>
      </c>
      <c r="AW186">
        <f t="shared" si="33"/>
        <v>14.098055171199999</v>
      </c>
      <c r="AX186" s="9"/>
      <c r="AY186" s="22">
        <v>0.78628500000000001</v>
      </c>
      <c r="AZ186" s="22">
        <v>240.179</v>
      </c>
      <c r="BA186" s="22">
        <v>-1.55029E-2</v>
      </c>
      <c r="BB186" s="22">
        <v>176</v>
      </c>
      <c r="BC186" s="22">
        <v>0.78552200000000005</v>
      </c>
      <c r="BD186">
        <f t="shared" si="34"/>
        <v>15.5029</v>
      </c>
      <c r="BE186">
        <f t="shared" si="35"/>
        <v>12.1896977265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10.769</v>
      </c>
      <c r="I187" s="22">
        <v>-1.5396099999999999E-2</v>
      </c>
      <c r="J187" s="22">
        <v>177</v>
      </c>
      <c r="K187" s="22">
        <v>0.90789799999999998</v>
      </c>
      <c r="L187">
        <f t="shared" si="24"/>
        <v>15.396099999999999</v>
      </c>
      <c r="M187">
        <f t="shared" si="25"/>
        <v>13.989835622099999</v>
      </c>
      <c r="N187" s="9"/>
      <c r="O187" s="22">
        <v>0.79132100000000005</v>
      </c>
      <c r="P187" s="22">
        <v>60.190399999999997</v>
      </c>
      <c r="Q187" s="22">
        <v>-1.5512099999999999E-2</v>
      </c>
      <c r="R187" s="22">
        <v>177</v>
      </c>
      <c r="S187" s="22">
        <v>0.79071000000000002</v>
      </c>
      <c r="T187">
        <f t="shared" si="26"/>
        <v>15.512099999999998</v>
      </c>
      <c r="U187">
        <f t="shared" si="27"/>
        <v>12.275050484099999</v>
      </c>
      <c r="X187" s="9"/>
      <c r="Y187" s="22">
        <v>0.90866100000000005</v>
      </c>
      <c r="Z187" s="22">
        <v>109.768</v>
      </c>
      <c r="AA187" s="22">
        <v>-1.54419E-2</v>
      </c>
      <c r="AB187" s="22">
        <v>177</v>
      </c>
      <c r="AC187" s="22">
        <v>0.90759299999999998</v>
      </c>
      <c r="AD187">
        <f t="shared" si="28"/>
        <v>15.4419</v>
      </c>
      <c r="AE187">
        <f t="shared" si="29"/>
        <v>14.031452295900001</v>
      </c>
      <c r="AF187" s="9"/>
      <c r="AG187" s="22">
        <v>0.79132100000000005</v>
      </c>
      <c r="AH187" s="22">
        <v>141.42699999999999</v>
      </c>
      <c r="AI187" s="22">
        <v>-1.5506000000000001E-2</v>
      </c>
      <c r="AJ187" s="22">
        <v>177</v>
      </c>
      <c r="AK187" s="22">
        <v>0.79132100000000005</v>
      </c>
      <c r="AL187">
        <f t="shared" si="30"/>
        <v>15.506</v>
      </c>
      <c r="AM187">
        <f t="shared" si="31"/>
        <v>12.270223426000001</v>
      </c>
      <c r="AP187" s="9"/>
      <c r="AQ187" s="22">
        <v>0.90866100000000005</v>
      </c>
      <c r="AR187" s="22">
        <v>190.80500000000001</v>
      </c>
      <c r="AS187" s="22">
        <v>-1.5429699999999999E-2</v>
      </c>
      <c r="AT187" s="22">
        <v>177</v>
      </c>
      <c r="AU187" s="22">
        <v>0.90759299999999998</v>
      </c>
      <c r="AV187">
        <f t="shared" si="32"/>
        <v>15.429699999999999</v>
      </c>
      <c r="AW187">
        <f t="shared" si="33"/>
        <v>14.0203666317</v>
      </c>
      <c r="AX187" s="9"/>
      <c r="AY187" s="22">
        <v>0.79132100000000005</v>
      </c>
      <c r="AZ187" s="22">
        <v>240.18899999999999</v>
      </c>
      <c r="BA187" s="22">
        <v>-1.54968E-2</v>
      </c>
      <c r="BB187" s="22">
        <v>177</v>
      </c>
      <c r="BC187" s="22">
        <v>0.79010000000000002</v>
      </c>
      <c r="BD187">
        <f t="shared" si="34"/>
        <v>15.4968</v>
      </c>
      <c r="BE187">
        <f t="shared" si="35"/>
        <v>12.262943272800001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10.779</v>
      </c>
      <c r="I188" s="22">
        <v>-1.5396099999999999E-2</v>
      </c>
      <c r="J188" s="22">
        <v>178</v>
      </c>
      <c r="K188" s="22">
        <v>0.90301500000000001</v>
      </c>
      <c r="L188">
        <f t="shared" si="24"/>
        <v>15.396099999999999</v>
      </c>
      <c r="M188">
        <f t="shared" si="25"/>
        <v>13.912300862499999</v>
      </c>
      <c r="N188" s="9"/>
      <c r="O188" s="22">
        <v>0.79635599999999995</v>
      </c>
      <c r="P188" s="22">
        <v>60.200499999999998</v>
      </c>
      <c r="Q188" s="22">
        <v>-1.5509E-2</v>
      </c>
      <c r="R188" s="22">
        <v>178</v>
      </c>
      <c r="S188" s="22">
        <v>0.794983</v>
      </c>
      <c r="T188">
        <f t="shared" si="26"/>
        <v>15.509</v>
      </c>
      <c r="U188">
        <f t="shared" si="27"/>
        <v>12.350685203999999</v>
      </c>
      <c r="X188" s="9"/>
      <c r="Y188" s="22">
        <v>0.90362500000000001</v>
      </c>
      <c r="Z188" s="22">
        <v>109.77800000000001</v>
      </c>
      <c r="AA188" s="22">
        <v>-1.5444899999999999E-2</v>
      </c>
      <c r="AB188" s="22">
        <v>178</v>
      </c>
      <c r="AC188" s="22">
        <v>0.90271000000000001</v>
      </c>
      <c r="AD188">
        <f t="shared" si="28"/>
        <v>15.444899999999999</v>
      </c>
      <c r="AE188">
        <f t="shared" si="29"/>
        <v>13.956397762499998</v>
      </c>
      <c r="AF188" s="9"/>
      <c r="AG188" s="22">
        <v>0.79635599999999995</v>
      </c>
      <c r="AH188" s="22">
        <v>141.43700000000001</v>
      </c>
      <c r="AI188" s="22">
        <v>-1.5509E-2</v>
      </c>
      <c r="AJ188" s="22">
        <v>178</v>
      </c>
      <c r="AK188" s="22">
        <v>0.79559299999999999</v>
      </c>
      <c r="AL188">
        <f t="shared" si="30"/>
        <v>15.509</v>
      </c>
      <c r="AM188">
        <f t="shared" si="31"/>
        <v>12.350685203999999</v>
      </c>
      <c r="AP188" s="9"/>
      <c r="AQ188" s="22">
        <v>0.90362500000000001</v>
      </c>
      <c r="AR188" s="22">
        <v>190.815</v>
      </c>
      <c r="AS188" s="22">
        <v>-1.54266E-2</v>
      </c>
      <c r="AT188" s="22">
        <v>178</v>
      </c>
      <c r="AU188" s="22">
        <v>0.90301500000000001</v>
      </c>
      <c r="AV188">
        <f t="shared" si="32"/>
        <v>15.426600000000001</v>
      </c>
      <c r="AW188">
        <f t="shared" si="33"/>
        <v>13.939861425</v>
      </c>
      <c r="AX188" s="9"/>
      <c r="AY188" s="22">
        <v>0.79635599999999995</v>
      </c>
      <c r="AZ188" s="22">
        <v>240.19900000000001</v>
      </c>
      <c r="BA188" s="22">
        <v>-1.54907E-2</v>
      </c>
      <c r="BB188" s="22">
        <v>178</v>
      </c>
      <c r="BC188" s="22">
        <v>0.79589799999999999</v>
      </c>
      <c r="BD188">
        <f t="shared" si="34"/>
        <v>15.4907</v>
      </c>
      <c r="BE188">
        <f t="shared" si="35"/>
        <v>12.3361118892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10.789099999999999</v>
      </c>
      <c r="I189" s="22">
        <v>-1.53992E-2</v>
      </c>
      <c r="J189" s="22">
        <v>179</v>
      </c>
      <c r="K189" s="22">
        <v>0.89813200000000004</v>
      </c>
      <c r="L189">
        <f t="shared" si="24"/>
        <v>15.3992</v>
      </c>
      <c r="M189">
        <f t="shared" si="25"/>
        <v>13.837567128</v>
      </c>
      <c r="N189" s="9"/>
      <c r="O189" s="22">
        <v>0.80139199999999999</v>
      </c>
      <c r="P189" s="22">
        <v>60.210500000000003</v>
      </c>
      <c r="Q189" s="22">
        <v>-1.5509E-2</v>
      </c>
      <c r="R189" s="22">
        <v>179</v>
      </c>
      <c r="S189" s="22">
        <v>0.80047599999999997</v>
      </c>
      <c r="T189">
        <f t="shared" si="26"/>
        <v>15.509</v>
      </c>
      <c r="U189">
        <f t="shared" si="27"/>
        <v>12.428788528</v>
      </c>
      <c r="X189" s="9"/>
      <c r="Y189" s="22">
        <v>0.89859</v>
      </c>
      <c r="Z189" s="22">
        <v>109.788</v>
      </c>
      <c r="AA189" s="22">
        <v>-1.5448E-2</v>
      </c>
      <c r="AB189" s="22">
        <v>179</v>
      </c>
      <c r="AC189" s="22">
        <v>0.89813200000000004</v>
      </c>
      <c r="AD189">
        <f t="shared" si="28"/>
        <v>15.448</v>
      </c>
      <c r="AE189">
        <f t="shared" si="29"/>
        <v>13.88141832</v>
      </c>
      <c r="AF189" s="9"/>
      <c r="AG189" s="22">
        <v>0.80139199999999999</v>
      </c>
      <c r="AH189" s="22">
        <v>141.447</v>
      </c>
      <c r="AI189" s="22">
        <v>-1.5509E-2</v>
      </c>
      <c r="AJ189" s="22">
        <v>179</v>
      </c>
      <c r="AK189" s="22">
        <v>0.80078099999999997</v>
      </c>
      <c r="AL189">
        <f t="shared" si="30"/>
        <v>15.509</v>
      </c>
      <c r="AM189">
        <f t="shared" si="31"/>
        <v>12.428788528</v>
      </c>
      <c r="AP189" s="9"/>
      <c r="AQ189" s="22">
        <v>0.89859</v>
      </c>
      <c r="AR189" s="22">
        <v>190.82499999999999</v>
      </c>
      <c r="AS189" s="22">
        <v>-1.5429699999999999E-2</v>
      </c>
      <c r="AT189" s="22">
        <v>179</v>
      </c>
      <c r="AU189" s="22">
        <v>0.89813200000000004</v>
      </c>
      <c r="AV189">
        <f t="shared" si="32"/>
        <v>15.429699999999999</v>
      </c>
      <c r="AW189">
        <f t="shared" si="33"/>
        <v>13.864974123</v>
      </c>
      <c r="AX189" s="9"/>
      <c r="AY189" s="22">
        <v>0.80139199999999999</v>
      </c>
      <c r="AZ189" s="22">
        <v>240.209</v>
      </c>
      <c r="BA189" s="22">
        <v>-1.5484599999999999E-2</v>
      </c>
      <c r="BB189" s="22">
        <v>179</v>
      </c>
      <c r="BC189" s="22">
        <v>0.80078099999999997</v>
      </c>
      <c r="BD189">
        <f t="shared" si="34"/>
        <v>15.484599999999999</v>
      </c>
      <c r="BE189">
        <f t="shared" si="35"/>
        <v>12.409234563199998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10.799200000000001</v>
      </c>
      <c r="I190" s="22">
        <v>-1.54053E-2</v>
      </c>
      <c r="J190" s="22">
        <v>180</v>
      </c>
      <c r="K190" s="22">
        <v>0.89294399999999996</v>
      </c>
      <c r="L190">
        <f t="shared" si="24"/>
        <v>15.4053</v>
      </c>
      <c r="M190">
        <f t="shared" si="25"/>
        <v>13.765482841500001</v>
      </c>
      <c r="N190" s="9"/>
      <c r="O190" s="22">
        <v>0.806427</v>
      </c>
      <c r="P190" s="22">
        <v>60.220599999999997</v>
      </c>
      <c r="Q190" s="22">
        <v>-1.55029E-2</v>
      </c>
      <c r="R190" s="22">
        <v>180</v>
      </c>
      <c r="S190" s="22">
        <v>0.80596900000000005</v>
      </c>
      <c r="T190">
        <f t="shared" si="26"/>
        <v>15.5029</v>
      </c>
      <c r="U190">
        <f t="shared" si="27"/>
        <v>12.5019571383</v>
      </c>
      <c r="X190" s="9"/>
      <c r="Y190" s="22">
        <v>0.89355499999999999</v>
      </c>
      <c r="Z190" s="22">
        <v>109.798</v>
      </c>
      <c r="AA190" s="22">
        <v>-1.5450999999999999E-2</v>
      </c>
      <c r="AB190" s="22">
        <v>180</v>
      </c>
      <c r="AC190" s="22">
        <v>0.89263899999999996</v>
      </c>
      <c r="AD190">
        <f t="shared" si="28"/>
        <v>15.450999999999999</v>
      </c>
      <c r="AE190">
        <f t="shared" si="29"/>
        <v>13.806318305</v>
      </c>
      <c r="AF190" s="9"/>
      <c r="AG190" s="22">
        <v>0.806427</v>
      </c>
      <c r="AH190" s="22">
        <v>141.45699999999999</v>
      </c>
      <c r="AI190" s="22">
        <v>-1.5506000000000001E-2</v>
      </c>
      <c r="AJ190" s="22">
        <v>180</v>
      </c>
      <c r="AK190" s="22">
        <v>0.80566400000000005</v>
      </c>
      <c r="AL190">
        <f t="shared" si="30"/>
        <v>15.506</v>
      </c>
      <c r="AM190">
        <f t="shared" si="31"/>
        <v>12.504457062</v>
      </c>
      <c r="AP190" s="9"/>
      <c r="AQ190" s="22">
        <v>0.89355499999999999</v>
      </c>
      <c r="AR190" s="22">
        <v>190.83600000000001</v>
      </c>
      <c r="AS190" s="22">
        <v>-1.5429699999999999E-2</v>
      </c>
      <c r="AT190" s="22">
        <v>180</v>
      </c>
      <c r="AU190" s="22">
        <v>0.89263899999999996</v>
      </c>
      <c r="AV190">
        <f t="shared" si="32"/>
        <v>15.429699999999999</v>
      </c>
      <c r="AW190">
        <f t="shared" si="33"/>
        <v>13.787285583499999</v>
      </c>
      <c r="AX190" s="9"/>
      <c r="AY190" s="22">
        <v>0.806427</v>
      </c>
      <c r="AZ190" s="22">
        <v>240.21899999999999</v>
      </c>
      <c r="BA190" s="22">
        <v>-1.54816E-2</v>
      </c>
      <c r="BB190" s="22">
        <v>180</v>
      </c>
      <c r="BC190" s="22">
        <v>0.80535900000000005</v>
      </c>
      <c r="BD190">
        <f t="shared" si="34"/>
        <v>15.4816</v>
      </c>
      <c r="BE190">
        <f t="shared" si="35"/>
        <v>12.484780243199999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10.809200000000001</v>
      </c>
      <c r="I191" s="22">
        <v>-1.54083E-2</v>
      </c>
      <c r="J191" s="22">
        <v>181</v>
      </c>
      <c r="K191" s="22">
        <v>0.88806200000000002</v>
      </c>
      <c r="L191">
        <f t="shared" si="24"/>
        <v>15.408300000000001</v>
      </c>
      <c r="M191">
        <f t="shared" si="25"/>
        <v>13.6905673077</v>
      </c>
      <c r="N191" s="9"/>
      <c r="O191" s="22">
        <v>0.81146200000000002</v>
      </c>
      <c r="P191" s="22">
        <v>60.230699999999999</v>
      </c>
      <c r="Q191" s="22">
        <v>-1.54968E-2</v>
      </c>
      <c r="R191" s="22">
        <v>181</v>
      </c>
      <c r="S191" s="22">
        <v>0.81085200000000002</v>
      </c>
      <c r="T191">
        <f t="shared" si="26"/>
        <v>15.4968</v>
      </c>
      <c r="U191">
        <f t="shared" si="27"/>
        <v>12.575064321600001</v>
      </c>
      <c r="X191" s="9"/>
      <c r="Y191" s="22">
        <v>0.88851899999999995</v>
      </c>
      <c r="Z191" s="22">
        <v>109.80800000000001</v>
      </c>
      <c r="AA191" s="22">
        <v>-1.5450999999999999E-2</v>
      </c>
      <c r="AB191" s="22">
        <v>181</v>
      </c>
      <c r="AC191" s="22">
        <v>0.88745099999999999</v>
      </c>
      <c r="AD191">
        <f t="shared" si="28"/>
        <v>15.450999999999999</v>
      </c>
      <c r="AE191">
        <f t="shared" si="29"/>
        <v>13.728507068999997</v>
      </c>
      <c r="AF191" s="9"/>
      <c r="AG191" s="22">
        <v>0.81146200000000002</v>
      </c>
      <c r="AH191" s="22">
        <v>141.46700000000001</v>
      </c>
      <c r="AI191" s="22">
        <v>-1.5506000000000001E-2</v>
      </c>
      <c r="AJ191" s="22">
        <v>181</v>
      </c>
      <c r="AK191" s="22">
        <v>0.81024200000000002</v>
      </c>
      <c r="AL191">
        <f t="shared" si="30"/>
        <v>15.506</v>
      </c>
      <c r="AM191">
        <f t="shared" si="31"/>
        <v>12.582529772000001</v>
      </c>
      <c r="AP191" s="9"/>
      <c r="AQ191" s="22">
        <v>0.88851899999999995</v>
      </c>
      <c r="AR191" s="22">
        <v>190.846</v>
      </c>
      <c r="AS191" s="22">
        <v>-1.5432700000000001E-2</v>
      </c>
      <c r="AT191" s="22">
        <v>181</v>
      </c>
      <c r="AU191" s="22">
        <v>0.88714599999999999</v>
      </c>
      <c r="AV191">
        <f t="shared" si="32"/>
        <v>15.432700000000001</v>
      </c>
      <c r="AW191">
        <f t="shared" si="33"/>
        <v>13.7122471713</v>
      </c>
      <c r="AX191" s="9"/>
      <c r="AY191" s="22">
        <v>0.81146200000000002</v>
      </c>
      <c r="AZ191" s="22">
        <v>240.22900000000001</v>
      </c>
      <c r="BA191" s="22">
        <v>-1.54755E-2</v>
      </c>
      <c r="BB191" s="22">
        <v>181</v>
      </c>
      <c r="BC191" s="22">
        <v>0.81024200000000002</v>
      </c>
      <c r="BD191">
        <f t="shared" si="34"/>
        <v>15.4755</v>
      </c>
      <c r="BE191">
        <f t="shared" si="35"/>
        <v>12.557780181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10.8193</v>
      </c>
      <c r="I192" s="22">
        <v>-1.54114E-2</v>
      </c>
      <c r="J192" s="22">
        <v>182</v>
      </c>
      <c r="K192" s="22">
        <v>0.88256800000000002</v>
      </c>
      <c r="L192">
        <f t="shared" si="24"/>
        <v>15.4114</v>
      </c>
      <c r="M192">
        <f t="shared" si="25"/>
        <v>13.615725317600001</v>
      </c>
      <c r="N192" s="9"/>
      <c r="O192" s="22">
        <v>0.81649799999999995</v>
      </c>
      <c r="P192" s="22">
        <v>60.240699999999997</v>
      </c>
      <c r="Q192" s="22">
        <v>-1.54938E-2</v>
      </c>
      <c r="R192" s="22">
        <v>182</v>
      </c>
      <c r="S192" s="22">
        <v>0.81573499999999999</v>
      </c>
      <c r="T192">
        <f t="shared" si="26"/>
        <v>15.4938</v>
      </c>
      <c r="U192">
        <f t="shared" si="27"/>
        <v>12.6506567124</v>
      </c>
      <c r="X192" s="9"/>
      <c r="Y192" s="22">
        <v>0.88348400000000005</v>
      </c>
      <c r="Z192" s="22">
        <v>109.818</v>
      </c>
      <c r="AA192" s="22">
        <v>-1.5450999999999999E-2</v>
      </c>
      <c r="AB192" s="22">
        <v>182</v>
      </c>
      <c r="AC192" s="22">
        <v>0.88226300000000002</v>
      </c>
      <c r="AD192">
        <f t="shared" si="28"/>
        <v>15.450999999999999</v>
      </c>
      <c r="AE192">
        <f t="shared" si="29"/>
        <v>13.650711284</v>
      </c>
      <c r="AF192" s="9"/>
      <c r="AG192" s="22">
        <v>0.81649799999999995</v>
      </c>
      <c r="AH192" s="22">
        <v>141.477</v>
      </c>
      <c r="AI192" s="22">
        <v>-1.54968E-2</v>
      </c>
      <c r="AJ192" s="22">
        <v>182</v>
      </c>
      <c r="AK192" s="22">
        <v>0.81542999999999999</v>
      </c>
      <c r="AL192">
        <f t="shared" si="30"/>
        <v>15.4968</v>
      </c>
      <c r="AM192">
        <f t="shared" si="31"/>
        <v>12.653106206399999</v>
      </c>
      <c r="AP192" s="9"/>
      <c r="AQ192" s="22">
        <v>0.88348400000000005</v>
      </c>
      <c r="AR192" s="22">
        <v>190.85599999999999</v>
      </c>
      <c r="AS192" s="22">
        <v>-1.54358E-2</v>
      </c>
      <c r="AT192" s="22">
        <v>182</v>
      </c>
      <c r="AU192" s="22">
        <v>0.88256800000000002</v>
      </c>
      <c r="AV192">
        <f t="shared" si="32"/>
        <v>15.4358</v>
      </c>
      <c r="AW192">
        <f t="shared" si="33"/>
        <v>13.637282327200001</v>
      </c>
      <c r="AX192" s="9"/>
      <c r="AY192" s="22">
        <v>0.81649799999999995</v>
      </c>
      <c r="AZ192" s="22">
        <v>240.239</v>
      </c>
      <c r="BA192" s="22">
        <v>-1.54755E-2</v>
      </c>
      <c r="BB192" s="22">
        <v>182</v>
      </c>
      <c r="BC192" s="22">
        <v>0.81573499999999999</v>
      </c>
      <c r="BD192">
        <f t="shared" si="34"/>
        <v>15.4755</v>
      </c>
      <c r="BE192">
        <f t="shared" si="35"/>
        <v>12.635714798999999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10.8294</v>
      </c>
      <c r="I193" s="22">
        <v>-1.54144E-2</v>
      </c>
      <c r="J193" s="22">
        <v>183</v>
      </c>
      <c r="K193" s="22">
        <v>0.87738000000000005</v>
      </c>
      <c r="L193">
        <f t="shared" si="24"/>
        <v>15.414400000000001</v>
      </c>
      <c r="M193">
        <f t="shared" si="25"/>
        <v>13.5407488512</v>
      </c>
      <c r="N193" s="9"/>
      <c r="O193" s="22">
        <v>0.82153299999999996</v>
      </c>
      <c r="P193" s="22">
        <v>60.250799999999998</v>
      </c>
      <c r="Q193" s="22">
        <v>-1.54968E-2</v>
      </c>
      <c r="R193" s="22">
        <v>183</v>
      </c>
      <c r="S193" s="22">
        <v>0.82092299999999996</v>
      </c>
      <c r="T193">
        <f t="shared" si="26"/>
        <v>15.4968</v>
      </c>
      <c r="U193">
        <f t="shared" si="27"/>
        <v>12.7311325944</v>
      </c>
      <c r="X193" s="9"/>
      <c r="Y193" s="22">
        <v>0.87844800000000001</v>
      </c>
      <c r="Z193" s="22">
        <v>109.828</v>
      </c>
      <c r="AA193" s="22">
        <v>-1.5457200000000001E-2</v>
      </c>
      <c r="AB193" s="22">
        <v>183</v>
      </c>
      <c r="AC193" s="22">
        <v>0.87738000000000005</v>
      </c>
      <c r="AD193">
        <f t="shared" si="28"/>
        <v>15.4572</v>
      </c>
      <c r="AE193">
        <f t="shared" si="29"/>
        <v>13.578346425599999</v>
      </c>
      <c r="AF193" s="9"/>
      <c r="AG193" s="22">
        <v>0.82153299999999996</v>
      </c>
      <c r="AH193" s="22">
        <v>141.48699999999999</v>
      </c>
      <c r="AI193" s="22">
        <v>-1.54968E-2</v>
      </c>
      <c r="AJ193" s="22">
        <v>183</v>
      </c>
      <c r="AK193" s="22">
        <v>0.82061799999999996</v>
      </c>
      <c r="AL193">
        <f t="shared" si="30"/>
        <v>15.4968</v>
      </c>
      <c r="AM193">
        <f t="shared" si="31"/>
        <v>12.7311325944</v>
      </c>
      <c r="AP193" s="9"/>
      <c r="AQ193" s="22">
        <v>0.87844800000000001</v>
      </c>
      <c r="AR193" s="22">
        <v>190.86600000000001</v>
      </c>
      <c r="AS193" s="22">
        <v>-1.54419E-2</v>
      </c>
      <c r="AT193" s="22">
        <v>183</v>
      </c>
      <c r="AU193" s="22">
        <v>0.87799099999999997</v>
      </c>
      <c r="AV193">
        <f t="shared" si="32"/>
        <v>15.4419</v>
      </c>
      <c r="AW193">
        <f t="shared" si="33"/>
        <v>13.564906171200001</v>
      </c>
      <c r="AX193" s="9"/>
      <c r="AY193" s="22">
        <v>0.82153299999999996</v>
      </c>
      <c r="AZ193" s="22">
        <v>240.249</v>
      </c>
      <c r="BA193" s="22">
        <v>-1.54755E-2</v>
      </c>
      <c r="BB193" s="22">
        <v>183</v>
      </c>
      <c r="BC193" s="22">
        <v>0.82092299999999996</v>
      </c>
      <c r="BD193">
        <f t="shared" si="34"/>
        <v>15.4755</v>
      </c>
      <c r="BE193">
        <f t="shared" si="35"/>
        <v>12.713633941499999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10.839499999999999</v>
      </c>
      <c r="I194" s="22">
        <v>-1.54114E-2</v>
      </c>
      <c r="J194" s="22">
        <v>184</v>
      </c>
      <c r="K194" s="22">
        <v>0.872803</v>
      </c>
      <c r="L194">
        <f t="shared" si="24"/>
        <v>15.4114</v>
      </c>
      <c r="M194">
        <f t="shared" si="25"/>
        <v>13.460517108199999</v>
      </c>
      <c r="N194" s="9"/>
      <c r="O194" s="22">
        <v>0.826569</v>
      </c>
      <c r="P194" s="22">
        <v>60.260899999999999</v>
      </c>
      <c r="Q194" s="22">
        <v>-1.54938E-2</v>
      </c>
      <c r="R194" s="22">
        <v>184</v>
      </c>
      <c r="S194" s="22">
        <v>0.82580600000000004</v>
      </c>
      <c r="T194">
        <f t="shared" si="26"/>
        <v>15.4938</v>
      </c>
      <c r="U194">
        <f t="shared" si="27"/>
        <v>12.8066947722</v>
      </c>
      <c r="X194" s="9"/>
      <c r="Y194" s="22">
        <v>0.87341299999999999</v>
      </c>
      <c r="Z194" s="22">
        <v>109.83799999999999</v>
      </c>
      <c r="AA194" s="22">
        <v>-1.5469399999999999E-2</v>
      </c>
      <c r="AB194" s="22">
        <v>184</v>
      </c>
      <c r="AC194" s="22">
        <v>0.872498</v>
      </c>
      <c r="AD194">
        <f t="shared" si="28"/>
        <v>15.4694</v>
      </c>
      <c r="AE194">
        <f t="shared" si="29"/>
        <v>13.5111750622</v>
      </c>
      <c r="AF194" s="9"/>
      <c r="AG194" s="22">
        <v>0.826569</v>
      </c>
      <c r="AH194" s="22">
        <v>141.49700000000001</v>
      </c>
      <c r="AI194" s="22">
        <v>-1.54968E-2</v>
      </c>
      <c r="AJ194" s="22">
        <v>184</v>
      </c>
      <c r="AK194" s="22">
        <v>0.82580600000000004</v>
      </c>
      <c r="AL194">
        <f t="shared" si="30"/>
        <v>15.4968</v>
      </c>
      <c r="AM194">
        <f t="shared" si="31"/>
        <v>12.809174479200001</v>
      </c>
      <c r="AP194" s="9"/>
      <c r="AQ194" s="22">
        <v>0.87341299999999999</v>
      </c>
      <c r="AR194" s="22">
        <v>190.876</v>
      </c>
      <c r="AS194" s="22">
        <v>-1.5444899999999999E-2</v>
      </c>
      <c r="AT194" s="22">
        <v>184</v>
      </c>
      <c r="AU194" s="22">
        <v>0.872498</v>
      </c>
      <c r="AV194">
        <f t="shared" si="32"/>
        <v>15.444899999999999</v>
      </c>
      <c r="AW194">
        <f t="shared" si="33"/>
        <v>13.489776443699999</v>
      </c>
      <c r="AX194" s="9"/>
      <c r="AY194" s="22">
        <v>0.826569</v>
      </c>
      <c r="AZ194" s="22">
        <v>240.25899999999999</v>
      </c>
      <c r="BA194" s="22">
        <v>-1.5469399999999999E-2</v>
      </c>
      <c r="BB194" s="22">
        <v>184</v>
      </c>
      <c r="BC194" s="22">
        <v>0.82550000000000001</v>
      </c>
      <c r="BD194">
        <f t="shared" si="34"/>
        <v>15.4694</v>
      </c>
      <c r="BE194">
        <f t="shared" si="35"/>
        <v>12.7865264886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10.849500000000001</v>
      </c>
      <c r="I195" s="22">
        <v>-1.54114E-2</v>
      </c>
      <c r="J195" s="22">
        <v>185</v>
      </c>
      <c r="K195" s="22">
        <v>0.86731000000000003</v>
      </c>
      <c r="L195">
        <f t="shared" si="24"/>
        <v>15.4114</v>
      </c>
      <c r="M195">
        <f t="shared" si="25"/>
        <v>13.3829207092</v>
      </c>
      <c r="N195" s="9"/>
      <c r="O195" s="22">
        <v>0.83160400000000001</v>
      </c>
      <c r="P195" s="22">
        <v>60.271000000000001</v>
      </c>
      <c r="Q195" s="22">
        <v>-1.54907E-2</v>
      </c>
      <c r="R195" s="22">
        <v>185</v>
      </c>
      <c r="S195" s="22">
        <v>0.83068799999999998</v>
      </c>
      <c r="T195">
        <f t="shared" si="26"/>
        <v>15.4907</v>
      </c>
      <c r="U195">
        <f t="shared" si="27"/>
        <v>12.882128082800001</v>
      </c>
      <c r="X195" s="9"/>
      <c r="Y195" s="22">
        <v>0.86837799999999998</v>
      </c>
      <c r="Z195" s="22">
        <v>109.848</v>
      </c>
      <c r="AA195" s="22">
        <v>-1.5478499999999999E-2</v>
      </c>
      <c r="AB195" s="22">
        <v>185</v>
      </c>
      <c r="AC195" s="22">
        <v>0.86761500000000003</v>
      </c>
      <c r="AD195">
        <f t="shared" si="28"/>
        <v>15.478499999999999</v>
      </c>
      <c r="AE195">
        <f t="shared" si="29"/>
        <v>13.441188872999998</v>
      </c>
      <c r="AF195" s="9"/>
      <c r="AG195" s="22">
        <v>0.83160400000000001</v>
      </c>
      <c r="AH195" s="22">
        <v>141.50700000000001</v>
      </c>
      <c r="AI195" s="22">
        <v>-1.54938E-2</v>
      </c>
      <c r="AJ195" s="22">
        <v>185</v>
      </c>
      <c r="AK195" s="22">
        <v>0.83038299999999998</v>
      </c>
      <c r="AL195">
        <f t="shared" si="30"/>
        <v>15.4938</v>
      </c>
      <c r="AM195">
        <f t="shared" si="31"/>
        <v>12.884706055200001</v>
      </c>
      <c r="AP195" s="9"/>
      <c r="AQ195" s="22">
        <v>0.86837799999999998</v>
      </c>
      <c r="AR195" s="22">
        <v>190.886</v>
      </c>
      <c r="AS195" s="22">
        <v>-1.5448E-2</v>
      </c>
      <c r="AT195" s="22">
        <v>185</v>
      </c>
      <c r="AU195" s="22">
        <v>0.86731000000000003</v>
      </c>
      <c r="AV195">
        <f t="shared" si="32"/>
        <v>15.448</v>
      </c>
      <c r="AW195">
        <f t="shared" si="33"/>
        <v>13.414703343999999</v>
      </c>
      <c r="AX195" s="9"/>
      <c r="AY195" s="22">
        <v>0.83160400000000001</v>
      </c>
      <c r="AZ195" s="22">
        <v>240.26900000000001</v>
      </c>
      <c r="BA195" s="22">
        <v>-1.54602E-2</v>
      </c>
      <c r="BB195" s="22">
        <v>185</v>
      </c>
      <c r="BC195" s="22">
        <v>0.83099400000000001</v>
      </c>
      <c r="BD195">
        <f t="shared" si="34"/>
        <v>15.4602</v>
      </c>
      <c r="BE195">
        <f t="shared" si="35"/>
        <v>12.856764160800001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10.8596</v>
      </c>
      <c r="I196" s="22">
        <v>-1.5417500000000001E-2</v>
      </c>
      <c r="J196" s="22">
        <v>186</v>
      </c>
      <c r="K196" s="22">
        <v>0.86212200000000005</v>
      </c>
      <c r="L196">
        <f t="shared" si="24"/>
        <v>15.4175</v>
      </c>
      <c r="M196">
        <f t="shared" si="25"/>
        <v>13.310575285000001</v>
      </c>
      <c r="N196" s="9"/>
      <c r="O196" s="22">
        <v>0.83663900000000002</v>
      </c>
      <c r="P196" s="22">
        <v>60.280999999999999</v>
      </c>
      <c r="Q196" s="22">
        <v>-1.5484599999999999E-2</v>
      </c>
      <c r="R196" s="22">
        <v>186</v>
      </c>
      <c r="S196" s="22">
        <v>0.83587599999999995</v>
      </c>
      <c r="T196">
        <f t="shared" si="26"/>
        <v>15.484599999999999</v>
      </c>
      <c r="U196">
        <f t="shared" si="27"/>
        <v>12.955020259399999</v>
      </c>
      <c r="X196" s="9"/>
      <c r="Y196" s="22">
        <v>0.86334200000000005</v>
      </c>
      <c r="Z196" s="22">
        <v>109.858</v>
      </c>
      <c r="AA196" s="22">
        <v>-1.5478499999999999E-2</v>
      </c>
      <c r="AB196" s="22">
        <v>186</v>
      </c>
      <c r="AC196" s="22">
        <v>0.86303700000000005</v>
      </c>
      <c r="AD196">
        <f t="shared" si="28"/>
        <v>15.478499999999999</v>
      </c>
      <c r="AE196">
        <f t="shared" si="29"/>
        <v>13.363239147</v>
      </c>
      <c r="AF196" s="9"/>
      <c r="AG196" s="22">
        <v>0.83663900000000002</v>
      </c>
      <c r="AH196" s="22">
        <v>141.518</v>
      </c>
      <c r="AI196" s="22">
        <v>-1.54877E-2</v>
      </c>
      <c r="AJ196" s="22">
        <v>186</v>
      </c>
      <c r="AK196" s="22">
        <v>0.83587599999999995</v>
      </c>
      <c r="AL196">
        <f t="shared" si="30"/>
        <v>15.4877</v>
      </c>
      <c r="AM196">
        <f t="shared" si="31"/>
        <v>12.957613840300001</v>
      </c>
      <c r="AP196" s="9"/>
      <c r="AQ196" s="22">
        <v>0.86334200000000005</v>
      </c>
      <c r="AR196" s="22">
        <v>190.89599999999999</v>
      </c>
      <c r="AS196" s="22">
        <v>-1.5457200000000001E-2</v>
      </c>
      <c r="AT196" s="22">
        <v>186</v>
      </c>
      <c r="AU196" s="22">
        <v>0.86212200000000005</v>
      </c>
      <c r="AV196">
        <f t="shared" si="32"/>
        <v>15.4572</v>
      </c>
      <c r="AW196">
        <f t="shared" si="33"/>
        <v>13.344849962400001</v>
      </c>
      <c r="AX196" s="9"/>
      <c r="AY196" s="22">
        <v>0.83663900000000002</v>
      </c>
      <c r="AZ196" s="22">
        <v>240.279</v>
      </c>
      <c r="BA196" s="22">
        <v>-1.54541E-2</v>
      </c>
      <c r="BB196" s="22">
        <v>186</v>
      </c>
      <c r="BC196" s="22">
        <v>0.83587599999999995</v>
      </c>
      <c r="BD196">
        <f t="shared" si="34"/>
        <v>15.4541</v>
      </c>
      <c r="BE196">
        <f t="shared" si="35"/>
        <v>12.929502769900001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10.8697</v>
      </c>
      <c r="I197" s="22">
        <v>-1.54144E-2</v>
      </c>
      <c r="J197" s="22">
        <v>187</v>
      </c>
      <c r="K197" s="22">
        <v>0.85723899999999997</v>
      </c>
      <c r="L197">
        <f t="shared" si="24"/>
        <v>15.414400000000001</v>
      </c>
      <c r="M197">
        <f t="shared" si="25"/>
        <v>13.230287420800002</v>
      </c>
      <c r="N197" s="9"/>
      <c r="O197" s="22">
        <v>0.84167499999999995</v>
      </c>
      <c r="P197" s="22">
        <v>60.2911</v>
      </c>
      <c r="Q197" s="22">
        <v>-1.5484599999999999E-2</v>
      </c>
      <c r="R197" s="22">
        <v>187</v>
      </c>
      <c r="S197" s="22">
        <v>0.84106400000000003</v>
      </c>
      <c r="T197">
        <f t="shared" si="26"/>
        <v>15.484599999999999</v>
      </c>
      <c r="U197">
        <f t="shared" si="27"/>
        <v>13.033000704999997</v>
      </c>
      <c r="X197" s="9"/>
      <c r="Y197" s="22">
        <v>0.85830700000000004</v>
      </c>
      <c r="Z197" s="22">
        <v>109.869</v>
      </c>
      <c r="AA197" s="22">
        <v>-1.5478499999999999E-2</v>
      </c>
      <c r="AB197" s="22">
        <v>187</v>
      </c>
      <c r="AC197" s="22">
        <v>0.85723899999999997</v>
      </c>
      <c r="AD197">
        <f t="shared" si="28"/>
        <v>15.478499999999999</v>
      </c>
      <c r="AE197">
        <f t="shared" si="29"/>
        <v>13.2853048995</v>
      </c>
      <c r="AF197" s="9"/>
      <c r="AG197" s="22">
        <v>0.84167499999999995</v>
      </c>
      <c r="AH197" s="22">
        <v>141.52799999999999</v>
      </c>
      <c r="AI197" s="22">
        <v>-1.54816E-2</v>
      </c>
      <c r="AJ197" s="22">
        <v>187</v>
      </c>
      <c r="AK197" s="22">
        <v>0.84075900000000003</v>
      </c>
      <c r="AL197">
        <f t="shared" si="30"/>
        <v>15.4816</v>
      </c>
      <c r="AM197">
        <f t="shared" si="31"/>
        <v>13.03047568</v>
      </c>
      <c r="AP197" s="9"/>
      <c r="AQ197" s="22">
        <v>0.85830700000000004</v>
      </c>
      <c r="AR197" s="22">
        <v>190.90600000000001</v>
      </c>
      <c r="AS197" s="22">
        <v>-1.5457200000000001E-2</v>
      </c>
      <c r="AT197" s="22">
        <v>187</v>
      </c>
      <c r="AU197" s="22">
        <v>0.85723899999999997</v>
      </c>
      <c r="AV197">
        <f t="shared" si="32"/>
        <v>15.4572</v>
      </c>
      <c r="AW197">
        <f t="shared" si="33"/>
        <v>13.2670229604</v>
      </c>
      <c r="AX197" s="9"/>
      <c r="AY197" s="22">
        <v>0.84167499999999995</v>
      </c>
      <c r="AZ197" s="22">
        <v>240.28899999999999</v>
      </c>
      <c r="BA197" s="22">
        <v>-1.54541E-2</v>
      </c>
      <c r="BB197" s="22">
        <v>187</v>
      </c>
      <c r="BC197" s="22">
        <v>0.84075900000000003</v>
      </c>
      <c r="BD197">
        <f t="shared" si="34"/>
        <v>15.4541</v>
      </c>
      <c r="BE197">
        <f t="shared" si="35"/>
        <v>13.0073296175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10.8797</v>
      </c>
      <c r="I198" s="22">
        <v>-1.54144E-2</v>
      </c>
      <c r="J198" s="22">
        <v>188</v>
      </c>
      <c r="K198" s="22">
        <v>0.852661</v>
      </c>
      <c r="L198">
        <f t="shared" si="24"/>
        <v>15.414400000000001</v>
      </c>
      <c r="M198">
        <f t="shared" si="25"/>
        <v>13.1526605024</v>
      </c>
      <c r="N198" s="9"/>
      <c r="O198" s="22">
        <v>0.84670999999999996</v>
      </c>
      <c r="P198" s="22">
        <v>60.301200000000001</v>
      </c>
      <c r="Q198" s="22">
        <v>-1.54816E-2</v>
      </c>
      <c r="R198" s="22">
        <v>188</v>
      </c>
      <c r="S198" s="22">
        <v>0.845947</v>
      </c>
      <c r="T198">
        <f t="shared" si="26"/>
        <v>15.4816</v>
      </c>
      <c r="U198">
        <f t="shared" si="27"/>
        <v>13.108425536</v>
      </c>
      <c r="X198" s="9"/>
      <c r="Y198" s="22">
        <v>0.853271</v>
      </c>
      <c r="Z198" s="22">
        <v>109.879</v>
      </c>
      <c r="AA198" s="22">
        <v>-1.54755E-2</v>
      </c>
      <c r="AB198" s="22">
        <v>188</v>
      </c>
      <c r="AC198" s="22">
        <v>0.853271</v>
      </c>
      <c r="AD198">
        <f t="shared" si="28"/>
        <v>15.4755</v>
      </c>
      <c r="AE198">
        <f t="shared" si="29"/>
        <v>13.2047953605</v>
      </c>
      <c r="AF198" s="9"/>
      <c r="AG198" s="22">
        <v>0.84670999999999996</v>
      </c>
      <c r="AH198" s="22">
        <v>141.53800000000001</v>
      </c>
      <c r="AI198" s="22">
        <v>-1.54755E-2</v>
      </c>
      <c r="AJ198" s="22">
        <v>188</v>
      </c>
      <c r="AK198" s="22">
        <v>0.845947</v>
      </c>
      <c r="AL198">
        <f t="shared" si="30"/>
        <v>15.4755</v>
      </c>
      <c r="AM198">
        <f t="shared" si="31"/>
        <v>13.103260604999999</v>
      </c>
      <c r="AP198" s="9"/>
      <c r="AQ198" s="22">
        <v>0.853271</v>
      </c>
      <c r="AR198" s="22">
        <v>190.916</v>
      </c>
      <c r="AS198" s="22">
        <v>-1.5457200000000001E-2</v>
      </c>
      <c r="AT198" s="22">
        <v>188</v>
      </c>
      <c r="AU198" s="22">
        <v>0.852661</v>
      </c>
      <c r="AV198">
        <f t="shared" si="32"/>
        <v>15.4572</v>
      </c>
      <c r="AW198">
        <f t="shared" si="33"/>
        <v>13.189180501200001</v>
      </c>
      <c r="AX198" s="9"/>
      <c r="AY198" s="22">
        <v>0.84670999999999996</v>
      </c>
      <c r="AZ198" s="22">
        <v>240.3</v>
      </c>
      <c r="BA198" s="22">
        <v>-1.54541E-2</v>
      </c>
      <c r="BB198" s="22">
        <v>188</v>
      </c>
      <c r="BC198" s="22">
        <v>0.846252</v>
      </c>
      <c r="BD198">
        <f t="shared" si="34"/>
        <v>15.4541</v>
      </c>
      <c r="BE198">
        <f t="shared" si="35"/>
        <v>13.085141010999999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10.889799999999999</v>
      </c>
      <c r="I199" s="22">
        <v>-1.54114E-2</v>
      </c>
      <c r="J199" s="22">
        <v>189</v>
      </c>
      <c r="K199" s="22">
        <v>0.84686300000000003</v>
      </c>
      <c r="L199">
        <f t="shared" si="24"/>
        <v>15.4114</v>
      </c>
      <c r="M199">
        <f t="shared" si="25"/>
        <v>13.0725042904</v>
      </c>
      <c r="N199" s="9"/>
      <c r="O199" s="22">
        <v>0.851746</v>
      </c>
      <c r="P199" s="22">
        <v>60.311199999999999</v>
      </c>
      <c r="Q199" s="22">
        <v>-1.5478499999999999E-2</v>
      </c>
      <c r="R199" s="22">
        <v>189</v>
      </c>
      <c r="S199" s="22">
        <v>0.85082999999999998</v>
      </c>
      <c r="T199">
        <f t="shared" si="26"/>
        <v>15.478499999999999</v>
      </c>
      <c r="U199">
        <f t="shared" si="27"/>
        <v>13.183750460999999</v>
      </c>
      <c r="X199" s="9"/>
      <c r="Y199" s="22">
        <v>0.84823599999999999</v>
      </c>
      <c r="Z199" s="22">
        <v>109.889</v>
      </c>
      <c r="AA199" s="22">
        <v>-1.5484599999999999E-2</v>
      </c>
      <c r="AB199" s="22">
        <v>189</v>
      </c>
      <c r="AC199" s="22">
        <v>0.84747300000000003</v>
      </c>
      <c r="AD199">
        <f t="shared" si="28"/>
        <v>15.484599999999999</v>
      </c>
      <c r="AE199">
        <f t="shared" si="29"/>
        <v>13.134595165599999</v>
      </c>
      <c r="AF199" s="9"/>
      <c r="AG199" s="22">
        <v>0.851746</v>
      </c>
      <c r="AH199" s="22">
        <v>141.548</v>
      </c>
      <c r="AI199" s="22">
        <v>-1.5466300000000001E-2</v>
      </c>
      <c r="AJ199" s="22">
        <v>189</v>
      </c>
      <c r="AK199" s="22">
        <v>0.85082999999999998</v>
      </c>
      <c r="AL199">
        <f t="shared" si="30"/>
        <v>15.4663</v>
      </c>
      <c r="AM199">
        <f t="shared" si="31"/>
        <v>13.1733591598</v>
      </c>
      <c r="AP199" s="9"/>
      <c r="AQ199" s="22">
        <v>0.84823599999999999</v>
      </c>
      <c r="AR199" s="22">
        <v>190.92599999999999</v>
      </c>
      <c r="AS199" s="22">
        <v>-1.5457200000000001E-2</v>
      </c>
      <c r="AT199" s="22">
        <v>189</v>
      </c>
      <c r="AU199" s="22">
        <v>0.84808300000000003</v>
      </c>
      <c r="AV199">
        <f t="shared" si="32"/>
        <v>15.4572</v>
      </c>
      <c r="AW199">
        <f t="shared" si="33"/>
        <v>13.1113534992</v>
      </c>
      <c r="AX199" s="9"/>
      <c r="AY199" s="22">
        <v>0.851746</v>
      </c>
      <c r="AZ199" s="22">
        <v>240.31</v>
      </c>
      <c r="BA199" s="22">
        <v>-1.5448E-2</v>
      </c>
      <c r="BB199" s="22">
        <v>189</v>
      </c>
      <c r="BC199" s="22">
        <v>0.85113499999999997</v>
      </c>
      <c r="BD199">
        <f t="shared" si="34"/>
        <v>15.448</v>
      </c>
      <c r="BE199">
        <f t="shared" si="35"/>
        <v>13.157772208000001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10.899900000000001</v>
      </c>
      <c r="I200" s="22">
        <v>-1.54144E-2</v>
      </c>
      <c r="J200" s="22">
        <v>190</v>
      </c>
      <c r="K200" s="22">
        <v>0.84289599999999998</v>
      </c>
      <c r="L200">
        <f t="shared" si="24"/>
        <v>15.414400000000001</v>
      </c>
      <c r="M200">
        <f t="shared" si="25"/>
        <v>12.9974374944</v>
      </c>
      <c r="N200" s="9"/>
      <c r="O200" s="22">
        <v>0.85678100000000001</v>
      </c>
      <c r="P200" s="22">
        <v>60.321300000000001</v>
      </c>
      <c r="Q200" s="22">
        <v>-1.54755E-2</v>
      </c>
      <c r="R200" s="22">
        <v>190</v>
      </c>
      <c r="S200" s="22">
        <v>0.85571299999999995</v>
      </c>
      <c r="T200">
        <f t="shared" si="26"/>
        <v>15.4755</v>
      </c>
      <c r="U200">
        <f t="shared" si="27"/>
        <v>13.2591143655</v>
      </c>
      <c r="X200" s="9"/>
      <c r="Y200" s="22">
        <v>0.84320099999999998</v>
      </c>
      <c r="Z200" s="22">
        <v>109.899</v>
      </c>
      <c r="AA200" s="22">
        <v>-1.54816E-2</v>
      </c>
      <c r="AB200" s="22">
        <v>190</v>
      </c>
      <c r="AC200" s="22">
        <v>0.84228499999999995</v>
      </c>
      <c r="AD200">
        <f t="shared" si="28"/>
        <v>15.4816</v>
      </c>
      <c r="AE200">
        <f t="shared" si="29"/>
        <v>13.0541006016</v>
      </c>
      <c r="AF200" s="9"/>
      <c r="AG200" s="22">
        <v>0.85678100000000001</v>
      </c>
      <c r="AH200" s="22">
        <v>141.55799999999999</v>
      </c>
      <c r="AI200" s="22">
        <v>-1.5466300000000001E-2</v>
      </c>
      <c r="AJ200" s="22">
        <v>190</v>
      </c>
      <c r="AK200" s="22">
        <v>0.85540799999999995</v>
      </c>
      <c r="AL200">
        <f t="shared" si="30"/>
        <v>15.4663</v>
      </c>
      <c r="AM200">
        <f t="shared" si="31"/>
        <v>13.2512319803</v>
      </c>
      <c r="AP200" s="9"/>
      <c r="AQ200" s="22">
        <v>0.84320099999999998</v>
      </c>
      <c r="AR200" s="22">
        <v>190.93600000000001</v>
      </c>
      <c r="AS200" s="22">
        <v>-1.54602E-2</v>
      </c>
      <c r="AT200" s="22">
        <v>190</v>
      </c>
      <c r="AU200" s="22">
        <v>0.84258999999999995</v>
      </c>
      <c r="AV200">
        <f t="shared" si="32"/>
        <v>15.4602</v>
      </c>
      <c r="AW200">
        <f t="shared" si="33"/>
        <v>13.0360561002</v>
      </c>
      <c r="AX200" s="9"/>
      <c r="AY200" s="22">
        <v>0.85678100000000001</v>
      </c>
      <c r="AZ200" s="22">
        <v>240.32</v>
      </c>
      <c r="BA200" s="22">
        <v>-1.5448E-2</v>
      </c>
      <c r="BB200" s="22">
        <v>190</v>
      </c>
      <c r="BC200" s="22">
        <v>0.85601799999999995</v>
      </c>
      <c r="BD200">
        <f t="shared" si="34"/>
        <v>15.448</v>
      </c>
      <c r="BE200">
        <f t="shared" si="35"/>
        <v>13.235552888000001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10.91</v>
      </c>
      <c r="I201" s="22">
        <v>-1.54205E-2</v>
      </c>
      <c r="J201" s="22">
        <v>191</v>
      </c>
      <c r="K201" s="22">
        <v>0.83709699999999998</v>
      </c>
      <c r="L201">
        <f t="shared" si="24"/>
        <v>15.420500000000001</v>
      </c>
      <c r="M201">
        <f t="shared" si="25"/>
        <v>12.924923382500001</v>
      </c>
      <c r="N201" s="9"/>
      <c r="O201" s="22">
        <v>0.86181600000000003</v>
      </c>
      <c r="P201" s="22">
        <v>60.331400000000002</v>
      </c>
      <c r="Q201" s="22">
        <v>-1.54755E-2</v>
      </c>
      <c r="R201" s="22">
        <v>191</v>
      </c>
      <c r="S201" s="22">
        <v>0.86090100000000003</v>
      </c>
      <c r="T201">
        <f t="shared" si="26"/>
        <v>15.4755</v>
      </c>
      <c r="U201">
        <f t="shared" si="27"/>
        <v>13.337033508000001</v>
      </c>
      <c r="X201" s="9"/>
      <c r="Y201" s="22">
        <v>0.83816500000000005</v>
      </c>
      <c r="Z201" s="22">
        <v>109.90900000000001</v>
      </c>
      <c r="AA201" s="22">
        <v>-1.5484599999999999E-2</v>
      </c>
      <c r="AB201" s="22">
        <v>191</v>
      </c>
      <c r="AC201" s="22">
        <v>0.83709699999999998</v>
      </c>
      <c r="AD201">
        <f t="shared" si="28"/>
        <v>15.484599999999999</v>
      </c>
      <c r="AE201">
        <f t="shared" si="29"/>
        <v>12.978649759</v>
      </c>
      <c r="AF201" s="9"/>
      <c r="AG201" s="22">
        <v>0.86181600000000003</v>
      </c>
      <c r="AH201" s="22">
        <v>141.56800000000001</v>
      </c>
      <c r="AI201" s="22">
        <v>-1.5466300000000001E-2</v>
      </c>
      <c r="AJ201" s="22">
        <v>191</v>
      </c>
      <c r="AK201" s="22">
        <v>0.86090100000000003</v>
      </c>
      <c r="AL201">
        <f t="shared" si="30"/>
        <v>15.4663</v>
      </c>
      <c r="AM201">
        <f t="shared" si="31"/>
        <v>13.329104800800001</v>
      </c>
      <c r="AP201" s="9"/>
      <c r="AQ201" s="22">
        <v>0.83816500000000005</v>
      </c>
      <c r="AR201" s="22">
        <v>190.946</v>
      </c>
      <c r="AS201" s="22">
        <v>-1.5466300000000001E-2</v>
      </c>
      <c r="AT201" s="22">
        <v>191</v>
      </c>
      <c r="AU201" s="22">
        <v>0.83740199999999998</v>
      </c>
      <c r="AV201">
        <f t="shared" si="32"/>
        <v>15.4663</v>
      </c>
      <c r="AW201">
        <f t="shared" si="33"/>
        <v>12.963311339500001</v>
      </c>
      <c r="AX201" s="9"/>
      <c r="AY201" s="22">
        <v>0.86181600000000003</v>
      </c>
      <c r="AZ201" s="22">
        <v>240.33</v>
      </c>
      <c r="BA201" s="22">
        <v>-1.5448E-2</v>
      </c>
      <c r="BB201" s="22">
        <v>191</v>
      </c>
      <c r="BC201" s="22">
        <v>0.86090100000000003</v>
      </c>
      <c r="BD201">
        <f t="shared" si="34"/>
        <v>15.448</v>
      </c>
      <c r="BE201">
        <f t="shared" si="35"/>
        <v>13.313333568000001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10.92</v>
      </c>
      <c r="I202" s="22">
        <v>-1.54266E-2</v>
      </c>
      <c r="J202" s="22">
        <v>192</v>
      </c>
      <c r="K202" s="22">
        <v>0.83252000000000004</v>
      </c>
      <c r="L202">
        <f t="shared" si="24"/>
        <v>15.426600000000001</v>
      </c>
      <c r="M202">
        <f t="shared" si="25"/>
        <v>12.852363258</v>
      </c>
      <c r="N202" s="9"/>
      <c r="O202" s="22">
        <v>0.86685199999999996</v>
      </c>
      <c r="P202" s="22">
        <v>60.341500000000003</v>
      </c>
      <c r="Q202" s="22">
        <v>-1.5472400000000001E-2</v>
      </c>
      <c r="R202" s="22">
        <v>192</v>
      </c>
      <c r="S202" s="22">
        <v>0.866089</v>
      </c>
      <c r="T202">
        <f t="shared" si="26"/>
        <v>15.4724</v>
      </c>
      <c r="U202">
        <f t="shared" si="27"/>
        <v>13.412280884799999</v>
      </c>
      <c r="X202" s="9"/>
      <c r="Y202" s="22">
        <v>0.83313000000000004</v>
      </c>
      <c r="Z202" s="22">
        <v>109.919</v>
      </c>
      <c r="AA202" s="22">
        <v>-1.5484599999999999E-2</v>
      </c>
      <c r="AB202" s="22">
        <v>192</v>
      </c>
      <c r="AC202" s="22">
        <v>0.83221400000000001</v>
      </c>
      <c r="AD202">
        <f t="shared" si="28"/>
        <v>15.484599999999999</v>
      </c>
      <c r="AE202">
        <f t="shared" si="29"/>
        <v>12.900684797999999</v>
      </c>
      <c r="AF202" s="9"/>
      <c r="AG202" s="22">
        <v>0.86685199999999996</v>
      </c>
      <c r="AH202" s="22">
        <v>141.578</v>
      </c>
      <c r="AI202" s="22">
        <v>-1.5463299999999999E-2</v>
      </c>
      <c r="AJ202" s="22">
        <v>192</v>
      </c>
      <c r="AK202" s="22">
        <v>0.865784</v>
      </c>
      <c r="AL202">
        <f t="shared" si="30"/>
        <v>15.463299999999998</v>
      </c>
      <c r="AM202">
        <f t="shared" si="31"/>
        <v>13.404392531599997</v>
      </c>
      <c r="AP202" s="9"/>
      <c r="AQ202" s="22">
        <v>0.83313000000000004</v>
      </c>
      <c r="AR202" s="22">
        <v>190.95599999999999</v>
      </c>
      <c r="AS202" s="22">
        <v>-1.5469399999999999E-2</v>
      </c>
      <c r="AT202" s="22">
        <v>192</v>
      </c>
      <c r="AU202" s="22">
        <v>0.83252000000000004</v>
      </c>
      <c r="AV202">
        <f t="shared" si="32"/>
        <v>15.4694</v>
      </c>
      <c r="AW202">
        <f t="shared" si="33"/>
        <v>12.888021222000001</v>
      </c>
      <c r="AX202" s="9"/>
      <c r="AY202" s="22">
        <v>0.86685199999999996</v>
      </c>
      <c r="AZ202" s="22">
        <v>240.34</v>
      </c>
      <c r="BA202" s="22">
        <v>-1.54419E-2</v>
      </c>
      <c r="BB202" s="22">
        <v>192</v>
      </c>
      <c r="BC202" s="22">
        <v>0.866089</v>
      </c>
      <c r="BD202">
        <f t="shared" si="34"/>
        <v>15.4419</v>
      </c>
      <c r="BE202">
        <f t="shared" si="35"/>
        <v>13.385841898799999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10.930099999999999</v>
      </c>
      <c r="I203" s="22">
        <v>-1.5429699999999999E-2</v>
      </c>
      <c r="J203" s="22">
        <v>193</v>
      </c>
      <c r="K203" s="22">
        <v>0.82702600000000004</v>
      </c>
      <c r="L203">
        <f t="shared" si="24"/>
        <v>15.429699999999999</v>
      </c>
      <c r="M203">
        <f t="shared" si="25"/>
        <v>12.777241991799999</v>
      </c>
      <c r="N203" s="9"/>
      <c r="O203" s="22">
        <v>0.87188699999999997</v>
      </c>
      <c r="P203" s="22">
        <v>60.351500000000001</v>
      </c>
      <c r="Q203" s="22">
        <v>-1.5472400000000001E-2</v>
      </c>
      <c r="R203" s="22">
        <v>193</v>
      </c>
      <c r="S203" s="22">
        <v>0.87066699999999997</v>
      </c>
      <c r="T203">
        <f t="shared" si="26"/>
        <v>15.4724</v>
      </c>
      <c r="U203">
        <f t="shared" si="27"/>
        <v>13.4901844188</v>
      </c>
      <c r="X203" s="9"/>
      <c r="Y203" s="22">
        <v>0.828094</v>
      </c>
      <c r="Z203" s="22">
        <v>109.929</v>
      </c>
      <c r="AA203" s="22">
        <v>-1.54877E-2</v>
      </c>
      <c r="AB203" s="22">
        <v>193</v>
      </c>
      <c r="AC203" s="22">
        <v>0.82733199999999996</v>
      </c>
      <c r="AD203">
        <f t="shared" si="28"/>
        <v>15.4877</v>
      </c>
      <c r="AE203">
        <f t="shared" si="29"/>
        <v>12.8252714438</v>
      </c>
      <c r="AF203" s="9"/>
      <c r="AG203" s="22">
        <v>0.87188699999999997</v>
      </c>
      <c r="AH203" s="22">
        <v>141.58799999999999</v>
      </c>
      <c r="AI203" s="22">
        <v>-1.5463299999999999E-2</v>
      </c>
      <c r="AJ203" s="22">
        <v>193</v>
      </c>
      <c r="AK203" s="22">
        <v>0.87097199999999997</v>
      </c>
      <c r="AL203">
        <f t="shared" si="30"/>
        <v>15.463299999999998</v>
      </c>
      <c r="AM203">
        <f t="shared" si="31"/>
        <v>13.482250247099998</v>
      </c>
      <c r="AP203" s="9"/>
      <c r="AQ203" s="22">
        <v>0.828094</v>
      </c>
      <c r="AR203" s="22">
        <v>190.96600000000001</v>
      </c>
      <c r="AS203" s="22">
        <v>-1.5466300000000001E-2</v>
      </c>
      <c r="AT203" s="22">
        <v>193</v>
      </c>
      <c r="AU203" s="22">
        <v>0.82733199999999996</v>
      </c>
      <c r="AV203">
        <f t="shared" si="32"/>
        <v>15.4663</v>
      </c>
      <c r="AW203">
        <f t="shared" si="33"/>
        <v>12.807550232200001</v>
      </c>
      <c r="AX203" s="9"/>
      <c r="AY203" s="22">
        <v>0.87188699999999997</v>
      </c>
      <c r="AZ203" s="22">
        <v>240.35</v>
      </c>
      <c r="BA203" s="22">
        <v>-1.54419E-2</v>
      </c>
      <c r="BB203" s="22">
        <v>193</v>
      </c>
      <c r="BC203" s="22">
        <v>0.87127699999999997</v>
      </c>
      <c r="BD203">
        <f t="shared" si="34"/>
        <v>15.4419</v>
      </c>
      <c r="BE203">
        <f t="shared" si="35"/>
        <v>13.4635918653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10.940200000000001</v>
      </c>
      <c r="I204" s="22">
        <v>-1.5432700000000001E-2</v>
      </c>
      <c r="J204" s="22">
        <v>194</v>
      </c>
      <c r="K204" s="22">
        <v>0.82214399999999999</v>
      </c>
      <c r="L204">
        <f t="shared" ref="L204:L267" si="36">-I204/$F$2*1000</f>
        <v>15.432700000000001</v>
      </c>
      <c r="M204">
        <f t="shared" ref="M204:M267" si="37">L204*G204</f>
        <v>12.7020226293</v>
      </c>
      <c r="N204" s="9"/>
      <c r="O204" s="22">
        <v>0.87692300000000001</v>
      </c>
      <c r="P204" s="22">
        <v>60.361600000000003</v>
      </c>
      <c r="Q204" s="22">
        <v>-1.5463299999999999E-2</v>
      </c>
      <c r="R204" s="22">
        <v>194</v>
      </c>
      <c r="S204" s="22">
        <v>0.87616000000000005</v>
      </c>
      <c r="T204">
        <f t="shared" ref="T204:T267" si="38">-Q204/$F$2*1000</f>
        <v>15.463299999999998</v>
      </c>
      <c r="U204">
        <f t="shared" ref="U204:U267" si="39">T204*O204</f>
        <v>13.560123425899999</v>
      </c>
      <c r="X204" s="9"/>
      <c r="Y204" s="22">
        <v>0.82305899999999999</v>
      </c>
      <c r="Z204" s="22">
        <v>109.93899999999999</v>
      </c>
      <c r="AA204" s="22">
        <v>-1.54907E-2</v>
      </c>
      <c r="AB204" s="22">
        <v>194</v>
      </c>
      <c r="AC204" s="22">
        <v>0.82183799999999996</v>
      </c>
      <c r="AD204">
        <f t="shared" ref="AD204:AD267" si="40">-AA204/$F$2*1000</f>
        <v>15.4907</v>
      </c>
      <c r="AE204">
        <f t="shared" ref="AE204:AE267" si="41">AD204*Y204</f>
        <v>12.749760051300001</v>
      </c>
      <c r="AF204" s="9"/>
      <c r="AG204" s="22">
        <v>0.87692300000000001</v>
      </c>
      <c r="AH204" s="22">
        <v>141.59800000000001</v>
      </c>
      <c r="AI204" s="22">
        <v>-1.5463299999999999E-2</v>
      </c>
      <c r="AJ204" s="22">
        <v>194</v>
      </c>
      <c r="AK204" s="22">
        <v>0.87585400000000002</v>
      </c>
      <c r="AL204">
        <f t="shared" ref="AL204:AL267" si="42">-AI204/$F$2*1000</f>
        <v>15.463299999999998</v>
      </c>
      <c r="AM204">
        <f t="shared" ref="AM204:AM267" si="43">AL204*AG204</f>
        <v>13.560123425899999</v>
      </c>
      <c r="AP204" s="9"/>
      <c r="AQ204" s="22">
        <v>0.82305899999999999</v>
      </c>
      <c r="AR204" s="22">
        <v>190.977</v>
      </c>
      <c r="AS204" s="22">
        <v>-1.5463299999999999E-2</v>
      </c>
      <c r="AT204" s="22">
        <v>194</v>
      </c>
      <c r="AU204" s="22">
        <v>0.82214399999999999</v>
      </c>
      <c r="AV204">
        <f t="shared" ref="AV204:AV267" si="44">-AS204/$F$2*1000</f>
        <v>15.463299999999998</v>
      </c>
      <c r="AW204">
        <f t="shared" ref="AW204:AW267" si="45">AV204*AQ204</f>
        <v>12.727208234699999</v>
      </c>
      <c r="AX204" s="9"/>
      <c r="AY204" s="22">
        <v>0.87692300000000001</v>
      </c>
      <c r="AZ204" s="22">
        <v>240.36</v>
      </c>
      <c r="BA204" s="22">
        <v>-1.54358E-2</v>
      </c>
      <c r="BB204" s="22">
        <v>194</v>
      </c>
      <c r="BC204" s="22">
        <v>0.87585400000000002</v>
      </c>
      <c r="BD204">
        <f t="shared" ref="BD204:BD267" si="46">-BA204/$F$2*1000</f>
        <v>15.4358</v>
      </c>
      <c r="BE204">
        <f t="shared" ref="BE204:BE267" si="47">BD204*AY204</f>
        <v>13.536008043400001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10.950200000000001</v>
      </c>
      <c r="I205" s="22">
        <v>-1.5432700000000001E-2</v>
      </c>
      <c r="J205" s="22">
        <v>195</v>
      </c>
      <c r="K205" s="22">
        <v>0.81695600000000002</v>
      </c>
      <c r="L205">
        <f t="shared" si="36"/>
        <v>15.432700000000001</v>
      </c>
      <c r="M205">
        <f t="shared" si="37"/>
        <v>12.6243189848</v>
      </c>
      <c r="N205" s="9"/>
      <c r="O205" s="22">
        <v>0.88195800000000002</v>
      </c>
      <c r="P205" s="22">
        <v>60.371699999999997</v>
      </c>
      <c r="Q205" s="22">
        <v>-1.5450999999999999E-2</v>
      </c>
      <c r="R205" s="22">
        <v>195</v>
      </c>
      <c r="S205" s="22">
        <v>0.88073699999999999</v>
      </c>
      <c r="T205">
        <f t="shared" si="38"/>
        <v>15.450999999999999</v>
      </c>
      <c r="U205">
        <f t="shared" si="39"/>
        <v>13.627133058</v>
      </c>
      <c r="X205" s="9"/>
      <c r="Y205" s="22">
        <v>0.81802399999999997</v>
      </c>
      <c r="Z205" s="22">
        <v>109.949</v>
      </c>
      <c r="AA205" s="22">
        <v>-1.54968E-2</v>
      </c>
      <c r="AB205" s="22">
        <v>195</v>
      </c>
      <c r="AC205" s="22">
        <v>0.81726100000000002</v>
      </c>
      <c r="AD205">
        <f t="shared" si="40"/>
        <v>15.4968</v>
      </c>
      <c r="AE205">
        <f t="shared" si="41"/>
        <v>12.676754323199999</v>
      </c>
      <c r="AF205" s="9"/>
      <c r="AG205" s="22">
        <v>0.88195800000000002</v>
      </c>
      <c r="AH205" s="22">
        <v>141.608</v>
      </c>
      <c r="AI205" s="22">
        <v>-1.5457200000000001E-2</v>
      </c>
      <c r="AJ205" s="22">
        <v>195</v>
      </c>
      <c r="AK205" s="22">
        <v>0.88134800000000002</v>
      </c>
      <c r="AL205">
        <f t="shared" si="42"/>
        <v>15.4572</v>
      </c>
      <c r="AM205">
        <f t="shared" si="43"/>
        <v>13.6326011976</v>
      </c>
      <c r="AP205" s="9"/>
      <c r="AQ205" s="22">
        <v>0.81802399999999997</v>
      </c>
      <c r="AR205" s="22">
        <v>190.98699999999999</v>
      </c>
      <c r="AS205" s="22">
        <v>-1.5469399999999999E-2</v>
      </c>
      <c r="AT205" s="22">
        <v>195</v>
      </c>
      <c r="AU205" s="22">
        <v>0.81695600000000002</v>
      </c>
      <c r="AV205">
        <f t="shared" si="44"/>
        <v>15.4694</v>
      </c>
      <c r="AW205">
        <f t="shared" si="45"/>
        <v>12.654340465599999</v>
      </c>
      <c r="AX205" s="9"/>
      <c r="AY205" s="22">
        <v>0.88195800000000002</v>
      </c>
      <c r="AZ205" s="22">
        <v>240.37</v>
      </c>
      <c r="BA205" s="22">
        <v>-1.54358E-2</v>
      </c>
      <c r="BB205" s="22">
        <v>195</v>
      </c>
      <c r="BC205" s="22">
        <v>0.88104199999999999</v>
      </c>
      <c r="BD205">
        <f t="shared" si="46"/>
        <v>15.4358</v>
      </c>
      <c r="BE205">
        <f t="shared" si="47"/>
        <v>13.6137272964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10.9603</v>
      </c>
      <c r="I206" s="22">
        <v>-1.5432700000000001E-2</v>
      </c>
      <c r="J206" s="22">
        <v>196</v>
      </c>
      <c r="K206" s="22">
        <v>0.81268300000000004</v>
      </c>
      <c r="L206">
        <f t="shared" si="36"/>
        <v>15.432700000000001</v>
      </c>
      <c r="M206">
        <f t="shared" si="37"/>
        <v>12.546599907600001</v>
      </c>
      <c r="N206" s="9"/>
      <c r="O206" s="22">
        <v>0.88699300000000003</v>
      </c>
      <c r="P206" s="22">
        <v>60.381700000000002</v>
      </c>
      <c r="Q206" s="22">
        <v>-1.5450999999999999E-2</v>
      </c>
      <c r="R206" s="22">
        <v>196</v>
      </c>
      <c r="S206" s="22">
        <v>0.88592499999999996</v>
      </c>
      <c r="T206">
        <f t="shared" si="38"/>
        <v>15.450999999999999</v>
      </c>
      <c r="U206">
        <f t="shared" si="39"/>
        <v>13.704928842999999</v>
      </c>
      <c r="X206" s="9"/>
      <c r="Y206" s="22">
        <v>0.81298800000000004</v>
      </c>
      <c r="Z206" s="22">
        <v>109.959</v>
      </c>
      <c r="AA206" s="22">
        <v>-1.5506000000000001E-2</v>
      </c>
      <c r="AB206" s="22">
        <v>196</v>
      </c>
      <c r="AC206" s="22">
        <v>0.81207300000000004</v>
      </c>
      <c r="AD206">
        <f t="shared" si="40"/>
        <v>15.506</v>
      </c>
      <c r="AE206">
        <f t="shared" si="41"/>
        <v>12.606191928000001</v>
      </c>
      <c r="AF206" s="9"/>
      <c r="AG206" s="22">
        <v>0.88699300000000003</v>
      </c>
      <c r="AH206" s="22">
        <v>141.61799999999999</v>
      </c>
      <c r="AI206" s="22">
        <v>-1.5450999999999999E-2</v>
      </c>
      <c r="AJ206" s="22">
        <v>196</v>
      </c>
      <c r="AK206" s="22">
        <v>0.88653599999999999</v>
      </c>
      <c r="AL206">
        <f t="shared" si="42"/>
        <v>15.450999999999999</v>
      </c>
      <c r="AM206">
        <f t="shared" si="43"/>
        <v>13.704928842999999</v>
      </c>
      <c r="AP206" s="9"/>
      <c r="AQ206" s="22">
        <v>0.81298800000000004</v>
      </c>
      <c r="AR206" s="22">
        <v>190.99700000000001</v>
      </c>
      <c r="AS206" s="22">
        <v>-1.54755E-2</v>
      </c>
      <c r="AT206" s="22">
        <v>196</v>
      </c>
      <c r="AU206" s="22">
        <v>0.81207300000000004</v>
      </c>
      <c r="AV206">
        <f t="shared" si="44"/>
        <v>15.4755</v>
      </c>
      <c r="AW206">
        <f t="shared" si="45"/>
        <v>12.581395794000001</v>
      </c>
      <c r="AX206" s="9"/>
      <c r="AY206" s="22">
        <v>0.88699300000000003</v>
      </c>
      <c r="AZ206" s="22">
        <v>240.38</v>
      </c>
      <c r="BA206" s="22">
        <v>-1.5429699999999999E-2</v>
      </c>
      <c r="BB206" s="22">
        <v>196</v>
      </c>
      <c r="BC206" s="22">
        <v>0.88531499999999996</v>
      </c>
      <c r="BD206">
        <f t="shared" si="46"/>
        <v>15.429699999999999</v>
      </c>
      <c r="BE206">
        <f t="shared" si="47"/>
        <v>13.6860358921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10.9704</v>
      </c>
      <c r="I207" s="22">
        <v>-1.54419E-2</v>
      </c>
      <c r="J207" s="22">
        <v>197</v>
      </c>
      <c r="K207" s="22">
        <v>0.80718999999999996</v>
      </c>
      <c r="L207">
        <f t="shared" si="36"/>
        <v>15.4419</v>
      </c>
      <c r="M207">
        <f t="shared" si="37"/>
        <v>12.476329430700002</v>
      </c>
      <c r="N207" s="9"/>
      <c r="O207" s="22">
        <v>0.89202899999999996</v>
      </c>
      <c r="P207" s="22">
        <v>60.391800000000003</v>
      </c>
      <c r="Q207" s="22">
        <v>-1.5444899999999999E-2</v>
      </c>
      <c r="R207" s="22">
        <v>197</v>
      </c>
      <c r="S207" s="22">
        <v>0.89111300000000004</v>
      </c>
      <c r="T207">
        <f t="shared" si="38"/>
        <v>15.444899999999999</v>
      </c>
      <c r="U207">
        <f t="shared" si="39"/>
        <v>13.777298702099998</v>
      </c>
      <c r="X207" s="9"/>
      <c r="Y207" s="22">
        <v>0.80795300000000003</v>
      </c>
      <c r="Z207" s="22">
        <v>109.96899999999999</v>
      </c>
      <c r="AA207" s="22">
        <v>-1.5506000000000001E-2</v>
      </c>
      <c r="AB207" s="22">
        <v>197</v>
      </c>
      <c r="AC207" s="22">
        <v>0.80718999999999996</v>
      </c>
      <c r="AD207">
        <f t="shared" si="40"/>
        <v>15.506</v>
      </c>
      <c r="AE207">
        <f t="shared" si="41"/>
        <v>12.528119218000001</v>
      </c>
      <c r="AF207" s="9"/>
      <c r="AG207" s="22">
        <v>0.89202899999999996</v>
      </c>
      <c r="AH207" s="22">
        <v>141.62799999999999</v>
      </c>
      <c r="AI207" s="22">
        <v>-1.54541E-2</v>
      </c>
      <c r="AJ207" s="22">
        <v>197</v>
      </c>
      <c r="AK207" s="22">
        <v>0.89172399999999996</v>
      </c>
      <c r="AL207">
        <f t="shared" si="42"/>
        <v>15.4541</v>
      </c>
      <c r="AM207">
        <f t="shared" si="43"/>
        <v>13.785505368899999</v>
      </c>
      <c r="AP207" s="9"/>
      <c r="AQ207" s="22">
        <v>0.80795300000000003</v>
      </c>
      <c r="AR207" s="22">
        <v>191.00700000000001</v>
      </c>
      <c r="AS207" s="22">
        <v>-1.54877E-2</v>
      </c>
      <c r="AT207" s="22">
        <v>197</v>
      </c>
      <c r="AU207" s="22">
        <v>0.80718999999999996</v>
      </c>
      <c r="AV207">
        <f t="shared" si="44"/>
        <v>15.4877</v>
      </c>
      <c r="AW207">
        <f t="shared" si="45"/>
        <v>12.5133336781</v>
      </c>
      <c r="AX207" s="9"/>
      <c r="AY207" s="22">
        <v>0.89202899999999996</v>
      </c>
      <c r="AZ207" s="22">
        <v>240.39</v>
      </c>
      <c r="BA207" s="22">
        <v>-1.5429699999999999E-2</v>
      </c>
      <c r="BB207" s="22">
        <v>197</v>
      </c>
      <c r="BC207" s="22">
        <v>0.89111300000000004</v>
      </c>
      <c r="BD207">
        <f t="shared" si="46"/>
        <v>15.429699999999999</v>
      </c>
      <c r="BE207">
        <f t="shared" si="47"/>
        <v>13.763739861299998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10.980499999999999</v>
      </c>
      <c r="I208" s="22">
        <v>-1.5448E-2</v>
      </c>
      <c r="J208" s="22">
        <v>198</v>
      </c>
      <c r="K208" s="22">
        <v>0.80230699999999999</v>
      </c>
      <c r="L208">
        <f t="shared" si="36"/>
        <v>15.448</v>
      </c>
      <c r="M208">
        <f t="shared" si="37"/>
        <v>12.403461816</v>
      </c>
      <c r="N208" s="9"/>
      <c r="O208" s="22">
        <v>0.89706399999999997</v>
      </c>
      <c r="P208" s="22">
        <v>60.401899999999998</v>
      </c>
      <c r="Q208" s="22">
        <v>-1.54358E-2</v>
      </c>
      <c r="R208" s="22">
        <v>198</v>
      </c>
      <c r="S208" s="22">
        <v>0.89630100000000001</v>
      </c>
      <c r="T208">
        <f t="shared" si="38"/>
        <v>15.4358</v>
      </c>
      <c r="U208">
        <f t="shared" si="39"/>
        <v>13.8469004912</v>
      </c>
      <c r="X208" s="9"/>
      <c r="Y208" s="22">
        <v>0.80291699999999999</v>
      </c>
      <c r="Z208" s="22">
        <v>109.979</v>
      </c>
      <c r="AA208" s="22">
        <v>-1.5512099999999999E-2</v>
      </c>
      <c r="AB208" s="22">
        <v>198</v>
      </c>
      <c r="AC208" s="22">
        <v>0.80169699999999999</v>
      </c>
      <c r="AD208">
        <f t="shared" si="40"/>
        <v>15.512099999999998</v>
      </c>
      <c r="AE208">
        <f t="shared" si="41"/>
        <v>12.454928795699999</v>
      </c>
      <c r="AF208" s="9"/>
      <c r="AG208" s="22">
        <v>0.89706399999999997</v>
      </c>
      <c r="AH208" s="22">
        <v>141.63800000000001</v>
      </c>
      <c r="AI208" s="22">
        <v>-1.5457200000000001E-2</v>
      </c>
      <c r="AJ208" s="22">
        <v>198</v>
      </c>
      <c r="AK208" s="22">
        <v>0.89599600000000001</v>
      </c>
      <c r="AL208">
        <f t="shared" si="42"/>
        <v>15.4572</v>
      </c>
      <c r="AM208">
        <f t="shared" si="43"/>
        <v>13.8660976608</v>
      </c>
      <c r="AP208" s="9"/>
      <c r="AQ208" s="22">
        <v>0.80291699999999999</v>
      </c>
      <c r="AR208" s="22">
        <v>191.017</v>
      </c>
      <c r="AS208" s="22">
        <v>-1.55029E-2</v>
      </c>
      <c r="AT208" s="22">
        <v>198</v>
      </c>
      <c r="AU208" s="22">
        <v>0.80200199999999999</v>
      </c>
      <c r="AV208">
        <f t="shared" si="44"/>
        <v>15.5029</v>
      </c>
      <c r="AW208">
        <f t="shared" si="45"/>
        <v>12.447541959300001</v>
      </c>
      <c r="AX208" s="9"/>
      <c r="AY208" s="22">
        <v>0.89706399999999997</v>
      </c>
      <c r="AZ208" s="22">
        <v>240.4</v>
      </c>
      <c r="BA208" s="22">
        <v>-1.5429699999999999E-2</v>
      </c>
      <c r="BB208" s="22">
        <v>198</v>
      </c>
      <c r="BC208" s="22">
        <v>0.89630100000000001</v>
      </c>
      <c r="BD208">
        <f t="shared" si="46"/>
        <v>15.429699999999999</v>
      </c>
      <c r="BE208">
        <f t="shared" si="47"/>
        <v>13.841428400799998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10.990500000000001</v>
      </c>
      <c r="I209" s="22">
        <v>-1.5450999999999999E-2</v>
      </c>
      <c r="J209" s="22">
        <v>199</v>
      </c>
      <c r="K209" s="22">
        <v>0.79681400000000002</v>
      </c>
      <c r="L209">
        <f t="shared" si="36"/>
        <v>15.450999999999999</v>
      </c>
      <c r="M209">
        <f t="shared" si="37"/>
        <v>12.328074781999998</v>
      </c>
      <c r="N209" s="9"/>
      <c r="O209" s="22">
        <v>0.90210000000000001</v>
      </c>
      <c r="P209" s="22">
        <v>60.411900000000003</v>
      </c>
      <c r="Q209" s="22">
        <v>-1.54358E-2</v>
      </c>
      <c r="R209" s="22">
        <v>199</v>
      </c>
      <c r="S209" s="22">
        <v>0.90118399999999999</v>
      </c>
      <c r="T209">
        <f t="shared" si="38"/>
        <v>15.4358</v>
      </c>
      <c r="U209">
        <f t="shared" si="39"/>
        <v>13.924635180000001</v>
      </c>
      <c r="X209" s="9"/>
      <c r="Y209" s="22">
        <v>0.79788199999999998</v>
      </c>
      <c r="Z209" s="22">
        <v>109.989</v>
      </c>
      <c r="AA209" s="22">
        <v>-1.5512099999999999E-2</v>
      </c>
      <c r="AB209" s="22">
        <v>199</v>
      </c>
      <c r="AC209" s="22">
        <v>0.79772900000000002</v>
      </c>
      <c r="AD209">
        <f t="shared" si="40"/>
        <v>15.512099999999998</v>
      </c>
      <c r="AE209">
        <f t="shared" si="41"/>
        <v>12.376825372199999</v>
      </c>
      <c r="AF209" s="9"/>
      <c r="AG209" s="22">
        <v>0.90210000000000001</v>
      </c>
      <c r="AH209" s="22">
        <v>141.648</v>
      </c>
      <c r="AI209" s="22">
        <v>-1.54541E-2</v>
      </c>
      <c r="AJ209" s="22">
        <v>199</v>
      </c>
      <c r="AK209" s="22">
        <v>0.90087899999999999</v>
      </c>
      <c r="AL209">
        <f t="shared" si="42"/>
        <v>15.4541</v>
      </c>
      <c r="AM209">
        <f t="shared" si="43"/>
        <v>13.941143610000001</v>
      </c>
      <c r="AP209" s="9"/>
      <c r="AQ209" s="22">
        <v>0.79788199999999998</v>
      </c>
      <c r="AR209" s="22">
        <v>191.02699999999999</v>
      </c>
      <c r="AS209" s="22">
        <v>-1.5506000000000001E-2</v>
      </c>
      <c r="AT209" s="22">
        <v>199</v>
      </c>
      <c r="AU209" s="22">
        <v>0.79681400000000002</v>
      </c>
      <c r="AV209">
        <f t="shared" si="44"/>
        <v>15.506</v>
      </c>
      <c r="AW209">
        <f t="shared" si="45"/>
        <v>12.371958292</v>
      </c>
      <c r="AX209" s="9"/>
      <c r="AY209" s="22">
        <v>0.90210000000000001</v>
      </c>
      <c r="AZ209" s="22">
        <v>240.41</v>
      </c>
      <c r="BA209" s="22">
        <v>-1.5429699999999999E-2</v>
      </c>
      <c r="BB209" s="22">
        <v>199</v>
      </c>
      <c r="BC209" s="22">
        <v>0.90179399999999998</v>
      </c>
      <c r="BD209">
        <f t="shared" si="46"/>
        <v>15.429699999999999</v>
      </c>
      <c r="BE209">
        <f t="shared" si="47"/>
        <v>13.91913237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11.0006</v>
      </c>
      <c r="I210" s="22">
        <v>-1.5457200000000001E-2</v>
      </c>
      <c r="J210" s="22">
        <v>200</v>
      </c>
      <c r="K210" s="22">
        <v>0.79193100000000005</v>
      </c>
      <c r="L210">
        <f t="shared" si="36"/>
        <v>15.4572</v>
      </c>
      <c r="M210">
        <f t="shared" si="37"/>
        <v>12.2551946484</v>
      </c>
      <c r="N210" s="9"/>
      <c r="O210" s="22">
        <v>0.90713500000000002</v>
      </c>
      <c r="P210" s="22">
        <v>60.421999999999997</v>
      </c>
      <c r="Q210" s="22">
        <v>-1.5429699999999999E-2</v>
      </c>
      <c r="R210" s="22">
        <v>200</v>
      </c>
      <c r="S210" s="22">
        <v>0.90667699999999996</v>
      </c>
      <c r="T210">
        <f t="shared" si="38"/>
        <v>15.429699999999999</v>
      </c>
      <c r="U210">
        <f t="shared" si="39"/>
        <v>13.996820909499998</v>
      </c>
      <c r="X210" s="9"/>
      <c r="Y210" s="22">
        <v>0.79284699999999997</v>
      </c>
      <c r="Z210" s="22">
        <v>109.999</v>
      </c>
      <c r="AA210" s="22">
        <v>-1.5512099999999999E-2</v>
      </c>
      <c r="AB210" s="22">
        <v>200</v>
      </c>
      <c r="AC210" s="22">
        <v>0.79254199999999997</v>
      </c>
      <c r="AD210">
        <f t="shared" si="40"/>
        <v>15.512099999999998</v>
      </c>
      <c r="AE210">
        <f t="shared" si="41"/>
        <v>12.298721948699999</v>
      </c>
      <c r="AF210" s="9"/>
      <c r="AG210" s="22">
        <v>0.90713500000000002</v>
      </c>
      <c r="AH210" s="22">
        <v>141.65899999999999</v>
      </c>
      <c r="AI210" s="22">
        <v>-1.5448E-2</v>
      </c>
      <c r="AJ210" s="22">
        <v>200</v>
      </c>
      <c r="AK210" s="22">
        <v>0.90637199999999996</v>
      </c>
      <c r="AL210">
        <f t="shared" si="42"/>
        <v>15.448</v>
      </c>
      <c r="AM210">
        <f t="shared" si="43"/>
        <v>14.01342148</v>
      </c>
      <c r="AP210" s="9"/>
      <c r="AQ210" s="22">
        <v>0.79284699999999997</v>
      </c>
      <c r="AR210" s="22">
        <v>191.03700000000001</v>
      </c>
      <c r="AS210" s="22">
        <v>-1.55151E-2</v>
      </c>
      <c r="AT210" s="22">
        <v>200</v>
      </c>
      <c r="AU210" s="22">
        <v>0.79193100000000005</v>
      </c>
      <c r="AV210">
        <f t="shared" si="44"/>
        <v>15.5151</v>
      </c>
      <c r="AW210">
        <f t="shared" si="45"/>
        <v>12.3011004897</v>
      </c>
      <c r="AX210" s="9"/>
      <c r="AY210" s="22">
        <v>0.90713500000000002</v>
      </c>
      <c r="AZ210" s="22">
        <v>240.42</v>
      </c>
      <c r="BA210" s="22">
        <v>-1.5423600000000001E-2</v>
      </c>
      <c r="BB210" s="22">
        <v>200</v>
      </c>
      <c r="BC210" s="22">
        <v>0.90606699999999996</v>
      </c>
      <c r="BD210">
        <f t="shared" si="46"/>
        <v>15.4236</v>
      </c>
      <c r="BE210">
        <f t="shared" si="47"/>
        <v>13.991287386000002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11.0107</v>
      </c>
      <c r="I211" s="22">
        <v>-1.5463299999999999E-2</v>
      </c>
      <c r="J211" s="22">
        <v>201</v>
      </c>
      <c r="K211" s="22">
        <v>0.78704799999999997</v>
      </c>
      <c r="L211">
        <f t="shared" si="36"/>
        <v>15.463299999999998</v>
      </c>
      <c r="M211">
        <f t="shared" si="37"/>
        <v>12.1821578363</v>
      </c>
      <c r="N211" s="9"/>
      <c r="O211" s="22">
        <v>0.91217000000000004</v>
      </c>
      <c r="P211" s="22">
        <v>60.432099999999998</v>
      </c>
      <c r="Q211" s="22">
        <v>-1.5423600000000001E-2</v>
      </c>
      <c r="R211" s="22">
        <v>201</v>
      </c>
      <c r="S211" s="22">
        <v>0.91125500000000004</v>
      </c>
      <c r="T211">
        <f t="shared" si="38"/>
        <v>15.4236</v>
      </c>
      <c r="U211">
        <f t="shared" si="39"/>
        <v>14.068945212000001</v>
      </c>
      <c r="X211" s="9"/>
      <c r="Y211" s="22">
        <v>0.78781100000000004</v>
      </c>
      <c r="Z211" s="22">
        <v>110.01</v>
      </c>
      <c r="AA211" s="22">
        <v>-1.55151E-2</v>
      </c>
      <c r="AB211" s="22">
        <v>201</v>
      </c>
      <c r="AC211" s="22">
        <v>0.78674299999999997</v>
      </c>
      <c r="AD211">
        <f t="shared" si="40"/>
        <v>15.5151</v>
      </c>
      <c r="AE211">
        <f t="shared" si="41"/>
        <v>12.222966446100001</v>
      </c>
      <c r="AF211" s="9"/>
      <c r="AG211" s="22">
        <v>0.91217000000000004</v>
      </c>
      <c r="AH211" s="22">
        <v>141.66900000000001</v>
      </c>
      <c r="AI211" s="22">
        <v>-1.5444899999999999E-2</v>
      </c>
      <c r="AJ211" s="22">
        <v>201</v>
      </c>
      <c r="AK211" s="22">
        <v>0.91064500000000004</v>
      </c>
      <c r="AL211">
        <f t="shared" si="42"/>
        <v>15.444899999999999</v>
      </c>
      <c r="AM211">
        <f t="shared" si="43"/>
        <v>14.088374433</v>
      </c>
      <c r="AP211" s="9"/>
      <c r="AQ211" s="22">
        <v>0.78781100000000004</v>
      </c>
      <c r="AR211" s="22">
        <v>191.047</v>
      </c>
      <c r="AS211" s="22">
        <v>-1.5518199999999999E-2</v>
      </c>
      <c r="AT211" s="22">
        <v>201</v>
      </c>
      <c r="AU211" s="22">
        <v>0.787354</v>
      </c>
      <c r="AV211">
        <f t="shared" si="44"/>
        <v>15.5182</v>
      </c>
      <c r="AW211">
        <f t="shared" si="45"/>
        <v>12.225408660200001</v>
      </c>
      <c r="AX211" s="9"/>
      <c r="AY211" s="22">
        <v>0.91217000000000004</v>
      </c>
      <c r="AZ211" s="22">
        <v>240.43</v>
      </c>
      <c r="BA211" s="22">
        <v>-1.5417500000000001E-2</v>
      </c>
      <c r="BB211" s="22">
        <v>201</v>
      </c>
      <c r="BC211" s="22">
        <v>0.91156000000000004</v>
      </c>
      <c r="BD211">
        <f t="shared" si="46"/>
        <v>15.4175</v>
      </c>
      <c r="BE211">
        <f t="shared" si="47"/>
        <v>14.063380975000001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11.0207</v>
      </c>
      <c r="I212" s="22">
        <v>-1.5469399999999999E-2</v>
      </c>
      <c r="J212" s="22">
        <v>202</v>
      </c>
      <c r="K212" s="22">
        <v>0.78186</v>
      </c>
      <c r="L212">
        <f t="shared" si="36"/>
        <v>15.4694</v>
      </c>
      <c r="M212">
        <f t="shared" si="37"/>
        <v>12.1090750544</v>
      </c>
      <c r="N212" s="9"/>
      <c r="O212" s="22">
        <v>0.91720599999999997</v>
      </c>
      <c r="P212" s="22">
        <v>60.4422</v>
      </c>
      <c r="Q212" s="22">
        <v>-1.5423600000000001E-2</v>
      </c>
      <c r="R212" s="22">
        <v>202</v>
      </c>
      <c r="S212" s="22">
        <v>0.91644300000000001</v>
      </c>
      <c r="T212">
        <f t="shared" si="38"/>
        <v>15.4236</v>
      </c>
      <c r="U212">
        <f t="shared" si="39"/>
        <v>14.146618461599999</v>
      </c>
      <c r="X212" s="9"/>
      <c r="Y212" s="22">
        <v>0.78277600000000003</v>
      </c>
      <c r="Z212" s="22">
        <v>110.02</v>
      </c>
      <c r="AA212" s="22">
        <v>-1.5518199999999999E-2</v>
      </c>
      <c r="AB212" s="22">
        <v>202</v>
      </c>
      <c r="AC212" s="22">
        <v>0.781555</v>
      </c>
      <c r="AD212">
        <f t="shared" si="40"/>
        <v>15.5182</v>
      </c>
      <c r="AE212">
        <f t="shared" si="41"/>
        <v>12.1472745232</v>
      </c>
      <c r="AF212" s="9"/>
      <c r="AG212" s="22">
        <v>0.91720599999999997</v>
      </c>
      <c r="AH212" s="22">
        <v>141.679</v>
      </c>
      <c r="AI212" s="22">
        <v>-1.54419E-2</v>
      </c>
      <c r="AJ212" s="22">
        <v>202</v>
      </c>
      <c r="AK212" s="22">
        <v>0.91644300000000001</v>
      </c>
      <c r="AL212">
        <f t="shared" si="42"/>
        <v>15.4419</v>
      </c>
      <c r="AM212">
        <f t="shared" si="43"/>
        <v>14.1634033314</v>
      </c>
      <c r="AP212" s="9"/>
      <c r="AQ212" s="22">
        <v>0.78277600000000003</v>
      </c>
      <c r="AR212" s="22">
        <v>191.05699999999999</v>
      </c>
      <c r="AS212" s="22">
        <v>-1.5521200000000001E-2</v>
      </c>
      <c r="AT212" s="22">
        <v>202</v>
      </c>
      <c r="AU212" s="22">
        <v>0.78216600000000003</v>
      </c>
      <c r="AV212">
        <f t="shared" si="44"/>
        <v>15.5212</v>
      </c>
      <c r="AW212">
        <f t="shared" si="45"/>
        <v>12.1496228512</v>
      </c>
      <c r="AX212" s="9"/>
      <c r="AY212" s="22">
        <v>0.91720599999999997</v>
      </c>
      <c r="AZ212" s="22">
        <v>240.441</v>
      </c>
      <c r="BA212" s="22">
        <v>-1.54144E-2</v>
      </c>
      <c r="BB212" s="22">
        <v>202</v>
      </c>
      <c r="BC212" s="22">
        <v>0.91644300000000001</v>
      </c>
      <c r="BD212">
        <f t="shared" si="46"/>
        <v>15.414400000000001</v>
      </c>
      <c r="BE212">
        <f t="shared" si="47"/>
        <v>14.1381801664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11.030799999999999</v>
      </c>
      <c r="I213" s="22">
        <v>-1.5478499999999999E-2</v>
      </c>
      <c r="J213" s="22">
        <v>203</v>
      </c>
      <c r="K213" s="22">
        <v>0.77728299999999995</v>
      </c>
      <c r="L213">
        <f t="shared" si="36"/>
        <v>15.478499999999999</v>
      </c>
      <c r="M213">
        <f t="shared" si="37"/>
        <v>12.038248589999998</v>
      </c>
      <c r="N213" s="9"/>
      <c r="O213" s="22">
        <v>0.92224099999999998</v>
      </c>
      <c r="P213" s="22">
        <v>60.452199999999998</v>
      </c>
      <c r="Q213" s="22">
        <v>-1.54144E-2</v>
      </c>
      <c r="R213" s="22">
        <v>203</v>
      </c>
      <c r="S213" s="22">
        <v>0.92102099999999998</v>
      </c>
      <c r="T213">
        <f t="shared" si="38"/>
        <v>15.414400000000001</v>
      </c>
      <c r="U213">
        <f t="shared" si="39"/>
        <v>14.2157916704</v>
      </c>
      <c r="X213" s="9"/>
      <c r="Y213" s="22">
        <v>0.77773999999999999</v>
      </c>
      <c r="Z213" s="22">
        <v>110.03</v>
      </c>
      <c r="AA213" s="22">
        <v>-1.5521200000000001E-2</v>
      </c>
      <c r="AB213" s="22">
        <v>203</v>
      </c>
      <c r="AC213" s="22">
        <v>0.77636700000000003</v>
      </c>
      <c r="AD213">
        <f t="shared" si="40"/>
        <v>15.5212</v>
      </c>
      <c r="AE213">
        <f t="shared" si="41"/>
        <v>12.071458088</v>
      </c>
      <c r="AF213" s="9"/>
      <c r="AG213" s="22">
        <v>0.92224099999999998</v>
      </c>
      <c r="AH213" s="22">
        <v>141.68899999999999</v>
      </c>
      <c r="AI213" s="22">
        <v>-1.5429699999999999E-2</v>
      </c>
      <c r="AJ213" s="22">
        <v>203</v>
      </c>
      <c r="AK213" s="22">
        <v>0.92132599999999998</v>
      </c>
      <c r="AL213">
        <f t="shared" si="42"/>
        <v>15.429699999999999</v>
      </c>
      <c r="AM213">
        <f t="shared" si="43"/>
        <v>14.229901957699999</v>
      </c>
      <c r="AP213" s="9"/>
      <c r="AQ213" s="22">
        <v>0.77773999999999999</v>
      </c>
      <c r="AR213" s="22">
        <v>191.06700000000001</v>
      </c>
      <c r="AS213" s="22">
        <v>-1.55304E-2</v>
      </c>
      <c r="AT213" s="22">
        <v>203</v>
      </c>
      <c r="AU213" s="22">
        <v>0.77697799999999995</v>
      </c>
      <c r="AV213">
        <f t="shared" si="44"/>
        <v>15.5304</v>
      </c>
      <c r="AW213">
        <f t="shared" si="45"/>
        <v>12.078613296</v>
      </c>
      <c r="AX213" s="9"/>
      <c r="AY213" s="22">
        <v>0.92224099999999998</v>
      </c>
      <c r="AZ213" s="22">
        <v>240.45099999999999</v>
      </c>
      <c r="BA213" s="22">
        <v>-1.54083E-2</v>
      </c>
      <c r="BB213" s="22">
        <v>203</v>
      </c>
      <c r="BC213" s="22">
        <v>0.92132599999999998</v>
      </c>
      <c r="BD213">
        <f t="shared" si="46"/>
        <v>15.408300000000001</v>
      </c>
      <c r="BE213">
        <f t="shared" si="47"/>
        <v>14.210166000300001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11.040900000000001</v>
      </c>
      <c r="I214" s="22">
        <v>-1.54816E-2</v>
      </c>
      <c r="J214" s="22">
        <v>204</v>
      </c>
      <c r="K214" s="22">
        <v>0.77209499999999998</v>
      </c>
      <c r="L214">
        <f t="shared" si="36"/>
        <v>15.4816</v>
      </c>
      <c r="M214">
        <f t="shared" si="37"/>
        <v>11.962709728</v>
      </c>
      <c r="N214" s="9"/>
      <c r="O214" s="22">
        <v>0.92727700000000002</v>
      </c>
      <c r="P214" s="22">
        <v>60.462299999999999</v>
      </c>
      <c r="Q214" s="22">
        <v>-1.54053E-2</v>
      </c>
      <c r="R214" s="22">
        <v>204</v>
      </c>
      <c r="S214" s="22">
        <v>0.92681899999999995</v>
      </c>
      <c r="T214">
        <f t="shared" si="38"/>
        <v>15.4053</v>
      </c>
      <c r="U214">
        <f t="shared" si="39"/>
        <v>14.284980368100001</v>
      </c>
      <c r="X214" s="9"/>
      <c r="Y214" s="22">
        <v>0.77270499999999998</v>
      </c>
      <c r="Z214" s="22">
        <v>110.04</v>
      </c>
      <c r="AA214" s="22">
        <v>-1.55243E-2</v>
      </c>
      <c r="AB214" s="22">
        <v>204</v>
      </c>
      <c r="AC214" s="22">
        <v>0.77178999999999998</v>
      </c>
      <c r="AD214">
        <f t="shared" si="40"/>
        <v>15.5243</v>
      </c>
      <c r="AE214">
        <f t="shared" si="41"/>
        <v>11.9957042315</v>
      </c>
      <c r="AF214" s="9"/>
      <c r="AG214" s="22">
        <v>0.92727700000000002</v>
      </c>
      <c r="AH214" s="22">
        <v>141.69900000000001</v>
      </c>
      <c r="AI214" s="22">
        <v>-1.54205E-2</v>
      </c>
      <c r="AJ214" s="22">
        <v>204</v>
      </c>
      <c r="AK214" s="22">
        <v>0.92712399999999995</v>
      </c>
      <c r="AL214">
        <f t="shared" si="42"/>
        <v>15.420500000000001</v>
      </c>
      <c r="AM214">
        <f t="shared" si="43"/>
        <v>14.2990749785</v>
      </c>
      <c r="AP214" s="9"/>
      <c r="AQ214" s="22">
        <v>0.77270499999999998</v>
      </c>
      <c r="AR214" s="22">
        <v>191.077</v>
      </c>
      <c r="AS214" s="22">
        <v>-1.55365E-2</v>
      </c>
      <c r="AT214" s="22">
        <v>204</v>
      </c>
      <c r="AU214" s="22">
        <v>0.77178999999999998</v>
      </c>
      <c r="AV214">
        <f t="shared" si="44"/>
        <v>15.5365</v>
      </c>
      <c r="AW214">
        <f t="shared" si="45"/>
        <v>12.0051312325</v>
      </c>
      <c r="AX214" s="9"/>
      <c r="AY214" s="22">
        <v>0.92727700000000002</v>
      </c>
      <c r="AZ214" s="22">
        <v>240.46100000000001</v>
      </c>
      <c r="BA214" s="22">
        <v>-1.54114E-2</v>
      </c>
      <c r="BB214" s="22">
        <v>204</v>
      </c>
      <c r="BC214" s="22">
        <v>0.92620800000000003</v>
      </c>
      <c r="BD214">
        <f t="shared" si="46"/>
        <v>15.4114</v>
      </c>
      <c r="BE214">
        <f t="shared" si="47"/>
        <v>14.290636757800002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11.051</v>
      </c>
      <c r="I215" s="22">
        <v>-1.54816E-2</v>
      </c>
      <c r="J215" s="22">
        <v>205</v>
      </c>
      <c r="K215" s="22">
        <v>0.76721200000000001</v>
      </c>
      <c r="L215">
        <f t="shared" si="36"/>
        <v>15.4816</v>
      </c>
      <c r="M215">
        <f t="shared" si="37"/>
        <v>11.884759872</v>
      </c>
      <c r="N215" s="9"/>
      <c r="O215" s="22">
        <v>0.93231200000000003</v>
      </c>
      <c r="P215" s="22">
        <v>60.4724</v>
      </c>
      <c r="Q215" s="22">
        <v>-1.54022E-2</v>
      </c>
      <c r="R215" s="22">
        <v>205</v>
      </c>
      <c r="S215" s="22">
        <v>0.931396</v>
      </c>
      <c r="T215">
        <f t="shared" si="38"/>
        <v>15.402199999999999</v>
      </c>
      <c r="U215">
        <f t="shared" si="39"/>
        <v>14.359655886399999</v>
      </c>
      <c r="X215" s="9"/>
      <c r="Y215" s="22">
        <v>0.76766999999999996</v>
      </c>
      <c r="Z215" s="22">
        <v>110.05</v>
      </c>
      <c r="AA215" s="22">
        <v>-1.5527300000000001E-2</v>
      </c>
      <c r="AB215" s="22">
        <v>205</v>
      </c>
      <c r="AC215" s="22">
        <v>0.76721200000000001</v>
      </c>
      <c r="AD215">
        <f t="shared" si="40"/>
        <v>15.5273</v>
      </c>
      <c r="AE215">
        <f t="shared" si="41"/>
        <v>11.919842391</v>
      </c>
      <c r="AF215" s="9"/>
      <c r="AG215" s="22">
        <v>0.93231200000000003</v>
      </c>
      <c r="AH215" s="22">
        <v>141.709</v>
      </c>
      <c r="AI215" s="22">
        <v>-1.5417500000000001E-2</v>
      </c>
      <c r="AJ215" s="22">
        <v>205</v>
      </c>
      <c r="AK215" s="22">
        <v>0.93170200000000003</v>
      </c>
      <c r="AL215">
        <f t="shared" si="42"/>
        <v>15.4175</v>
      </c>
      <c r="AM215">
        <f t="shared" si="43"/>
        <v>14.37392026</v>
      </c>
      <c r="AP215" s="9"/>
      <c r="AQ215" s="22">
        <v>0.76766999999999996</v>
      </c>
      <c r="AR215" s="22">
        <v>191.08699999999999</v>
      </c>
      <c r="AS215" s="22">
        <v>-1.5539600000000001E-2</v>
      </c>
      <c r="AT215" s="22">
        <v>205</v>
      </c>
      <c r="AU215" s="22">
        <v>0.76660200000000001</v>
      </c>
      <c r="AV215">
        <f t="shared" si="44"/>
        <v>15.5396</v>
      </c>
      <c r="AW215">
        <f t="shared" si="45"/>
        <v>11.929284731999999</v>
      </c>
      <c r="AX215" s="9"/>
      <c r="AY215" s="22">
        <v>0.93231200000000003</v>
      </c>
      <c r="AZ215" s="22">
        <v>240.471</v>
      </c>
      <c r="BA215" s="22">
        <v>-1.54083E-2</v>
      </c>
      <c r="BB215" s="22">
        <v>205</v>
      </c>
      <c r="BC215" s="22">
        <v>0.931091</v>
      </c>
      <c r="BD215">
        <f t="shared" si="46"/>
        <v>15.408300000000001</v>
      </c>
      <c r="BE215">
        <f t="shared" si="47"/>
        <v>14.3653429896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11.061</v>
      </c>
      <c r="I216" s="22">
        <v>-1.5478499999999999E-2</v>
      </c>
      <c r="J216" s="22">
        <v>206</v>
      </c>
      <c r="K216" s="22">
        <v>0.76202400000000003</v>
      </c>
      <c r="L216">
        <f t="shared" si="36"/>
        <v>15.478499999999999</v>
      </c>
      <c r="M216">
        <f t="shared" si="37"/>
        <v>11.804430369</v>
      </c>
      <c r="N216" s="9"/>
      <c r="O216" s="22">
        <v>0.93734700000000004</v>
      </c>
      <c r="P216" s="22">
        <v>60.482399999999998</v>
      </c>
      <c r="Q216" s="22">
        <v>-1.53992E-2</v>
      </c>
      <c r="R216" s="22">
        <v>206</v>
      </c>
      <c r="S216" s="22">
        <v>0.93689</v>
      </c>
      <c r="T216">
        <f t="shared" si="38"/>
        <v>15.3992</v>
      </c>
      <c r="U216">
        <f t="shared" si="39"/>
        <v>14.434393922400002</v>
      </c>
      <c r="X216" s="9"/>
      <c r="Y216" s="22">
        <v>0.76263400000000003</v>
      </c>
      <c r="Z216" s="22">
        <v>110.06</v>
      </c>
      <c r="AA216" s="22">
        <v>-1.5533399999999999E-2</v>
      </c>
      <c r="AB216" s="22">
        <v>206</v>
      </c>
      <c r="AC216" s="22">
        <v>0.76202400000000003</v>
      </c>
      <c r="AD216">
        <f t="shared" si="40"/>
        <v>15.533399999999999</v>
      </c>
      <c r="AE216">
        <f t="shared" si="41"/>
        <v>11.8462989756</v>
      </c>
      <c r="AF216" s="9"/>
      <c r="AG216" s="22">
        <v>0.93734700000000004</v>
      </c>
      <c r="AH216" s="22">
        <v>141.71899999999999</v>
      </c>
      <c r="AI216" s="22">
        <v>-1.54144E-2</v>
      </c>
      <c r="AJ216" s="22">
        <v>206</v>
      </c>
      <c r="AK216" s="22">
        <v>0.93597399999999997</v>
      </c>
      <c r="AL216">
        <f t="shared" si="42"/>
        <v>15.414400000000001</v>
      </c>
      <c r="AM216">
        <f t="shared" si="43"/>
        <v>14.448641596800002</v>
      </c>
      <c r="AP216" s="9"/>
      <c r="AQ216" s="22">
        <v>0.76263400000000003</v>
      </c>
      <c r="AR216" s="22">
        <v>191.09700000000001</v>
      </c>
      <c r="AS216" s="22">
        <v>-1.5539600000000001E-2</v>
      </c>
      <c r="AT216" s="22">
        <v>206</v>
      </c>
      <c r="AU216" s="22">
        <v>0.76202400000000003</v>
      </c>
      <c r="AV216">
        <f t="shared" si="44"/>
        <v>15.5396</v>
      </c>
      <c r="AW216">
        <f t="shared" si="45"/>
        <v>11.851027306400001</v>
      </c>
      <c r="AX216" s="9"/>
      <c r="AY216" s="22">
        <v>0.93734700000000004</v>
      </c>
      <c r="AZ216" s="22">
        <v>240.48099999999999</v>
      </c>
      <c r="BA216" s="22">
        <v>-1.54022E-2</v>
      </c>
      <c r="BB216" s="22">
        <v>206</v>
      </c>
      <c r="BC216" s="22">
        <v>0.93689</v>
      </c>
      <c r="BD216">
        <f t="shared" si="46"/>
        <v>15.402199999999999</v>
      </c>
      <c r="BE216">
        <f t="shared" si="47"/>
        <v>14.4372059634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11.071099999999999</v>
      </c>
      <c r="I217" s="22">
        <v>-1.54755E-2</v>
      </c>
      <c r="J217" s="22">
        <v>207</v>
      </c>
      <c r="K217" s="22">
        <v>0.75683599999999995</v>
      </c>
      <c r="L217">
        <f t="shared" si="36"/>
        <v>15.4755</v>
      </c>
      <c r="M217">
        <f t="shared" si="37"/>
        <v>11.7242233245</v>
      </c>
      <c r="N217" s="9"/>
      <c r="O217" s="22">
        <v>0.94238299999999997</v>
      </c>
      <c r="P217" s="22">
        <v>60.4925</v>
      </c>
      <c r="Q217" s="22">
        <v>-1.5396099999999999E-2</v>
      </c>
      <c r="R217" s="22">
        <v>207</v>
      </c>
      <c r="S217" s="22">
        <v>0.94177200000000005</v>
      </c>
      <c r="T217">
        <f t="shared" si="38"/>
        <v>15.396099999999999</v>
      </c>
      <c r="U217">
        <f t="shared" si="39"/>
        <v>14.509022906299998</v>
      </c>
      <c r="X217" s="9"/>
      <c r="Y217" s="22">
        <v>0.75759900000000002</v>
      </c>
      <c r="Z217" s="22">
        <v>110.07</v>
      </c>
      <c r="AA217" s="22">
        <v>-1.55365E-2</v>
      </c>
      <c r="AB217" s="22">
        <v>207</v>
      </c>
      <c r="AC217" s="22">
        <v>0.75714099999999995</v>
      </c>
      <c r="AD217">
        <f t="shared" si="40"/>
        <v>15.5365</v>
      </c>
      <c r="AE217">
        <f t="shared" si="41"/>
        <v>11.770436863500001</v>
      </c>
      <c r="AF217" s="9"/>
      <c r="AG217" s="22">
        <v>0.94238299999999997</v>
      </c>
      <c r="AH217" s="22">
        <v>141.72900000000001</v>
      </c>
      <c r="AI217" s="22">
        <v>-1.54114E-2</v>
      </c>
      <c r="AJ217" s="22">
        <v>207</v>
      </c>
      <c r="AK217" s="22">
        <v>0.94207799999999997</v>
      </c>
      <c r="AL217">
        <f t="shared" si="42"/>
        <v>15.4114</v>
      </c>
      <c r="AM217">
        <f t="shared" si="43"/>
        <v>14.5234413662</v>
      </c>
      <c r="AP217" s="9"/>
      <c r="AQ217" s="22">
        <v>0.75759900000000002</v>
      </c>
      <c r="AR217" s="22">
        <v>191.107</v>
      </c>
      <c r="AS217" s="22">
        <v>-1.5539600000000001E-2</v>
      </c>
      <c r="AT217" s="22">
        <v>207</v>
      </c>
      <c r="AU217" s="22">
        <v>0.75653099999999995</v>
      </c>
      <c r="AV217">
        <f t="shared" si="44"/>
        <v>15.5396</v>
      </c>
      <c r="AW217">
        <f t="shared" si="45"/>
        <v>11.7727854204</v>
      </c>
      <c r="AX217" s="9"/>
      <c r="AY217" s="22">
        <v>0.94238299999999997</v>
      </c>
      <c r="AZ217" s="22">
        <v>240.49100000000001</v>
      </c>
      <c r="BA217" s="22">
        <v>-1.53992E-2</v>
      </c>
      <c r="BB217" s="22">
        <v>207</v>
      </c>
      <c r="BC217" s="22">
        <v>0.94146700000000005</v>
      </c>
      <c r="BD217">
        <f t="shared" si="46"/>
        <v>15.3992</v>
      </c>
      <c r="BE217">
        <f t="shared" si="47"/>
        <v>14.511944293599999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11.081200000000001</v>
      </c>
      <c r="I218" s="22">
        <v>-1.5478499999999999E-2</v>
      </c>
      <c r="J218" s="22">
        <v>208</v>
      </c>
      <c r="K218" s="22">
        <v>0.75134299999999998</v>
      </c>
      <c r="L218">
        <f t="shared" si="36"/>
        <v>15.478499999999999</v>
      </c>
      <c r="M218">
        <f t="shared" si="37"/>
        <v>11.648546395499999</v>
      </c>
      <c r="N218" s="9"/>
      <c r="O218" s="22">
        <v>0.94741799999999998</v>
      </c>
      <c r="P218" s="22">
        <v>60.502600000000001</v>
      </c>
      <c r="Q218" s="22">
        <v>-1.53931E-2</v>
      </c>
      <c r="R218" s="22">
        <v>208</v>
      </c>
      <c r="S218" s="22">
        <v>0.94665500000000002</v>
      </c>
      <c r="T218">
        <f t="shared" si="38"/>
        <v>15.3931</v>
      </c>
      <c r="U218">
        <f t="shared" si="39"/>
        <v>14.5837000158</v>
      </c>
      <c r="X218" s="9"/>
      <c r="Y218" s="22">
        <v>0.75256299999999998</v>
      </c>
      <c r="Z218" s="22">
        <v>110.08</v>
      </c>
      <c r="AA218" s="22">
        <v>-1.55365E-2</v>
      </c>
      <c r="AB218" s="22">
        <v>208</v>
      </c>
      <c r="AC218" s="22">
        <v>0.75134299999999998</v>
      </c>
      <c r="AD218">
        <f t="shared" si="40"/>
        <v>15.5365</v>
      </c>
      <c r="AE218">
        <f t="shared" si="41"/>
        <v>11.6921950495</v>
      </c>
      <c r="AF218" s="9"/>
      <c r="AG218" s="22">
        <v>0.94741799999999998</v>
      </c>
      <c r="AH218" s="22">
        <v>141.739</v>
      </c>
      <c r="AI218" s="22">
        <v>-1.54053E-2</v>
      </c>
      <c r="AJ218" s="22">
        <v>208</v>
      </c>
      <c r="AK218" s="22">
        <v>0.94665500000000002</v>
      </c>
      <c r="AL218">
        <f t="shared" si="42"/>
        <v>15.4053</v>
      </c>
      <c r="AM218">
        <f t="shared" si="43"/>
        <v>14.595258515399999</v>
      </c>
      <c r="AP218" s="9"/>
      <c r="AQ218" s="22">
        <v>0.75256299999999998</v>
      </c>
      <c r="AR218" s="22">
        <v>191.11799999999999</v>
      </c>
      <c r="AS218" s="22">
        <v>-1.5539600000000001E-2</v>
      </c>
      <c r="AT218" s="22">
        <v>208</v>
      </c>
      <c r="AU218" s="22">
        <v>0.75164799999999998</v>
      </c>
      <c r="AV218">
        <f t="shared" si="44"/>
        <v>15.5396</v>
      </c>
      <c r="AW218">
        <f t="shared" si="45"/>
        <v>11.6945279948</v>
      </c>
      <c r="AX218" s="9"/>
      <c r="AY218" s="22">
        <v>0.94741799999999998</v>
      </c>
      <c r="AZ218" s="22">
        <v>240.501</v>
      </c>
      <c r="BA218" s="22">
        <v>-1.5389999999999999E-2</v>
      </c>
      <c r="BB218" s="22">
        <v>208</v>
      </c>
      <c r="BC218" s="22">
        <v>0.94665500000000002</v>
      </c>
      <c r="BD218">
        <f t="shared" si="46"/>
        <v>15.389999999999999</v>
      </c>
      <c r="BE218">
        <f t="shared" si="47"/>
        <v>14.580763019999999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11.091200000000001</v>
      </c>
      <c r="I219" s="22">
        <v>-1.5478499999999999E-2</v>
      </c>
      <c r="J219" s="22">
        <v>209</v>
      </c>
      <c r="K219" s="22">
        <v>0.74688699999999997</v>
      </c>
      <c r="L219">
        <f t="shared" si="36"/>
        <v>15.478499999999999</v>
      </c>
      <c r="M219">
        <f t="shared" si="37"/>
        <v>11.570612147999999</v>
      </c>
      <c r="N219" s="9"/>
      <c r="O219" s="22">
        <v>0.95245400000000002</v>
      </c>
      <c r="P219" s="22">
        <v>60.512700000000002</v>
      </c>
      <c r="Q219" s="22">
        <v>-1.53931E-2</v>
      </c>
      <c r="R219" s="22">
        <v>209</v>
      </c>
      <c r="S219" s="22">
        <v>0.951233</v>
      </c>
      <c r="T219">
        <f t="shared" si="38"/>
        <v>15.3931</v>
      </c>
      <c r="U219">
        <f t="shared" si="39"/>
        <v>14.661219667400001</v>
      </c>
      <c r="X219" s="9"/>
      <c r="Y219" s="22">
        <v>0.74752799999999997</v>
      </c>
      <c r="Z219" s="22">
        <v>110.09</v>
      </c>
      <c r="AA219" s="22">
        <v>-1.5533399999999999E-2</v>
      </c>
      <c r="AB219" s="22">
        <v>209</v>
      </c>
      <c r="AC219" s="22">
        <v>0.74688699999999997</v>
      </c>
      <c r="AD219">
        <f t="shared" si="40"/>
        <v>15.533399999999999</v>
      </c>
      <c r="AE219">
        <f t="shared" si="41"/>
        <v>11.611651435199999</v>
      </c>
      <c r="AF219" s="9"/>
      <c r="AG219" s="22">
        <v>0.95245400000000002</v>
      </c>
      <c r="AH219" s="22">
        <v>141.749</v>
      </c>
      <c r="AI219" s="22">
        <v>-1.54022E-2</v>
      </c>
      <c r="AJ219" s="22">
        <v>209</v>
      </c>
      <c r="AK219" s="22">
        <v>0.95184299999999999</v>
      </c>
      <c r="AL219">
        <f t="shared" si="42"/>
        <v>15.402199999999999</v>
      </c>
      <c r="AM219">
        <f t="shared" si="43"/>
        <v>14.669886998799999</v>
      </c>
      <c r="AP219" s="9"/>
      <c r="AQ219" s="22">
        <v>0.74752799999999997</v>
      </c>
      <c r="AR219" s="22">
        <v>191.12799999999999</v>
      </c>
      <c r="AS219" s="22">
        <v>-1.5545700000000001E-2</v>
      </c>
      <c r="AT219" s="22">
        <v>209</v>
      </c>
      <c r="AU219" s="22">
        <v>0.74685699999999999</v>
      </c>
      <c r="AV219">
        <f t="shared" si="44"/>
        <v>15.5457</v>
      </c>
      <c r="AW219">
        <f t="shared" si="45"/>
        <v>11.620846029599999</v>
      </c>
      <c r="AX219" s="9"/>
      <c r="AY219" s="22">
        <v>0.95245400000000002</v>
      </c>
      <c r="AZ219" s="22">
        <v>240.511</v>
      </c>
      <c r="BA219" s="22">
        <v>-1.5387E-2</v>
      </c>
      <c r="BB219" s="22">
        <v>209</v>
      </c>
      <c r="BC219" s="22">
        <v>0.95153799999999999</v>
      </c>
      <c r="BD219">
        <f t="shared" si="46"/>
        <v>15.387</v>
      </c>
      <c r="BE219">
        <f t="shared" si="47"/>
        <v>14.655409698000001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11.1013</v>
      </c>
      <c r="I220" s="22">
        <v>-1.5484599999999999E-2</v>
      </c>
      <c r="J220" s="22">
        <v>210</v>
      </c>
      <c r="K220" s="22">
        <v>0.74182099999999995</v>
      </c>
      <c r="L220">
        <f t="shared" si="36"/>
        <v>15.484599999999999</v>
      </c>
      <c r="M220">
        <f t="shared" si="37"/>
        <v>11.497207107799998</v>
      </c>
      <c r="N220" s="9"/>
      <c r="O220" s="22">
        <v>0.95748900000000003</v>
      </c>
      <c r="P220" s="22">
        <v>60.5227</v>
      </c>
      <c r="Q220" s="22">
        <v>-1.5383900000000001E-2</v>
      </c>
      <c r="R220" s="22">
        <v>210</v>
      </c>
      <c r="S220" s="22">
        <v>0.95642099999999997</v>
      </c>
      <c r="T220">
        <f t="shared" si="38"/>
        <v>15.383900000000001</v>
      </c>
      <c r="U220">
        <f t="shared" si="39"/>
        <v>14.729915027100001</v>
      </c>
      <c r="X220" s="9"/>
      <c r="Y220" s="22">
        <v>0.74249299999999996</v>
      </c>
      <c r="Z220" s="22">
        <v>110.1</v>
      </c>
      <c r="AA220" s="22">
        <v>-1.55304E-2</v>
      </c>
      <c r="AB220" s="22">
        <v>210</v>
      </c>
      <c r="AC220" s="22">
        <v>0.74188200000000004</v>
      </c>
      <c r="AD220">
        <f t="shared" si="40"/>
        <v>15.5304</v>
      </c>
      <c r="AE220">
        <f t="shared" si="41"/>
        <v>11.5312132872</v>
      </c>
      <c r="AF220" s="9"/>
      <c r="AG220" s="22">
        <v>0.95748900000000003</v>
      </c>
      <c r="AH220" s="22">
        <v>141.75899999999999</v>
      </c>
      <c r="AI220" s="22">
        <v>-1.53992E-2</v>
      </c>
      <c r="AJ220" s="22">
        <v>210</v>
      </c>
      <c r="AK220" s="22">
        <v>0.95642099999999997</v>
      </c>
      <c r="AL220">
        <f t="shared" si="42"/>
        <v>15.3992</v>
      </c>
      <c r="AM220">
        <f t="shared" si="43"/>
        <v>14.744564608800001</v>
      </c>
      <c r="AP220" s="9"/>
      <c r="AQ220" s="22">
        <v>0.74249299999999996</v>
      </c>
      <c r="AR220" s="22">
        <v>191.13800000000001</v>
      </c>
      <c r="AS220" s="22">
        <v>-1.5545700000000001E-2</v>
      </c>
      <c r="AT220" s="22">
        <v>210</v>
      </c>
      <c r="AU220" s="22">
        <v>0.74185199999999996</v>
      </c>
      <c r="AV220">
        <f t="shared" si="44"/>
        <v>15.5457</v>
      </c>
      <c r="AW220">
        <f t="shared" si="45"/>
        <v>11.542573430099999</v>
      </c>
      <c r="AX220" s="9"/>
      <c r="AY220" s="22">
        <v>0.95748900000000003</v>
      </c>
      <c r="AZ220" s="22">
        <v>240.52099999999999</v>
      </c>
      <c r="BA220" s="22">
        <v>-1.53778E-2</v>
      </c>
      <c r="BB220" s="22">
        <v>210</v>
      </c>
      <c r="BC220" s="22">
        <v>0.95642099999999997</v>
      </c>
      <c r="BD220">
        <f t="shared" si="46"/>
        <v>15.377800000000001</v>
      </c>
      <c r="BE220">
        <f t="shared" si="47"/>
        <v>14.724074344200002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11.1114</v>
      </c>
      <c r="I221" s="22">
        <v>-1.5484599999999999E-2</v>
      </c>
      <c r="J221" s="22">
        <v>211</v>
      </c>
      <c r="K221" s="22">
        <v>0.73684700000000003</v>
      </c>
      <c r="L221">
        <f t="shared" si="36"/>
        <v>15.484599999999999</v>
      </c>
      <c r="M221">
        <f t="shared" si="37"/>
        <v>11.4192266622</v>
      </c>
      <c r="N221" s="9"/>
      <c r="O221" s="22">
        <v>0.96252400000000005</v>
      </c>
      <c r="P221" s="22">
        <v>60.532800000000002</v>
      </c>
      <c r="Q221" s="22">
        <v>-1.5380899999999999E-2</v>
      </c>
      <c r="R221" s="22">
        <v>211</v>
      </c>
      <c r="S221" s="22">
        <v>0.96130400000000005</v>
      </c>
      <c r="T221">
        <f t="shared" si="38"/>
        <v>15.380899999999999</v>
      </c>
      <c r="U221">
        <f t="shared" si="39"/>
        <v>14.8044853916</v>
      </c>
      <c r="X221" s="9"/>
      <c r="Y221" s="22">
        <v>0.73745700000000003</v>
      </c>
      <c r="Z221" s="22">
        <v>110.11</v>
      </c>
      <c r="AA221" s="22">
        <v>-1.55304E-2</v>
      </c>
      <c r="AB221" s="22">
        <v>211</v>
      </c>
      <c r="AC221" s="22">
        <v>0.73681600000000003</v>
      </c>
      <c r="AD221">
        <f t="shared" si="40"/>
        <v>15.5304</v>
      </c>
      <c r="AE221">
        <f t="shared" si="41"/>
        <v>11.453002192800001</v>
      </c>
      <c r="AF221" s="9"/>
      <c r="AG221" s="22">
        <v>0.96252400000000005</v>
      </c>
      <c r="AH221" s="22">
        <v>141.76900000000001</v>
      </c>
      <c r="AI221" s="22">
        <v>-1.54022E-2</v>
      </c>
      <c r="AJ221" s="22">
        <v>211</v>
      </c>
      <c r="AK221" s="22">
        <v>0.96130400000000005</v>
      </c>
      <c r="AL221">
        <f t="shared" si="42"/>
        <v>15.402199999999999</v>
      </c>
      <c r="AM221">
        <f t="shared" si="43"/>
        <v>14.8249871528</v>
      </c>
      <c r="AP221" s="9"/>
      <c r="AQ221" s="22">
        <v>0.73745700000000003</v>
      </c>
      <c r="AR221" s="22">
        <v>191.148</v>
      </c>
      <c r="AS221" s="22">
        <v>-1.5545700000000001E-2</v>
      </c>
      <c r="AT221" s="22">
        <v>211</v>
      </c>
      <c r="AU221" s="22">
        <v>0.73681600000000003</v>
      </c>
      <c r="AV221">
        <f t="shared" si="44"/>
        <v>15.5457</v>
      </c>
      <c r="AW221">
        <f t="shared" si="45"/>
        <v>11.464285284900001</v>
      </c>
      <c r="AX221" s="9"/>
      <c r="AY221" s="22">
        <v>0.96252400000000005</v>
      </c>
      <c r="AZ221" s="22">
        <v>240.53100000000001</v>
      </c>
      <c r="BA221" s="22">
        <v>-1.5368700000000001E-2</v>
      </c>
      <c r="BB221" s="22">
        <v>211</v>
      </c>
      <c r="BC221" s="22">
        <v>0.96099900000000005</v>
      </c>
      <c r="BD221">
        <f t="shared" si="46"/>
        <v>15.3687</v>
      </c>
      <c r="BE221">
        <f t="shared" si="47"/>
        <v>14.7927425988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11.1214</v>
      </c>
      <c r="I222" s="22">
        <v>-1.54938E-2</v>
      </c>
      <c r="J222" s="22">
        <v>212</v>
      </c>
      <c r="K222" s="22">
        <v>0.73172000000000004</v>
      </c>
      <c r="L222">
        <f t="shared" si="36"/>
        <v>15.4938</v>
      </c>
      <c r="M222">
        <f t="shared" si="37"/>
        <v>11.347999983600001</v>
      </c>
      <c r="N222" s="9"/>
      <c r="O222" s="22">
        <v>0.96755999999999998</v>
      </c>
      <c r="P222" s="22">
        <v>60.542900000000003</v>
      </c>
      <c r="Q222" s="22">
        <v>-1.53717E-2</v>
      </c>
      <c r="R222" s="22">
        <v>212</v>
      </c>
      <c r="S222" s="22">
        <v>0.96618700000000002</v>
      </c>
      <c r="T222">
        <f t="shared" si="38"/>
        <v>15.371700000000001</v>
      </c>
      <c r="U222">
        <f t="shared" si="39"/>
        <v>14.873042052000001</v>
      </c>
      <c r="X222" s="9"/>
      <c r="Y222" s="22">
        <v>0.73242200000000002</v>
      </c>
      <c r="Z222" s="22">
        <v>110.12</v>
      </c>
      <c r="AA222" s="22">
        <v>-1.55365E-2</v>
      </c>
      <c r="AB222" s="22">
        <v>212</v>
      </c>
      <c r="AC222" s="22">
        <v>0.73181200000000002</v>
      </c>
      <c r="AD222">
        <f t="shared" si="40"/>
        <v>15.5365</v>
      </c>
      <c r="AE222">
        <f t="shared" si="41"/>
        <v>11.379274403</v>
      </c>
      <c r="AF222" s="9"/>
      <c r="AG222" s="22">
        <v>0.96755999999999998</v>
      </c>
      <c r="AH222" s="22">
        <v>141.779</v>
      </c>
      <c r="AI222" s="22">
        <v>-1.5396099999999999E-2</v>
      </c>
      <c r="AJ222" s="22">
        <v>212</v>
      </c>
      <c r="AK222" s="22">
        <v>0.96618700000000002</v>
      </c>
      <c r="AL222">
        <f t="shared" si="42"/>
        <v>15.396099999999999</v>
      </c>
      <c r="AM222">
        <f t="shared" si="43"/>
        <v>14.896650515999998</v>
      </c>
      <c r="AP222" s="9"/>
      <c r="AQ222" s="22">
        <v>0.73242200000000002</v>
      </c>
      <c r="AR222" s="22">
        <v>191.15799999999999</v>
      </c>
      <c r="AS222" s="22">
        <v>-1.55426E-2</v>
      </c>
      <c r="AT222" s="22">
        <v>212</v>
      </c>
      <c r="AU222" s="22">
        <v>0.73172000000000004</v>
      </c>
      <c r="AV222">
        <f t="shared" si="44"/>
        <v>15.5426</v>
      </c>
      <c r="AW222">
        <f t="shared" si="45"/>
        <v>11.3837421772</v>
      </c>
      <c r="AX222" s="9"/>
      <c r="AY222" s="22">
        <v>0.96755999999999998</v>
      </c>
      <c r="AZ222" s="22">
        <v>240.541</v>
      </c>
      <c r="BA222" s="22">
        <v>-1.5356399999999999E-2</v>
      </c>
      <c r="BB222" s="22">
        <v>212</v>
      </c>
      <c r="BC222" s="22">
        <v>0.96679700000000002</v>
      </c>
      <c r="BD222">
        <f t="shared" si="46"/>
        <v>15.356399999999999</v>
      </c>
      <c r="BE222">
        <f t="shared" si="47"/>
        <v>14.858238383999998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11.131500000000001</v>
      </c>
      <c r="I223" s="22">
        <v>-1.55029E-2</v>
      </c>
      <c r="J223" s="22">
        <v>213</v>
      </c>
      <c r="K223" s="22">
        <v>0.72677599999999998</v>
      </c>
      <c r="L223">
        <f t="shared" si="36"/>
        <v>15.5029</v>
      </c>
      <c r="M223">
        <f t="shared" si="37"/>
        <v>11.2765924194</v>
      </c>
      <c r="N223" s="9"/>
      <c r="O223" s="22">
        <v>0.97259499999999999</v>
      </c>
      <c r="P223" s="22">
        <v>60.552900000000001</v>
      </c>
      <c r="Q223" s="22">
        <v>-1.5362499999999999E-2</v>
      </c>
      <c r="R223" s="22">
        <v>213</v>
      </c>
      <c r="S223" s="22">
        <v>0.97167999999999999</v>
      </c>
      <c r="T223">
        <f t="shared" si="38"/>
        <v>15.362499999999999</v>
      </c>
      <c r="U223">
        <f t="shared" si="39"/>
        <v>14.941490687499998</v>
      </c>
      <c r="X223" s="9"/>
      <c r="Y223" s="22">
        <v>0.72738599999999998</v>
      </c>
      <c r="Z223" s="22">
        <v>110.13</v>
      </c>
      <c r="AA223" s="22">
        <v>-1.5545700000000001E-2</v>
      </c>
      <c r="AB223" s="22">
        <v>213</v>
      </c>
      <c r="AC223" s="22">
        <v>0.726715</v>
      </c>
      <c r="AD223">
        <f t="shared" si="40"/>
        <v>15.5457</v>
      </c>
      <c r="AE223">
        <f t="shared" si="41"/>
        <v>11.307724540199999</v>
      </c>
      <c r="AF223" s="9"/>
      <c r="AG223" s="22">
        <v>0.97259499999999999</v>
      </c>
      <c r="AH223" s="22">
        <v>141.78899999999999</v>
      </c>
      <c r="AI223" s="22">
        <v>-1.53931E-2</v>
      </c>
      <c r="AJ223" s="22">
        <v>213</v>
      </c>
      <c r="AK223" s="22">
        <v>0.97137499999999999</v>
      </c>
      <c r="AL223">
        <f t="shared" si="42"/>
        <v>15.3931</v>
      </c>
      <c r="AM223">
        <f t="shared" si="43"/>
        <v>14.9712520945</v>
      </c>
      <c r="AP223" s="9"/>
      <c r="AQ223" s="22">
        <v>0.72738599999999998</v>
      </c>
      <c r="AR223" s="22">
        <v>191.16800000000001</v>
      </c>
      <c r="AS223" s="22">
        <v>-1.5545700000000001E-2</v>
      </c>
      <c r="AT223" s="22">
        <v>213</v>
      </c>
      <c r="AU223" s="22">
        <v>0.72677599999999998</v>
      </c>
      <c r="AV223">
        <f t="shared" si="44"/>
        <v>15.5457</v>
      </c>
      <c r="AW223">
        <f t="shared" si="45"/>
        <v>11.307724540199999</v>
      </c>
      <c r="AX223" s="9"/>
      <c r="AY223" s="22">
        <v>0.97259499999999999</v>
      </c>
      <c r="AZ223" s="22">
        <v>240.55099999999999</v>
      </c>
      <c r="BA223" s="22">
        <v>-1.5347299999999999E-2</v>
      </c>
      <c r="BB223" s="22">
        <v>213</v>
      </c>
      <c r="BC223" s="22">
        <v>0.97198499999999999</v>
      </c>
      <c r="BD223">
        <f t="shared" si="46"/>
        <v>15.347299999999999</v>
      </c>
      <c r="BE223">
        <f t="shared" si="47"/>
        <v>14.926707243499999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11.1416</v>
      </c>
      <c r="I224" s="22">
        <v>-1.5506000000000001E-2</v>
      </c>
      <c r="J224" s="22">
        <v>214</v>
      </c>
      <c r="K224" s="22">
        <v>0.72180200000000005</v>
      </c>
      <c r="L224">
        <f t="shared" si="36"/>
        <v>15.506</v>
      </c>
      <c r="M224">
        <f t="shared" si="37"/>
        <v>11.200774606</v>
      </c>
      <c r="N224" s="9"/>
      <c r="O224" s="22">
        <v>0.97763100000000003</v>
      </c>
      <c r="P224" s="22">
        <v>60.563000000000002</v>
      </c>
      <c r="Q224" s="22">
        <v>-1.5350300000000001E-2</v>
      </c>
      <c r="R224" s="22">
        <v>214</v>
      </c>
      <c r="S224" s="22">
        <v>0.97625700000000004</v>
      </c>
      <c r="T224">
        <f t="shared" si="38"/>
        <v>15.350300000000001</v>
      </c>
      <c r="U224">
        <f t="shared" si="39"/>
        <v>15.0069291393</v>
      </c>
      <c r="X224" s="9"/>
      <c r="Y224" s="22">
        <v>0.72235099999999997</v>
      </c>
      <c r="Z224" s="22">
        <v>110.14</v>
      </c>
      <c r="AA224" s="22">
        <v>-1.5545700000000001E-2</v>
      </c>
      <c r="AB224" s="22">
        <v>214</v>
      </c>
      <c r="AC224" s="22">
        <v>0.72170999999999996</v>
      </c>
      <c r="AD224">
        <f t="shared" si="40"/>
        <v>15.5457</v>
      </c>
      <c r="AE224">
        <f t="shared" si="41"/>
        <v>11.229451940699999</v>
      </c>
      <c r="AF224" s="9"/>
      <c r="AG224" s="22">
        <v>0.97763100000000003</v>
      </c>
      <c r="AH224" s="22">
        <v>141.80000000000001</v>
      </c>
      <c r="AI224" s="22">
        <v>-1.5389999999999999E-2</v>
      </c>
      <c r="AJ224" s="22">
        <v>214</v>
      </c>
      <c r="AK224" s="22">
        <v>0.97717299999999996</v>
      </c>
      <c r="AL224">
        <f t="shared" si="42"/>
        <v>15.389999999999999</v>
      </c>
      <c r="AM224">
        <f t="shared" si="43"/>
        <v>15.04574109</v>
      </c>
      <c r="AP224" s="9"/>
      <c r="AQ224" s="22">
        <v>0.72235099999999997</v>
      </c>
      <c r="AR224" s="22">
        <v>191.178</v>
      </c>
      <c r="AS224" s="22">
        <v>-1.5545700000000001E-2</v>
      </c>
      <c r="AT224" s="22">
        <v>214</v>
      </c>
      <c r="AU224" s="22">
        <v>0.72174099999999997</v>
      </c>
      <c r="AV224">
        <f t="shared" si="44"/>
        <v>15.5457</v>
      </c>
      <c r="AW224">
        <f t="shared" si="45"/>
        <v>11.229451940699999</v>
      </c>
      <c r="AX224" s="9"/>
      <c r="AY224" s="22">
        <v>0.97763100000000003</v>
      </c>
      <c r="AZ224" s="22">
        <v>240.56100000000001</v>
      </c>
      <c r="BA224" s="22">
        <v>-1.5347299999999999E-2</v>
      </c>
      <c r="BB224" s="22">
        <v>214</v>
      </c>
      <c r="BC224" s="22">
        <v>0.97656299999999996</v>
      </c>
      <c r="BD224">
        <f t="shared" si="46"/>
        <v>15.347299999999999</v>
      </c>
      <c r="BE224">
        <f t="shared" si="47"/>
        <v>15.0039962463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11.1517</v>
      </c>
      <c r="I225" s="22">
        <v>-1.5509E-2</v>
      </c>
      <c r="J225" s="22">
        <v>215</v>
      </c>
      <c r="K225" s="22">
        <v>0.71667499999999995</v>
      </c>
      <c r="L225">
        <f t="shared" si="36"/>
        <v>15.509</v>
      </c>
      <c r="M225">
        <f t="shared" si="37"/>
        <v>11.124853843999999</v>
      </c>
      <c r="N225" s="9"/>
      <c r="O225" s="22">
        <v>0.98266600000000004</v>
      </c>
      <c r="P225" s="22">
        <v>60.573099999999997</v>
      </c>
      <c r="Q225" s="22">
        <v>-1.5341199999999999E-2</v>
      </c>
      <c r="R225" s="22">
        <v>215</v>
      </c>
      <c r="S225" s="22">
        <v>0.98175000000000001</v>
      </c>
      <c r="T225">
        <f t="shared" si="38"/>
        <v>15.341199999999999</v>
      </c>
      <c r="U225">
        <f t="shared" si="39"/>
        <v>15.075275639199999</v>
      </c>
      <c r="X225" s="9"/>
      <c r="Y225" s="22">
        <v>0.71731599999999995</v>
      </c>
      <c r="Z225" s="22">
        <v>110.15</v>
      </c>
      <c r="AA225" s="22">
        <v>-1.5545700000000001E-2</v>
      </c>
      <c r="AB225" s="22">
        <v>215</v>
      </c>
      <c r="AC225" s="22">
        <v>0.71676600000000001</v>
      </c>
      <c r="AD225">
        <f t="shared" si="40"/>
        <v>15.5457</v>
      </c>
      <c r="AE225">
        <f t="shared" si="41"/>
        <v>11.151179341199999</v>
      </c>
      <c r="AF225" s="9"/>
      <c r="AG225" s="22">
        <v>0.98266600000000004</v>
      </c>
      <c r="AH225" s="22">
        <v>141.81</v>
      </c>
      <c r="AI225" s="22">
        <v>-1.5380899999999999E-2</v>
      </c>
      <c r="AJ225" s="22">
        <v>215</v>
      </c>
      <c r="AK225" s="22">
        <v>0.98205600000000004</v>
      </c>
      <c r="AL225">
        <f t="shared" si="42"/>
        <v>15.380899999999999</v>
      </c>
      <c r="AM225">
        <f t="shared" si="43"/>
        <v>15.1142874794</v>
      </c>
      <c r="AP225" s="9"/>
      <c r="AQ225" s="22">
        <v>0.71731599999999995</v>
      </c>
      <c r="AR225" s="22">
        <v>191.18799999999999</v>
      </c>
      <c r="AS225" s="22">
        <v>-1.5545700000000001E-2</v>
      </c>
      <c r="AT225" s="22">
        <v>215</v>
      </c>
      <c r="AU225" s="22">
        <v>0.71679700000000002</v>
      </c>
      <c r="AV225">
        <f t="shared" si="44"/>
        <v>15.5457</v>
      </c>
      <c r="AW225">
        <f t="shared" si="45"/>
        <v>11.151179341199999</v>
      </c>
      <c r="AX225" s="9"/>
      <c r="AY225" s="22">
        <v>0.98266600000000004</v>
      </c>
      <c r="AZ225" s="22">
        <v>240.571</v>
      </c>
      <c r="BA225" s="22">
        <v>-1.5335100000000001E-2</v>
      </c>
      <c r="BB225" s="22">
        <v>215</v>
      </c>
      <c r="BC225" s="22">
        <v>0.98205600000000004</v>
      </c>
      <c r="BD225">
        <f t="shared" si="46"/>
        <v>15.335100000000001</v>
      </c>
      <c r="BE225">
        <f t="shared" si="47"/>
        <v>15.069281376600001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11.1617</v>
      </c>
      <c r="I226" s="22">
        <v>-1.5512099999999999E-2</v>
      </c>
      <c r="J226" s="22">
        <v>216</v>
      </c>
      <c r="K226" s="22">
        <v>0.71163900000000002</v>
      </c>
      <c r="L226">
        <f t="shared" si="36"/>
        <v>15.512099999999998</v>
      </c>
      <c r="M226">
        <f t="shared" si="37"/>
        <v>11.048958588</v>
      </c>
      <c r="N226" s="9"/>
      <c r="O226" s="22">
        <v>0.98770100000000005</v>
      </c>
      <c r="P226" s="22">
        <v>60.583199999999998</v>
      </c>
      <c r="Q226" s="22">
        <v>-1.53381E-2</v>
      </c>
      <c r="R226" s="22">
        <v>216</v>
      </c>
      <c r="S226" s="22">
        <v>0.98663299999999998</v>
      </c>
      <c r="T226">
        <f t="shared" si="38"/>
        <v>15.338100000000001</v>
      </c>
      <c r="U226">
        <f t="shared" si="39"/>
        <v>15.149456708100001</v>
      </c>
      <c r="X226" s="9"/>
      <c r="Y226" s="22">
        <v>0.71228000000000002</v>
      </c>
      <c r="Z226" s="22">
        <v>110.161</v>
      </c>
      <c r="AA226" s="22">
        <v>-1.55487E-2</v>
      </c>
      <c r="AB226" s="22">
        <v>216</v>
      </c>
      <c r="AC226" s="22">
        <v>0.71167000000000002</v>
      </c>
      <c r="AD226">
        <f t="shared" si="40"/>
        <v>15.5487</v>
      </c>
      <c r="AE226">
        <f t="shared" si="41"/>
        <v>11.075028036000001</v>
      </c>
      <c r="AF226" s="9"/>
      <c r="AG226" s="22">
        <v>0.98770100000000005</v>
      </c>
      <c r="AH226" s="22">
        <v>141.82</v>
      </c>
      <c r="AI226" s="22">
        <v>-1.5374799999999999E-2</v>
      </c>
      <c r="AJ226" s="22">
        <v>216</v>
      </c>
      <c r="AK226" s="22">
        <v>0.98693799999999998</v>
      </c>
      <c r="AL226">
        <f t="shared" si="42"/>
        <v>15.374799999999999</v>
      </c>
      <c r="AM226">
        <f t="shared" si="43"/>
        <v>15.1857053348</v>
      </c>
      <c r="AP226" s="9"/>
      <c r="AQ226" s="22">
        <v>0.71228000000000002</v>
      </c>
      <c r="AR226" s="22">
        <v>191.19800000000001</v>
      </c>
      <c r="AS226" s="22">
        <v>-1.5551799999999999E-2</v>
      </c>
      <c r="AT226" s="22">
        <v>216</v>
      </c>
      <c r="AU226" s="22">
        <v>0.711731</v>
      </c>
      <c r="AV226">
        <f t="shared" si="44"/>
        <v>15.5518</v>
      </c>
      <c r="AW226">
        <f t="shared" si="45"/>
        <v>11.077236104000001</v>
      </c>
      <c r="AX226" s="9"/>
      <c r="AY226" s="22">
        <v>0.98770100000000005</v>
      </c>
      <c r="AZ226" s="22">
        <v>240.58199999999999</v>
      </c>
      <c r="BA226" s="22">
        <v>-1.5329000000000001E-2</v>
      </c>
      <c r="BB226" s="22">
        <v>216</v>
      </c>
      <c r="BC226" s="22">
        <v>0.98632799999999998</v>
      </c>
      <c r="BD226">
        <f t="shared" si="46"/>
        <v>15.329000000000001</v>
      </c>
      <c r="BE226">
        <f t="shared" si="47"/>
        <v>15.140468629000001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11.171799999999999</v>
      </c>
      <c r="I227" s="22">
        <v>-1.5521200000000001E-2</v>
      </c>
      <c r="J227" s="22">
        <v>217</v>
      </c>
      <c r="K227" s="22">
        <v>0.70666499999999999</v>
      </c>
      <c r="L227">
        <f t="shared" si="36"/>
        <v>15.5212</v>
      </c>
      <c r="M227">
        <f t="shared" si="37"/>
        <v>10.977291094</v>
      </c>
      <c r="N227" s="9"/>
      <c r="O227" s="22">
        <v>0.99273699999999998</v>
      </c>
      <c r="P227" s="22">
        <v>60.593200000000003</v>
      </c>
      <c r="Q227" s="22">
        <v>-1.5341199999999999E-2</v>
      </c>
      <c r="R227" s="22">
        <v>217</v>
      </c>
      <c r="S227" s="22">
        <v>0.99182099999999995</v>
      </c>
      <c r="T227">
        <f t="shared" si="38"/>
        <v>15.341199999999999</v>
      </c>
      <c r="U227">
        <f t="shared" si="39"/>
        <v>15.229776864399998</v>
      </c>
      <c r="X227" s="9"/>
      <c r="Y227" s="22">
        <v>0.70724500000000001</v>
      </c>
      <c r="Z227" s="22">
        <v>110.17100000000001</v>
      </c>
      <c r="AA227" s="22">
        <v>-1.5545700000000001E-2</v>
      </c>
      <c r="AB227" s="22">
        <v>217</v>
      </c>
      <c r="AC227" s="22">
        <v>0.70663500000000001</v>
      </c>
      <c r="AD227">
        <f t="shared" si="40"/>
        <v>15.5457</v>
      </c>
      <c r="AE227">
        <f t="shared" si="41"/>
        <v>10.994618596500001</v>
      </c>
      <c r="AF227" s="9"/>
      <c r="AG227" s="22">
        <v>0.99273699999999998</v>
      </c>
      <c r="AH227" s="22">
        <v>141.83000000000001</v>
      </c>
      <c r="AI227" s="22">
        <v>-1.5368700000000001E-2</v>
      </c>
      <c r="AJ227" s="22">
        <v>217</v>
      </c>
      <c r="AK227" s="22">
        <v>0.99212599999999995</v>
      </c>
      <c r="AL227">
        <f t="shared" si="42"/>
        <v>15.3687</v>
      </c>
      <c r="AM227">
        <f t="shared" si="43"/>
        <v>15.257077131900001</v>
      </c>
      <c r="AP227" s="9"/>
      <c r="AQ227" s="22">
        <v>0.70724500000000001</v>
      </c>
      <c r="AR227" s="22">
        <v>191.208</v>
      </c>
      <c r="AS227" s="22">
        <v>-1.5554800000000001E-2</v>
      </c>
      <c r="AT227" s="22">
        <v>217</v>
      </c>
      <c r="AU227" s="22">
        <v>0.70666499999999999</v>
      </c>
      <c r="AV227">
        <f t="shared" si="44"/>
        <v>15.5548</v>
      </c>
      <c r="AW227">
        <f t="shared" si="45"/>
        <v>11.001054526000001</v>
      </c>
      <c r="AX227" s="9"/>
      <c r="AY227" s="22">
        <v>0.99273699999999998</v>
      </c>
      <c r="AZ227" s="22">
        <v>240.59200000000001</v>
      </c>
      <c r="BA227" s="22">
        <v>-1.5332E-2</v>
      </c>
      <c r="BB227" s="22">
        <v>217</v>
      </c>
      <c r="BC227" s="22">
        <v>0.99151599999999995</v>
      </c>
      <c r="BD227">
        <f t="shared" si="46"/>
        <v>15.332000000000001</v>
      </c>
      <c r="BE227">
        <f t="shared" si="47"/>
        <v>15.220643684000001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11.181900000000001</v>
      </c>
      <c r="I228" s="22">
        <v>-1.55243E-2</v>
      </c>
      <c r="J228" s="22">
        <v>218</v>
      </c>
      <c r="K228" s="22">
        <v>0.70153799999999999</v>
      </c>
      <c r="L228">
        <f t="shared" si="36"/>
        <v>15.5243</v>
      </c>
      <c r="M228">
        <f t="shared" si="37"/>
        <v>10.901303178699999</v>
      </c>
      <c r="N228" s="9"/>
      <c r="O228" s="22">
        <v>0.99777199999999999</v>
      </c>
      <c r="P228" s="22">
        <v>60.603299999999997</v>
      </c>
      <c r="Q228" s="22">
        <v>-1.5335100000000001E-2</v>
      </c>
      <c r="R228" s="22">
        <v>218</v>
      </c>
      <c r="S228" s="22">
        <v>0.99670400000000003</v>
      </c>
      <c r="T228">
        <f t="shared" si="38"/>
        <v>15.335100000000001</v>
      </c>
      <c r="U228">
        <f t="shared" si="39"/>
        <v>15.3009333972</v>
      </c>
      <c r="X228" s="9"/>
      <c r="Y228" s="22">
        <v>0.70220899999999997</v>
      </c>
      <c r="Z228" s="22">
        <v>110.181</v>
      </c>
      <c r="AA228" s="22">
        <v>-1.5545700000000001E-2</v>
      </c>
      <c r="AB228" s="22">
        <v>218</v>
      </c>
      <c r="AC228" s="22">
        <v>0.70162999999999998</v>
      </c>
      <c r="AD228">
        <f t="shared" si="40"/>
        <v>15.5457</v>
      </c>
      <c r="AE228">
        <f t="shared" si="41"/>
        <v>10.9163304513</v>
      </c>
      <c r="AF228" s="9"/>
      <c r="AG228" s="22">
        <v>0.99777199999999999</v>
      </c>
      <c r="AH228" s="22">
        <v>141.84</v>
      </c>
      <c r="AI228" s="22">
        <v>-1.5362499999999999E-2</v>
      </c>
      <c r="AJ228" s="22">
        <v>218</v>
      </c>
      <c r="AK228" s="22">
        <v>0.99639900000000003</v>
      </c>
      <c r="AL228">
        <f t="shared" si="42"/>
        <v>15.362499999999999</v>
      </c>
      <c r="AM228">
        <f t="shared" si="43"/>
        <v>15.328272349999999</v>
      </c>
      <c r="AP228" s="9"/>
      <c r="AQ228" s="22">
        <v>0.70220899999999997</v>
      </c>
      <c r="AR228" s="22">
        <v>191.21799999999999</v>
      </c>
      <c r="AS228" s="22">
        <v>-1.5554800000000001E-2</v>
      </c>
      <c r="AT228" s="22">
        <v>218</v>
      </c>
      <c r="AU228" s="22">
        <v>0.70162999999999998</v>
      </c>
      <c r="AV228">
        <f t="shared" si="44"/>
        <v>15.5548</v>
      </c>
      <c r="AW228">
        <f t="shared" si="45"/>
        <v>10.9227205532</v>
      </c>
      <c r="AX228" s="9"/>
      <c r="AY228" s="22">
        <v>0.99777199999999999</v>
      </c>
      <c r="AZ228" s="22">
        <v>240.602</v>
      </c>
      <c r="BA228" s="22">
        <v>-1.5329000000000001E-2</v>
      </c>
      <c r="BB228" s="22">
        <v>218</v>
      </c>
      <c r="BC228" s="22">
        <v>0.99761999999999995</v>
      </c>
      <c r="BD228">
        <f t="shared" si="46"/>
        <v>15.329000000000001</v>
      </c>
      <c r="BE228">
        <f t="shared" si="47"/>
        <v>15.294846988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11.1919</v>
      </c>
      <c r="I229" s="22">
        <v>-1.55365E-2</v>
      </c>
      <c r="J229" s="22">
        <v>219</v>
      </c>
      <c r="K229" s="22">
        <v>0.69653299999999996</v>
      </c>
      <c r="L229">
        <f t="shared" si="36"/>
        <v>15.5365</v>
      </c>
      <c r="M229">
        <f t="shared" si="37"/>
        <v>10.831643850999999</v>
      </c>
      <c r="N229" s="9"/>
      <c r="O229" s="22">
        <v>1.00281</v>
      </c>
      <c r="P229" s="22">
        <v>60.613399999999999</v>
      </c>
      <c r="Q229" s="22">
        <v>-1.5329000000000001E-2</v>
      </c>
      <c r="R229" s="22">
        <v>219</v>
      </c>
      <c r="S229" s="22">
        <v>1.0018899999999999</v>
      </c>
      <c r="T229">
        <f t="shared" si="38"/>
        <v>15.329000000000001</v>
      </c>
      <c r="U229">
        <f t="shared" si="39"/>
        <v>15.372074490000001</v>
      </c>
      <c r="X229" s="9"/>
      <c r="Y229" s="22">
        <v>0.69717399999999996</v>
      </c>
      <c r="Z229" s="22">
        <v>110.191</v>
      </c>
      <c r="AA229" s="22">
        <v>-1.55487E-2</v>
      </c>
      <c r="AB229" s="22">
        <v>219</v>
      </c>
      <c r="AC229" s="22">
        <v>0.69650299999999998</v>
      </c>
      <c r="AD229">
        <f t="shared" si="40"/>
        <v>15.5487</v>
      </c>
      <c r="AE229">
        <f t="shared" si="41"/>
        <v>10.840149373799999</v>
      </c>
      <c r="AF229" s="9"/>
      <c r="AG229" s="22">
        <v>1.00281</v>
      </c>
      <c r="AH229" s="22">
        <v>141.85</v>
      </c>
      <c r="AI229" s="22">
        <v>-1.5356399999999999E-2</v>
      </c>
      <c r="AJ229" s="22">
        <v>219</v>
      </c>
      <c r="AK229" s="22">
        <v>1.0012799999999999</v>
      </c>
      <c r="AL229">
        <f t="shared" si="42"/>
        <v>15.356399999999999</v>
      </c>
      <c r="AM229">
        <f t="shared" si="43"/>
        <v>15.399551483999998</v>
      </c>
      <c r="AP229" s="9"/>
      <c r="AQ229" s="22">
        <v>0.69717399999999996</v>
      </c>
      <c r="AR229" s="22">
        <v>191.22800000000001</v>
      </c>
      <c r="AS229" s="22">
        <v>-1.5554800000000001E-2</v>
      </c>
      <c r="AT229" s="22">
        <v>219</v>
      </c>
      <c r="AU229" s="22">
        <v>0.69656399999999996</v>
      </c>
      <c r="AV229">
        <f t="shared" si="44"/>
        <v>15.5548</v>
      </c>
      <c r="AW229">
        <f t="shared" si="45"/>
        <v>10.844402135199999</v>
      </c>
      <c r="AX229" s="9"/>
      <c r="AY229" s="22">
        <v>1.00281</v>
      </c>
      <c r="AZ229" s="22">
        <v>240.61199999999999</v>
      </c>
      <c r="BA229" s="22">
        <v>-1.53229E-2</v>
      </c>
      <c r="BB229" s="22">
        <v>219</v>
      </c>
      <c r="BC229" s="22">
        <v>1.0018899999999999</v>
      </c>
      <c r="BD229">
        <f t="shared" si="46"/>
        <v>15.322900000000001</v>
      </c>
      <c r="BE229">
        <f t="shared" si="47"/>
        <v>15.365957349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11.202</v>
      </c>
      <c r="I230" s="22">
        <v>-1.55426E-2</v>
      </c>
      <c r="J230" s="22">
        <v>220</v>
      </c>
      <c r="K230" s="22">
        <v>0.69155900000000003</v>
      </c>
      <c r="L230">
        <f t="shared" si="36"/>
        <v>15.5426</v>
      </c>
      <c r="M230">
        <f t="shared" si="37"/>
        <v>10.757639621399999</v>
      </c>
      <c r="N230" s="9"/>
      <c r="O230" s="22">
        <v>1.0078400000000001</v>
      </c>
      <c r="P230" s="22">
        <v>60.623399999999997</v>
      </c>
      <c r="Q230" s="22">
        <v>-1.53259E-2</v>
      </c>
      <c r="R230" s="22">
        <v>220</v>
      </c>
      <c r="S230" s="22">
        <v>1.00708</v>
      </c>
      <c r="T230">
        <f t="shared" si="38"/>
        <v>15.325900000000001</v>
      </c>
      <c r="U230">
        <f t="shared" si="39"/>
        <v>15.446055056000002</v>
      </c>
      <c r="X230" s="9"/>
      <c r="Y230" s="22">
        <v>0.69213899999999995</v>
      </c>
      <c r="Z230" s="22">
        <v>110.20099999999999</v>
      </c>
      <c r="AA230" s="22">
        <v>-1.5551799999999999E-2</v>
      </c>
      <c r="AB230" s="22">
        <v>220</v>
      </c>
      <c r="AC230" s="22">
        <v>0.69149799999999995</v>
      </c>
      <c r="AD230">
        <f t="shared" si="40"/>
        <v>15.5518</v>
      </c>
      <c r="AE230">
        <f t="shared" si="41"/>
        <v>10.764007300199999</v>
      </c>
      <c r="AF230" s="9"/>
      <c r="AG230" s="22">
        <v>1.0078400000000001</v>
      </c>
      <c r="AH230" s="22">
        <v>141.86000000000001</v>
      </c>
      <c r="AI230" s="22">
        <v>-1.5350300000000001E-2</v>
      </c>
      <c r="AJ230" s="22">
        <v>220</v>
      </c>
      <c r="AK230" s="22">
        <v>1.0067699999999999</v>
      </c>
      <c r="AL230">
        <f t="shared" si="42"/>
        <v>15.350300000000001</v>
      </c>
      <c r="AM230">
        <f t="shared" si="43"/>
        <v>15.470646352000001</v>
      </c>
      <c r="AP230" s="9"/>
      <c r="AQ230" s="22">
        <v>0.69213899999999995</v>
      </c>
      <c r="AR230" s="22">
        <v>191.238</v>
      </c>
      <c r="AS230" s="22">
        <v>-1.5551799999999999E-2</v>
      </c>
      <c r="AT230" s="22">
        <v>220</v>
      </c>
      <c r="AU230" s="22">
        <v>0.69137599999999999</v>
      </c>
      <c r="AV230">
        <f t="shared" si="44"/>
        <v>15.5518</v>
      </c>
      <c r="AW230">
        <f t="shared" si="45"/>
        <v>10.764007300199999</v>
      </c>
      <c r="AX230" s="9"/>
      <c r="AY230" s="22">
        <v>1.0078400000000001</v>
      </c>
      <c r="AZ230" s="22">
        <v>240.62200000000001</v>
      </c>
      <c r="BA230" s="22">
        <v>-1.53229E-2</v>
      </c>
      <c r="BB230" s="22">
        <v>220</v>
      </c>
      <c r="BC230" s="22">
        <v>1.00708</v>
      </c>
      <c r="BD230">
        <f t="shared" si="46"/>
        <v>15.322900000000001</v>
      </c>
      <c r="BE230">
        <f t="shared" si="47"/>
        <v>15.443031536000001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11.2121</v>
      </c>
      <c r="I231" s="22">
        <v>-1.55426E-2</v>
      </c>
      <c r="J231" s="22">
        <v>221</v>
      </c>
      <c r="K231" s="22">
        <v>0.68643200000000004</v>
      </c>
      <c r="L231">
        <f t="shared" si="36"/>
        <v>15.5426</v>
      </c>
      <c r="M231">
        <f t="shared" si="37"/>
        <v>10.679367087800001</v>
      </c>
      <c r="N231" s="9"/>
      <c r="O231" s="22">
        <v>1.01288</v>
      </c>
      <c r="P231" s="22">
        <v>60.633499999999998</v>
      </c>
      <c r="Q231" s="22">
        <v>-1.53229E-2</v>
      </c>
      <c r="R231" s="22">
        <v>221</v>
      </c>
      <c r="S231" s="22">
        <v>1.01166</v>
      </c>
      <c r="T231">
        <f t="shared" si="38"/>
        <v>15.322900000000001</v>
      </c>
      <c r="U231">
        <f t="shared" si="39"/>
        <v>15.520258952000001</v>
      </c>
      <c r="X231" s="9"/>
      <c r="Y231" s="22">
        <v>0.68710300000000002</v>
      </c>
      <c r="Z231" s="22">
        <v>110.211</v>
      </c>
      <c r="AA231" s="22">
        <v>-1.55487E-2</v>
      </c>
      <c r="AB231" s="22">
        <v>221</v>
      </c>
      <c r="AC231" s="22">
        <v>0.68649300000000002</v>
      </c>
      <c r="AD231">
        <f t="shared" si="40"/>
        <v>15.5487</v>
      </c>
      <c r="AE231">
        <f t="shared" si="41"/>
        <v>10.6835584161</v>
      </c>
      <c r="AF231" s="9"/>
      <c r="AG231" s="22">
        <v>1.01288</v>
      </c>
      <c r="AH231" s="22">
        <v>141.87</v>
      </c>
      <c r="AI231" s="22">
        <v>-1.5344200000000001E-2</v>
      </c>
      <c r="AJ231" s="22">
        <v>221</v>
      </c>
      <c r="AK231" s="22">
        <v>1.01166</v>
      </c>
      <c r="AL231">
        <f t="shared" si="42"/>
        <v>15.344200000000001</v>
      </c>
      <c r="AM231">
        <f t="shared" si="43"/>
        <v>15.541833296</v>
      </c>
      <c r="AP231" s="9"/>
      <c r="AQ231" s="22">
        <v>0.68710300000000002</v>
      </c>
      <c r="AR231" s="22">
        <v>191.24799999999999</v>
      </c>
      <c r="AS231" s="22">
        <v>-1.5554800000000001E-2</v>
      </c>
      <c r="AT231" s="22">
        <v>221</v>
      </c>
      <c r="AU231" s="22">
        <v>0.68643200000000004</v>
      </c>
      <c r="AV231">
        <f t="shared" si="44"/>
        <v>15.5548</v>
      </c>
      <c r="AW231">
        <f t="shared" si="45"/>
        <v>10.6877497444</v>
      </c>
      <c r="AX231" s="9"/>
      <c r="AY231" s="22">
        <v>1.01288</v>
      </c>
      <c r="AZ231" s="22">
        <v>240.63200000000001</v>
      </c>
      <c r="BA231" s="22">
        <v>-1.53259E-2</v>
      </c>
      <c r="BB231" s="22">
        <v>221</v>
      </c>
      <c r="BC231" s="22">
        <v>1.01227</v>
      </c>
      <c r="BD231">
        <f t="shared" si="46"/>
        <v>15.325900000000001</v>
      </c>
      <c r="BE231">
        <f t="shared" si="47"/>
        <v>15.523297592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11.222200000000001</v>
      </c>
      <c r="I232" s="22">
        <v>-1.55426E-2</v>
      </c>
      <c r="J232" s="22">
        <v>222</v>
      </c>
      <c r="K232" s="22">
        <v>0.681396</v>
      </c>
      <c r="L232">
        <f t="shared" si="36"/>
        <v>15.5426</v>
      </c>
      <c r="M232">
        <f t="shared" si="37"/>
        <v>10.601110096799999</v>
      </c>
      <c r="N232" s="9"/>
      <c r="O232" s="22">
        <v>1.0179100000000001</v>
      </c>
      <c r="P232" s="22">
        <v>60.643599999999999</v>
      </c>
      <c r="Q232" s="22">
        <v>-1.53198E-2</v>
      </c>
      <c r="R232" s="22">
        <v>222</v>
      </c>
      <c r="S232" s="22">
        <v>1.01715</v>
      </c>
      <c r="T232">
        <f t="shared" si="38"/>
        <v>15.319799999999999</v>
      </c>
      <c r="U232">
        <f t="shared" si="39"/>
        <v>15.594177618</v>
      </c>
      <c r="X232" s="9"/>
      <c r="Y232" s="22">
        <v>0.68206800000000001</v>
      </c>
      <c r="Z232" s="22">
        <v>110.221</v>
      </c>
      <c r="AA232" s="22">
        <v>-1.5551799999999999E-2</v>
      </c>
      <c r="AB232" s="22">
        <v>222</v>
      </c>
      <c r="AC232" s="22">
        <v>0.68145800000000001</v>
      </c>
      <c r="AD232">
        <f t="shared" si="40"/>
        <v>15.5518</v>
      </c>
      <c r="AE232">
        <f t="shared" si="41"/>
        <v>10.6073851224</v>
      </c>
      <c r="AF232" s="9"/>
      <c r="AG232" s="22">
        <v>1.0179100000000001</v>
      </c>
      <c r="AH232" s="22">
        <v>141.88</v>
      </c>
      <c r="AI232" s="22">
        <v>-1.5335100000000001E-2</v>
      </c>
      <c r="AJ232" s="22">
        <v>222</v>
      </c>
      <c r="AK232" s="22">
        <v>1.01685</v>
      </c>
      <c r="AL232">
        <f t="shared" si="42"/>
        <v>15.335100000000001</v>
      </c>
      <c r="AM232">
        <f t="shared" si="43"/>
        <v>15.609751641000003</v>
      </c>
      <c r="AP232" s="9"/>
      <c r="AQ232" s="22">
        <v>0.68206800000000001</v>
      </c>
      <c r="AR232" s="22">
        <v>191.25899999999999</v>
      </c>
      <c r="AS232" s="22">
        <v>-1.5551799999999999E-2</v>
      </c>
      <c r="AT232" s="22">
        <v>222</v>
      </c>
      <c r="AU232" s="22">
        <v>0.681396</v>
      </c>
      <c r="AV232">
        <f t="shared" si="44"/>
        <v>15.5518</v>
      </c>
      <c r="AW232">
        <f t="shared" si="45"/>
        <v>10.6073851224</v>
      </c>
      <c r="AX232" s="9"/>
      <c r="AY232" s="22">
        <v>1.0179100000000001</v>
      </c>
      <c r="AZ232" s="22">
        <v>240.642</v>
      </c>
      <c r="BA232" s="22">
        <v>-1.5329000000000001E-2</v>
      </c>
      <c r="BB232" s="22">
        <v>222</v>
      </c>
      <c r="BC232" s="22">
        <v>1.01715</v>
      </c>
      <c r="BD232">
        <f t="shared" si="46"/>
        <v>15.329000000000001</v>
      </c>
      <c r="BE232">
        <f t="shared" si="47"/>
        <v>15.603542390000001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11.232200000000001</v>
      </c>
      <c r="I233" s="22">
        <v>-1.55365E-2</v>
      </c>
      <c r="J233" s="22">
        <v>223</v>
      </c>
      <c r="K233" s="22">
        <v>0.67648299999999995</v>
      </c>
      <c r="L233">
        <f t="shared" si="36"/>
        <v>15.5365</v>
      </c>
      <c r="M233">
        <f t="shared" si="37"/>
        <v>10.518707667999999</v>
      </c>
      <c r="N233" s="9"/>
      <c r="O233" s="22">
        <v>1.02295</v>
      </c>
      <c r="P233" s="22">
        <v>60.653700000000001</v>
      </c>
      <c r="Q233" s="22">
        <v>-1.53168E-2</v>
      </c>
      <c r="R233" s="22">
        <v>223</v>
      </c>
      <c r="S233" s="22">
        <v>1.02173</v>
      </c>
      <c r="T233">
        <f t="shared" si="38"/>
        <v>15.316800000000001</v>
      </c>
      <c r="U233">
        <f t="shared" si="39"/>
        <v>15.668320560000002</v>
      </c>
      <c r="X233" s="9"/>
      <c r="Y233" s="22">
        <v>0.67703199999999997</v>
      </c>
      <c r="Z233" s="22">
        <v>110.23099999999999</v>
      </c>
      <c r="AA233" s="22">
        <v>-1.5560900000000001E-2</v>
      </c>
      <c r="AB233" s="22">
        <v>223</v>
      </c>
      <c r="AC233" s="22">
        <v>0.67642199999999997</v>
      </c>
      <c r="AD233">
        <f t="shared" si="40"/>
        <v>15.5609</v>
      </c>
      <c r="AE233">
        <f t="shared" si="41"/>
        <v>10.5352272488</v>
      </c>
      <c r="AF233" s="9"/>
      <c r="AG233" s="22">
        <v>1.02295</v>
      </c>
      <c r="AH233" s="22">
        <v>141.88999999999999</v>
      </c>
      <c r="AI233" s="22">
        <v>-1.53259E-2</v>
      </c>
      <c r="AJ233" s="22">
        <v>223</v>
      </c>
      <c r="AK233" s="22">
        <v>1.02203</v>
      </c>
      <c r="AL233">
        <f t="shared" si="42"/>
        <v>15.325900000000001</v>
      </c>
      <c r="AM233">
        <f t="shared" si="43"/>
        <v>15.677629405000001</v>
      </c>
      <c r="AP233" s="9"/>
      <c r="AQ233" s="22">
        <v>0.67703199999999997</v>
      </c>
      <c r="AR233" s="22">
        <v>191.26900000000001</v>
      </c>
      <c r="AS233" s="22">
        <v>-1.5554800000000001E-2</v>
      </c>
      <c r="AT233" s="22">
        <v>223</v>
      </c>
      <c r="AU233" s="22">
        <v>0.67648299999999995</v>
      </c>
      <c r="AV233">
        <f t="shared" si="44"/>
        <v>15.5548</v>
      </c>
      <c r="AW233">
        <f t="shared" si="45"/>
        <v>10.5310973536</v>
      </c>
      <c r="AX233" s="9"/>
      <c r="AY233" s="22">
        <v>1.02295</v>
      </c>
      <c r="AZ233" s="22">
        <v>240.65199999999999</v>
      </c>
      <c r="BA233" s="22">
        <v>-1.5329000000000001E-2</v>
      </c>
      <c r="BB233" s="22">
        <v>223</v>
      </c>
      <c r="BC233" s="22">
        <v>1.02203</v>
      </c>
      <c r="BD233">
        <f t="shared" si="46"/>
        <v>15.329000000000001</v>
      </c>
      <c r="BE233">
        <f t="shared" si="47"/>
        <v>15.680800550000001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11.2423</v>
      </c>
      <c r="I234" s="22">
        <v>-1.55365E-2</v>
      </c>
      <c r="J234" s="22">
        <v>224</v>
      </c>
      <c r="K234" s="22">
        <v>0.67138699999999996</v>
      </c>
      <c r="L234">
        <f t="shared" si="36"/>
        <v>15.5365</v>
      </c>
      <c r="M234">
        <f t="shared" si="37"/>
        <v>10.440481390499999</v>
      </c>
      <c r="N234" s="9"/>
      <c r="O234" s="22">
        <v>1.0279799999999999</v>
      </c>
      <c r="P234" s="22">
        <v>60.663699999999999</v>
      </c>
      <c r="Q234" s="22">
        <v>-1.53137E-2</v>
      </c>
      <c r="R234" s="22">
        <v>224</v>
      </c>
      <c r="S234" s="22">
        <v>1.0269200000000001</v>
      </c>
      <c r="T234">
        <f t="shared" si="38"/>
        <v>15.313699999999999</v>
      </c>
      <c r="U234">
        <f t="shared" si="39"/>
        <v>15.742177325999997</v>
      </c>
      <c r="X234" s="9"/>
      <c r="Y234" s="22">
        <v>0.67199699999999996</v>
      </c>
      <c r="Z234" s="22">
        <v>110.241</v>
      </c>
      <c r="AA234" s="22">
        <v>-1.5564E-2</v>
      </c>
      <c r="AB234" s="22">
        <v>224</v>
      </c>
      <c r="AC234" s="22">
        <v>0.67138699999999996</v>
      </c>
      <c r="AD234">
        <f t="shared" si="40"/>
        <v>15.564</v>
      </c>
      <c r="AE234">
        <f t="shared" si="41"/>
        <v>10.458961307999999</v>
      </c>
      <c r="AF234" s="9"/>
      <c r="AG234" s="22">
        <v>1.0279799999999999</v>
      </c>
      <c r="AH234" s="22">
        <v>141.9</v>
      </c>
      <c r="AI234" s="22">
        <v>-1.53168E-2</v>
      </c>
      <c r="AJ234" s="22">
        <v>224</v>
      </c>
      <c r="AK234" s="22">
        <v>1.0275300000000001</v>
      </c>
      <c r="AL234">
        <f t="shared" si="42"/>
        <v>15.316800000000001</v>
      </c>
      <c r="AM234">
        <f t="shared" si="43"/>
        <v>15.745364063999999</v>
      </c>
      <c r="AP234" s="9"/>
      <c r="AQ234" s="22">
        <v>0.67199699999999996</v>
      </c>
      <c r="AR234" s="22">
        <v>191.279</v>
      </c>
      <c r="AS234" s="22">
        <v>-1.55487E-2</v>
      </c>
      <c r="AT234" s="22">
        <v>224</v>
      </c>
      <c r="AU234" s="22">
        <v>0.67132599999999998</v>
      </c>
      <c r="AV234">
        <f t="shared" si="44"/>
        <v>15.5487</v>
      </c>
      <c r="AW234">
        <f t="shared" si="45"/>
        <v>10.448679753899999</v>
      </c>
      <c r="AX234" s="9"/>
      <c r="AY234" s="22">
        <v>1.0279799999999999</v>
      </c>
      <c r="AZ234" s="22">
        <v>240.66200000000001</v>
      </c>
      <c r="BA234" s="22">
        <v>-1.5329000000000001E-2</v>
      </c>
      <c r="BB234" s="22">
        <v>224</v>
      </c>
      <c r="BC234" s="22">
        <v>1.02722</v>
      </c>
      <c r="BD234">
        <f t="shared" si="46"/>
        <v>15.329000000000001</v>
      </c>
      <c r="BE234">
        <f t="shared" si="47"/>
        <v>15.757905419999998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11.2524</v>
      </c>
      <c r="I235" s="22">
        <v>-1.55365E-2</v>
      </c>
      <c r="J235" s="22">
        <v>225</v>
      </c>
      <c r="K235" s="22">
        <v>0.66632100000000005</v>
      </c>
      <c r="L235">
        <f t="shared" si="36"/>
        <v>15.5365</v>
      </c>
      <c r="M235">
        <f t="shared" si="37"/>
        <v>10.362255113000002</v>
      </c>
      <c r="N235" s="9"/>
      <c r="O235" s="22">
        <v>1.03302</v>
      </c>
      <c r="P235" s="22">
        <v>60.6738</v>
      </c>
      <c r="Q235" s="22">
        <v>-1.53137E-2</v>
      </c>
      <c r="R235" s="22">
        <v>225</v>
      </c>
      <c r="S235" s="22">
        <v>1.0318000000000001</v>
      </c>
      <c r="T235">
        <f t="shared" si="38"/>
        <v>15.313699999999999</v>
      </c>
      <c r="U235">
        <f t="shared" si="39"/>
        <v>15.819358374</v>
      </c>
      <c r="X235" s="9"/>
      <c r="Y235" s="22">
        <v>0.66696200000000005</v>
      </c>
      <c r="Z235" s="22">
        <v>110.251</v>
      </c>
      <c r="AA235" s="22">
        <v>-1.5566999999999999E-2</v>
      </c>
      <c r="AB235" s="22">
        <v>225</v>
      </c>
      <c r="AC235" s="22">
        <v>0.66625999999999996</v>
      </c>
      <c r="AD235">
        <f t="shared" si="40"/>
        <v>15.566999999999998</v>
      </c>
      <c r="AE235">
        <f t="shared" si="41"/>
        <v>10.382597453999999</v>
      </c>
      <c r="AF235" s="9"/>
      <c r="AG235" s="22">
        <v>1.03302</v>
      </c>
      <c r="AH235" s="22">
        <v>141.91</v>
      </c>
      <c r="AI235" s="22">
        <v>-1.53107E-2</v>
      </c>
      <c r="AJ235" s="22">
        <v>225</v>
      </c>
      <c r="AK235" s="22">
        <v>1.0321</v>
      </c>
      <c r="AL235">
        <f t="shared" si="42"/>
        <v>15.310700000000001</v>
      </c>
      <c r="AM235">
        <f t="shared" si="43"/>
        <v>15.816259314000002</v>
      </c>
      <c r="AP235" s="9"/>
      <c r="AQ235" s="22">
        <v>0.66696200000000005</v>
      </c>
      <c r="AR235" s="22">
        <v>191.28899999999999</v>
      </c>
      <c r="AS235" s="22">
        <v>-1.55487E-2</v>
      </c>
      <c r="AT235" s="22">
        <v>225</v>
      </c>
      <c r="AU235" s="22">
        <v>0.666412</v>
      </c>
      <c r="AV235">
        <f t="shared" si="44"/>
        <v>15.5487</v>
      </c>
      <c r="AW235">
        <f t="shared" si="45"/>
        <v>10.370392049400001</v>
      </c>
      <c r="AX235" s="9"/>
      <c r="AY235" s="22">
        <v>1.03302</v>
      </c>
      <c r="AZ235" s="22">
        <v>240.672</v>
      </c>
      <c r="BA235" s="22">
        <v>-1.53229E-2</v>
      </c>
      <c r="BB235" s="22">
        <v>225</v>
      </c>
      <c r="BC235" s="22">
        <v>1.0321</v>
      </c>
      <c r="BD235">
        <f t="shared" si="46"/>
        <v>15.322900000000001</v>
      </c>
      <c r="BE235">
        <f t="shared" si="47"/>
        <v>15.828862158000002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11.2624</v>
      </c>
      <c r="I236" s="22">
        <v>-1.55365E-2</v>
      </c>
      <c r="J236" s="22">
        <v>226</v>
      </c>
      <c r="K236" s="22">
        <v>0.66134599999999999</v>
      </c>
      <c r="L236">
        <f t="shared" si="36"/>
        <v>15.5365</v>
      </c>
      <c r="M236">
        <f t="shared" si="37"/>
        <v>10.284013299</v>
      </c>
      <c r="N236" s="9"/>
      <c r="O236" s="22">
        <v>1.03806</v>
      </c>
      <c r="P236" s="22">
        <v>60.683900000000001</v>
      </c>
      <c r="Q236" s="22">
        <v>-1.53137E-2</v>
      </c>
      <c r="R236" s="22">
        <v>226</v>
      </c>
      <c r="S236" s="22">
        <v>1.0369900000000001</v>
      </c>
      <c r="T236">
        <f t="shared" si="38"/>
        <v>15.313699999999999</v>
      </c>
      <c r="U236">
        <f t="shared" si="39"/>
        <v>15.896539421999998</v>
      </c>
      <c r="X236" s="9"/>
      <c r="Y236" s="22">
        <v>0.66192600000000001</v>
      </c>
      <c r="Z236" s="22">
        <v>110.261</v>
      </c>
      <c r="AA236" s="22">
        <v>-1.55701E-2</v>
      </c>
      <c r="AB236" s="22">
        <v>226</v>
      </c>
      <c r="AC236" s="22">
        <v>0.66131600000000001</v>
      </c>
      <c r="AD236">
        <f t="shared" si="40"/>
        <v>15.5701</v>
      </c>
      <c r="AE236">
        <f t="shared" si="41"/>
        <v>10.3062540126</v>
      </c>
      <c r="AF236" s="9"/>
      <c r="AG236" s="22">
        <v>1.03806</v>
      </c>
      <c r="AH236" s="22">
        <v>141.91999999999999</v>
      </c>
      <c r="AI236" s="22">
        <v>-1.5307599999999999E-2</v>
      </c>
      <c r="AJ236" s="22">
        <v>226</v>
      </c>
      <c r="AK236" s="22">
        <v>1.03729</v>
      </c>
      <c r="AL236">
        <f t="shared" si="42"/>
        <v>15.307599999999999</v>
      </c>
      <c r="AM236">
        <f t="shared" si="43"/>
        <v>15.890207255999998</v>
      </c>
      <c r="AP236" s="9"/>
      <c r="AQ236" s="22">
        <v>0.66192600000000001</v>
      </c>
      <c r="AR236" s="22">
        <v>191.29900000000001</v>
      </c>
      <c r="AS236" s="22">
        <v>-1.55487E-2</v>
      </c>
      <c r="AT236" s="22">
        <v>226</v>
      </c>
      <c r="AU236" s="22">
        <v>0.66128500000000001</v>
      </c>
      <c r="AV236">
        <f t="shared" si="44"/>
        <v>15.5487</v>
      </c>
      <c r="AW236">
        <f t="shared" si="45"/>
        <v>10.2920887962</v>
      </c>
      <c r="AX236" s="9"/>
      <c r="AY236" s="22">
        <v>1.03806</v>
      </c>
      <c r="AZ236" s="22">
        <v>240.68199999999999</v>
      </c>
      <c r="BA236" s="22">
        <v>-1.53198E-2</v>
      </c>
      <c r="BB236" s="22">
        <v>226</v>
      </c>
      <c r="BC236" s="22">
        <v>1.0369900000000001</v>
      </c>
      <c r="BD236">
        <f t="shared" si="46"/>
        <v>15.319799999999999</v>
      </c>
      <c r="BE236">
        <f t="shared" si="47"/>
        <v>15.902871587999998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11.272500000000001</v>
      </c>
      <c r="I237" s="22">
        <v>-1.5539600000000001E-2</v>
      </c>
      <c r="J237" s="22">
        <v>227</v>
      </c>
      <c r="K237" s="22">
        <v>0.65631099999999998</v>
      </c>
      <c r="L237">
        <f t="shared" si="36"/>
        <v>15.5396</v>
      </c>
      <c r="M237">
        <f t="shared" si="37"/>
        <v>10.207823383600001</v>
      </c>
      <c r="N237" s="9"/>
      <c r="O237" s="22">
        <v>1.0430900000000001</v>
      </c>
      <c r="P237" s="22">
        <v>60.693899999999999</v>
      </c>
      <c r="Q237" s="22">
        <v>-1.53107E-2</v>
      </c>
      <c r="R237" s="22">
        <v>227</v>
      </c>
      <c r="S237" s="22">
        <v>1.0424800000000001</v>
      </c>
      <c r="T237">
        <f t="shared" si="38"/>
        <v>15.310700000000001</v>
      </c>
      <c r="U237">
        <f t="shared" si="39"/>
        <v>15.970438063000001</v>
      </c>
      <c r="X237" s="9"/>
      <c r="Y237" s="22">
        <v>0.656891</v>
      </c>
      <c r="Z237" s="22">
        <v>110.271</v>
      </c>
      <c r="AA237" s="22">
        <v>-1.55762E-2</v>
      </c>
      <c r="AB237" s="22">
        <v>227</v>
      </c>
      <c r="AC237" s="22">
        <v>0.65631099999999998</v>
      </c>
      <c r="AD237">
        <f t="shared" si="40"/>
        <v>15.5762</v>
      </c>
      <c r="AE237">
        <f t="shared" si="41"/>
        <v>10.2318655942</v>
      </c>
      <c r="AF237" s="9"/>
      <c r="AG237" s="22">
        <v>1.0430900000000001</v>
      </c>
      <c r="AH237" s="22">
        <v>141.93</v>
      </c>
      <c r="AI237" s="22">
        <v>-1.53046E-2</v>
      </c>
      <c r="AJ237" s="22">
        <v>227</v>
      </c>
      <c r="AK237" s="22">
        <v>1.0424800000000001</v>
      </c>
      <c r="AL237">
        <f t="shared" si="42"/>
        <v>15.304600000000001</v>
      </c>
      <c r="AM237">
        <f t="shared" si="43"/>
        <v>15.964075214000001</v>
      </c>
      <c r="AP237" s="9"/>
      <c r="AQ237" s="22">
        <v>0.656891</v>
      </c>
      <c r="AR237" s="22">
        <v>191.309</v>
      </c>
      <c r="AS237" s="22">
        <v>-1.5551799999999999E-2</v>
      </c>
      <c r="AT237" s="22">
        <v>227</v>
      </c>
      <c r="AU237" s="22">
        <v>0.65625</v>
      </c>
      <c r="AV237">
        <f t="shared" si="44"/>
        <v>15.5518</v>
      </c>
      <c r="AW237">
        <f t="shared" si="45"/>
        <v>10.215837453800001</v>
      </c>
      <c r="AX237" s="9"/>
      <c r="AY237" s="22">
        <v>1.0430900000000001</v>
      </c>
      <c r="AZ237" s="22">
        <v>240.69200000000001</v>
      </c>
      <c r="BA237" s="22">
        <v>-1.53137E-2</v>
      </c>
      <c r="BB237" s="22">
        <v>227</v>
      </c>
      <c r="BC237" s="22">
        <v>1.0418700000000001</v>
      </c>
      <c r="BD237">
        <f t="shared" si="46"/>
        <v>15.313699999999999</v>
      </c>
      <c r="BE237">
        <f t="shared" si="47"/>
        <v>15.973567333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11.2826</v>
      </c>
      <c r="I238" s="22">
        <v>-1.5545700000000001E-2</v>
      </c>
      <c r="J238" s="22">
        <v>228</v>
      </c>
      <c r="K238" s="22">
        <v>0.65121499999999999</v>
      </c>
      <c r="L238">
        <f t="shared" si="36"/>
        <v>15.5457</v>
      </c>
      <c r="M238">
        <f t="shared" si="37"/>
        <v>10.1335422735</v>
      </c>
      <c r="N238" s="9"/>
      <c r="O238" s="22">
        <v>1.04813</v>
      </c>
      <c r="P238" s="22">
        <v>60.704000000000001</v>
      </c>
      <c r="Q238" s="22">
        <v>-1.5307599999999999E-2</v>
      </c>
      <c r="R238" s="22">
        <v>228</v>
      </c>
      <c r="S238" s="22">
        <v>1.0470600000000001</v>
      </c>
      <c r="T238">
        <f t="shared" si="38"/>
        <v>15.307599999999999</v>
      </c>
      <c r="U238">
        <f t="shared" si="39"/>
        <v>16.044354788</v>
      </c>
      <c r="X238" s="9"/>
      <c r="Y238" s="22">
        <v>0.65185499999999996</v>
      </c>
      <c r="Z238" s="22">
        <v>110.28100000000001</v>
      </c>
      <c r="AA238" s="22">
        <v>-1.55792E-2</v>
      </c>
      <c r="AB238" s="22">
        <v>228</v>
      </c>
      <c r="AC238" s="22">
        <v>0.65124499999999996</v>
      </c>
      <c r="AD238">
        <f t="shared" si="40"/>
        <v>15.5792</v>
      </c>
      <c r="AE238">
        <f t="shared" si="41"/>
        <v>10.155379415999999</v>
      </c>
      <c r="AF238" s="9"/>
      <c r="AG238" s="22">
        <v>1.04813</v>
      </c>
      <c r="AH238" s="22">
        <v>141.941</v>
      </c>
      <c r="AI238" s="22">
        <v>-1.52985E-2</v>
      </c>
      <c r="AJ238" s="22">
        <v>228</v>
      </c>
      <c r="AK238" s="22">
        <v>1.0473600000000001</v>
      </c>
      <c r="AL238">
        <f t="shared" si="42"/>
        <v>15.298499999999999</v>
      </c>
      <c r="AM238">
        <f t="shared" si="43"/>
        <v>16.034816804999998</v>
      </c>
      <c r="AP238" s="9"/>
      <c r="AQ238" s="22">
        <v>0.65185499999999996</v>
      </c>
      <c r="AR238" s="22">
        <v>191.31899999999999</v>
      </c>
      <c r="AS238" s="22">
        <v>-1.55579E-2</v>
      </c>
      <c r="AT238" s="22">
        <v>228</v>
      </c>
      <c r="AU238" s="22">
        <v>0.65133700000000005</v>
      </c>
      <c r="AV238">
        <f t="shared" si="44"/>
        <v>15.5579</v>
      </c>
      <c r="AW238">
        <f t="shared" si="45"/>
        <v>10.1414949045</v>
      </c>
      <c r="AX238" s="9"/>
      <c r="AY238" s="22">
        <v>1.04813</v>
      </c>
      <c r="AZ238" s="22">
        <v>240.702</v>
      </c>
      <c r="BA238" s="22">
        <v>-1.5301500000000001E-2</v>
      </c>
      <c r="BB238" s="22">
        <v>228</v>
      </c>
      <c r="BC238" s="22">
        <v>1.0470600000000001</v>
      </c>
      <c r="BD238">
        <f t="shared" si="46"/>
        <v>15.301500000000001</v>
      </c>
      <c r="BE238">
        <f t="shared" si="47"/>
        <v>16.037961195000001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11.2927</v>
      </c>
      <c r="I239" s="22">
        <v>-1.55487E-2</v>
      </c>
      <c r="J239" s="22">
        <v>229</v>
      </c>
      <c r="K239" s="22">
        <v>0.64617899999999995</v>
      </c>
      <c r="L239">
        <f t="shared" si="36"/>
        <v>15.5487</v>
      </c>
      <c r="M239">
        <f t="shared" si="37"/>
        <v>10.057210134</v>
      </c>
      <c r="N239" s="9"/>
      <c r="O239" s="22">
        <v>1.0531600000000001</v>
      </c>
      <c r="P239" s="22">
        <v>60.714100000000002</v>
      </c>
      <c r="Q239" s="22">
        <v>-1.5301500000000001E-2</v>
      </c>
      <c r="R239" s="22">
        <v>229</v>
      </c>
      <c r="S239" s="22">
        <v>1.0522499999999999</v>
      </c>
      <c r="T239">
        <f t="shared" si="38"/>
        <v>15.301500000000001</v>
      </c>
      <c r="U239">
        <f t="shared" si="39"/>
        <v>16.114927740000002</v>
      </c>
      <c r="X239" s="9"/>
      <c r="Y239" s="22">
        <v>0.64681999999999995</v>
      </c>
      <c r="Z239" s="22">
        <v>110.291</v>
      </c>
      <c r="AA239" s="22">
        <v>-1.55823E-2</v>
      </c>
      <c r="AB239" s="22">
        <v>229</v>
      </c>
      <c r="AC239" s="22">
        <v>0.64617899999999995</v>
      </c>
      <c r="AD239">
        <f t="shared" si="40"/>
        <v>15.5823</v>
      </c>
      <c r="AE239">
        <f t="shared" si="41"/>
        <v>10.078943285999999</v>
      </c>
      <c r="AF239" s="9"/>
      <c r="AG239" s="22">
        <v>1.0531600000000001</v>
      </c>
      <c r="AH239" s="22">
        <v>141.95099999999999</v>
      </c>
      <c r="AI239" s="22">
        <v>-1.5292399999999999E-2</v>
      </c>
      <c r="AJ239" s="22">
        <v>229</v>
      </c>
      <c r="AK239" s="22">
        <v>1.0519400000000001</v>
      </c>
      <c r="AL239">
        <f t="shared" si="42"/>
        <v>15.292399999999999</v>
      </c>
      <c r="AM239">
        <f t="shared" si="43"/>
        <v>16.105343984000001</v>
      </c>
      <c r="AP239" s="9"/>
      <c r="AQ239" s="22">
        <v>0.64681999999999995</v>
      </c>
      <c r="AR239" s="22">
        <v>191.32900000000001</v>
      </c>
      <c r="AS239" s="22">
        <v>-1.5560900000000001E-2</v>
      </c>
      <c r="AT239" s="22">
        <v>229</v>
      </c>
      <c r="AU239" s="22">
        <v>0.64627100000000004</v>
      </c>
      <c r="AV239">
        <f t="shared" si="44"/>
        <v>15.5609</v>
      </c>
      <c r="AW239">
        <f t="shared" si="45"/>
        <v>10.065101338</v>
      </c>
      <c r="AX239" s="9"/>
      <c r="AY239" s="22">
        <v>1.0531600000000001</v>
      </c>
      <c r="AZ239" s="22">
        <v>240.71199999999999</v>
      </c>
      <c r="BA239" s="22">
        <v>-1.52985E-2</v>
      </c>
      <c r="BB239" s="22">
        <v>229</v>
      </c>
      <c r="BC239" s="22">
        <v>1.0522499999999999</v>
      </c>
      <c r="BD239">
        <f t="shared" si="46"/>
        <v>15.298499999999999</v>
      </c>
      <c r="BE239">
        <f t="shared" si="47"/>
        <v>16.111768260000002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11.3027</v>
      </c>
      <c r="I240" s="22">
        <v>-1.55487E-2</v>
      </c>
      <c r="J240" s="22">
        <v>230</v>
      </c>
      <c r="K240" s="22">
        <v>0.641235</v>
      </c>
      <c r="L240">
        <f t="shared" si="36"/>
        <v>15.5487</v>
      </c>
      <c r="M240">
        <f t="shared" si="37"/>
        <v>9.9789224295000007</v>
      </c>
      <c r="N240" s="9"/>
      <c r="O240" s="22">
        <v>1.0582</v>
      </c>
      <c r="P240" s="22">
        <v>60.724200000000003</v>
      </c>
      <c r="Q240" s="22">
        <v>-1.5295400000000001E-2</v>
      </c>
      <c r="R240" s="22">
        <v>230</v>
      </c>
      <c r="S240" s="22">
        <v>1.0571299999999999</v>
      </c>
      <c r="T240">
        <f t="shared" si="38"/>
        <v>15.295400000000001</v>
      </c>
      <c r="U240">
        <f t="shared" si="39"/>
        <v>16.185592280000002</v>
      </c>
      <c r="X240" s="9"/>
      <c r="Y240" s="22">
        <v>0.64178500000000005</v>
      </c>
      <c r="Z240" s="22">
        <v>110.30200000000001</v>
      </c>
      <c r="AA240" s="22">
        <v>-1.5588400000000001E-2</v>
      </c>
      <c r="AB240" s="22">
        <v>230</v>
      </c>
      <c r="AC240" s="22">
        <v>0.64117400000000002</v>
      </c>
      <c r="AD240">
        <f t="shared" si="40"/>
        <v>15.5884</v>
      </c>
      <c r="AE240">
        <f t="shared" si="41"/>
        <v>10.004401294000001</v>
      </c>
      <c r="AF240" s="9"/>
      <c r="AG240" s="22">
        <v>1.0582</v>
      </c>
      <c r="AH240" s="22">
        <v>141.96100000000001</v>
      </c>
      <c r="AI240" s="22">
        <v>-1.5286299999999999E-2</v>
      </c>
      <c r="AJ240" s="22">
        <v>230</v>
      </c>
      <c r="AK240" s="22">
        <v>1.0574300000000001</v>
      </c>
      <c r="AL240">
        <f t="shared" si="42"/>
        <v>15.286299999999999</v>
      </c>
      <c r="AM240">
        <f t="shared" si="43"/>
        <v>16.17596266</v>
      </c>
      <c r="AP240" s="9"/>
      <c r="AQ240" s="22">
        <v>0.64178500000000005</v>
      </c>
      <c r="AR240" s="22">
        <v>191.339</v>
      </c>
      <c r="AS240" s="22">
        <v>-1.5560900000000001E-2</v>
      </c>
      <c r="AT240" s="22">
        <v>230</v>
      </c>
      <c r="AU240" s="22">
        <v>0.64108299999999996</v>
      </c>
      <c r="AV240">
        <f t="shared" si="44"/>
        <v>15.5609</v>
      </c>
      <c r="AW240">
        <f t="shared" si="45"/>
        <v>9.9867522065000003</v>
      </c>
      <c r="AX240" s="9"/>
      <c r="AY240" s="22">
        <v>1.0582</v>
      </c>
      <c r="AZ240" s="22">
        <v>240.72300000000001</v>
      </c>
      <c r="BA240" s="22">
        <v>-1.5292399999999999E-2</v>
      </c>
      <c r="BB240" s="22">
        <v>230</v>
      </c>
      <c r="BC240" s="22">
        <v>1.0574300000000001</v>
      </c>
      <c r="BD240">
        <f t="shared" si="46"/>
        <v>15.292399999999999</v>
      </c>
      <c r="BE240">
        <f t="shared" si="47"/>
        <v>16.18241768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11.312799999999999</v>
      </c>
      <c r="I241" s="22">
        <v>-1.5545700000000001E-2</v>
      </c>
      <c r="J241" s="22">
        <v>231</v>
      </c>
      <c r="K241" s="22">
        <v>0.63616899999999998</v>
      </c>
      <c r="L241">
        <f t="shared" si="36"/>
        <v>15.5457</v>
      </c>
      <c r="M241">
        <f t="shared" si="37"/>
        <v>9.8987089292999997</v>
      </c>
      <c r="N241" s="9"/>
      <c r="O241" s="22">
        <v>1.0632299999999999</v>
      </c>
      <c r="P241" s="22">
        <v>60.734200000000001</v>
      </c>
      <c r="Q241" s="22">
        <v>-1.52893E-2</v>
      </c>
      <c r="R241" s="22">
        <v>231</v>
      </c>
      <c r="S241" s="22">
        <v>1.0626199999999999</v>
      </c>
      <c r="T241">
        <f t="shared" si="38"/>
        <v>15.289300000000001</v>
      </c>
      <c r="U241">
        <f t="shared" si="39"/>
        <v>16.256042438999998</v>
      </c>
      <c r="X241" s="9"/>
      <c r="Y241" s="22">
        <v>0.63674900000000001</v>
      </c>
      <c r="Z241" s="22">
        <v>110.312</v>
      </c>
      <c r="AA241" s="22">
        <v>-1.5594500000000001E-2</v>
      </c>
      <c r="AB241" s="22">
        <v>231</v>
      </c>
      <c r="AC241" s="22">
        <v>0.63613900000000001</v>
      </c>
      <c r="AD241">
        <f t="shared" si="40"/>
        <v>15.5945</v>
      </c>
      <c r="AE241">
        <f t="shared" si="41"/>
        <v>9.9297822804999996</v>
      </c>
      <c r="AF241" s="9"/>
      <c r="AG241" s="22">
        <v>1.0632299999999999</v>
      </c>
      <c r="AH241" s="22">
        <v>141.971</v>
      </c>
      <c r="AI241" s="22">
        <v>-1.52832E-2</v>
      </c>
      <c r="AJ241" s="22">
        <v>231</v>
      </c>
      <c r="AK241" s="22">
        <v>1.0623199999999999</v>
      </c>
      <c r="AL241">
        <f t="shared" si="42"/>
        <v>15.283200000000001</v>
      </c>
      <c r="AM241">
        <f t="shared" si="43"/>
        <v>16.249556735999999</v>
      </c>
      <c r="AP241" s="9"/>
      <c r="AQ241" s="22">
        <v>0.63674900000000001</v>
      </c>
      <c r="AR241" s="22">
        <v>191.34899999999999</v>
      </c>
      <c r="AS241" s="22">
        <v>-1.5564E-2</v>
      </c>
      <c r="AT241" s="22">
        <v>231</v>
      </c>
      <c r="AU241" s="22">
        <v>0.63610800000000001</v>
      </c>
      <c r="AV241">
        <f t="shared" si="44"/>
        <v>15.564</v>
      </c>
      <c r="AW241">
        <f t="shared" si="45"/>
        <v>9.9103614360000005</v>
      </c>
      <c r="AX241" s="9"/>
      <c r="AY241" s="22">
        <v>1.0632299999999999</v>
      </c>
      <c r="AZ241" s="22">
        <v>240.733</v>
      </c>
      <c r="BA241" s="22">
        <v>-1.5292399999999999E-2</v>
      </c>
      <c r="BB241" s="22">
        <v>231</v>
      </c>
      <c r="BC241" s="22">
        <v>1.0620099999999999</v>
      </c>
      <c r="BD241">
        <f t="shared" si="46"/>
        <v>15.292399999999999</v>
      </c>
      <c r="BE241">
        <f t="shared" si="47"/>
        <v>16.259338451999998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11.322900000000001</v>
      </c>
      <c r="I242" s="22">
        <v>-1.5539600000000001E-2</v>
      </c>
      <c r="J242" s="22">
        <v>232</v>
      </c>
      <c r="K242" s="22">
        <v>0.63104199999999999</v>
      </c>
      <c r="L242">
        <f t="shared" si="36"/>
        <v>15.5396</v>
      </c>
      <c r="M242">
        <f t="shared" si="37"/>
        <v>9.8165828743999999</v>
      </c>
      <c r="N242" s="9"/>
      <c r="O242" s="22">
        <v>1.0682700000000001</v>
      </c>
      <c r="P242" s="22">
        <v>60.744300000000003</v>
      </c>
      <c r="Q242" s="22">
        <v>-1.5286299999999999E-2</v>
      </c>
      <c r="R242" s="22">
        <v>232</v>
      </c>
      <c r="S242" s="22">
        <v>1.06812</v>
      </c>
      <c r="T242">
        <f t="shared" si="38"/>
        <v>15.286299999999999</v>
      </c>
      <c r="U242">
        <f t="shared" si="39"/>
        <v>16.329895700999998</v>
      </c>
      <c r="X242" s="9"/>
      <c r="Y242" s="22">
        <v>0.631714</v>
      </c>
      <c r="Z242" s="22">
        <v>110.322</v>
      </c>
      <c r="AA242" s="22">
        <v>-1.5594500000000001E-2</v>
      </c>
      <c r="AB242" s="22">
        <v>232</v>
      </c>
      <c r="AC242" s="22">
        <v>0.631073</v>
      </c>
      <c r="AD242">
        <f t="shared" si="40"/>
        <v>15.5945</v>
      </c>
      <c r="AE242">
        <f t="shared" si="41"/>
        <v>9.851263973</v>
      </c>
      <c r="AF242" s="9"/>
      <c r="AG242" s="22">
        <v>1.0682700000000001</v>
      </c>
      <c r="AH242" s="22">
        <v>141.98099999999999</v>
      </c>
      <c r="AI242" s="22">
        <v>-1.52771E-2</v>
      </c>
      <c r="AJ242" s="22">
        <v>232</v>
      </c>
      <c r="AK242" s="22">
        <v>1.0674999999999999</v>
      </c>
      <c r="AL242">
        <f t="shared" si="42"/>
        <v>15.277100000000001</v>
      </c>
      <c r="AM242">
        <f t="shared" si="43"/>
        <v>16.320067617000003</v>
      </c>
      <c r="AP242" s="9"/>
      <c r="AQ242" s="22">
        <v>0.631714</v>
      </c>
      <c r="AR242" s="22">
        <v>191.35900000000001</v>
      </c>
      <c r="AS242" s="22">
        <v>-1.5560900000000001E-2</v>
      </c>
      <c r="AT242" s="22">
        <v>232</v>
      </c>
      <c r="AU242" s="22">
        <v>0.63104199999999999</v>
      </c>
      <c r="AV242">
        <f t="shared" si="44"/>
        <v>15.5609</v>
      </c>
      <c r="AW242">
        <f t="shared" si="45"/>
        <v>9.8300383825999997</v>
      </c>
      <c r="AX242" s="9"/>
      <c r="AY242" s="22">
        <v>1.0682700000000001</v>
      </c>
      <c r="AZ242" s="22">
        <v>240.74299999999999</v>
      </c>
      <c r="BA242" s="22">
        <v>-1.5295400000000001E-2</v>
      </c>
      <c r="BB242" s="22">
        <v>232</v>
      </c>
      <c r="BC242" s="22">
        <v>1.0671999999999999</v>
      </c>
      <c r="BD242">
        <f t="shared" si="46"/>
        <v>15.295400000000001</v>
      </c>
      <c r="BE242">
        <f t="shared" si="47"/>
        <v>16.339616958000001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11.3329</v>
      </c>
      <c r="I243" s="22">
        <v>-1.5539600000000001E-2</v>
      </c>
      <c r="J243" s="22">
        <v>233</v>
      </c>
      <c r="K243" s="22">
        <v>0.62606799999999996</v>
      </c>
      <c r="L243">
        <f t="shared" si="36"/>
        <v>15.5396</v>
      </c>
      <c r="M243">
        <f t="shared" si="37"/>
        <v>9.7383254487999995</v>
      </c>
      <c r="N243" s="9"/>
      <c r="O243" s="22">
        <v>1.0732999999999999</v>
      </c>
      <c r="P243" s="22">
        <v>60.754399999999997</v>
      </c>
      <c r="Q243" s="22">
        <v>-1.52832E-2</v>
      </c>
      <c r="R243" s="22">
        <v>233</v>
      </c>
      <c r="S243" s="22">
        <v>1.07239</v>
      </c>
      <c r="T243">
        <f t="shared" si="38"/>
        <v>15.283200000000001</v>
      </c>
      <c r="U243">
        <f t="shared" si="39"/>
        <v>16.403458560000001</v>
      </c>
      <c r="X243" s="9"/>
      <c r="Y243" s="22">
        <v>0.62667799999999996</v>
      </c>
      <c r="Z243" s="22">
        <v>110.33199999999999</v>
      </c>
      <c r="AA243" s="22">
        <v>-1.5594500000000001E-2</v>
      </c>
      <c r="AB243" s="22">
        <v>233</v>
      </c>
      <c r="AC243" s="22">
        <v>0.62603799999999998</v>
      </c>
      <c r="AD243">
        <f t="shared" si="40"/>
        <v>15.5945</v>
      </c>
      <c r="AE243">
        <f t="shared" si="41"/>
        <v>9.7727300709999998</v>
      </c>
      <c r="AF243" s="9"/>
      <c r="AG243" s="22">
        <v>1.0732999999999999</v>
      </c>
      <c r="AH243" s="22">
        <v>141.99100000000001</v>
      </c>
      <c r="AI243" s="22">
        <v>-1.5273999999999999E-2</v>
      </c>
      <c r="AJ243" s="22">
        <v>233</v>
      </c>
      <c r="AK243" s="22">
        <v>1.07239</v>
      </c>
      <c r="AL243">
        <f t="shared" si="42"/>
        <v>15.273999999999999</v>
      </c>
      <c r="AM243">
        <f t="shared" si="43"/>
        <v>16.393584199999999</v>
      </c>
      <c r="AP243" s="9"/>
      <c r="AQ243" s="22">
        <v>0.62667799999999996</v>
      </c>
      <c r="AR243" s="22">
        <v>191.369</v>
      </c>
      <c r="AS243" s="22">
        <v>-1.5564E-2</v>
      </c>
      <c r="AT243" s="22">
        <v>233</v>
      </c>
      <c r="AU243" s="22">
        <v>0.62600699999999998</v>
      </c>
      <c r="AV243">
        <f t="shared" si="44"/>
        <v>15.564</v>
      </c>
      <c r="AW243">
        <f t="shared" si="45"/>
        <v>9.7536163919999996</v>
      </c>
      <c r="AX243" s="9"/>
      <c r="AY243" s="22">
        <v>1.0732999999999999</v>
      </c>
      <c r="AZ243" s="22">
        <v>240.75299999999999</v>
      </c>
      <c r="BA243" s="22">
        <v>-1.5292399999999999E-2</v>
      </c>
      <c r="BB243" s="22">
        <v>233</v>
      </c>
      <c r="BC243" s="22">
        <v>1.0720799999999999</v>
      </c>
      <c r="BD243">
        <f t="shared" si="46"/>
        <v>15.292399999999999</v>
      </c>
      <c r="BE243">
        <f t="shared" si="47"/>
        <v>16.413332919999998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11.343</v>
      </c>
      <c r="I244" s="22">
        <v>-1.5545700000000001E-2</v>
      </c>
      <c r="J244" s="22">
        <v>234</v>
      </c>
      <c r="K244" s="22">
        <v>0.62097199999999997</v>
      </c>
      <c r="L244">
        <f t="shared" si="36"/>
        <v>15.5457</v>
      </c>
      <c r="M244">
        <f t="shared" si="37"/>
        <v>9.6638755850999996</v>
      </c>
      <c r="N244" s="9"/>
      <c r="O244" s="22">
        <v>1.0783400000000001</v>
      </c>
      <c r="P244" s="22">
        <v>60.764400000000002</v>
      </c>
      <c r="Q244" s="22">
        <v>-1.52771E-2</v>
      </c>
      <c r="R244" s="22">
        <v>234</v>
      </c>
      <c r="S244" s="22">
        <v>1.0772699999999999</v>
      </c>
      <c r="T244">
        <f t="shared" si="38"/>
        <v>15.277100000000001</v>
      </c>
      <c r="U244">
        <f t="shared" si="39"/>
        <v>16.473908014000003</v>
      </c>
      <c r="X244" s="9"/>
      <c r="Y244" s="22">
        <v>0.62164299999999995</v>
      </c>
      <c r="Z244" s="22">
        <v>110.342</v>
      </c>
      <c r="AA244" s="22">
        <v>-1.5594500000000001E-2</v>
      </c>
      <c r="AB244" s="22">
        <v>234</v>
      </c>
      <c r="AC244" s="22">
        <v>0.62091099999999999</v>
      </c>
      <c r="AD244">
        <f t="shared" si="40"/>
        <v>15.5945</v>
      </c>
      <c r="AE244">
        <f t="shared" si="41"/>
        <v>9.6942117634999985</v>
      </c>
      <c r="AF244" s="9"/>
      <c r="AG244" s="22">
        <v>1.0783400000000001</v>
      </c>
      <c r="AH244" s="22">
        <v>142.001</v>
      </c>
      <c r="AI244" s="22">
        <v>-1.5267899999999999E-2</v>
      </c>
      <c r="AJ244" s="22">
        <v>234</v>
      </c>
      <c r="AK244" s="22">
        <v>1.0772699999999999</v>
      </c>
      <c r="AL244">
        <f t="shared" si="42"/>
        <v>15.267899999999999</v>
      </c>
      <c r="AM244">
        <f t="shared" si="43"/>
        <v>16.463987286000002</v>
      </c>
      <c r="AP244" s="9"/>
      <c r="AQ244" s="22">
        <v>0.62164299999999995</v>
      </c>
      <c r="AR244" s="22">
        <v>191.37899999999999</v>
      </c>
      <c r="AS244" s="22">
        <v>-1.55701E-2</v>
      </c>
      <c r="AT244" s="22">
        <v>234</v>
      </c>
      <c r="AU244" s="22">
        <v>0.62109400000000003</v>
      </c>
      <c r="AV244">
        <f t="shared" si="44"/>
        <v>15.5701</v>
      </c>
      <c r="AW244">
        <f t="shared" si="45"/>
        <v>9.679043674299999</v>
      </c>
      <c r="AX244" s="9"/>
      <c r="AY244" s="22">
        <v>1.0783400000000001</v>
      </c>
      <c r="AZ244" s="22">
        <v>240.76300000000001</v>
      </c>
      <c r="BA244" s="22">
        <v>-1.5286299999999999E-2</v>
      </c>
      <c r="BB244" s="22">
        <v>234</v>
      </c>
      <c r="BC244" s="22">
        <v>1.0772699999999999</v>
      </c>
      <c r="BD244">
        <f t="shared" si="46"/>
        <v>15.286299999999999</v>
      </c>
      <c r="BE244">
        <f t="shared" si="47"/>
        <v>16.483828742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11.3531</v>
      </c>
      <c r="I245" s="22">
        <v>-1.5554800000000001E-2</v>
      </c>
      <c r="J245" s="22">
        <v>235</v>
      </c>
      <c r="K245" s="22">
        <v>0.61599700000000002</v>
      </c>
      <c r="L245">
        <f t="shared" si="36"/>
        <v>15.5548</v>
      </c>
      <c r="M245">
        <f t="shared" si="37"/>
        <v>9.5912141183999999</v>
      </c>
      <c r="N245" s="9"/>
      <c r="O245" s="22">
        <v>1.0833699999999999</v>
      </c>
      <c r="P245" s="22">
        <v>60.774500000000003</v>
      </c>
      <c r="Q245" s="22">
        <v>-1.5267899999999999E-2</v>
      </c>
      <c r="R245" s="22">
        <v>235</v>
      </c>
      <c r="S245" s="22">
        <v>1.0827599999999999</v>
      </c>
      <c r="T245">
        <f t="shared" si="38"/>
        <v>15.267899999999999</v>
      </c>
      <c r="U245">
        <f t="shared" si="39"/>
        <v>16.540784822999999</v>
      </c>
      <c r="X245" s="9"/>
      <c r="Y245" s="22">
        <v>0.61660800000000004</v>
      </c>
      <c r="Z245" s="22">
        <v>110.352</v>
      </c>
      <c r="AA245" s="22">
        <v>-1.55975E-2</v>
      </c>
      <c r="AB245" s="22">
        <v>235</v>
      </c>
      <c r="AC245" s="22">
        <v>0.61593600000000004</v>
      </c>
      <c r="AD245">
        <f t="shared" si="40"/>
        <v>15.5975</v>
      </c>
      <c r="AE245">
        <f t="shared" si="41"/>
        <v>9.6175432800000014</v>
      </c>
      <c r="AF245" s="9"/>
      <c r="AG245" s="22">
        <v>1.0833699999999999</v>
      </c>
      <c r="AH245" s="22">
        <v>142.011</v>
      </c>
      <c r="AI245" s="22">
        <v>-1.5261800000000001E-2</v>
      </c>
      <c r="AJ245" s="22">
        <v>235</v>
      </c>
      <c r="AK245" s="22">
        <v>1.08246</v>
      </c>
      <c r="AL245">
        <f t="shared" si="42"/>
        <v>15.261800000000001</v>
      </c>
      <c r="AM245">
        <f t="shared" si="43"/>
        <v>16.534176265999999</v>
      </c>
      <c r="AP245" s="9"/>
      <c r="AQ245" s="22">
        <v>0.61660800000000004</v>
      </c>
      <c r="AR245" s="22">
        <v>191.38900000000001</v>
      </c>
      <c r="AS245" s="22">
        <v>-1.5573099999999999E-2</v>
      </c>
      <c r="AT245" s="22">
        <v>235</v>
      </c>
      <c r="AU245" s="22">
        <v>0.61602800000000002</v>
      </c>
      <c r="AV245">
        <f t="shared" si="44"/>
        <v>15.5731</v>
      </c>
      <c r="AW245">
        <f t="shared" si="45"/>
        <v>9.6024980448000008</v>
      </c>
      <c r="AX245" s="9"/>
      <c r="AY245" s="22">
        <v>1.0833699999999999</v>
      </c>
      <c r="AZ245" s="22">
        <v>240.773</v>
      </c>
      <c r="BA245" s="22">
        <v>-1.5280200000000001E-2</v>
      </c>
      <c r="BB245" s="22">
        <v>235</v>
      </c>
      <c r="BC245" s="22">
        <v>1.0827599999999999</v>
      </c>
      <c r="BD245">
        <f t="shared" si="46"/>
        <v>15.280200000000001</v>
      </c>
      <c r="BE245">
        <f t="shared" si="47"/>
        <v>16.554110273999999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11.363200000000001</v>
      </c>
      <c r="I246" s="22">
        <v>-1.5560900000000001E-2</v>
      </c>
      <c r="J246" s="22">
        <v>236</v>
      </c>
      <c r="K246" s="22">
        <v>0.61096200000000001</v>
      </c>
      <c r="L246">
        <f t="shared" si="36"/>
        <v>15.5609</v>
      </c>
      <c r="M246">
        <f t="shared" si="37"/>
        <v>9.5166107348000004</v>
      </c>
      <c r="N246" s="9"/>
      <c r="O246" s="22">
        <v>1.0884100000000001</v>
      </c>
      <c r="P246" s="22">
        <v>60.784599999999998</v>
      </c>
      <c r="Q246" s="22">
        <v>-1.5271E-2</v>
      </c>
      <c r="R246" s="22">
        <v>236</v>
      </c>
      <c r="S246" s="22">
        <v>1.08704</v>
      </c>
      <c r="T246">
        <f t="shared" si="38"/>
        <v>15.270999999999999</v>
      </c>
      <c r="U246">
        <f t="shared" si="39"/>
        <v>16.621109109999999</v>
      </c>
      <c r="X246" s="9"/>
      <c r="Y246" s="22">
        <v>0.611572</v>
      </c>
      <c r="Z246" s="22">
        <v>110.36199999999999</v>
      </c>
      <c r="AA246" s="22">
        <v>-1.5594500000000001E-2</v>
      </c>
      <c r="AB246" s="22">
        <v>236</v>
      </c>
      <c r="AC246" s="22">
        <v>0.61090100000000003</v>
      </c>
      <c r="AD246">
        <f t="shared" si="40"/>
        <v>15.5945</v>
      </c>
      <c r="AE246">
        <f t="shared" si="41"/>
        <v>9.5371595540000005</v>
      </c>
      <c r="AF246" s="9"/>
      <c r="AG246" s="22">
        <v>1.0884100000000001</v>
      </c>
      <c r="AH246" s="22">
        <v>142.02099999999999</v>
      </c>
      <c r="AI246" s="22">
        <v>-1.5261800000000001E-2</v>
      </c>
      <c r="AJ246" s="22">
        <v>236</v>
      </c>
      <c r="AK246" s="22">
        <v>1.08795</v>
      </c>
      <c r="AL246">
        <f t="shared" si="42"/>
        <v>15.261800000000001</v>
      </c>
      <c r="AM246">
        <f t="shared" si="43"/>
        <v>16.611095738000003</v>
      </c>
      <c r="AP246" s="9"/>
      <c r="AQ246" s="22">
        <v>0.611572</v>
      </c>
      <c r="AR246" s="22">
        <v>191.4</v>
      </c>
      <c r="AS246" s="22">
        <v>-1.55792E-2</v>
      </c>
      <c r="AT246" s="22">
        <v>236</v>
      </c>
      <c r="AU246" s="22">
        <v>0.61096200000000001</v>
      </c>
      <c r="AV246">
        <f t="shared" si="44"/>
        <v>15.5792</v>
      </c>
      <c r="AW246">
        <f t="shared" si="45"/>
        <v>9.5278025024000002</v>
      </c>
      <c r="AX246" s="9"/>
      <c r="AY246" s="22">
        <v>1.0884100000000001</v>
      </c>
      <c r="AZ246" s="22">
        <v>240.78299999999999</v>
      </c>
      <c r="BA246" s="22">
        <v>-1.5273999999999999E-2</v>
      </c>
      <c r="BB246" s="22">
        <v>236</v>
      </c>
      <c r="BC246" s="22">
        <v>1.08765</v>
      </c>
      <c r="BD246">
        <f t="shared" si="46"/>
        <v>15.273999999999999</v>
      </c>
      <c r="BE246">
        <f t="shared" si="47"/>
        <v>16.624374339999999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11.373200000000001</v>
      </c>
      <c r="I247" s="22">
        <v>-1.55701E-2</v>
      </c>
      <c r="J247" s="22">
        <v>237</v>
      </c>
      <c r="K247" s="22">
        <v>0.60592699999999999</v>
      </c>
      <c r="L247">
        <f t="shared" si="36"/>
        <v>15.5701</v>
      </c>
      <c r="M247">
        <f t="shared" si="37"/>
        <v>9.4438417437000002</v>
      </c>
      <c r="N247" s="9"/>
      <c r="O247" s="22">
        <v>1.09344</v>
      </c>
      <c r="P247" s="22">
        <v>60.794600000000003</v>
      </c>
      <c r="Q247" s="22">
        <v>-1.52649E-2</v>
      </c>
      <c r="R247" s="22">
        <v>237</v>
      </c>
      <c r="S247" s="22">
        <v>1.09253</v>
      </c>
      <c r="T247">
        <f t="shared" si="38"/>
        <v>15.264899999999999</v>
      </c>
      <c r="U247">
        <f t="shared" si="39"/>
        <v>16.691252255999999</v>
      </c>
      <c r="X247" s="9"/>
      <c r="Y247" s="22">
        <v>0.60653699999999999</v>
      </c>
      <c r="Z247" s="22">
        <v>110.372</v>
      </c>
      <c r="AA247" s="22">
        <v>-1.5600599999999999E-2</v>
      </c>
      <c r="AB247" s="22">
        <v>237</v>
      </c>
      <c r="AC247" s="22">
        <v>0.60580400000000001</v>
      </c>
      <c r="AD247">
        <f t="shared" si="40"/>
        <v>15.6006</v>
      </c>
      <c r="AE247">
        <f t="shared" si="41"/>
        <v>9.4623411221999998</v>
      </c>
      <c r="AF247" s="9"/>
      <c r="AG247" s="22">
        <v>1.09344</v>
      </c>
      <c r="AH247" s="22">
        <v>142.03100000000001</v>
      </c>
      <c r="AI247" s="22">
        <v>-1.52649E-2</v>
      </c>
      <c r="AJ247" s="22">
        <v>237</v>
      </c>
      <c r="AK247" s="22">
        <v>1.09192</v>
      </c>
      <c r="AL247">
        <f t="shared" si="42"/>
        <v>15.264899999999999</v>
      </c>
      <c r="AM247">
        <f t="shared" si="43"/>
        <v>16.691252255999999</v>
      </c>
      <c r="AP247" s="9"/>
      <c r="AQ247" s="22">
        <v>0.60653699999999999</v>
      </c>
      <c r="AR247" s="22">
        <v>191.41</v>
      </c>
      <c r="AS247" s="22">
        <v>-1.55853E-2</v>
      </c>
      <c r="AT247" s="22">
        <v>237</v>
      </c>
      <c r="AU247" s="22">
        <v>0.60592699999999999</v>
      </c>
      <c r="AV247">
        <f t="shared" si="44"/>
        <v>15.5853</v>
      </c>
      <c r="AW247">
        <f t="shared" si="45"/>
        <v>9.4530611060999998</v>
      </c>
      <c r="AX247" s="9"/>
      <c r="AY247" s="22">
        <v>1.09344</v>
      </c>
      <c r="AZ247" s="22">
        <v>240.79300000000001</v>
      </c>
      <c r="BA247" s="22">
        <v>-1.52649E-2</v>
      </c>
      <c r="BB247" s="22">
        <v>237</v>
      </c>
      <c r="BC247" s="22">
        <v>1.09314</v>
      </c>
      <c r="BD247">
        <f t="shared" si="46"/>
        <v>15.264899999999999</v>
      </c>
      <c r="BE247">
        <f t="shared" si="47"/>
        <v>16.691252255999999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11.3833</v>
      </c>
      <c r="I248" s="22">
        <v>-1.55701E-2</v>
      </c>
      <c r="J248" s="22">
        <v>238</v>
      </c>
      <c r="K248" s="22">
        <v>0.6008</v>
      </c>
      <c r="L248">
        <f t="shared" si="36"/>
        <v>15.5701</v>
      </c>
      <c r="M248">
        <f t="shared" si="37"/>
        <v>9.3654307200999991</v>
      </c>
      <c r="N248" s="9"/>
      <c r="O248" s="22">
        <v>1.0984799999999999</v>
      </c>
      <c r="P248" s="22">
        <v>60.804699999999997</v>
      </c>
      <c r="Q248" s="22">
        <v>-1.5252699999999999E-2</v>
      </c>
      <c r="R248" s="22">
        <v>238</v>
      </c>
      <c r="S248" s="22">
        <v>1.09772</v>
      </c>
      <c r="T248">
        <f t="shared" si="38"/>
        <v>15.252699999999999</v>
      </c>
      <c r="U248">
        <f t="shared" si="39"/>
        <v>16.754785895999998</v>
      </c>
      <c r="X248" s="9"/>
      <c r="Y248" s="22">
        <v>0.60150099999999995</v>
      </c>
      <c r="Z248" s="22">
        <v>110.38200000000001</v>
      </c>
      <c r="AA248" s="22">
        <v>-1.56036E-2</v>
      </c>
      <c r="AB248" s="22">
        <v>238</v>
      </c>
      <c r="AC248" s="22">
        <v>0.6008</v>
      </c>
      <c r="AD248">
        <f t="shared" si="40"/>
        <v>15.6036</v>
      </c>
      <c r="AE248">
        <f t="shared" si="41"/>
        <v>9.3855810035999987</v>
      </c>
      <c r="AF248" s="9"/>
      <c r="AG248" s="22">
        <v>1.0984799999999999</v>
      </c>
      <c r="AH248" s="22">
        <v>142.041</v>
      </c>
      <c r="AI248" s="22">
        <v>-1.5261800000000001E-2</v>
      </c>
      <c r="AJ248" s="22">
        <v>238</v>
      </c>
      <c r="AK248" s="22">
        <v>1.09833</v>
      </c>
      <c r="AL248">
        <f t="shared" si="42"/>
        <v>15.261800000000001</v>
      </c>
      <c r="AM248">
        <f t="shared" si="43"/>
        <v>16.764782063999998</v>
      </c>
      <c r="AP248" s="9"/>
      <c r="AQ248" s="22">
        <v>0.60150099999999995</v>
      </c>
      <c r="AR248" s="22">
        <v>191.42</v>
      </c>
      <c r="AS248" s="22">
        <v>-1.55853E-2</v>
      </c>
      <c r="AT248" s="22">
        <v>238</v>
      </c>
      <c r="AU248" s="22">
        <v>0.60089099999999995</v>
      </c>
      <c r="AV248">
        <f t="shared" si="44"/>
        <v>15.5853</v>
      </c>
      <c r="AW248">
        <f t="shared" si="45"/>
        <v>9.3745735352999997</v>
      </c>
      <c r="AX248" s="9"/>
      <c r="AY248" s="22">
        <v>1.0984799999999999</v>
      </c>
      <c r="AZ248" s="22">
        <v>240.803</v>
      </c>
      <c r="BA248" s="22">
        <v>-1.5261800000000001E-2</v>
      </c>
      <c r="BB248" s="22">
        <v>238</v>
      </c>
      <c r="BC248" s="22">
        <v>1.09741</v>
      </c>
      <c r="BD248">
        <f t="shared" si="46"/>
        <v>15.261800000000001</v>
      </c>
      <c r="BE248">
        <f t="shared" si="47"/>
        <v>16.764782063999998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11.3934</v>
      </c>
      <c r="I249" s="22">
        <v>-1.55762E-2</v>
      </c>
      <c r="J249" s="22">
        <v>239</v>
      </c>
      <c r="K249" s="22">
        <v>0.59579499999999996</v>
      </c>
      <c r="L249">
        <f t="shared" si="36"/>
        <v>15.5762</v>
      </c>
      <c r="M249">
        <f t="shared" si="37"/>
        <v>9.2906737092</v>
      </c>
      <c r="N249" s="9"/>
      <c r="O249" s="22">
        <v>1.1035200000000001</v>
      </c>
      <c r="P249" s="22">
        <v>60.814799999999998</v>
      </c>
      <c r="Q249" s="22">
        <v>-1.52344E-2</v>
      </c>
      <c r="R249" s="22">
        <v>239</v>
      </c>
      <c r="S249" s="22">
        <v>1.10229</v>
      </c>
      <c r="T249">
        <f t="shared" si="38"/>
        <v>15.234400000000001</v>
      </c>
      <c r="U249">
        <f t="shared" si="39"/>
        <v>16.811465088000002</v>
      </c>
      <c r="X249" s="9"/>
      <c r="Y249" s="22">
        <v>0.59646600000000005</v>
      </c>
      <c r="Z249" s="22">
        <v>110.392</v>
      </c>
      <c r="AA249" s="22">
        <v>-1.56036E-2</v>
      </c>
      <c r="AB249" s="22">
        <v>239</v>
      </c>
      <c r="AC249" s="22">
        <v>0.59588600000000003</v>
      </c>
      <c r="AD249">
        <f t="shared" si="40"/>
        <v>15.6036</v>
      </c>
      <c r="AE249">
        <f t="shared" si="41"/>
        <v>9.3070168776000006</v>
      </c>
      <c r="AF249" s="9"/>
      <c r="AG249" s="22">
        <v>1.1035200000000001</v>
      </c>
      <c r="AH249" s="22">
        <v>142.05099999999999</v>
      </c>
      <c r="AI249" s="22">
        <v>-1.5252699999999999E-2</v>
      </c>
      <c r="AJ249" s="22">
        <v>239</v>
      </c>
      <c r="AK249" s="22">
        <v>1.10229</v>
      </c>
      <c r="AL249">
        <f t="shared" si="42"/>
        <v>15.252699999999999</v>
      </c>
      <c r="AM249">
        <f t="shared" si="43"/>
        <v>16.831659504000001</v>
      </c>
      <c r="AP249" s="9"/>
      <c r="AQ249" s="22">
        <v>0.59646600000000005</v>
      </c>
      <c r="AR249" s="22">
        <v>191.43</v>
      </c>
      <c r="AS249" s="22">
        <v>-1.55853E-2</v>
      </c>
      <c r="AT249" s="22">
        <v>239</v>
      </c>
      <c r="AU249" s="22">
        <v>0.59585600000000005</v>
      </c>
      <c r="AV249">
        <f t="shared" si="44"/>
        <v>15.5853</v>
      </c>
      <c r="AW249">
        <f t="shared" si="45"/>
        <v>9.2961015498000013</v>
      </c>
      <c r="AX249" s="9"/>
      <c r="AY249" s="22">
        <v>1.1035200000000001</v>
      </c>
      <c r="AZ249" s="22">
        <v>240.81299999999999</v>
      </c>
      <c r="BA249" s="22">
        <v>-1.5255700000000001E-2</v>
      </c>
      <c r="BB249" s="22">
        <v>239</v>
      </c>
      <c r="BC249" s="22">
        <v>1.1029100000000001</v>
      </c>
      <c r="BD249">
        <f t="shared" si="46"/>
        <v>15.255700000000001</v>
      </c>
      <c r="BE249">
        <f t="shared" si="47"/>
        <v>16.834970064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11.4034</v>
      </c>
      <c r="I250" s="22">
        <v>-1.55792E-2</v>
      </c>
      <c r="J250" s="22">
        <v>240</v>
      </c>
      <c r="K250" s="22">
        <v>0.59079000000000004</v>
      </c>
      <c r="L250">
        <f t="shared" si="36"/>
        <v>15.5792</v>
      </c>
      <c r="M250">
        <f t="shared" si="37"/>
        <v>9.2140218352000005</v>
      </c>
      <c r="N250" s="9"/>
      <c r="O250" s="22">
        <v>1.1085499999999999</v>
      </c>
      <c r="P250" s="22">
        <v>60.8249</v>
      </c>
      <c r="Q250" s="22">
        <v>-1.52222E-2</v>
      </c>
      <c r="R250" s="22">
        <v>240</v>
      </c>
      <c r="S250" s="22">
        <v>1.1077900000000001</v>
      </c>
      <c r="T250">
        <f t="shared" si="38"/>
        <v>15.222200000000001</v>
      </c>
      <c r="U250">
        <f t="shared" si="39"/>
        <v>16.874569810000001</v>
      </c>
      <c r="X250" s="9"/>
      <c r="Y250" s="22">
        <v>0.59143100000000004</v>
      </c>
      <c r="Z250" s="22">
        <v>110.402</v>
      </c>
      <c r="AA250" s="22">
        <v>-1.5606699999999999E-2</v>
      </c>
      <c r="AB250" s="22">
        <v>240</v>
      </c>
      <c r="AC250" s="22">
        <v>0.59072899999999995</v>
      </c>
      <c r="AD250">
        <f t="shared" si="40"/>
        <v>15.6067</v>
      </c>
      <c r="AE250">
        <f t="shared" si="41"/>
        <v>9.2302861877000009</v>
      </c>
      <c r="AF250" s="9"/>
      <c r="AG250" s="22">
        <v>1.1085499999999999</v>
      </c>
      <c r="AH250" s="22">
        <v>142.06100000000001</v>
      </c>
      <c r="AI250" s="22">
        <v>-1.52374E-2</v>
      </c>
      <c r="AJ250" s="22">
        <v>240</v>
      </c>
      <c r="AK250" s="22">
        <v>1.1084000000000001</v>
      </c>
      <c r="AL250">
        <f t="shared" si="42"/>
        <v>15.237399999999999</v>
      </c>
      <c r="AM250">
        <f t="shared" si="43"/>
        <v>16.891419769999999</v>
      </c>
      <c r="AP250" s="9"/>
      <c r="AQ250" s="22">
        <v>0.59143100000000004</v>
      </c>
      <c r="AR250" s="22">
        <v>191.44</v>
      </c>
      <c r="AS250" s="22">
        <v>-1.55823E-2</v>
      </c>
      <c r="AT250" s="22">
        <v>240</v>
      </c>
      <c r="AU250" s="22">
        <v>0.59079000000000004</v>
      </c>
      <c r="AV250">
        <f t="shared" si="44"/>
        <v>15.5823</v>
      </c>
      <c r="AW250">
        <f t="shared" si="45"/>
        <v>9.2158552713000006</v>
      </c>
      <c r="AX250" s="9"/>
      <c r="AY250" s="22">
        <v>1.1085499999999999</v>
      </c>
      <c r="AZ250" s="22">
        <v>240.82300000000001</v>
      </c>
      <c r="BA250" s="22">
        <v>-1.5252699999999999E-2</v>
      </c>
      <c r="BB250" s="22">
        <v>240</v>
      </c>
      <c r="BC250" s="22">
        <v>1.1077900000000001</v>
      </c>
      <c r="BD250">
        <f t="shared" si="46"/>
        <v>15.252699999999999</v>
      </c>
      <c r="BE250">
        <f t="shared" si="47"/>
        <v>16.908380584999996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11.413500000000001</v>
      </c>
      <c r="I251" s="22">
        <v>-1.55823E-2</v>
      </c>
      <c r="J251" s="22">
        <v>241</v>
      </c>
      <c r="K251" s="22">
        <v>0.585785</v>
      </c>
      <c r="L251">
        <f t="shared" si="36"/>
        <v>15.5823</v>
      </c>
      <c r="M251">
        <f t="shared" si="37"/>
        <v>9.1373828085</v>
      </c>
      <c r="N251" s="9"/>
      <c r="O251" s="22">
        <v>1.1135900000000001</v>
      </c>
      <c r="P251" s="22">
        <v>60.834899999999998</v>
      </c>
      <c r="Q251" s="22">
        <v>-1.5213000000000001E-2</v>
      </c>
      <c r="R251" s="22">
        <v>241</v>
      </c>
      <c r="S251" s="22">
        <v>1.1129800000000001</v>
      </c>
      <c r="T251">
        <f t="shared" si="38"/>
        <v>15.213000000000001</v>
      </c>
      <c r="U251">
        <f t="shared" si="39"/>
        <v>16.941044670000004</v>
      </c>
      <c r="X251" s="9"/>
      <c r="Y251" s="22">
        <v>0.586395</v>
      </c>
      <c r="Z251" s="22">
        <v>110.41200000000001</v>
      </c>
      <c r="AA251" s="22">
        <v>-1.5606699999999999E-2</v>
      </c>
      <c r="AB251" s="22">
        <v>241</v>
      </c>
      <c r="AC251" s="22">
        <v>0.58566300000000004</v>
      </c>
      <c r="AD251">
        <f t="shared" si="40"/>
        <v>15.6067</v>
      </c>
      <c r="AE251">
        <f t="shared" si="41"/>
        <v>9.1516908464999993</v>
      </c>
      <c r="AF251" s="9"/>
      <c r="AG251" s="22">
        <v>1.1135900000000001</v>
      </c>
      <c r="AH251" s="22">
        <v>142.071</v>
      </c>
      <c r="AI251" s="22">
        <v>-1.52313E-2</v>
      </c>
      <c r="AJ251" s="22">
        <v>241</v>
      </c>
      <c r="AK251" s="22">
        <v>1.1123700000000001</v>
      </c>
      <c r="AL251">
        <f t="shared" si="42"/>
        <v>15.231299999999999</v>
      </c>
      <c r="AM251">
        <f t="shared" si="43"/>
        <v>16.961423367000002</v>
      </c>
      <c r="AP251" s="9"/>
      <c r="AQ251" s="22">
        <v>0.586395</v>
      </c>
      <c r="AR251" s="22">
        <v>191.45</v>
      </c>
      <c r="AS251" s="22">
        <v>-1.55823E-2</v>
      </c>
      <c r="AT251" s="22">
        <v>241</v>
      </c>
      <c r="AU251" s="22">
        <v>0.585754</v>
      </c>
      <c r="AV251">
        <f t="shared" si="44"/>
        <v>15.5823</v>
      </c>
      <c r="AW251">
        <f t="shared" si="45"/>
        <v>9.1373828085</v>
      </c>
      <c r="AX251" s="9"/>
      <c r="AY251" s="22">
        <v>1.1135900000000001</v>
      </c>
      <c r="AZ251" s="22">
        <v>240.833</v>
      </c>
      <c r="BA251" s="22">
        <v>-1.52435E-2</v>
      </c>
      <c r="BB251" s="22">
        <v>241</v>
      </c>
      <c r="BC251" s="22">
        <v>1.1123700000000001</v>
      </c>
      <c r="BD251">
        <f t="shared" si="46"/>
        <v>15.243500000000001</v>
      </c>
      <c r="BE251">
        <f t="shared" si="47"/>
        <v>16.975009165000003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11.4236</v>
      </c>
      <c r="I252" s="22">
        <v>-1.55853E-2</v>
      </c>
      <c r="J252" s="22">
        <v>242</v>
      </c>
      <c r="K252" s="22">
        <v>0.58074999999999999</v>
      </c>
      <c r="L252">
        <f t="shared" si="36"/>
        <v>15.5853</v>
      </c>
      <c r="M252">
        <f t="shared" si="37"/>
        <v>9.0606700080000007</v>
      </c>
      <c r="N252" s="9"/>
      <c r="O252" s="22">
        <v>1.1186199999999999</v>
      </c>
      <c r="P252" s="22">
        <v>60.844999999999999</v>
      </c>
      <c r="Q252" s="22">
        <v>-1.5213000000000001E-2</v>
      </c>
      <c r="R252" s="22">
        <v>242</v>
      </c>
      <c r="S252" s="22">
        <v>1.1178600000000001</v>
      </c>
      <c r="T252">
        <f t="shared" si="38"/>
        <v>15.213000000000001</v>
      </c>
      <c r="U252">
        <f t="shared" si="39"/>
        <v>17.01756606</v>
      </c>
      <c r="X252" s="9"/>
      <c r="Y252" s="22">
        <v>0.58135999999999999</v>
      </c>
      <c r="Z252" s="22">
        <v>110.422</v>
      </c>
      <c r="AA252" s="22">
        <v>-1.5606699999999999E-2</v>
      </c>
      <c r="AB252" s="22">
        <v>242</v>
      </c>
      <c r="AC252" s="22">
        <v>0.58068799999999998</v>
      </c>
      <c r="AD252">
        <f t="shared" si="40"/>
        <v>15.6067</v>
      </c>
      <c r="AE252">
        <f t="shared" si="41"/>
        <v>9.0731111119999994</v>
      </c>
      <c r="AF252" s="9"/>
      <c r="AG252" s="22">
        <v>1.1186199999999999</v>
      </c>
      <c r="AH252" s="22">
        <v>142.08199999999999</v>
      </c>
      <c r="AI252" s="22">
        <v>-1.52222E-2</v>
      </c>
      <c r="AJ252" s="22">
        <v>242</v>
      </c>
      <c r="AK252" s="22">
        <v>1.1178600000000001</v>
      </c>
      <c r="AL252">
        <f t="shared" si="42"/>
        <v>15.222200000000001</v>
      </c>
      <c r="AM252">
        <f t="shared" si="43"/>
        <v>17.027857363999999</v>
      </c>
      <c r="AP252" s="9"/>
      <c r="AQ252" s="22">
        <v>0.58135999999999999</v>
      </c>
      <c r="AR252" s="22">
        <v>191.46</v>
      </c>
      <c r="AS252" s="22">
        <v>-1.55823E-2</v>
      </c>
      <c r="AT252" s="22">
        <v>242</v>
      </c>
      <c r="AU252" s="22">
        <v>0.58074999999999999</v>
      </c>
      <c r="AV252">
        <f t="shared" si="44"/>
        <v>15.5823</v>
      </c>
      <c r="AW252">
        <f t="shared" si="45"/>
        <v>9.058925927999999</v>
      </c>
      <c r="AX252" s="9"/>
      <c r="AY252" s="22">
        <v>1.1186199999999999</v>
      </c>
      <c r="AZ252" s="22">
        <v>240.84299999999999</v>
      </c>
      <c r="BA252" s="22">
        <v>-1.52313E-2</v>
      </c>
      <c r="BB252" s="22">
        <v>242</v>
      </c>
      <c r="BC252" s="22">
        <v>1.1178600000000001</v>
      </c>
      <c r="BD252">
        <f t="shared" si="46"/>
        <v>15.231299999999999</v>
      </c>
      <c r="BE252">
        <f t="shared" si="47"/>
        <v>17.038036805999997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11.4336</v>
      </c>
      <c r="I253" s="22">
        <v>-1.55853E-2</v>
      </c>
      <c r="J253" s="22">
        <v>243</v>
      </c>
      <c r="K253" s="22">
        <v>0.57571399999999995</v>
      </c>
      <c r="L253">
        <f t="shared" si="36"/>
        <v>15.5853</v>
      </c>
      <c r="M253">
        <f t="shared" si="37"/>
        <v>8.9821824371999988</v>
      </c>
      <c r="N253" s="9"/>
      <c r="O253" s="22">
        <v>1.1236600000000001</v>
      </c>
      <c r="P253" s="22">
        <v>60.8551</v>
      </c>
      <c r="Q253" s="22">
        <v>-1.521E-2</v>
      </c>
      <c r="R253" s="22">
        <v>243</v>
      </c>
      <c r="S253" s="22">
        <v>1.1224400000000001</v>
      </c>
      <c r="T253">
        <f t="shared" si="38"/>
        <v>15.209999999999999</v>
      </c>
      <c r="U253">
        <f t="shared" si="39"/>
        <v>17.0908686</v>
      </c>
      <c r="X253" s="9"/>
      <c r="Y253" s="22">
        <v>0.57632399999999995</v>
      </c>
      <c r="Z253" s="22">
        <v>110.432</v>
      </c>
      <c r="AA253" s="22">
        <v>-1.5609700000000001E-2</v>
      </c>
      <c r="AB253" s="22">
        <v>243</v>
      </c>
      <c r="AC253" s="22">
        <v>0.575623</v>
      </c>
      <c r="AD253">
        <f t="shared" si="40"/>
        <v>15.6097</v>
      </c>
      <c r="AE253">
        <f t="shared" si="41"/>
        <v>8.9962447428000001</v>
      </c>
      <c r="AF253" s="9"/>
      <c r="AG253" s="22">
        <v>1.1236600000000001</v>
      </c>
      <c r="AH253" s="22">
        <v>142.09200000000001</v>
      </c>
      <c r="AI253" s="22">
        <v>-1.5219099999999999E-2</v>
      </c>
      <c r="AJ253" s="22">
        <v>243</v>
      </c>
      <c r="AK253" s="22">
        <v>1.1227400000000001</v>
      </c>
      <c r="AL253">
        <f t="shared" si="42"/>
        <v>15.219099999999999</v>
      </c>
      <c r="AM253">
        <f t="shared" si="43"/>
        <v>17.101093905999999</v>
      </c>
      <c r="AP253" s="9"/>
      <c r="AQ253" s="22">
        <v>0.57632399999999995</v>
      </c>
      <c r="AR253" s="22">
        <v>191.47</v>
      </c>
      <c r="AS253" s="22">
        <v>-1.55853E-2</v>
      </c>
      <c r="AT253" s="22">
        <v>243</v>
      </c>
      <c r="AU253" s="22">
        <v>0.57565299999999997</v>
      </c>
      <c r="AV253">
        <f t="shared" si="44"/>
        <v>15.5853</v>
      </c>
      <c r="AW253">
        <f t="shared" si="45"/>
        <v>8.9821824371999988</v>
      </c>
      <c r="AX253" s="9"/>
      <c r="AY253" s="22">
        <v>1.1236600000000001</v>
      </c>
      <c r="AZ253" s="22">
        <v>240.85300000000001</v>
      </c>
      <c r="BA253" s="22">
        <v>-1.5213000000000001E-2</v>
      </c>
      <c r="BB253" s="22">
        <v>243</v>
      </c>
      <c r="BC253" s="22">
        <v>1.1224400000000001</v>
      </c>
      <c r="BD253">
        <f t="shared" si="46"/>
        <v>15.213000000000001</v>
      </c>
      <c r="BE253">
        <f t="shared" si="47"/>
        <v>17.094239580000004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11.4437</v>
      </c>
      <c r="I254" s="22">
        <v>-1.5588400000000001E-2</v>
      </c>
      <c r="J254" s="22">
        <v>244</v>
      </c>
      <c r="K254" s="22">
        <v>0.57061799999999996</v>
      </c>
      <c r="L254">
        <f t="shared" si="36"/>
        <v>15.5884</v>
      </c>
      <c r="M254">
        <f t="shared" si="37"/>
        <v>8.9054814476000015</v>
      </c>
      <c r="N254" s="9"/>
      <c r="O254" s="22">
        <v>1.12869</v>
      </c>
      <c r="P254" s="22">
        <v>60.865099999999998</v>
      </c>
      <c r="Q254" s="22">
        <v>-1.5206900000000001E-2</v>
      </c>
      <c r="R254" s="22">
        <v>244</v>
      </c>
      <c r="S254" s="22">
        <v>1.1282300000000001</v>
      </c>
      <c r="T254">
        <f t="shared" si="38"/>
        <v>15.206900000000001</v>
      </c>
      <c r="U254">
        <f t="shared" si="39"/>
        <v>17.163875961000002</v>
      </c>
      <c r="X254" s="9"/>
      <c r="Y254" s="22">
        <v>0.57128900000000005</v>
      </c>
      <c r="Z254" s="22">
        <v>110.443</v>
      </c>
      <c r="AA254" s="22">
        <v>-1.5609700000000001E-2</v>
      </c>
      <c r="AB254" s="22">
        <v>244</v>
      </c>
      <c r="AC254" s="22">
        <v>0.57064800000000004</v>
      </c>
      <c r="AD254">
        <f t="shared" si="40"/>
        <v>15.6097</v>
      </c>
      <c r="AE254">
        <f t="shared" si="41"/>
        <v>8.917649903300001</v>
      </c>
      <c r="AF254" s="9"/>
      <c r="AG254" s="22">
        <v>1.12869</v>
      </c>
      <c r="AH254" s="22">
        <v>142.102</v>
      </c>
      <c r="AI254" s="22">
        <v>-1.5213000000000001E-2</v>
      </c>
      <c r="AJ254" s="22">
        <v>244</v>
      </c>
      <c r="AK254" s="22">
        <v>1.1276200000000001</v>
      </c>
      <c r="AL254">
        <f t="shared" si="42"/>
        <v>15.213000000000001</v>
      </c>
      <c r="AM254">
        <f t="shared" si="43"/>
        <v>17.17076097</v>
      </c>
      <c r="AP254" s="9"/>
      <c r="AQ254" s="22">
        <v>0.57128900000000005</v>
      </c>
      <c r="AR254" s="22">
        <v>191.48</v>
      </c>
      <c r="AS254" s="22">
        <v>-1.5588400000000001E-2</v>
      </c>
      <c r="AT254" s="22">
        <v>244</v>
      </c>
      <c r="AU254" s="22">
        <v>0.57058699999999996</v>
      </c>
      <c r="AV254">
        <f t="shared" si="44"/>
        <v>15.5884</v>
      </c>
      <c r="AW254">
        <f t="shared" si="45"/>
        <v>8.9054814476000015</v>
      </c>
      <c r="AX254" s="9"/>
      <c r="AY254" s="22">
        <v>1.12869</v>
      </c>
      <c r="AZ254" s="22">
        <v>240.864</v>
      </c>
      <c r="BA254" s="22">
        <v>-1.51947E-2</v>
      </c>
      <c r="BB254" s="22">
        <v>244</v>
      </c>
      <c r="BC254" s="22">
        <v>1.1279300000000001</v>
      </c>
      <c r="BD254">
        <f t="shared" si="46"/>
        <v>15.194700000000001</v>
      </c>
      <c r="BE254">
        <f t="shared" si="47"/>
        <v>17.150105943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11.453799999999999</v>
      </c>
      <c r="I255" s="22">
        <v>-1.55853E-2</v>
      </c>
      <c r="J255" s="22">
        <v>245</v>
      </c>
      <c r="K255" s="22">
        <v>0.56555200000000005</v>
      </c>
      <c r="L255">
        <f t="shared" si="36"/>
        <v>15.5853</v>
      </c>
      <c r="M255">
        <f t="shared" si="37"/>
        <v>8.8252384662000001</v>
      </c>
      <c r="N255" s="9"/>
      <c r="O255" s="22">
        <v>1.1337299999999999</v>
      </c>
      <c r="P255" s="22">
        <v>60.8752</v>
      </c>
      <c r="Q255" s="22">
        <v>-1.52008E-2</v>
      </c>
      <c r="R255" s="22">
        <v>245</v>
      </c>
      <c r="S255" s="22">
        <v>1.1328100000000001</v>
      </c>
      <c r="T255">
        <f t="shared" si="38"/>
        <v>15.200800000000001</v>
      </c>
      <c r="U255">
        <f t="shared" si="39"/>
        <v>17.233602984000001</v>
      </c>
      <c r="X255" s="9"/>
      <c r="Y255" s="22">
        <v>0.56625400000000004</v>
      </c>
      <c r="Z255" s="22">
        <v>110.453</v>
      </c>
      <c r="AA255" s="22">
        <v>-1.56036E-2</v>
      </c>
      <c r="AB255" s="22">
        <v>245</v>
      </c>
      <c r="AC255" s="22">
        <v>0.56558200000000003</v>
      </c>
      <c r="AD255">
        <f t="shared" si="40"/>
        <v>15.6036</v>
      </c>
      <c r="AE255">
        <f t="shared" si="41"/>
        <v>8.8356009144000005</v>
      </c>
      <c r="AF255" s="9"/>
      <c r="AG255" s="22">
        <v>1.1337299999999999</v>
      </c>
      <c r="AH255" s="22">
        <v>142.11199999999999</v>
      </c>
      <c r="AI255" s="22">
        <v>-1.5203899999999999E-2</v>
      </c>
      <c r="AJ255" s="22">
        <v>245</v>
      </c>
      <c r="AK255" s="22">
        <v>1.1328100000000001</v>
      </c>
      <c r="AL255">
        <f t="shared" si="42"/>
        <v>15.203899999999999</v>
      </c>
      <c r="AM255">
        <f t="shared" si="43"/>
        <v>17.237117546999997</v>
      </c>
      <c r="AP255" s="9"/>
      <c r="AQ255" s="22">
        <v>0.56625400000000004</v>
      </c>
      <c r="AR255" s="22">
        <v>191.49</v>
      </c>
      <c r="AS255" s="22">
        <v>-1.55853E-2</v>
      </c>
      <c r="AT255" s="22">
        <v>245</v>
      </c>
      <c r="AU255" s="22">
        <v>0.56561300000000003</v>
      </c>
      <c r="AV255">
        <f t="shared" si="44"/>
        <v>15.5853</v>
      </c>
      <c r="AW255">
        <f t="shared" si="45"/>
        <v>8.8252384662000001</v>
      </c>
      <c r="AX255" s="9"/>
      <c r="AY255" s="22">
        <v>1.1337299999999999</v>
      </c>
      <c r="AZ255" s="22">
        <v>240.874</v>
      </c>
      <c r="BA255" s="22">
        <v>-1.51886E-2</v>
      </c>
      <c r="BB255" s="22">
        <v>245</v>
      </c>
      <c r="BC255" s="22">
        <v>1.1325099999999999</v>
      </c>
      <c r="BD255">
        <f t="shared" si="46"/>
        <v>15.188599999999999</v>
      </c>
      <c r="BE255">
        <f t="shared" si="47"/>
        <v>17.219771477999998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11.463900000000001</v>
      </c>
      <c r="I256" s="22">
        <v>-1.5588400000000001E-2</v>
      </c>
      <c r="J256" s="22">
        <v>246</v>
      </c>
      <c r="K256" s="22">
        <v>0.56057699999999999</v>
      </c>
      <c r="L256">
        <f t="shared" si="36"/>
        <v>15.5884</v>
      </c>
      <c r="M256">
        <f t="shared" si="37"/>
        <v>8.7484906712000008</v>
      </c>
      <c r="N256" s="9"/>
      <c r="O256" s="22">
        <v>1.13876</v>
      </c>
      <c r="P256" s="22">
        <v>60.885300000000001</v>
      </c>
      <c r="Q256" s="22">
        <v>-1.51886E-2</v>
      </c>
      <c r="R256" s="22">
        <v>246</v>
      </c>
      <c r="S256" s="22">
        <v>1.1379999999999999</v>
      </c>
      <c r="T256">
        <f t="shared" si="38"/>
        <v>15.188599999999999</v>
      </c>
      <c r="U256">
        <f t="shared" si="39"/>
        <v>17.296170136000001</v>
      </c>
      <c r="X256" s="9"/>
      <c r="Y256" s="22">
        <v>0.56121799999999999</v>
      </c>
      <c r="Z256" s="22">
        <v>110.46299999999999</v>
      </c>
      <c r="AA256" s="22">
        <v>-1.56036E-2</v>
      </c>
      <c r="AB256" s="22">
        <v>246</v>
      </c>
      <c r="AC256" s="22">
        <v>0.560608</v>
      </c>
      <c r="AD256">
        <f t="shared" si="40"/>
        <v>15.6036</v>
      </c>
      <c r="AE256">
        <f t="shared" si="41"/>
        <v>8.7570211847999992</v>
      </c>
      <c r="AF256" s="9"/>
      <c r="AG256" s="22">
        <v>1.13876</v>
      </c>
      <c r="AH256" s="22">
        <v>142.12200000000001</v>
      </c>
      <c r="AI256" s="22">
        <v>-1.51886E-2</v>
      </c>
      <c r="AJ256" s="22">
        <v>246</v>
      </c>
      <c r="AK256" s="22">
        <v>1.1383099999999999</v>
      </c>
      <c r="AL256">
        <f t="shared" si="42"/>
        <v>15.188599999999999</v>
      </c>
      <c r="AM256">
        <f t="shared" si="43"/>
        <v>17.296170136000001</v>
      </c>
      <c r="AP256" s="9"/>
      <c r="AQ256" s="22">
        <v>0.56121799999999999</v>
      </c>
      <c r="AR256" s="22">
        <v>191.5</v>
      </c>
      <c r="AS256" s="22">
        <v>-1.5588400000000001E-2</v>
      </c>
      <c r="AT256" s="22">
        <v>246</v>
      </c>
      <c r="AU256" s="22">
        <v>0.560608</v>
      </c>
      <c r="AV256">
        <f t="shared" si="44"/>
        <v>15.5884</v>
      </c>
      <c r="AW256">
        <f t="shared" si="45"/>
        <v>8.7484906712000008</v>
      </c>
      <c r="AX256" s="9"/>
      <c r="AY256" s="22">
        <v>1.13876</v>
      </c>
      <c r="AZ256" s="22">
        <v>240.88399999999999</v>
      </c>
      <c r="BA256" s="22">
        <v>-1.5185499999999999E-2</v>
      </c>
      <c r="BB256" s="22">
        <v>246</v>
      </c>
      <c r="BC256" s="22">
        <v>1.1379999999999999</v>
      </c>
      <c r="BD256">
        <f t="shared" si="46"/>
        <v>15.185499999999999</v>
      </c>
      <c r="BE256">
        <f t="shared" si="47"/>
        <v>17.292639980000001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11.4739</v>
      </c>
      <c r="I257" s="22">
        <v>-1.5588400000000001E-2</v>
      </c>
      <c r="J257" s="22">
        <v>247</v>
      </c>
      <c r="K257" s="22">
        <v>0.55557299999999998</v>
      </c>
      <c r="L257">
        <f t="shared" si="36"/>
        <v>15.5884</v>
      </c>
      <c r="M257">
        <f t="shared" si="37"/>
        <v>8.6700030772000005</v>
      </c>
      <c r="N257" s="9"/>
      <c r="O257" s="22">
        <v>1.1437999999999999</v>
      </c>
      <c r="P257" s="22">
        <v>60.895400000000002</v>
      </c>
      <c r="Q257" s="22">
        <v>-1.5185499999999999E-2</v>
      </c>
      <c r="R257" s="22">
        <v>247</v>
      </c>
      <c r="S257" s="22">
        <v>1.1422699999999999</v>
      </c>
      <c r="T257">
        <f t="shared" si="38"/>
        <v>15.185499999999999</v>
      </c>
      <c r="U257">
        <f t="shared" si="39"/>
        <v>17.369174899999997</v>
      </c>
      <c r="X257" s="9"/>
      <c r="Y257" s="22">
        <v>0.55618299999999998</v>
      </c>
      <c r="Z257" s="22">
        <v>110.473</v>
      </c>
      <c r="AA257" s="22">
        <v>-1.5606699999999999E-2</v>
      </c>
      <c r="AB257" s="22">
        <v>247</v>
      </c>
      <c r="AC257" s="22">
        <v>0.55554199999999998</v>
      </c>
      <c r="AD257">
        <f t="shared" si="40"/>
        <v>15.6067</v>
      </c>
      <c r="AE257">
        <f t="shared" si="41"/>
        <v>8.6801812261000002</v>
      </c>
      <c r="AF257" s="9"/>
      <c r="AG257" s="22">
        <v>1.1437999999999999</v>
      </c>
      <c r="AH257" s="22">
        <v>142.13200000000001</v>
      </c>
      <c r="AI257" s="22">
        <v>-1.51672E-2</v>
      </c>
      <c r="AJ257" s="22">
        <v>247</v>
      </c>
      <c r="AK257" s="22">
        <v>1.1428799999999999</v>
      </c>
      <c r="AL257">
        <f t="shared" si="42"/>
        <v>15.167200000000001</v>
      </c>
      <c r="AM257">
        <f t="shared" si="43"/>
        <v>17.348243360000001</v>
      </c>
      <c r="AP257" s="9"/>
      <c r="AQ257" s="22">
        <v>0.55618299999999998</v>
      </c>
      <c r="AR257" s="22">
        <v>191.51</v>
      </c>
      <c r="AS257" s="22">
        <v>-1.5588400000000001E-2</v>
      </c>
      <c r="AT257" s="22">
        <v>247</v>
      </c>
      <c r="AU257" s="22">
        <v>0.55551099999999998</v>
      </c>
      <c r="AV257">
        <f t="shared" si="44"/>
        <v>15.5884</v>
      </c>
      <c r="AW257">
        <f t="shared" si="45"/>
        <v>8.6700030772000005</v>
      </c>
      <c r="AX257" s="9"/>
      <c r="AY257" s="22">
        <v>1.1437999999999999</v>
      </c>
      <c r="AZ257" s="22">
        <v>240.89400000000001</v>
      </c>
      <c r="BA257" s="22">
        <v>-1.51764E-2</v>
      </c>
      <c r="BB257" s="22">
        <v>247</v>
      </c>
      <c r="BC257" s="22">
        <v>1.1428799999999999</v>
      </c>
      <c r="BD257">
        <f t="shared" si="46"/>
        <v>15.176399999999999</v>
      </c>
      <c r="BE257">
        <f t="shared" si="47"/>
        <v>17.358766319999997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11.484</v>
      </c>
      <c r="I258" s="22">
        <v>-1.55914E-2</v>
      </c>
      <c r="J258" s="22">
        <v>248</v>
      </c>
      <c r="K258" s="22">
        <v>0.55056799999999995</v>
      </c>
      <c r="L258">
        <f t="shared" si="36"/>
        <v>15.5914</v>
      </c>
      <c r="M258">
        <f t="shared" si="37"/>
        <v>8.5931533358000003</v>
      </c>
      <c r="N258" s="9"/>
      <c r="O258" s="22">
        <v>1.14883</v>
      </c>
      <c r="P258" s="22">
        <v>60.9054</v>
      </c>
      <c r="Q258" s="22">
        <v>-1.51764E-2</v>
      </c>
      <c r="R258" s="22">
        <v>248</v>
      </c>
      <c r="S258" s="22">
        <v>1.1480699999999999</v>
      </c>
      <c r="T258">
        <f t="shared" si="38"/>
        <v>15.176399999999999</v>
      </c>
      <c r="U258">
        <f t="shared" si="39"/>
        <v>17.435103611999999</v>
      </c>
      <c r="X258" s="9"/>
      <c r="Y258" s="22">
        <v>0.55114700000000005</v>
      </c>
      <c r="Z258" s="22">
        <v>110.483</v>
      </c>
      <c r="AA258" s="22">
        <v>-1.5609700000000001E-2</v>
      </c>
      <c r="AB258" s="22">
        <v>248</v>
      </c>
      <c r="AC258" s="22">
        <v>0.55056799999999995</v>
      </c>
      <c r="AD258">
        <f t="shared" si="40"/>
        <v>15.6097</v>
      </c>
      <c r="AE258">
        <f t="shared" si="41"/>
        <v>8.6032393259000006</v>
      </c>
      <c r="AF258" s="9"/>
      <c r="AG258" s="22">
        <v>1.14883</v>
      </c>
      <c r="AH258" s="22">
        <v>142.142</v>
      </c>
      <c r="AI258" s="22">
        <v>-1.5158100000000001E-2</v>
      </c>
      <c r="AJ258" s="22">
        <v>248</v>
      </c>
      <c r="AK258" s="22">
        <v>1.14777</v>
      </c>
      <c r="AL258">
        <f t="shared" si="42"/>
        <v>15.158100000000001</v>
      </c>
      <c r="AM258">
        <f t="shared" si="43"/>
        <v>17.414080023</v>
      </c>
      <c r="AP258" s="9"/>
      <c r="AQ258" s="22">
        <v>0.55114700000000005</v>
      </c>
      <c r="AR258" s="22">
        <v>191.52</v>
      </c>
      <c r="AS258" s="22">
        <v>-1.55914E-2</v>
      </c>
      <c r="AT258" s="22">
        <v>248</v>
      </c>
      <c r="AU258" s="22">
        <v>0.55047599999999997</v>
      </c>
      <c r="AV258">
        <f t="shared" si="44"/>
        <v>15.5914</v>
      </c>
      <c r="AW258">
        <f t="shared" si="45"/>
        <v>8.5931533358000003</v>
      </c>
      <c r="AX258" s="9"/>
      <c r="AY258" s="22">
        <v>1.14883</v>
      </c>
      <c r="AZ258" s="22">
        <v>240.904</v>
      </c>
      <c r="BA258" s="22">
        <v>-1.51672E-2</v>
      </c>
      <c r="BB258" s="22">
        <v>248</v>
      </c>
      <c r="BC258" s="22">
        <v>1.1480699999999999</v>
      </c>
      <c r="BD258">
        <f t="shared" si="46"/>
        <v>15.167200000000001</v>
      </c>
      <c r="BE258">
        <f t="shared" si="47"/>
        <v>17.424534376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11.4941</v>
      </c>
      <c r="I259" s="22">
        <v>-1.55914E-2</v>
      </c>
      <c r="J259" s="22">
        <v>249</v>
      </c>
      <c r="K259" s="22">
        <v>0.54547100000000004</v>
      </c>
      <c r="L259">
        <f t="shared" si="36"/>
        <v>15.5914</v>
      </c>
      <c r="M259">
        <f t="shared" si="37"/>
        <v>8.5146506368000008</v>
      </c>
      <c r="N259" s="9"/>
      <c r="O259" s="22">
        <v>1.15387</v>
      </c>
      <c r="P259" s="22">
        <v>60.915500000000002</v>
      </c>
      <c r="Q259" s="22">
        <v>-1.5170299999999999E-2</v>
      </c>
      <c r="R259" s="22">
        <v>249</v>
      </c>
      <c r="S259" s="22">
        <v>1.15326</v>
      </c>
      <c r="T259">
        <f t="shared" si="38"/>
        <v>15.170299999999999</v>
      </c>
      <c r="U259">
        <f t="shared" si="39"/>
        <v>17.504554060999997</v>
      </c>
      <c r="X259" s="9"/>
      <c r="Y259" s="22">
        <v>0.54611200000000004</v>
      </c>
      <c r="Z259" s="22">
        <v>110.49299999999999</v>
      </c>
      <c r="AA259" s="22">
        <v>-1.5609700000000001E-2</v>
      </c>
      <c r="AB259" s="22">
        <v>249</v>
      </c>
      <c r="AC259" s="22">
        <v>0.54547100000000004</v>
      </c>
      <c r="AD259">
        <f t="shared" si="40"/>
        <v>15.6097</v>
      </c>
      <c r="AE259">
        <f t="shared" si="41"/>
        <v>8.5246444864000015</v>
      </c>
      <c r="AF259" s="9"/>
      <c r="AG259" s="22">
        <v>1.15387</v>
      </c>
      <c r="AH259" s="22">
        <v>142.15199999999999</v>
      </c>
      <c r="AI259" s="22">
        <v>-1.51459E-2</v>
      </c>
      <c r="AJ259" s="22">
        <v>249</v>
      </c>
      <c r="AK259" s="22">
        <v>1.1529499999999999</v>
      </c>
      <c r="AL259">
        <f t="shared" si="42"/>
        <v>15.145900000000001</v>
      </c>
      <c r="AM259">
        <f t="shared" si="43"/>
        <v>17.476399633</v>
      </c>
      <c r="AP259" s="9"/>
      <c r="AQ259" s="22">
        <v>0.54611200000000004</v>
      </c>
      <c r="AR259" s="22">
        <v>191.53</v>
      </c>
      <c r="AS259" s="22">
        <v>-1.55914E-2</v>
      </c>
      <c r="AT259" s="22">
        <v>249</v>
      </c>
      <c r="AU259" s="22">
        <v>0.54540999999999995</v>
      </c>
      <c r="AV259">
        <f t="shared" si="44"/>
        <v>15.5914</v>
      </c>
      <c r="AW259">
        <f t="shared" si="45"/>
        <v>8.5146506368000008</v>
      </c>
      <c r="AX259" s="9"/>
      <c r="AY259" s="22">
        <v>1.15387</v>
      </c>
      <c r="AZ259" s="22">
        <v>240.91399999999999</v>
      </c>
      <c r="BA259" s="22">
        <v>-1.5158100000000001E-2</v>
      </c>
      <c r="BB259" s="22">
        <v>249</v>
      </c>
      <c r="BC259" s="22">
        <v>1.15326</v>
      </c>
      <c r="BD259">
        <f t="shared" si="46"/>
        <v>15.158100000000001</v>
      </c>
      <c r="BE259">
        <f t="shared" si="47"/>
        <v>17.490476847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11.504099999999999</v>
      </c>
      <c r="I260" s="22">
        <v>-1.55975E-2</v>
      </c>
      <c r="J260" s="22">
        <v>250</v>
      </c>
      <c r="K260" s="22">
        <v>0.54037500000000005</v>
      </c>
      <c r="L260">
        <f t="shared" si="36"/>
        <v>15.5975</v>
      </c>
      <c r="M260">
        <f t="shared" si="37"/>
        <v>8.4394485074999999</v>
      </c>
      <c r="N260" s="9"/>
      <c r="O260" s="22">
        <v>1.1589100000000001</v>
      </c>
      <c r="P260" s="22">
        <v>60.925600000000003</v>
      </c>
      <c r="Q260" s="22">
        <v>-1.5158100000000001E-2</v>
      </c>
      <c r="R260" s="22">
        <v>250</v>
      </c>
      <c r="S260" s="22">
        <v>1.15784</v>
      </c>
      <c r="T260">
        <f t="shared" si="38"/>
        <v>15.158100000000001</v>
      </c>
      <c r="U260">
        <f t="shared" si="39"/>
        <v>17.566873671000003</v>
      </c>
      <c r="X260" s="9"/>
      <c r="Y260" s="22">
        <v>0.54107700000000003</v>
      </c>
      <c r="Z260" s="22">
        <v>110.503</v>
      </c>
      <c r="AA260" s="22">
        <v>-1.5609700000000001E-2</v>
      </c>
      <c r="AB260" s="22">
        <v>250</v>
      </c>
      <c r="AC260" s="22">
        <v>0.54040500000000002</v>
      </c>
      <c r="AD260">
        <f t="shared" si="40"/>
        <v>15.6097</v>
      </c>
      <c r="AE260">
        <f t="shared" si="41"/>
        <v>8.4460496469000006</v>
      </c>
      <c r="AF260" s="9"/>
      <c r="AG260" s="22">
        <v>1.1589100000000001</v>
      </c>
      <c r="AH260" s="22">
        <v>142.16200000000001</v>
      </c>
      <c r="AI260" s="22">
        <v>-1.51337E-2</v>
      </c>
      <c r="AJ260" s="22">
        <v>250</v>
      </c>
      <c r="AK260" s="22">
        <v>1.1581399999999999</v>
      </c>
      <c r="AL260">
        <f t="shared" si="42"/>
        <v>15.133699999999999</v>
      </c>
      <c r="AM260">
        <f t="shared" si="43"/>
        <v>17.538596266999999</v>
      </c>
      <c r="AP260" s="9"/>
      <c r="AQ260" s="22">
        <v>0.54107700000000003</v>
      </c>
      <c r="AR260" s="22">
        <v>191.541</v>
      </c>
      <c r="AS260" s="22">
        <v>-1.55914E-2</v>
      </c>
      <c r="AT260" s="22">
        <v>250</v>
      </c>
      <c r="AU260" s="22">
        <v>0.54040500000000002</v>
      </c>
      <c r="AV260">
        <f t="shared" si="44"/>
        <v>15.5914</v>
      </c>
      <c r="AW260">
        <f t="shared" si="45"/>
        <v>8.4361479378000013</v>
      </c>
      <c r="AX260" s="9"/>
      <c r="AY260" s="22">
        <v>1.1589100000000001</v>
      </c>
      <c r="AZ260" s="22">
        <v>240.92400000000001</v>
      </c>
      <c r="BA260" s="22">
        <v>-1.5158100000000001E-2</v>
      </c>
      <c r="BB260" s="22">
        <v>250</v>
      </c>
      <c r="BC260" s="22">
        <v>1.15845</v>
      </c>
      <c r="BD260">
        <f t="shared" si="46"/>
        <v>15.158100000000001</v>
      </c>
      <c r="BE260">
        <f t="shared" si="47"/>
        <v>17.566873671000003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11.514200000000001</v>
      </c>
      <c r="I261" s="22">
        <v>-1.5606699999999999E-2</v>
      </c>
      <c r="J261" s="22">
        <v>251</v>
      </c>
      <c r="K261" s="22">
        <v>0.53539999999999999</v>
      </c>
      <c r="L261">
        <f t="shared" si="36"/>
        <v>15.6067</v>
      </c>
      <c r="M261">
        <f t="shared" si="37"/>
        <v>8.3658310746999991</v>
      </c>
      <c r="N261" s="9"/>
      <c r="O261" s="22">
        <v>1.16394</v>
      </c>
      <c r="P261" s="22">
        <v>60.935600000000001</v>
      </c>
      <c r="Q261" s="22">
        <v>-1.51428E-2</v>
      </c>
      <c r="R261" s="22">
        <v>251</v>
      </c>
      <c r="S261" s="22">
        <v>1.1630199999999999</v>
      </c>
      <c r="T261">
        <f t="shared" si="38"/>
        <v>15.142799999999999</v>
      </c>
      <c r="U261">
        <f t="shared" si="39"/>
        <v>17.625310631999998</v>
      </c>
      <c r="X261" s="9"/>
      <c r="Y261" s="22">
        <v>0.53604099999999999</v>
      </c>
      <c r="Z261" s="22">
        <v>110.51300000000001</v>
      </c>
      <c r="AA261" s="22">
        <v>-1.5609700000000001E-2</v>
      </c>
      <c r="AB261" s="22">
        <v>251</v>
      </c>
      <c r="AC261" s="22">
        <v>0.53533900000000001</v>
      </c>
      <c r="AD261">
        <f t="shared" si="40"/>
        <v>15.6097</v>
      </c>
      <c r="AE261">
        <f t="shared" si="41"/>
        <v>8.3674391976999996</v>
      </c>
      <c r="AF261" s="9"/>
      <c r="AG261" s="22">
        <v>1.16394</v>
      </c>
      <c r="AH261" s="22">
        <v>142.172</v>
      </c>
      <c r="AI261" s="22">
        <v>-1.51215E-2</v>
      </c>
      <c r="AJ261" s="22">
        <v>251</v>
      </c>
      <c r="AK261" s="22">
        <v>1.16272</v>
      </c>
      <c r="AL261">
        <f t="shared" si="42"/>
        <v>15.121499999999999</v>
      </c>
      <c r="AM261">
        <f t="shared" si="43"/>
        <v>17.600518709999999</v>
      </c>
      <c r="AP261" s="9"/>
      <c r="AQ261" s="22">
        <v>0.53604099999999999</v>
      </c>
      <c r="AR261" s="22">
        <v>191.55099999999999</v>
      </c>
      <c r="AS261" s="22">
        <v>-1.5594500000000001E-2</v>
      </c>
      <c r="AT261" s="22">
        <v>251</v>
      </c>
      <c r="AU261" s="22">
        <v>0.53539999999999999</v>
      </c>
      <c r="AV261">
        <f t="shared" si="44"/>
        <v>15.5945</v>
      </c>
      <c r="AW261">
        <f t="shared" si="45"/>
        <v>8.3592913744999997</v>
      </c>
      <c r="AX261" s="9"/>
      <c r="AY261" s="22">
        <v>1.16394</v>
      </c>
      <c r="AZ261" s="22">
        <v>240.934</v>
      </c>
      <c r="BA261" s="22">
        <v>-1.51428E-2</v>
      </c>
      <c r="BB261" s="22">
        <v>251</v>
      </c>
      <c r="BC261" s="22">
        <v>1.1630199999999999</v>
      </c>
      <c r="BD261">
        <f t="shared" si="46"/>
        <v>15.142799999999999</v>
      </c>
      <c r="BE261">
        <f t="shared" si="47"/>
        <v>17.625310631999998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11.5243</v>
      </c>
      <c r="I262" s="22">
        <v>-1.5606699999999999E-2</v>
      </c>
      <c r="J262" s="22">
        <v>252</v>
      </c>
      <c r="K262" s="22">
        <v>0.53042599999999995</v>
      </c>
      <c r="L262">
        <f t="shared" si="36"/>
        <v>15.6067</v>
      </c>
      <c r="M262">
        <f t="shared" si="37"/>
        <v>8.2872513401999992</v>
      </c>
      <c r="N262" s="9"/>
      <c r="O262" s="22">
        <v>1.1689799999999999</v>
      </c>
      <c r="P262" s="22">
        <v>60.945700000000002</v>
      </c>
      <c r="Q262" s="22">
        <v>-1.51276E-2</v>
      </c>
      <c r="R262" s="22">
        <v>252</v>
      </c>
      <c r="S262" s="22">
        <v>1.16852</v>
      </c>
      <c r="T262">
        <f t="shared" si="38"/>
        <v>15.127599999999999</v>
      </c>
      <c r="U262">
        <f t="shared" si="39"/>
        <v>17.683861847999999</v>
      </c>
      <c r="X262" s="9"/>
      <c r="Y262" s="22">
        <v>0.53100599999999998</v>
      </c>
      <c r="Z262" s="22">
        <v>110.523</v>
      </c>
      <c r="AA262" s="22">
        <v>-1.5609700000000001E-2</v>
      </c>
      <c r="AB262" s="22">
        <v>252</v>
      </c>
      <c r="AC262" s="22">
        <v>0.530304</v>
      </c>
      <c r="AD262">
        <f t="shared" si="40"/>
        <v>15.6097</v>
      </c>
      <c r="AE262">
        <f t="shared" si="41"/>
        <v>8.2888443582000004</v>
      </c>
      <c r="AF262" s="9"/>
      <c r="AG262" s="22">
        <v>1.1689799999999999</v>
      </c>
      <c r="AH262" s="22">
        <v>142.18199999999999</v>
      </c>
      <c r="AI262" s="22">
        <v>-1.51062E-2</v>
      </c>
      <c r="AJ262" s="22">
        <v>252</v>
      </c>
      <c r="AK262" s="22">
        <v>1.16852</v>
      </c>
      <c r="AL262">
        <f t="shared" si="42"/>
        <v>15.106199999999999</v>
      </c>
      <c r="AM262">
        <f t="shared" si="43"/>
        <v>17.658845675999999</v>
      </c>
      <c r="AP262" s="9"/>
      <c r="AQ262" s="22">
        <v>0.53100599999999998</v>
      </c>
      <c r="AR262" s="22">
        <v>191.56100000000001</v>
      </c>
      <c r="AS262" s="22">
        <v>-1.55975E-2</v>
      </c>
      <c r="AT262" s="22">
        <v>252</v>
      </c>
      <c r="AU262" s="22">
        <v>0.53033399999999997</v>
      </c>
      <c r="AV262">
        <f t="shared" si="44"/>
        <v>15.5975</v>
      </c>
      <c r="AW262">
        <f t="shared" si="45"/>
        <v>8.2823660849999996</v>
      </c>
      <c r="AX262" s="9"/>
      <c r="AY262" s="22">
        <v>1.1689799999999999</v>
      </c>
      <c r="AZ262" s="22">
        <v>240.94399999999999</v>
      </c>
      <c r="BA262" s="22">
        <v>-1.5124500000000001E-2</v>
      </c>
      <c r="BB262" s="22">
        <v>252</v>
      </c>
      <c r="BC262" s="22">
        <v>1.16791</v>
      </c>
      <c r="BD262">
        <f t="shared" si="46"/>
        <v>15.124500000000001</v>
      </c>
      <c r="BE262">
        <f t="shared" si="47"/>
        <v>17.68023801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11.5344</v>
      </c>
      <c r="I263" s="22">
        <v>-1.5606699999999999E-2</v>
      </c>
      <c r="J263" s="22">
        <v>253</v>
      </c>
      <c r="K263" s="22">
        <v>0.52532999999999996</v>
      </c>
      <c r="L263">
        <f t="shared" si="36"/>
        <v>15.6067</v>
      </c>
      <c r="M263">
        <f t="shared" si="37"/>
        <v>8.2086559990000012</v>
      </c>
      <c r="N263" s="9"/>
      <c r="O263" s="22">
        <v>1.17401</v>
      </c>
      <c r="P263" s="22">
        <v>60.955800000000004</v>
      </c>
      <c r="Q263" s="22">
        <v>-1.51123E-2</v>
      </c>
      <c r="R263" s="22">
        <v>253</v>
      </c>
      <c r="S263" s="22">
        <v>1.1731</v>
      </c>
      <c r="T263">
        <f t="shared" si="38"/>
        <v>15.112300000000001</v>
      </c>
      <c r="U263">
        <f t="shared" si="39"/>
        <v>17.741991323000001</v>
      </c>
      <c r="X263" s="9"/>
      <c r="Y263" s="22">
        <v>0.52597000000000005</v>
      </c>
      <c r="Z263" s="22">
        <v>110.533</v>
      </c>
      <c r="AA263" s="22">
        <v>-1.5615800000000001E-2</v>
      </c>
      <c r="AB263" s="22">
        <v>253</v>
      </c>
      <c r="AC263" s="22">
        <v>0.52536000000000005</v>
      </c>
      <c r="AD263">
        <f t="shared" si="40"/>
        <v>15.6158</v>
      </c>
      <c r="AE263">
        <f t="shared" si="41"/>
        <v>8.2134423260000009</v>
      </c>
      <c r="AF263" s="9"/>
      <c r="AG263" s="22">
        <v>1.17401</v>
      </c>
      <c r="AH263" s="22">
        <v>142.19200000000001</v>
      </c>
      <c r="AI263" s="22">
        <v>-1.5094E-2</v>
      </c>
      <c r="AJ263" s="22">
        <v>253</v>
      </c>
      <c r="AK263" s="22">
        <v>1.1731</v>
      </c>
      <c r="AL263">
        <f t="shared" si="42"/>
        <v>15.093999999999999</v>
      </c>
      <c r="AM263">
        <f t="shared" si="43"/>
        <v>17.72050694</v>
      </c>
      <c r="AP263" s="9"/>
      <c r="AQ263" s="22">
        <v>0.52597000000000005</v>
      </c>
      <c r="AR263" s="22">
        <v>191.571</v>
      </c>
      <c r="AS263" s="22">
        <v>-1.5600599999999999E-2</v>
      </c>
      <c r="AT263" s="22">
        <v>253</v>
      </c>
      <c r="AU263" s="22">
        <v>0.52539100000000005</v>
      </c>
      <c r="AV263">
        <f t="shared" si="44"/>
        <v>15.6006</v>
      </c>
      <c r="AW263">
        <f t="shared" si="45"/>
        <v>8.2054475820000015</v>
      </c>
      <c r="AX263" s="9"/>
      <c r="AY263" s="22">
        <v>1.17401</v>
      </c>
      <c r="AZ263" s="22">
        <v>240.95400000000001</v>
      </c>
      <c r="BA263" s="22">
        <v>-1.5118400000000001E-2</v>
      </c>
      <c r="BB263" s="22">
        <v>253</v>
      </c>
      <c r="BC263" s="22">
        <v>1.1731</v>
      </c>
      <c r="BD263">
        <f t="shared" si="46"/>
        <v>15.118400000000001</v>
      </c>
      <c r="BE263">
        <f t="shared" si="47"/>
        <v>17.749152784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11.5444</v>
      </c>
      <c r="I264" s="22">
        <v>-1.56036E-2</v>
      </c>
      <c r="J264" s="22">
        <v>254</v>
      </c>
      <c r="K264" s="22">
        <v>0.52026399999999995</v>
      </c>
      <c r="L264">
        <f t="shared" si="36"/>
        <v>15.6036</v>
      </c>
      <c r="M264">
        <f t="shared" si="37"/>
        <v>8.1284613659999998</v>
      </c>
      <c r="N264" s="9"/>
      <c r="O264" s="22">
        <v>1.1790499999999999</v>
      </c>
      <c r="P264" s="22">
        <v>60.965899999999998</v>
      </c>
      <c r="Q264" s="22">
        <v>-1.51001E-2</v>
      </c>
      <c r="R264" s="22">
        <v>254</v>
      </c>
      <c r="S264" s="22">
        <v>1.17798</v>
      </c>
      <c r="T264">
        <f t="shared" si="38"/>
        <v>15.100099999999999</v>
      </c>
      <c r="U264">
        <f t="shared" si="39"/>
        <v>17.803772904999999</v>
      </c>
      <c r="X264" s="9"/>
      <c r="Y264" s="22">
        <v>0.52093500000000004</v>
      </c>
      <c r="Z264" s="22">
        <v>110.54300000000001</v>
      </c>
      <c r="AA264" s="22">
        <v>-1.56189E-2</v>
      </c>
      <c r="AB264" s="22">
        <v>254</v>
      </c>
      <c r="AC264" s="22">
        <v>0.52029400000000003</v>
      </c>
      <c r="AD264">
        <f t="shared" si="40"/>
        <v>15.6189</v>
      </c>
      <c r="AE264">
        <f t="shared" si="41"/>
        <v>8.1364316715000005</v>
      </c>
      <c r="AF264" s="9"/>
      <c r="AG264" s="22">
        <v>1.1790499999999999</v>
      </c>
      <c r="AH264" s="22">
        <v>142.202</v>
      </c>
      <c r="AI264" s="22">
        <v>-1.5081799999999999E-2</v>
      </c>
      <c r="AJ264" s="22">
        <v>254</v>
      </c>
      <c r="AK264" s="22">
        <v>1.17828</v>
      </c>
      <c r="AL264">
        <f t="shared" si="42"/>
        <v>15.081799999999999</v>
      </c>
      <c r="AM264">
        <f t="shared" si="43"/>
        <v>17.782196289999998</v>
      </c>
      <c r="AP264" s="9"/>
      <c r="AQ264" s="22">
        <v>0.52093500000000004</v>
      </c>
      <c r="AR264" s="22">
        <v>191.58099999999999</v>
      </c>
      <c r="AS264" s="22">
        <v>-1.55975E-2</v>
      </c>
      <c r="AT264" s="22">
        <v>254</v>
      </c>
      <c r="AU264" s="22">
        <v>0.52029400000000003</v>
      </c>
      <c r="AV264">
        <f t="shared" si="44"/>
        <v>15.5975</v>
      </c>
      <c r="AW264">
        <f t="shared" si="45"/>
        <v>8.1252836625000011</v>
      </c>
      <c r="AX264" s="9"/>
      <c r="AY264" s="22">
        <v>1.1790499999999999</v>
      </c>
      <c r="AZ264" s="22">
        <v>240.964</v>
      </c>
      <c r="BA264" s="22">
        <v>-1.51123E-2</v>
      </c>
      <c r="BB264" s="22">
        <v>254</v>
      </c>
      <c r="BC264" s="22">
        <v>1.17828</v>
      </c>
      <c r="BD264">
        <f t="shared" si="46"/>
        <v>15.112300000000001</v>
      </c>
      <c r="BE264">
        <f t="shared" si="47"/>
        <v>17.818157315000001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11.554500000000001</v>
      </c>
      <c r="I265" s="22">
        <v>-1.5606699999999999E-2</v>
      </c>
      <c r="J265" s="22">
        <v>255</v>
      </c>
      <c r="K265" s="22">
        <v>0.51519800000000004</v>
      </c>
      <c r="L265">
        <f t="shared" si="36"/>
        <v>15.6067</v>
      </c>
      <c r="M265">
        <f t="shared" si="37"/>
        <v>8.0514965299999997</v>
      </c>
      <c r="N265" s="9"/>
      <c r="O265" s="22">
        <v>1.18408</v>
      </c>
      <c r="P265" s="22">
        <v>60.975900000000003</v>
      </c>
      <c r="Q265" s="22">
        <v>-1.51001E-2</v>
      </c>
      <c r="R265" s="22">
        <v>255</v>
      </c>
      <c r="S265" s="22">
        <v>1.18347</v>
      </c>
      <c r="T265">
        <f t="shared" si="38"/>
        <v>15.100099999999999</v>
      </c>
      <c r="U265">
        <f t="shared" si="39"/>
        <v>17.879726408</v>
      </c>
      <c r="X265" s="9"/>
      <c r="Y265" s="22">
        <v>0.51590000000000003</v>
      </c>
      <c r="Z265" s="22">
        <v>110.553</v>
      </c>
      <c r="AA265" s="22">
        <v>-1.56189E-2</v>
      </c>
      <c r="AB265" s="22">
        <v>255</v>
      </c>
      <c r="AC265" s="22">
        <v>0.51513699999999996</v>
      </c>
      <c r="AD265">
        <f t="shared" si="40"/>
        <v>15.6189</v>
      </c>
      <c r="AE265">
        <f t="shared" si="41"/>
        <v>8.0577905100000002</v>
      </c>
      <c r="AF265" s="9"/>
      <c r="AG265" s="22">
        <v>1.18408</v>
      </c>
      <c r="AH265" s="22">
        <v>142.21199999999999</v>
      </c>
      <c r="AI265" s="22">
        <v>-1.50787E-2</v>
      </c>
      <c r="AJ265" s="22">
        <v>255</v>
      </c>
      <c r="AK265" s="22">
        <v>1.18347</v>
      </c>
      <c r="AL265">
        <f t="shared" si="42"/>
        <v>15.078700000000001</v>
      </c>
      <c r="AM265">
        <f t="shared" si="43"/>
        <v>17.854387096000004</v>
      </c>
      <c r="AP265" s="9"/>
      <c r="AQ265" s="22">
        <v>0.51590000000000003</v>
      </c>
      <c r="AR265" s="22">
        <v>191.59100000000001</v>
      </c>
      <c r="AS265" s="22">
        <v>-1.56036E-2</v>
      </c>
      <c r="AT265" s="22">
        <v>255</v>
      </c>
      <c r="AU265" s="22">
        <v>0.51519800000000004</v>
      </c>
      <c r="AV265">
        <f t="shared" si="44"/>
        <v>15.6036</v>
      </c>
      <c r="AW265">
        <f t="shared" si="45"/>
        <v>8.04989724</v>
      </c>
      <c r="AX265" s="9"/>
      <c r="AY265" s="22">
        <v>1.18408</v>
      </c>
      <c r="AZ265" s="22">
        <v>240.97399999999999</v>
      </c>
      <c r="BA265" s="22">
        <v>-1.51062E-2</v>
      </c>
      <c r="BB265" s="22">
        <v>255</v>
      </c>
      <c r="BC265" s="22">
        <v>1.1825600000000001</v>
      </c>
      <c r="BD265">
        <f t="shared" si="46"/>
        <v>15.106199999999999</v>
      </c>
      <c r="BE265">
        <f t="shared" si="47"/>
        <v>17.886949296000001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11.5646</v>
      </c>
      <c r="I266" s="22">
        <v>-1.5615800000000001E-2</v>
      </c>
      <c r="J266" s="22">
        <v>256</v>
      </c>
      <c r="K266" s="22">
        <v>0.51025399999999999</v>
      </c>
      <c r="L266">
        <f t="shared" si="36"/>
        <v>15.6158</v>
      </c>
      <c r="M266">
        <f t="shared" si="37"/>
        <v>7.9775500511999997</v>
      </c>
      <c r="N266" s="9"/>
      <c r="O266" s="22">
        <v>1.18912</v>
      </c>
      <c r="P266" s="22">
        <v>60.985999999999997</v>
      </c>
      <c r="Q266" s="22">
        <v>-1.50879E-2</v>
      </c>
      <c r="R266" s="22">
        <v>256</v>
      </c>
      <c r="S266" s="22">
        <v>1.1880500000000001</v>
      </c>
      <c r="T266">
        <f t="shared" si="38"/>
        <v>15.087899999999999</v>
      </c>
      <c r="U266">
        <f t="shared" si="39"/>
        <v>17.941323647999997</v>
      </c>
      <c r="X266" s="9"/>
      <c r="Y266" s="22">
        <v>0.51086399999999998</v>
      </c>
      <c r="Z266" s="22">
        <v>110.563</v>
      </c>
      <c r="AA266" s="22">
        <v>-1.5621899999999999E-2</v>
      </c>
      <c r="AB266" s="22">
        <v>256</v>
      </c>
      <c r="AC266" s="22">
        <v>0.51022299999999998</v>
      </c>
      <c r="AD266">
        <f t="shared" si="40"/>
        <v>15.6219</v>
      </c>
      <c r="AE266">
        <f t="shared" si="41"/>
        <v>7.9806663216000002</v>
      </c>
      <c r="AF266" s="9"/>
      <c r="AG266" s="22">
        <v>1.18912</v>
      </c>
      <c r="AH266" s="22">
        <v>142.22300000000001</v>
      </c>
      <c r="AI266" s="22">
        <v>-1.5069600000000001E-2</v>
      </c>
      <c r="AJ266" s="22">
        <v>256</v>
      </c>
      <c r="AK266" s="22">
        <v>1.1880500000000001</v>
      </c>
      <c r="AL266">
        <f t="shared" si="42"/>
        <v>15.069600000000001</v>
      </c>
      <c r="AM266">
        <f t="shared" si="43"/>
        <v>17.919562752000001</v>
      </c>
      <c r="AP266" s="9"/>
      <c r="AQ266" s="22">
        <v>0.51086399999999998</v>
      </c>
      <c r="AR266" s="22">
        <v>191.601</v>
      </c>
      <c r="AS266" s="22">
        <v>-1.5606699999999999E-2</v>
      </c>
      <c r="AT266" s="22">
        <v>256</v>
      </c>
      <c r="AU266" s="22">
        <v>0.51022299999999998</v>
      </c>
      <c r="AV266">
        <f t="shared" si="44"/>
        <v>15.6067</v>
      </c>
      <c r="AW266">
        <f t="shared" si="45"/>
        <v>7.9729011887999999</v>
      </c>
      <c r="AX266" s="9"/>
      <c r="AY266" s="22">
        <v>1.18912</v>
      </c>
      <c r="AZ266" s="22">
        <v>240.98400000000001</v>
      </c>
      <c r="BA266" s="22">
        <v>-1.5094E-2</v>
      </c>
      <c r="BB266" s="22">
        <v>256</v>
      </c>
      <c r="BC266" s="22">
        <v>1.18835</v>
      </c>
      <c r="BD266">
        <f t="shared" si="46"/>
        <v>15.093999999999999</v>
      </c>
      <c r="BE266">
        <f t="shared" si="47"/>
        <v>17.948577279999999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11.5746</v>
      </c>
      <c r="I267" s="22">
        <v>-1.5615800000000001E-2</v>
      </c>
      <c r="J267" s="22">
        <v>257</v>
      </c>
      <c r="K267" s="22">
        <v>0.50518799999999997</v>
      </c>
      <c r="L267">
        <f t="shared" si="36"/>
        <v>15.6158</v>
      </c>
      <c r="M267">
        <f t="shared" si="37"/>
        <v>7.8989244981999995</v>
      </c>
      <c r="N267" s="9"/>
      <c r="O267" s="22">
        <v>1.19415</v>
      </c>
      <c r="P267" s="22">
        <v>60.996099999999998</v>
      </c>
      <c r="Q267" s="22">
        <v>-1.5084800000000001E-2</v>
      </c>
      <c r="R267" s="22">
        <v>257</v>
      </c>
      <c r="S267" s="22">
        <v>1.1932400000000001</v>
      </c>
      <c r="T267">
        <f t="shared" si="38"/>
        <v>15.084800000000001</v>
      </c>
      <c r="U267">
        <f t="shared" si="39"/>
        <v>18.013513920000001</v>
      </c>
      <c r="X267" s="9"/>
      <c r="Y267" s="22">
        <v>0.50582899999999997</v>
      </c>
      <c r="Z267" s="22">
        <v>110.57299999999999</v>
      </c>
      <c r="AA267" s="22">
        <v>-1.5621899999999999E-2</v>
      </c>
      <c r="AB267" s="22">
        <v>257</v>
      </c>
      <c r="AC267" s="22">
        <v>0.50518799999999997</v>
      </c>
      <c r="AD267">
        <f t="shared" si="40"/>
        <v>15.6219</v>
      </c>
      <c r="AE267">
        <f t="shared" si="41"/>
        <v>7.9020100550999999</v>
      </c>
      <c r="AF267" s="9"/>
      <c r="AG267" s="22">
        <v>1.19415</v>
      </c>
      <c r="AH267" s="22">
        <v>142.233</v>
      </c>
      <c r="AI267" s="22">
        <v>-1.50574E-2</v>
      </c>
      <c r="AJ267" s="22">
        <v>257</v>
      </c>
      <c r="AK267" s="22">
        <v>1.19354</v>
      </c>
      <c r="AL267">
        <f t="shared" si="42"/>
        <v>15.057399999999999</v>
      </c>
      <c r="AM267">
        <f t="shared" si="43"/>
        <v>17.980794209999999</v>
      </c>
      <c r="AP267" s="9"/>
      <c r="AQ267" s="22">
        <v>0.50582899999999997</v>
      </c>
      <c r="AR267" s="22">
        <v>191.61099999999999</v>
      </c>
      <c r="AS267" s="22">
        <v>-1.5615800000000001E-2</v>
      </c>
      <c r="AT267" s="22">
        <v>257</v>
      </c>
      <c r="AU267" s="22">
        <v>0.50521899999999997</v>
      </c>
      <c r="AV267">
        <f t="shared" si="44"/>
        <v>15.6158</v>
      </c>
      <c r="AW267">
        <f t="shared" si="45"/>
        <v>7.8989244981999995</v>
      </c>
      <c r="AX267" s="9"/>
      <c r="AY267" s="22">
        <v>1.19415</v>
      </c>
      <c r="AZ267" s="22">
        <v>240.994</v>
      </c>
      <c r="BA267" s="22">
        <v>-1.50726E-2</v>
      </c>
      <c r="BB267" s="22">
        <v>257</v>
      </c>
      <c r="BC267" s="22">
        <v>1.19354</v>
      </c>
      <c r="BD267">
        <f t="shared" si="46"/>
        <v>15.0726</v>
      </c>
      <c r="BE267">
        <f t="shared" si="47"/>
        <v>17.998945290000002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11.5847</v>
      </c>
      <c r="I268" s="22">
        <v>-1.56189E-2</v>
      </c>
      <c r="J268" s="22">
        <v>258</v>
      </c>
      <c r="K268" s="22">
        <v>0.50012199999999996</v>
      </c>
      <c r="L268">
        <f t="shared" ref="L268:L331" si="48">-I268/$F$2*1000</f>
        <v>15.6189</v>
      </c>
      <c r="M268">
        <f t="shared" ref="M268:M331" si="49">L268*G268</f>
        <v>7.8218357877000004</v>
      </c>
      <c r="N268" s="9"/>
      <c r="O268" s="22">
        <v>1.19919</v>
      </c>
      <c r="P268" s="22">
        <v>61.006100000000004</v>
      </c>
      <c r="Q268" s="22">
        <v>-1.5081799999999999E-2</v>
      </c>
      <c r="R268" s="22">
        <v>258</v>
      </c>
      <c r="S268" s="22">
        <v>1.1987300000000001</v>
      </c>
      <c r="T268">
        <f t="shared" ref="T268:T331" si="50">-Q268/$F$2*1000</f>
        <v>15.081799999999999</v>
      </c>
      <c r="U268">
        <f t="shared" ref="U268:U331" si="51">T268*O268</f>
        <v>18.085943741999998</v>
      </c>
      <c r="X268" s="9"/>
      <c r="Y268" s="22">
        <v>0.50079300000000004</v>
      </c>
      <c r="Z268" s="22">
        <v>110.584</v>
      </c>
      <c r="AA268" s="22">
        <v>-1.5621899999999999E-2</v>
      </c>
      <c r="AB268" s="22">
        <v>258</v>
      </c>
      <c r="AC268" s="22">
        <v>0.50021400000000005</v>
      </c>
      <c r="AD268">
        <f t="shared" ref="AD268:AD331" si="52">-AA268/$F$2*1000</f>
        <v>15.6219</v>
      </c>
      <c r="AE268">
        <f t="shared" ref="AE268:AE331" si="53">AD268*Y268</f>
        <v>7.823338166700001</v>
      </c>
      <c r="AF268" s="9"/>
      <c r="AG268" s="22">
        <v>1.19919</v>
      </c>
      <c r="AH268" s="22">
        <v>142.24299999999999</v>
      </c>
      <c r="AI268" s="22">
        <v>-1.50391E-2</v>
      </c>
      <c r="AJ268" s="22">
        <v>258</v>
      </c>
      <c r="AK268" s="22">
        <v>1.1984300000000001</v>
      </c>
      <c r="AL268">
        <f t="shared" ref="AL268:AL331" si="54">-AI268/$F$2*1000</f>
        <v>15.039099999999999</v>
      </c>
      <c r="AM268">
        <f t="shared" ref="AM268:AM331" si="55">AL268*AG268</f>
        <v>18.034738329</v>
      </c>
      <c r="AP268" s="9"/>
      <c r="AQ268" s="22">
        <v>0.50079300000000004</v>
      </c>
      <c r="AR268" s="22">
        <v>191.62100000000001</v>
      </c>
      <c r="AS268" s="22">
        <v>-1.56189E-2</v>
      </c>
      <c r="AT268" s="22">
        <v>258</v>
      </c>
      <c r="AU268" s="22">
        <v>0.50018300000000004</v>
      </c>
      <c r="AV268">
        <f t="shared" ref="AV268:AV331" si="56">-AS268/$F$2*1000</f>
        <v>15.6189</v>
      </c>
      <c r="AW268">
        <f t="shared" ref="AW268:AW331" si="57">AV268*AQ268</f>
        <v>7.8218357877000004</v>
      </c>
      <c r="AX268" s="9"/>
      <c r="AY268" s="22">
        <v>1.19919</v>
      </c>
      <c r="AZ268" s="22">
        <v>241.005</v>
      </c>
      <c r="BA268" s="22">
        <v>-1.50513E-2</v>
      </c>
      <c r="BB268" s="22">
        <v>258</v>
      </c>
      <c r="BC268" s="22">
        <v>1.1984300000000001</v>
      </c>
      <c r="BD268">
        <f t="shared" ref="BD268:BD331" si="58">-BA268/$F$2*1000</f>
        <v>15.051299999999999</v>
      </c>
      <c r="BE268">
        <f t="shared" ref="BE268:BE331" si="59">BD268*AY268</f>
        <v>18.049368446999999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11.594799999999999</v>
      </c>
      <c r="I269" s="22">
        <v>-1.56128E-2</v>
      </c>
      <c r="J269" s="22">
        <v>259</v>
      </c>
      <c r="K269" s="22">
        <v>0.49517800000000001</v>
      </c>
      <c r="L269">
        <f t="shared" si="48"/>
        <v>15.6128</v>
      </c>
      <c r="M269">
        <f t="shared" si="49"/>
        <v>7.7401705023999998</v>
      </c>
      <c r="N269" s="9"/>
      <c r="O269" s="22">
        <v>1.2042200000000001</v>
      </c>
      <c r="P269" s="22">
        <v>61.016199999999998</v>
      </c>
      <c r="Q269" s="22">
        <v>-1.5081799999999999E-2</v>
      </c>
      <c r="R269" s="22">
        <v>259</v>
      </c>
      <c r="S269" s="22">
        <v>1.2039200000000001</v>
      </c>
      <c r="T269">
        <f t="shared" si="50"/>
        <v>15.081799999999999</v>
      </c>
      <c r="U269">
        <f t="shared" si="51"/>
        <v>18.161805196</v>
      </c>
      <c r="X269" s="9"/>
      <c r="Y269" s="22">
        <v>0.49575799999999998</v>
      </c>
      <c r="Z269" s="22">
        <v>110.59399999999999</v>
      </c>
      <c r="AA269" s="22">
        <v>-1.5621899999999999E-2</v>
      </c>
      <c r="AB269" s="22">
        <v>259</v>
      </c>
      <c r="AC269" s="22">
        <v>0.49514799999999998</v>
      </c>
      <c r="AD269">
        <f t="shared" si="52"/>
        <v>15.6219</v>
      </c>
      <c r="AE269">
        <f t="shared" si="53"/>
        <v>7.7446819001999998</v>
      </c>
      <c r="AF269" s="9"/>
      <c r="AG269" s="22">
        <v>1.2042200000000001</v>
      </c>
      <c r="AH269" s="22">
        <v>142.25299999999999</v>
      </c>
      <c r="AI269" s="22">
        <v>-1.5026899999999999E-2</v>
      </c>
      <c r="AJ269" s="22">
        <v>259</v>
      </c>
      <c r="AK269" s="22">
        <v>1.2033100000000001</v>
      </c>
      <c r="AL269">
        <f t="shared" si="54"/>
        <v>15.026899999999999</v>
      </c>
      <c r="AM269">
        <f t="shared" si="55"/>
        <v>18.095693518000001</v>
      </c>
      <c r="AP269" s="9"/>
      <c r="AQ269" s="22">
        <v>0.49575799999999998</v>
      </c>
      <c r="AR269" s="22">
        <v>191.631</v>
      </c>
      <c r="AS269" s="22">
        <v>-1.56189E-2</v>
      </c>
      <c r="AT269" s="22">
        <v>259</v>
      </c>
      <c r="AU269" s="22">
        <v>0.49514799999999998</v>
      </c>
      <c r="AV269">
        <f t="shared" si="56"/>
        <v>15.6189</v>
      </c>
      <c r="AW269">
        <f t="shared" si="57"/>
        <v>7.7431946261999993</v>
      </c>
      <c r="AX269" s="9"/>
      <c r="AY269" s="22">
        <v>1.2042200000000001</v>
      </c>
      <c r="AZ269" s="22">
        <v>241.01499999999999</v>
      </c>
      <c r="BA269" s="22">
        <v>-1.50391E-2</v>
      </c>
      <c r="BB269" s="22">
        <v>259</v>
      </c>
      <c r="BC269" s="22">
        <v>1.2030000000000001</v>
      </c>
      <c r="BD269">
        <f t="shared" si="58"/>
        <v>15.039099999999999</v>
      </c>
      <c r="BE269">
        <f t="shared" si="59"/>
        <v>18.110385002000001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11.604900000000001</v>
      </c>
      <c r="I270" s="22">
        <v>-1.5609700000000001E-2</v>
      </c>
      <c r="J270" s="22">
        <v>260</v>
      </c>
      <c r="K270" s="22">
        <v>0.49008200000000002</v>
      </c>
      <c r="L270">
        <f t="shared" si="48"/>
        <v>15.6097</v>
      </c>
      <c r="M270">
        <f t="shared" si="49"/>
        <v>7.6600388131000008</v>
      </c>
      <c r="N270" s="9"/>
      <c r="O270" s="22">
        <v>1.20926</v>
      </c>
      <c r="P270" s="22">
        <v>61.026299999999999</v>
      </c>
      <c r="Q270" s="22">
        <v>-1.5075699999999999E-2</v>
      </c>
      <c r="R270" s="22">
        <v>260</v>
      </c>
      <c r="S270" s="22">
        <v>1.2081900000000001</v>
      </c>
      <c r="T270">
        <f t="shared" si="50"/>
        <v>15.075699999999999</v>
      </c>
      <c r="U270">
        <f t="shared" si="51"/>
        <v>18.230440982000001</v>
      </c>
      <c r="X270" s="9"/>
      <c r="Y270" s="22">
        <v>0.49072300000000002</v>
      </c>
      <c r="Z270" s="22">
        <v>110.604</v>
      </c>
      <c r="AA270" s="22">
        <v>-1.5625E-2</v>
      </c>
      <c r="AB270" s="22">
        <v>260</v>
      </c>
      <c r="AC270" s="22">
        <v>0.49008200000000002</v>
      </c>
      <c r="AD270">
        <f t="shared" si="52"/>
        <v>15.625</v>
      </c>
      <c r="AE270">
        <f t="shared" si="53"/>
        <v>7.6675468750000002</v>
      </c>
      <c r="AF270" s="9"/>
      <c r="AG270" s="22">
        <v>1.20926</v>
      </c>
      <c r="AH270" s="22">
        <v>142.26300000000001</v>
      </c>
      <c r="AI270" s="22">
        <v>-1.5014599999999999E-2</v>
      </c>
      <c r="AJ270" s="22">
        <v>260</v>
      </c>
      <c r="AK270" s="22">
        <v>1.2078899999999999</v>
      </c>
      <c r="AL270">
        <f t="shared" si="54"/>
        <v>15.0146</v>
      </c>
      <c r="AM270">
        <f t="shared" si="55"/>
        <v>18.156555195999999</v>
      </c>
      <c r="AP270" s="9"/>
      <c r="AQ270" s="22">
        <v>0.49072300000000002</v>
      </c>
      <c r="AR270" s="22">
        <v>191.64099999999999</v>
      </c>
      <c r="AS270" s="22">
        <v>-1.56189E-2</v>
      </c>
      <c r="AT270" s="22">
        <v>260</v>
      </c>
      <c r="AU270" s="22">
        <v>0.49005100000000001</v>
      </c>
      <c r="AV270">
        <f t="shared" si="56"/>
        <v>15.6189</v>
      </c>
      <c r="AW270">
        <f t="shared" si="57"/>
        <v>7.6645534647</v>
      </c>
      <c r="AX270" s="9"/>
      <c r="AY270" s="22">
        <v>1.20926</v>
      </c>
      <c r="AZ270" s="22">
        <v>241.02500000000001</v>
      </c>
      <c r="BA270" s="22">
        <v>-1.5029900000000001E-2</v>
      </c>
      <c r="BB270" s="22">
        <v>260</v>
      </c>
      <c r="BC270" s="22">
        <v>1.2078899999999999</v>
      </c>
      <c r="BD270">
        <f t="shared" si="58"/>
        <v>15.029900000000001</v>
      </c>
      <c r="BE270">
        <f t="shared" si="59"/>
        <v>18.175056874000003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11.6149</v>
      </c>
      <c r="I271" s="22">
        <v>-1.56128E-2</v>
      </c>
      <c r="J271" s="22">
        <v>261</v>
      </c>
      <c r="K271" s="22">
        <v>0.485016</v>
      </c>
      <c r="L271">
        <f t="shared" si="48"/>
        <v>15.6128</v>
      </c>
      <c r="M271">
        <f t="shared" si="49"/>
        <v>7.5829339935999993</v>
      </c>
      <c r="N271" s="9"/>
      <c r="O271" s="22">
        <v>1.2142900000000001</v>
      </c>
      <c r="P271" s="22">
        <v>61.0364</v>
      </c>
      <c r="Q271" s="22">
        <v>-1.50665E-2</v>
      </c>
      <c r="R271" s="22">
        <v>261</v>
      </c>
      <c r="S271" s="22">
        <v>1.2133799999999999</v>
      </c>
      <c r="T271">
        <f t="shared" si="50"/>
        <v>15.0665</v>
      </c>
      <c r="U271">
        <f t="shared" si="51"/>
        <v>18.295100285</v>
      </c>
      <c r="X271" s="9"/>
      <c r="Y271" s="22">
        <v>0.48568699999999998</v>
      </c>
      <c r="Z271" s="22">
        <v>110.614</v>
      </c>
      <c r="AA271" s="22">
        <v>-1.5628099999999999E-2</v>
      </c>
      <c r="AB271" s="22">
        <v>261</v>
      </c>
      <c r="AC271" s="22">
        <v>0.48507699999999998</v>
      </c>
      <c r="AD271">
        <f t="shared" si="52"/>
        <v>15.628099999999998</v>
      </c>
      <c r="AE271">
        <f t="shared" si="53"/>
        <v>7.5903650046999989</v>
      </c>
      <c r="AF271" s="9"/>
      <c r="AG271" s="22">
        <v>1.2142900000000001</v>
      </c>
      <c r="AH271" s="22">
        <v>142.273</v>
      </c>
      <c r="AI271" s="22">
        <v>-1.50055E-2</v>
      </c>
      <c r="AJ271" s="22">
        <v>261</v>
      </c>
      <c r="AK271" s="22">
        <v>1.2136800000000001</v>
      </c>
      <c r="AL271">
        <f t="shared" si="54"/>
        <v>15.0055</v>
      </c>
      <c r="AM271">
        <f t="shared" si="55"/>
        <v>18.221028595</v>
      </c>
      <c r="AP271" s="9"/>
      <c r="AQ271" s="22">
        <v>0.48568699999999998</v>
      </c>
      <c r="AR271" s="22">
        <v>191.65100000000001</v>
      </c>
      <c r="AS271" s="22">
        <v>-1.5621899999999999E-2</v>
      </c>
      <c r="AT271" s="22">
        <v>261</v>
      </c>
      <c r="AU271" s="22">
        <v>0.484985</v>
      </c>
      <c r="AV271">
        <f t="shared" si="56"/>
        <v>15.6219</v>
      </c>
      <c r="AW271">
        <f t="shared" si="57"/>
        <v>7.5873537452999997</v>
      </c>
      <c r="AX271" s="9"/>
      <c r="AY271" s="22">
        <v>1.2142900000000001</v>
      </c>
      <c r="AZ271" s="22">
        <v>241.035</v>
      </c>
      <c r="BA271" s="22">
        <v>-1.5014599999999999E-2</v>
      </c>
      <c r="BB271" s="22">
        <v>261</v>
      </c>
      <c r="BC271" s="22">
        <v>1.2130700000000001</v>
      </c>
      <c r="BD271">
        <f t="shared" si="58"/>
        <v>15.0146</v>
      </c>
      <c r="BE271">
        <f t="shared" si="59"/>
        <v>18.232078634000001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11.625</v>
      </c>
      <c r="I272" s="22">
        <v>-1.5615800000000001E-2</v>
      </c>
      <c r="J272" s="22">
        <v>262</v>
      </c>
      <c r="K272" s="22">
        <v>0.48004200000000002</v>
      </c>
      <c r="L272">
        <f t="shared" si="48"/>
        <v>15.6158</v>
      </c>
      <c r="M272">
        <f t="shared" si="49"/>
        <v>7.5057655016</v>
      </c>
      <c r="N272" s="9"/>
      <c r="O272" s="22">
        <v>1.21933</v>
      </c>
      <c r="P272" s="22">
        <v>61.046399999999998</v>
      </c>
      <c r="Q272" s="22">
        <v>-1.50513E-2</v>
      </c>
      <c r="R272" s="22">
        <v>262</v>
      </c>
      <c r="S272" s="22">
        <v>1.2182599999999999</v>
      </c>
      <c r="T272">
        <f t="shared" si="50"/>
        <v>15.051299999999999</v>
      </c>
      <c r="U272">
        <f t="shared" si="51"/>
        <v>18.352501628999999</v>
      </c>
      <c r="X272" s="9"/>
      <c r="Y272" s="22">
        <v>0.48065200000000002</v>
      </c>
      <c r="Z272" s="22">
        <v>110.624</v>
      </c>
      <c r="AA272" s="22">
        <v>-1.5631099999999998E-2</v>
      </c>
      <c r="AB272" s="22">
        <v>262</v>
      </c>
      <c r="AC272" s="22">
        <v>0.48001100000000002</v>
      </c>
      <c r="AD272">
        <f t="shared" si="52"/>
        <v>15.631099999999998</v>
      </c>
      <c r="AE272">
        <f t="shared" si="53"/>
        <v>7.5131194771999992</v>
      </c>
      <c r="AF272" s="9"/>
      <c r="AG272" s="22">
        <v>1.21933</v>
      </c>
      <c r="AH272" s="22">
        <v>142.28299999999999</v>
      </c>
      <c r="AI272" s="22">
        <v>-1.4993299999999999E-2</v>
      </c>
      <c r="AJ272" s="22">
        <v>262</v>
      </c>
      <c r="AK272" s="22">
        <v>1.2185699999999999</v>
      </c>
      <c r="AL272">
        <f t="shared" si="54"/>
        <v>14.9933</v>
      </c>
      <c r="AM272">
        <f t="shared" si="55"/>
        <v>18.281780488999999</v>
      </c>
      <c r="AP272" s="9"/>
      <c r="AQ272" s="22">
        <v>0.48065200000000002</v>
      </c>
      <c r="AR272" s="22">
        <v>191.661</v>
      </c>
      <c r="AS272" s="22">
        <v>-1.5625E-2</v>
      </c>
      <c r="AT272" s="22">
        <v>262</v>
      </c>
      <c r="AU272" s="22">
        <v>0.48004200000000002</v>
      </c>
      <c r="AV272">
        <f t="shared" si="56"/>
        <v>15.625</v>
      </c>
      <c r="AW272">
        <f t="shared" si="57"/>
        <v>7.5101875000000007</v>
      </c>
      <c r="AX272" s="9"/>
      <c r="AY272" s="22">
        <v>1.21933</v>
      </c>
      <c r="AZ272" s="22">
        <v>241.04499999999999</v>
      </c>
      <c r="BA272" s="22">
        <v>-1.5002400000000001E-2</v>
      </c>
      <c r="BB272" s="22">
        <v>262</v>
      </c>
      <c r="BC272" s="22">
        <v>1.2185699999999999</v>
      </c>
      <c r="BD272">
        <f t="shared" si="58"/>
        <v>15.002400000000002</v>
      </c>
      <c r="BE272">
        <f t="shared" si="59"/>
        <v>18.292876392000004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11.6351</v>
      </c>
      <c r="I273" s="22">
        <v>-1.56189E-2</v>
      </c>
      <c r="J273" s="22">
        <v>263</v>
      </c>
      <c r="K273" s="22">
        <v>0.47497600000000001</v>
      </c>
      <c r="L273">
        <f t="shared" si="48"/>
        <v>15.6189</v>
      </c>
      <c r="M273">
        <f t="shared" si="49"/>
        <v>7.4285987424000002</v>
      </c>
      <c r="N273" s="9"/>
      <c r="O273" s="22">
        <v>1.22437</v>
      </c>
      <c r="P273" s="22">
        <v>61.0565</v>
      </c>
      <c r="Q273" s="22">
        <v>-1.5029900000000001E-2</v>
      </c>
      <c r="R273" s="22">
        <v>263</v>
      </c>
      <c r="S273" s="22">
        <v>1.2234499999999999</v>
      </c>
      <c r="T273">
        <f t="shared" si="50"/>
        <v>15.029900000000001</v>
      </c>
      <c r="U273">
        <f t="shared" si="51"/>
        <v>18.402158663000002</v>
      </c>
      <c r="X273" s="9"/>
      <c r="Y273" s="22">
        <v>0.47561599999999998</v>
      </c>
      <c r="Z273" s="22">
        <v>110.634</v>
      </c>
      <c r="AA273" s="22">
        <v>-1.5628099999999999E-2</v>
      </c>
      <c r="AB273" s="22">
        <v>263</v>
      </c>
      <c r="AC273" s="22">
        <v>0.47506700000000002</v>
      </c>
      <c r="AD273">
        <f t="shared" si="52"/>
        <v>15.628099999999998</v>
      </c>
      <c r="AE273">
        <f t="shared" si="53"/>
        <v>7.432974409599999</v>
      </c>
      <c r="AF273" s="9"/>
      <c r="AG273" s="22">
        <v>1.22437</v>
      </c>
      <c r="AH273" s="22">
        <v>142.29300000000001</v>
      </c>
      <c r="AI273" s="22">
        <v>-1.4978E-2</v>
      </c>
      <c r="AJ273" s="22">
        <v>263</v>
      </c>
      <c r="AK273" s="22">
        <v>1.2237499999999999</v>
      </c>
      <c r="AL273">
        <f t="shared" si="54"/>
        <v>14.978</v>
      </c>
      <c r="AM273">
        <f t="shared" si="55"/>
        <v>18.338613859999999</v>
      </c>
      <c r="AP273" s="9"/>
      <c r="AQ273" s="22">
        <v>0.47561599999999998</v>
      </c>
      <c r="AR273" s="22">
        <v>191.67099999999999</v>
      </c>
      <c r="AS273" s="22">
        <v>-1.5625E-2</v>
      </c>
      <c r="AT273" s="22">
        <v>263</v>
      </c>
      <c r="AU273" s="22">
        <v>0.47500599999999998</v>
      </c>
      <c r="AV273">
        <f t="shared" si="56"/>
        <v>15.625</v>
      </c>
      <c r="AW273">
        <f t="shared" si="57"/>
        <v>7.4314999999999998</v>
      </c>
      <c r="AX273" s="9"/>
      <c r="AY273" s="22">
        <v>1.22437</v>
      </c>
      <c r="AZ273" s="22">
        <v>241.05500000000001</v>
      </c>
      <c r="BA273" s="22">
        <v>-1.49902E-2</v>
      </c>
      <c r="BB273" s="22">
        <v>263</v>
      </c>
      <c r="BC273" s="22">
        <v>1.2237499999999999</v>
      </c>
      <c r="BD273">
        <f t="shared" si="58"/>
        <v>14.9902</v>
      </c>
      <c r="BE273">
        <f t="shared" si="59"/>
        <v>18.353551174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11.645099999999999</v>
      </c>
      <c r="I274" s="22">
        <v>-1.56189E-2</v>
      </c>
      <c r="J274" s="22">
        <v>264</v>
      </c>
      <c r="K274" s="22">
        <v>0.46997100000000003</v>
      </c>
      <c r="L274">
        <f t="shared" si="48"/>
        <v>15.6189</v>
      </c>
      <c r="M274">
        <f t="shared" si="49"/>
        <v>7.3499575809000008</v>
      </c>
      <c r="N274" s="9"/>
      <c r="O274" s="22">
        <v>1.2294</v>
      </c>
      <c r="P274" s="22">
        <v>61.066600000000001</v>
      </c>
      <c r="Q274" s="22">
        <v>-1.50177E-2</v>
      </c>
      <c r="R274" s="22">
        <v>264</v>
      </c>
      <c r="S274" s="22">
        <v>1.2283299999999999</v>
      </c>
      <c r="T274">
        <f t="shared" si="50"/>
        <v>15.0177</v>
      </c>
      <c r="U274">
        <f t="shared" si="51"/>
        <v>18.462760379999999</v>
      </c>
      <c r="X274" s="9"/>
      <c r="Y274" s="22">
        <v>0.47058100000000003</v>
      </c>
      <c r="Z274" s="22">
        <v>110.64400000000001</v>
      </c>
      <c r="AA274" s="22">
        <v>-1.5628099999999999E-2</v>
      </c>
      <c r="AB274" s="22">
        <v>264</v>
      </c>
      <c r="AC274" s="22">
        <v>0.47003200000000001</v>
      </c>
      <c r="AD274">
        <f t="shared" si="52"/>
        <v>15.628099999999998</v>
      </c>
      <c r="AE274">
        <f t="shared" si="53"/>
        <v>7.3542869260999995</v>
      </c>
      <c r="AF274" s="9"/>
      <c r="AG274" s="22">
        <v>1.2294</v>
      </c>
      <c r="AH274" s="22">
        <v>142.303</v>
      </c>
      <c r="AI274" s="22">
        <v>-1.49567E-2</v>
      </c>
      <c r="AJ274" s="22">
        <v>264</v>
      </c>
      <c r="AK274" s="22">
        <v>1.2283299999999999</v>
      </c>
      <c r="AL274">
        <f t="shared" si="54"/>
        <v>14.9567</v>
      </c>
      <c r="AM274">
        <f t="shared" si="55"/>
        <v>18.387766979999999</v>
      </c>
      <c r="AP274" s="9"/>
      <c r="AQ274" s="22">
        <v>0.47058100000000003</v>
      </c>
      <c r="AR274" s="22">
        <v>191.68100000000001</v>
      </c>
      <c r="AS274" s="22">
        <v>-1.5621899999999999E-2</v>
      </c>
      <c r="AT274" s="22">
        <v>264</v>
      </c>
      <c r="AU274" s="22">
        <v>0.470001</v>
      </c>
      <c r="AV274">
        <f t="shared" si="56"/>
        <v>15.6219</v>
      </c>
      <c r="AW274">
        <f t="shared" si="57"/>
        <v>7.3513693239000002</v>
      </c>
      <c r="AX274" s="9"/>
      <c r="AY274" s="22">
        <v>1.2294</v>
      </c>
      <c r="AZ274" s="22">
        <v>241.065</v>
      </c>
      <c r="BA274" s="22">
        <v>-1.4987199999999999E-2</v>
      </c>
      <c r="BB274" s="22">
        <v>264</v>
      </c>
      <c r="BC274" s="22">
        <v>1.22803</v>
      </c>
      <c r="BD274">
        <f t="shared" si="58"/>
        <v>14.9872</v>
      </c>
      <c r="BE274">
        <f t="shared" si="59"/>
        <v>18.42526368</v>
      </c>
    </row>
    <row r="275" spans="6:101">
      <c r="F275" s="9"/>
      <c r="G275" s="22">
        <v>0.46554600000000002</v>
      </c>
      <c r="H275" s="22">
        <v>11.655200000000001</v>
      </c>
      <c r="I275" s="22">
        <v>-1.5621899999999999E-2</v>
      </c>
      <c r="J275" s="22">
        <v>265</v>
      </c>
      <c r="K275" s="22">
        <v>0.46496599999999999</v>
      </c>
      <c r="L275">
        <f t="shared" si="48"/>
        <v>15.6219</v>
      </c>
      <c r="M275">
        <f t="shared" si="49"/>
        <v>7.2727130574000007</v>
      </c>
      <c r="N275" s="9"/>
      <c r="O275" s="22">
        <v>1.23444</v>
      </c>
      <c r="P275" s="22">
        <v>61.076599999999999</v>
      </c>
      <c r="Q275" s="22">
        <v>-1.4996300000000001E-2</v>
      </c>
      <c r="R275" s="22">
        <v>265</v>
      </c>
      <c r="S275" s="22">
        <v>1.23291</v>
      </c>
      <c r="T275">
        <f t="shared" si="50"/>
        <v>14.9963</v>
      </c>
      <c r="U275">
        <f t="shared" si="51"/>
        <v>18.512032571999999</v>
      </c>
      <c r="X275" s="9"/>
      <c r="Y275" s="22">
        <v>0.46554600000000002</v>
      </c>
      <c r="Z275" s="22">
        <v>110.654</v>
      </c>
      <c r="AA275" s="22">
        <v>-1.5631099999999998E-2</v>
      </c>
      <c r="AB275" s="22">
        <v>265</v>
      </c>
      <c r="AC275" s="22">
        <v>0.46499600000000002</v>
      </c>
      <c r="AD275">
        <f t="shared" si="52"/>
        <v>15.631099999999998</v>
      </c>
      <c r="AE275">
        <f t="shared" si="53"/>
        <v>7.2769960805999991</v>
      </c>
      <c r="AF275" s="9"/>
      <c r="AG275" s="22">
        <v>1.23444</v>
      </c>
      <c r="AH275" s="22">
        <v>142.31299999999999</v>
      </c>
      <c r="AI275" s="22">
        <v>-1.4944499999999999E-2</v>
      </c>
      <c r="AJ275" s="22">
        <v>265</v>
      </c>
      <c r="AK275" s="22">
        <v>1.23322</v>
      </c>
      <c r="AL275">
        <f t="shared" si="54"/>
        <v>14.9445</v>
      </c>
      <c r="AM275">
        <f t="shared" si="55"/>
        <v>18.44808858</v>
      </c>
      <c r="AP275" s="9"/>
      <c r="AQ275" s="22">
        <v>0.46554600000000002</v>
      </c>
      <c r="AR275" s="22">
        <v>191.69200000000001</v>
      </c>
      <c r="AS275" s="22">
        <v>-1.5625E-2</v>
      </c>
      <c r="AT275" s="22">
        <v>265</v>
      </c>
      <c r="AU275" s="22">
        <v>0.46496599999999999</v>
      </c>
      <c r="AV275">
        <f t="shared" si="56"/>
        <v>15.625</v>
      </c>
      <c r="AW275">
        <f t="shared" si="57"/>
        <v>7.2741562499999999</v>
      </c>
      <c r="AX275" s="9"/>
      <c r="AY275" s="22">
        <v>1.23444</v>
      </c>
      <c r="AZ275" s="22">
        <v>241.07499999999999</v>
      </c>
      <c r="BA275" s="22">
        <v>-1.49689E-2</v>
      </c>
      <c r="BB275" s="22">
        <v>265</v>
      </c>
      <c r="BC275" s="22">
        <v>1.23383</v>
      </c>
      <c r="BD275">
        <f t="shared" si="58"/>
        <v>14.9689</v>
      </c>
      <c r="BE275">
        <f t="shared" si="59"/>
        <v>18.478208916</v>
      </c>
    </row>
    <row r="276" spans="6:101">
      <c r="F276" s="9"/>
      <c r="G276" s="22">
        <v>0.46050999999999997</v>
      </c>
      <c r="H276" s="22">
        <v>11.6653</v>
      </c>
      <c r="I276" s="22">
        <v>-1.5621899999999999E-2</v>
      </c>
      <c r="J276" s="22">
        <v>266</v>
      </c>
      <c r="K276" s="22">
        <v>0.45986900000000003</v>
      </c>
      <c r="L276">
        <f t="shared" si="48"/>
        <v>15.6219</v>
      </c>
      <c r="M276">
        <f t="shared" si="49"/>
        <v>7.1940411689999992</v>
      </c>
      <c r="N276" s="9"/>
      <c r="O276" s="22">
        <v>1.2394700000000001</v>
      </c>
      <c r="P276" s="22">
        <v>61.0867</v>
      </c>
      <c r="Q276" s="22">
        <v>-1.49841E-2</v>
      </c>
      <c r="R276" s="22">
        <v>266</v>
      </c>
      <c r="S276" s="22">
        <v>1.23871</v>
      </c>
      <c r="T276">
        <f t="shared" si="50"/>
        <v>14.9841</v>
      </c>
      <c r="U276">
        <f t="shared" si="51"/>
        <v>18.572342427000002</v>
      </c>
      <c r="X276" s="9"/>
      <c r="Y276" s="22">
        <v>0.46050999999999997</v>
      </c>
      <c r="Z276" s="22">
        <v>110.664</v>
      </c>
      <c r="AA276" s="22">
        <v>-1.5634200000000001E-2</v>
      </c>
      <c r="AB276" s="22">
        <v>266</v>
      </c>
      <c r="AC276" s="22">
        <v>0.45993000000000001</v>
      </c>
      <c r="AD276">
        <f t="shared" si="52"/>
        <v>15.634200000000002</v>
      </c>
      <c r="AE276">
        <f t="shared" si="53"/>
        <v>7.199705442</v>
      </c>
      <c r="AF276" s="9"/>
      <c r="AG276" s="22">
        <v>1.2394700000000001</v>
      </c>
      <c r="AH276" s="22">
        <v>142.32300000000001</v>
      </c>
      <c r="AI276" s="22">
        <v>-1.4932300000000001E-2</v>
      </c>
      <c r="AJ276" s="22">
        <v>266</v>
      </c>
      <c r="AK276" s="22">
        <v>1.23871</v>
      </c>
      <c r="AL276">
        <f t="shared" si="54"/>
        <v>14.932300000000001</v>
      </c>
      <c r="AM276">
        <f t="shared" si="55"/>
        <v>18.508137881000003</v>
      </c>
      <c r="AP276" s="9"/>
      <c r="AQ276" s="22">
        <v>0.46050999999999997</v>
      </c>
      <c r="AR276" s="22">
        <v>191.702</v>
      </c>
      <c r="AS276" s="22">
        <v>-1.5625E-2</v>
      </c>
      <c r="AT276" s="22">
        <v>266</v>
      </c>
      <c r="AU276" s="22">
        <v>0.45989999999999998</v>
      </c>
      <c r="AV276">
        <f t="shared" si="56"/>
        <v>15.625</v>
      </c>
      <c r="AW276">
        <f t="shared" si="57"/>
        <v>7.1954687499999999</v>
      </c>
      <c r="AX276" s="9"/>
      <c r="AY276" s="22">
        <v>1.2394700000000001</v>
      </c>
      <c r="AZ276" s="22">
        <v>241.08500000000001</v>
      </c>
      <c r="BA276" s="22">
        <v>-1.4959699999999999E-2</v>
      </c>
      <c r="BB276" s="22">
        <v>266</v>
      </c>
      <c r="BC276" s="22">
        <v>1.23871</v>
      </c>
      <c r="BD276">
        <f t="shared" si="58"/>
        <v>14.9597</v>
      </c>
      <c r="BE276">
        <f t="shared" si="59"/>
        <v>18.542099359000002</v>
      </c>
    </row>
    <row r="277" spans="6:101">
      <c r="F277" s="9"/>
      <c r="G277" s="22">
        <v>0.45547500000000002</v>
      </c>
      <c r="H277" s="22">
        <v>11.6754</v>
      </c>
      <c r="I277" s="22">
        <v>-1.56189E-2</v>
      </c>
      <c r="J277" s="22">
        <v>267</v>
      </c>
      <c r="K277" s="22">
        <v>0.45486500000000002</v>
      </c>
      <c r="L277">
        <f t="shared" si="48"/>
        <v>15.6189</v>
      </c>
      <c r="M277">
        <f t="shared" si="49"/>
        <v>7.1140184775000002</v>
      </c>
      <c r="N277" s="9"/>
      <c r="O277" s="22">
        <v>1.24451</v>
      </c>
      <c r="P277" s="22">
        <v>61.096800000000002</v>
      </c>
      <c r="Q277" s="22">
        <v>-1.4978E-2</v>
      </c>
      <c r="R277" s="22">
        <v>267</v>
      </c>
      <c r="S277" s="22">
        <v>1.2439</v>
      </c>
      <c r="T277">
        <f t="shared" si="50"/>
        <v>14.978</v>
      </c>
      <c r="U277">
        <f t="shared" si="51"/>
        <v>18.640270779999998</v>
      </c>
      <c r="X277" s="9"/>
      <c r="Y277" s="22">
        <v>0.45547500000000002</v>
      </c>
      <c r="Z277" s="22">
        <v>110.67400000000001</v>
      </c>
      <c r="AA277" s="22">
        <v>-1.56372E-2</v>
      </c>
      <c r="AB277" s="22">
        <v>267</v>
      </c>
      <c r="AC277" s="22">
        <v>0.45483400000000002</v>
      </c>
      <c r="AD277">
        <f t="shared" si="52"/>
        <v>15.6372</v>
      </c>
      <c r="AE277">
        <f t="shared" si="53"/>
        <v>7.1223536699999999</v>
      </c>
      <c r="AF277" s="9"/>
      <c r="AG277" s="22">
        <v>1.24451</v>
      </c>
      <c r="AH277" s="22">
        <v>142.333</v>
      </c>
      <c r="AI277" s="22">
        <v>-1.4932300000000001E-2</v>
      </c>
      <c r="AJ277" s="22">
        <v>267</v>
      </c>
      <c r="AK277" s="22">
        <v>1.24329</v>
      </c>
      <c r="AL277">
        <f t="shared" si="54"/>
        <v>14.932300000000001</v>
      </c>
      <c r="AM277">
        <f t="shared" si="55"/>
        <v>18.583396673000003</v>
      </c>
      <c r="AP277" s="9"/>
      <c r="AQ277" s="22">
        <v>0.45547500000000002</v>
      </c>
      <c r="AR277" s="22">
        <v>191.71199999999999</v>
      </c>
      <c r="AS277" s="22">
        <v>-1.5625E-2</v>
      </c>
      <c r="AT277" s="22">
        <v>267</v>
      </c>
      <c r="AU277" s="22">
        <v>0.45489499999999999</v>
      </c>
      <c r="AV277">
        <f t="shared" si="56"/>
        <v>15.625</v>
      </c>
      <c r="AW277">
        <f t="shared" si="57"/>
        <v>7.1167968750000004</v>
      </c>
      <c r="AX277" s="9"/>
      <c r="AY277" s="22">
        <v>1.24451</v>
      </c>
      <c r="AZ277" s="22">
        <v>241.095</v>
      </c>
      <c r="BA277" s="22">
        <v>-1.49506E-2</v>
      </c>
      <c r="BB277" s="22">
        <v>267</v>
      </c>
      <c r="BC277" s="22">
        <v>1.24359</v>
      </c>
      <c r="BD277">
        <f t="shared" si="58"/>
        <v>14.9506</v>
      </c>
      <c r="BE277">
        <f t="shared" si="59"/>
        <v>18.606171205999999</v>
      </c>
    </row>
    <row r="278" spans="6:101">
      <c r="F278" s="9"/>
      <c r="G278" s="22">
        <v>0.45043899999999998</v>
      </c>
      <c r="H278" s="22">
        <v>11.6854</v>
      </c>
      <c r="I278" s="22">
        <v>-1.56189E-2</v>
      </c>
      <c r="J278" s="22">
        <v>268</v>
      </c>
      <c r="K278" s="22">
        <v>0.449799</v>
      </c>
      <c r="L278">
        <f t="shared" si="48"/>
        <v>15.6189</v>
      </c>
      <c r="M278">
        <f t="shared" si="49"/>
        <v>7.0353616970999999</v>
      </c>
      <c r="N278" s="9"/>
      <c r="O278" s="22">
        <v>1.2495400000000001</v>
      </c>
      <c r="P278" s="22">
        <v>61.1068</v>
      </c>
      <c r="Q278" s="22">
        <v>-1.49719E-2</v>
      </c>
      <c r="R278" s="22">
        <v>268</v>
      </c>
      <c r="S278" s="22">
        <v>1.24908</v>
      </c>
      <c r="T278">
        <f t="shared" si="50"/>
        <v>14.9719</v>
      </c>
      <c r="U278">
        <f t="shared" si="51"/>
        <v>18.707987926000001</v>
      </c>
      <c r="X278" s="9"/>
      <c r="Y278" s="22">
        <v>0.45043899999999998</v>
      </c>
      <c r="Z278" s="22">
        <v>110.684</v>
      </c>
      <c r="AA278" s="22">
        <v>-1.56372E-2</v>
      </c>
      <c r="AB278" s="22">
        <v>268</v>
      </c>
      <c r="AC278" s="22">
        <v>0.44992100000000002</v>
      </c>
      <c r="AD278">
        <f t="shared" si="52"/>
        <v>15.6372</v>
      </c>
      <c r="AE278">
        <f t="shared" si="53"/>
        <v>7.0436047307999994</v>
      </c>
      <c r="AF278" s="9"/>
      <c r="AG278" s="22">
        <v>1.2495400000000001</v>
      </c>
      <c r="AH278" s="22">
        <v>142.34299999999999</v>
      </c>
      <c r="AI278" s="22">
        <v>-1.4926099999999999E-2</v>
      </c>
      <c r="AJ278" s="22">
        <v>268</v>
      </c>
      <c r="AK278" s="22">
        <v>1.24817</v>
      </c>
      <c r="AL278">
        <f t="shared" si="54"/>
        <v>14.9261</v>
      </c>
      <c r="AM278">
        <f t="shared" si="55"/>
        <v>18.650758994</v>
      </c>
      <c r="AP278" s="9"/>
      <c r="AQ278" s="22">
        <v>0.45043899999999998</v>
      </c>
      <c r="AR278" s="22">
        <v>191.72200000000001</v>
      </c>
      <c r="AS278" s="22">
        <v>-1.5625E-2</v>
      </c>
      <c r="AT278" s="22">
        <v>268</v>
      </c>
      <c r="AU278" s="22">
        <v>0.44985999999999998</v>
      </c>
      <c r="AV278">
        <f t="shared" si="56"/>
        <v>15.625</v>
      </c>
      <c r="AW278">
        <f t="shared" si="57"/>
        <v>7.0381093749999994</v>
      </c>
      <c r="AX278" s="9"/>
      <c r="AY278" s="22">
        <v>1.2495400000000001</v>
      </c>
      <c r="AZ278" s="22">
        <v>241.10499999999999</v>
      </c>
      <c r="BA278" s="22">
        <v>-1.4941400000000001E-2</v>
      </c>
      <c r="BB278" s="22">
        <v>268</v>
      </c>
      <c r="BC278" s="22">
        <v>1.24878</v>
      </c>
      <c r="BD278">
        <f t="shared" si="58"/>
        <v>14.9414</v>
      </c>
      <c r="BE278">
        <f t="shared" si="59"/>
        <v>18.669876956</v>
      </c>
    </row>
    <row r="279" spans="6:101">
      <c r="F279" s="9"/>
      <c r="G279" s="22">
        <v>0.44540400000000002</v>
      </c>
      <c r="H279" s="22">
        <v>11.695499999999999</v>
      </c>
      <c r="I279" s="22">
        <v>-1.5615800000000001E-2</v>
      </c>
      <c r="J279" s="22">
        <v>269</v>
      </c>
      <c r="K279" s="22">
        <v>0.44479400000000002</v>
      </c>
      <c r="L279">
        <f t="shared" si="48"/>
        <v>15.6158</v>
      </c>
      <c r="M279">
        <f t="shared" si="49"/>
        <v>6.9553397832000003</v>
      </c>
      <c r="N279" s="9"/>
      <c r="O279" s="22">
        <v>1.25458</v>
      </c>
      <c r="P279" s="22">
        <v>61.116900000000001</v>
      </c>
      <c r="Q279" s="22">
        <v>-1.49628E-2</v>
      </c>
      <c r="R279" s="22">
        <v>269</v>
      </c>
      <c r="S279" s="22">
        <v>1.25336</v>
      </c>
      <c r="T279">
        <f t="shared" si="50"/>
        <v>14.9628</v>
      </c>
      <c r="U279">
        <f t="shared" si="51"/>
        <v>18.772029624000002</v>
      </c>
      <c r="X279" s="9"/>
      <c r="Y279" s="22">
        <v>0.44540400000000002</v>
      </c>
      <c r="Z279" s="22">
        <v>110.694</v>
      </c>
      <c r="AA279" s="22">
        <v>-1.56372E-2</v>
      </c>
      <c r="AB279" s="22">
        <v>269</v>
      </c>
      <c r="AC279" s="22">
        <v>0.44479400000000002</v>
      </c>
      <c r="AD279">
        <f t="shared" si="52"/>
        <v>15.6372</v>
      </c>
      <c r="AE279">
        <f t="shared" si="53"/>
        <v>6.9648714288000004</v>
      </c>
      <c r="AF279" s="9"/>
      <c r="AG279" s="22">
        <v>1.25458</v>
      </c>
      <c r="AH279" s="22">
        <v>142.35300000000001</v>
      </c>
      <c r="AI279" s="22">
        <v>-1.4917E-2</v>
      </c>
      <c r="AJ279" s="22">
        <v>269</v>
      </c>
      <c r="AK279" s="22">
        <v>1.25336</v>
      </c>
      <c r="AL279">
        <f t="shared" si="54"/>
        <v>14.917</v>
      </c>
      <c r="AM279">
        <f t="shared" si="55"/>
        <v>18.714569860000001</v>
      </c>
      <c r="AP279" s="9"/>
      <c r="AQ279" s="22">
        <v>0.44540400000000002</v>
      </c>
      <c r="AR279" s="22">
        <v>191.732</v>
      </c>
      <c r="AS279" s="22">
        <v>-1.5631099999999998E-2</v>
      </c>
      <c r="AT279" s="22">
        <v>269</v>
      </c>
      <c r="AU279" s="22">
        <v>0.444824</v>
      </c>
      <c r="AV279">
        <f t="shared" si="56"/>
        <v>15.631099999999998</v>
      </c>
      <c r="AW279">
        <f t="shared" si="57"/>
        <v>6.9621544643999993</v>
      </c>
      <c r="AX279" s="9"/>
      <c r="AY279" s="22">
        <v>1.25458</v>
      </c>
      <c r="AZ279" s="22">
        <v>241.11500000000001</v>
      </c>
      <c r="BA279" s="22">
        <v>-1.4926099999999999E-2</v>
      </c>
      <c r="BB279" s="22">
        <v>269</v>
      </c>
      <c r="BC279" s="22">
        <v>1.25366</v>
      </c>
      <c r="BD279">
        <f t="shared" si="58"/>
        <v>14.9261</v>
      </c>
      <c r="BE279">
        <f t="shared" si="59"/>
        <v>18.725986538000001</v>
      </c>
    </row>
    <row r="280" spans="6:101">
      <c r="F280" s="9"/>
      <c r="G280" s="22">
        <v>0.44036900000000001</v>
      </c>
      <c r="H280" s="22">
        <v>11.7056</v>
      </c>
      <c r="I280" s="22">
        <v>-1.5621899999999999E-2</v>
      </c>
      <c r="J280" s="22">
        <v>270</v>
      </c>
      <c r="K280" s="22">
        <v>0.43978899999999999</v>
      </c>
      <c r="L280">
        <f t="shared" si="48"/>
        <v>15.6219</v>
      </c>
      <c r="M280">
        <f t="shared" si="49"/>
        <v>6.8794004811000002</v>
      </c>
      <c r="N280" s="9"/>
      <c r="O280" s="22">
        <v>1.2596099999999999</v>
      </c>
      <c r="P280" s="22">
        <v>61.127000000000002</v>
      </c>
      <c r="Q280" s="22">
        <v>-1.4953599999999999E-2</v>
      </c>
      <c r="R280" s="22">
        <v>270</v>
      </c>
      <c r="S280" s="22">
        <v>1.25854</v>
      </c>
      <c r="T280">
        <f t="shared" si="50"/>
        <v>14.9536</v>
      </c>
      <c r="U280">
        <f t="shared" si="51"/>
        <v>18.835704095999997</v>
      </c>
      <c r="X280" s="9"/>
      <c r="Y280" s="22">
        <v>0.44036900000000001</v>
      </c>
      <c r="Z280" s="22">
        <v>110.70399999999999</v>
      </c>
      <c r="AA280" s="22">
        <v>-1.5640299999999999E-2</v>
      </c>
      <c r="AB280" s="22">
        <v>270</v>
      </c>
      <c r="AC280" s="22">
        <v>0.43975799999999998</v>
      </c>
      <c r="AD280">
        <f t="shared" si="52"/>
        <v>15.6403</v>
      </c>
      <c r="AE280">
        <f t="shared" si="53"/>
        <v>6.8875032706999999</v>
      </c>
      <c r="AF280" s="9"/>
      <c r="AG280" s="22">
        <v>1.2596099999999999</v>
      </c>
      <c r="AH280" s="22">
        <v>142.364</v>
      </c>
      <c r="AI280" s="22">
        <v>-1.4898700000000001E-2</v>
      </c>
      <c r="AJ280" s="22">
        <v>270</v>
      </c>
      <c r="AK280" s="22">
        <v>1.25885</v>
      </c>
      <c r="AL280">
        <f t="shared" si="54"/>
        <v>14.898700000000002</v>
      </c>
      <c r="AM280">
        <f t="shared" si="55"/>
        <v>18.766551506999999</v>
      </c>
      <c r="AP280" s="9"/>
      <c r="AQ280" s="22">
        <v>0.44036900000000001</v>
      </c>
      <c r="AR280" s="22">
        <v>191.74199999999999</v>
      </c>
      <c r="AS280" s="22">
        <v>-1.5634200000000001E-2</v>
      </c>
      <c r="AT280" s="22">
        <v>270</v>
      </c>
      <c r="AU280" s="22">
        <v>0.43972800000000001</v>
      </c>
      <c r="AV280">
        <f t="shared" si="56"/>
        <v>15.634200000000002</v>
      </c>
      <c r="AW280">
        <f t="shared" si="57"/>
        <v>6.8848170198000007</v>
      </c>
      <c r="AX280" s="9"/>
      <c r="AY280" s="22">
        <v>1.2596099999999999</v>
      </c>
      <c r="AZ280" s="22">
        <v>241.125</v>
      </c>
      <c r="BA280" s="22">
        <v>-1.4917E-2</v>
      </c>
      <c r="BB280" s="22">
        <v>270</v>
      </c>
      <c r="BC280" s="22">
        <v>1.25885</v>
      </c>
      <c r="BD280">
        <f t="shared" si="58"/>
        <v>14.917</v>
      </c>
      <c r="BE280">
        <f t="shared" si="59"/>
        <v>18.789602369999997</v>
      </c>
    </row>
    <row r="281" spans="6:101">
      <c r="F281" s="9"/>
      <c r="G281" s="22">
        <v>0.43533300000000003</v>
      </c>
      <c r="H281" s="22">
        <v>11.7156</v>
      </c>
      <c r="I281" s="22">
        <v>-1.5625E-2</v>
      </c>
      <c r="J281" s="22">
        <v>271</v>
      </c>
      <c r="K281" s="22">
        <v>0.434753</v>
      </c>
      <c r="L281">
        <f t="shared" si="48"/>
        <v>15.625</v>
      </c>
      <c r="M281">
        <f t="shared" si="49"/>
        <v>6.8020781250000004</v>
      </c>
      <c r="N281" s="9"/>
      <c r="O281" s="22">
        <v>1.2646500000000001</v>
      </c>
      <c r="P281" s="22">
        <v>61.137099999999997</v>
      </c>
      <c r="Q281" s="22">
        <v>-1.4947500000000001E-2</v>
      </c>
      <c r="R281" s="22">
        <v>271</v>
      </c>
      <c r="S281" s="22">
        <v>1.26434</v>
      </c>
      <c r="T281">
        <f t="shared" si="50"/>
        <v>14.947500000000002</v>
      </c>
      <c r="U281">
        <f t="shared" si="51"/>
        <v>18.903355875000003</v>
      </c>
      <c r="X281" s="9"/>
      <c r="Y281" s="22">
        <v>0.43533300000000003</v>
      </c>
      <c r="Z281" s="22">
        <v>110.714</v>
      </c>
      <c r="AA281" s="22">
        <v>-1.5643299999999999E-2</v>
      </c>
      <c r="AB281" s="22">
        <v>271</v>
      </c>
      <c r="AC281" s="22">
        <v>0.434784</v>
      </c>
      <c r="AD281">
        <f t="shared" si="52"/>
        <v>15.643299999999998</v>
      </c>
      <c r="AE281">
        <f t="shared" si="53"/>
        <v>6.8100447188999995</v>
      </c>
      <c r="AF281" s="9"/>
      <c r="AG281" s="22">
        <v>1.2646500000000001</v>
      </c>
      <c r="AH281" s="22">
        <v>142.374</v>
      </c>
      <c r="AI281" s="22">
        <v>-1.48804E-2</v>
      </c>
      <c r="AJ281" s="22">
        <v>271</v>
      </c>
      <c r="AK281" s="22">
        <v>1.26434</v>
      </c>
      <c r="AL281">
        <f t="shared" si="54"/>
        <v>14.8804</v>
      </c>
      <c r="AM281">
        <f t="shared" si="55"/>
        <v>18.818497860000001</v>
      </c>
      <c r="AP281" s="9"/>
      <c r="AQ281" s="22">
        <v>0.43533300000000003</v>
      </c>
      <c r="AR281" s="22">
        <v>191.75200000000001</v>
      </c>
      <c r="AS281" s="22">
        <v>-1.56372E-2</v>
      </c>
      <c r="AT281" s="22">
        <v>271</v>
      </c>
      <c r="AU281" s="22">
        <v>0.43472300000000003</v>
      </c>
      <c r="AV281">
        <f t="shared" si="56"/>
        <v>15.6372</v>
      </c>
      <c r="AW281">
        <f t="shared" si="57"/>
        <v>6.8073891876000001</v>
      </c>
      <c r="AX281" s="9"/>
      <c r="AY281" s="22">
        <v>1.2646500000000001</v>
      </c>
      <c r="AZ281" s="22">
        <v>241.13499999999999</v>
      </c>
      <c r="BA281" s="22">
        <v>-1.4917E-2</v>
      </c>
      <c r="BB281" s="22">
        <v>271</v>
      </c>
      <c r="BC281" s="22">
        <v>1.26434</v>
      </c>
      <c r="BD281">
        <f t="shared" si="58"/>
        <v>14.917</v>
      </c>
      <c r="BE281">
        <f t="shared" si="59"/>
        <v>18.864784050000001</v>
      </c>
    </row>
    <row r="282" spans="6:101">
      <c r="F282" s="9"/>
      <c r="G282" s="22">
        <v>0.43029800000000001</v>
      </c>
      <c r="H282" s="22">
        <v>11.7257</v>
      </c>
      <c r="I282" s="22">
        <v>-1.5625E-2</v>
      </c>
      <c r="J282" s="22">
        <v>272</v>
      </c>
      <c r="K282" s="22">
        <v>0.42974899999999999</v>
      </c>
      <c r="L282">
        <f t="shared" si="48"/>
        <v>15.625</v>
      </c>
      <c r="M282">
        <f t="shared" si="49"/>
        <v>6.72340625</v>
      </c>
      <c r="N282" s="9"/>
      <c r="O282" s="22">
        <v>1.2696799999999999</v>
      </c>
      <c r="P282" s="22">
        <v>61.147100000000002</v>
      </c>
      <c r="Q282" s="22">
        <v>-1.4926099999999999E-2</v>
      </c>
      <c r="R282" s="22">
        <v>272</v>
      </c>
      <c r="S282" s="22">
        <v>1.26892</v>
      </c>
      <c r="T282">
        <f t="shared" si="50"/>
        <v>14.9261</v>
      </c>
      <c r="U282">
        <f t="shared" si="51"/>
        <v>18.951370647999997</v>
      </c>
      <c r="X282" s="9"/>
      <c r="Y282" s="22">
        <v>0.43029800000000001</v>
      </c>
      <c r="Z282" s="22">
        <v>110.72499999999999</v>
      </c>
      <c r="AA282" s="22">
        <v>-1.5646400000000001E-2</v>
      </c>
      <c r="AB282" s="22">
        <v>272</v>
      </c>
      <c r="AC282" s="22">
        <v>0.42971799999999999</v>
      </c>
      <c r="AD282">
        <f t="shared" si="52"/>
        <v>15.646400000000002</v>
      </c>
      <c r="AE282">
        <f t="shared" si="53"/>
        <v>6.7326146272000011</v>
      </c>
      <c r="AF282" s="9"/>
      <c r="AG282" s="22">
        <v>1.2696799999999999</v>
      </c>
      <c r="AH282" s="22">
        <v>142.38399999999999</v>
      </c>
      <c r="AI282" s="22">
        <v>-1.4859000000000001E-2</v>
      </c>
      <c r="AJ282" s="22">
        <v>272</v>
      </c>
      <c r="AK282" s="22">
        <v>1.26892</v>
      </c>
      <c r="AL282">
        <f t="shared" si="54"/>
        <v>14.859</v>
      </c>
      <c r="AM282">
        <f t="shared" si="55"/>
        <v>18.866175119999998</v>
      </c>
      <c r="AP282" s="9"/>
      <c r="AQ282" s="22">
        <v>0.43029800000000001</v>
      </c>
      <c r="AR282" s="22">
        <v>191.762</v>
      </c>
      <c r="AS282" s="22">
        <v>-1.5643299999999999E-2</v>
      </c>
      <c r="AT282" s="22">
        <v>272</v>
      </c>
      <c r="AU282" s="22">
        <v>0.42971799999999999</v>
      </c>
      <c r="AV282">
        <f t="shared" si="56"/>
        <v>15.643299999999998</v>
      </c>
      <c r="AW282">
        <f t="shared" si="57"/>
        <v>6.7312807033999995</v>
      </c>
      <c r="AX282" s="9"/>
      <c r="AY282" s="22">
        <v>1.2696799999999999</v>
      </c>
      <c r="AZ282" s="22">
        <v>241.14500000000001</v>
      </c>
      <c r="BA282" s="22">
        <v>-1.48956E-2</v>
      </c>
      <c r="BB282" s="22">
        <v>272</v>
      </c>
      <c r="BC282" s="22">
        <v>1.26892</v>
      </c>
      <c r="BD282">
        <f t="shared" si="58"/>
        <v>14.8956</v>
      </c>
      <c r="BE282">
        <f t="shared" si="59"/>
        <v>18.912645407999999</v>
      </c>
    </row>
    <row r="283" spans="6:101">
      <c r="F283" s="9"/>
      <c r="G283" s="22">
        <v>0.42526199999999997</v>
      </c>
      <c r="H283" s="22">
        <v>11.735799999999999</v>
      </c>
      <c r="I283" s="22">
        <v>-1.5628099999999999E-2</v>
      </c>
      <c r="J283" s="22">
        <v>273</v>
      </c>
      <c r="K283" s="22">
        <v>0.42468299999999998</v>
      </c>
      <c r="L283">
        <f t="shared" si="48"/>
        <v>15.628099999999998</v>
      </c>
      <c r="M283">
        <f t="shared" si="49"/>
        <v>6.6460370621999987</v>
      </c>
      <c r="N283" s="9"/>
      <c r="O283" s="22">
        <v>1.2747200000000001</v>
      </c>
      <c r="P283" s="22">
        <v>61.157200000000003</v>
      </c>
      <c r="Q283" s="22">
        <v>-1.4898700000000001E-2</v>
      </c>
      <c r="R283" s="22">
        <v>273</v>
      </c>
      <c r="S283" s="22">
        <v>1.2738</v>
      </c>
      <c r="T283">
        <f t="shared" si="50"/>
        <v>14.898700000000002</v>
      </c>
      <c r="U283">
        <f t="shared" si="51"/>
        <v>18.991670864000003</v>
      </c>
      <c r="X283" s="9"/>
      <c r="Y283" s="22">
        <v>0.42526199999999997</v>
      </c>
      <c r="Z283" s="22">
        <v>110.735</v>
      </c>
      <c r="AA283" s="22">
        <v>-1.5649400000000001E-2</v>
      </c>
      <c r="AB283" s="22">
        <v>273</v>
      </c>
      <c r="AC283" s="22">
        <v>0.42468299999999998</v>
      </c>
      <c r="AD283">
        <f t="shared" si="52"/>
        <v>15.6494</v>
      </c>
      <c r="AE283">
        <f t="shared" si="53"/>
        <v>6.6550951427999996</v>
      </c>
      <c r="AF283" s="9"/>
      <c r="AG283" s="22">
        <v>1.2747200000000001</v>
      </c>
      <c r="AH283" s="22">
        <v>142.39400000000001</v>
      </c>
      <c r="AI283" s="22">
        <v>-1.4843800000000001E-2</v>
      </c>
      <c r="AJ283" s="22">
        <v>273</v>
      </c>
      <c r="AK283" s="22">
        <v>1.2741100000000001</v>
      </c>
      <c r="AL283">
        <f t="shared" si="54"/>
        <v>14.8438</v>
      </c>
      <c r="AM283">
        <f t="shared" si="55"/>
        <v>18.921688736</v>
      </c>
      <c r="AP283" s="9"/>
      <c r="AQ283" s="22">
        <v>0.42526199999999997</v>
      </c>
      <c r="AR283" s="22">
        <v>191.77199999999999</v>
      </c>
      <c r="AS283" s="22">
        <v>-1.5643299999999999E-2</v>
      </c>
      <c r="AT283" s="22">
        <v>273</v>
      </c>
      <c r="AU283" s="22">
        <v>0.42465199999999997</v>
      </c>
      <c r="AV283">
        <f t="shared" si="56"/>
        <v>15.643299999999998</v>
      </c>
      <c r="AW283">
        <f t="shared" si="57"/>
        <v>6.6525010445999992</v>
      </c>
      <c r="AX283" s="9"/>
      <c r="AY283" s="22">
        <v>1.2747200000000001</v>
      </c>
      <c r="AZ283" s="22">
        <v>241.15600000000001</v>
      </c>
      <c r="BA283" s="22">
        <v>-1.48621E-2</v>
      </c>
      <c r="BB283" s="22">
        <v>273</v>
      </c>
      <c r="BC283" s="22">
        <v>1.2738</v>
      </c>
      <c r="BD283">
        <f t="shared" si="58"/>
        <v>14.8621</v>
      </c>
      <c r="BE283">
        <f t="shared" si="59"/>
        <v>18.945016112000001</v>
      </c>
    </row>
    <row r="284" spans="6:101">
      <c r="F284" s="9"/>
      <c r="G284" s="22">
        <v>0.42022700000000002</v>
      </c>
      <c r="H284" s="22">
        <v>11.745900000000001</v>
      </c>
      <c r="I284" s="22">
        <v>-1.5628099999999999E-2</v>
      </c>
      <c r="J284" s="22">
        <v>274</v>
      </c>
      <c r="K284" s="22">
        <v>0.41958600000000001</v>
      </c>
      <c r="L284">
        <f t="shared" si="48"/>
        <v>15.628099999999998</v>
      </c>
      <c r="M284">
        <f t="shared" si="49"/>
        <v>6.5673495786999991</v>
      </c>
      <c r="N284" s="9"/>
      <c r="O284" s="22">
        <v>1.2797499999999999</v>
      </c>
      <c r="P284" s="22">
        <v>61.167299999999997</v>
      </c>
      <c r="Q284" s="22">
        <v>-1.4871199999999999E-2</v>
      </c>
      <c r="R284" s="22">
        <v>274</v>
      </c>
      <c r="S284" s="22">
        <v>1.2786900000000001</v>
      </c>
      <c r="T284">
        <f t="shared" si="50"/>
        <v>14.8712</v>
      </c>
      <c r="U284">
        <f t="shared" si="51"/>
        <v>19.031418199999997</v>
      </c>
      <c r="X284" s="9"/>
      <c r="Y284" s="22">
        <v>0.42022700000000002</v>
      </c>
      <c r="Z284" s="22">
        <v>110.745</v>
      </c>
      <c r="AA284" s="22">
        <v>-1.5646400000000001E-2</v>
      </c>
      <c r="AB284" s="22">
        <v>274</v>
      </c>
      <c r="AC284" s="22">
        <v>0.41964699999999999</v>
      </c>
      <c r="AD284">
        <f t="shared" si="52"/>
        <v>15.646400000000002</v>
      </c>
      <c r="AE284">
        <f t="shared" si="53"/>
        <v>6.5750397328000005</v>
      </c>
      <c r="AF284" s="9"/>
      <c r="AG284" s="22">
        <v>1.2797499999999999</v>
      </c>
      <c r="AH284" s="22">
        <v>142.404</v>
      </c>
      <c r="AI284" s="22">
        <v>-1.4837599999999999E-2</v>
      </c>
      <c r="AJ284" s="22">
        <v>274</v>
      </c>
      <c r="AK284" s="22">
        <v>1.2789900000000001</v>
      </c>
      <c r="AL284">
        <f t="shared" si="54"/>
        <v>14.8376</v>
      </c>
      <c r="AM284">
        <f t="shared" si="55"/>
        <v>18.988418599999999</v>
      </c>
      <c r="AP284" s="9"/>
      <c r="AQ284" s="22">
        <v>0.42022700000000002</v>
      </c>
      <c r="AR284" s="22">
        <v>191.78200000000001</v>
      </c>
      <c r="AS284" s="22">
        <v>-1.5640299999999999E-2</v>
      </c>
      <c r="AT284" s="22">
        <v>274</v>
      </c>
      <c r="AU284" s="22">
        <v>0.41961700000000002</v>
      </c>
      <c r="AV284">
        <f t="shared" si="56"/>
        <v>15.6403</v>
      </c>
      <c r="AW284">
        <f t="shared" si="57"/>
        <v>6.5724763481000004</v>
      </c>
      <c r="AX284" s="9"/>
      <c r="AY284" s="22">
        <v>1.2797499999999999</v>
      </c>
      <c r="AZ284" s="22">
        <v>241.166</v>
      </c>
      <c r="BA284" s="22">
        <v>-1.4831499999999999E-2</v>
      </c>
      <c r="BB284" s="22">
        <v>274</v>
      </c>
      <c r="BC284" s="22">
        <v>1.2789900000000001</v>
      </c>
      <c r="BD284">
        <f t="shared" si="58"/>
        <v>14.831499999999998</v>
      </c>
      <c r="BE284">
        <f t="shared" si="59"/>
        <v>18.980612124999997</v>
      </c>
    </row>
    <row r="285" spans="6:101">
      <c r="F285" s="9"/>
      <c r="G285" s="22">
        <v>0.41519200000000001</v>
      </c>
      <c r="H285" s="22">
        <v>11.7559</v>
      </c>
      <c r="I285" s="22">
        <v>-1.5631099999999998E-2</v>
      </c>
      <c r="J285" s="22">
        <v>275</v>
      </c>
      <c r="K285" s="22">
        <v>0.414551</v>
      </c>
      <c r="L285">
        <f t="shared" si="48"/>
        <v>15.631099999999998</v>
      </c>
      <c r="M285">
        <f t="shared" si="49"/>
        <v>6.4899076711999992</v>
      </c>
      <c r="N285" s="9"/>
      <c r="O285" s="22">
        <v>1.2847900000000001</v>
      </c>
      <c r="P285" s="22">
        <v>61.177300000000002</v>
      </c>
      <c r="Q285" s="22">
        <v>-1.48468E-2</v>
      </c>
      <c r="R285" s="22">
        <v>275</v>
      </c>
      <c r="S285" s="22">
        <v>1.2844800000000001</v>
      </c>
      <c r="T285">
        <f t="shared" si="50"/>
        <v>14.8468</v>
      </c>
      <c r="U285">
        <f t="shared" si="51"/>
        <v>19.075020172000002</v>
      </c>
      <c r="X285" s="9"/>
      <c r="Y285" s="22">
        <v>0.41519200000000001</v>
      </c>
      <c r="Z285" s="22">
        <v>110.755</v>
      </c>
      <c r="AA285" s="22">
        <v>-1.56525E-2</v>
      </c>
      <c r="AB285" s="22">
        <v>275</v>
      </c>
      <c r="AC285" s="22">
        <v>0.41458099999999998</v>
      </c>
      <c r="AD285">
        <f t="shared" si="52"/>
        <v>15.6525</v>
      </c>
      <c r="AE285">
        <f t="shared" si="53"/>
        <v>6.4987927799999996</v>
      </c>
      <c r="AF285" s="9"/>
      <c r="AG285" s="22">
        <v>1.2847900000000001</v>
      </c>
      <c r="AH285" s="22">
        <v>142.41399999999999</v>
      </c>
      <c r="AI285" s="22">
        <v>-1.48132E-2</v>
      </c>
      <c r="AJ285" s="22">
        <v>275</v>
      </c>
      <c r="AK285" s="22">
        <v>1.2838700000000001</v>
      </c>
      <c r="AL285">
        <f t="shared" si="54"/>
        <v>14.8132</v>
      </c>
      <c r="AM285">
        <f t="shared" si="55"/>
        <v>19.031851228000001</v>
      </c>
      <c r="AP285" s="9"/>
      <c r="AQ285" s="22">
        <v>0.41519200000000001</v>
      </c>
      <c r="AR285" s="22">
        <v>191.792</v>
      </c>
      <c r="AS285" s="22">
        <v>-1.5640299999999999E-2</v>
      </c>
      <c r="AT285" s="22">
        <v>275</v>
      </c>
      <c r="AU285" s="22">
        <v>0.41458099999999998</v>
      </c>
      <c r="AV285">
        <f t="shared" si="56"/>
        <v>15.6403</v>
      </c>
      <c r="AW285">
        <f t="shared" si="57"/>
        <v>6.4937274375999996</v>
      </c>
      <c r="AX285" s="9"/>
      <c r="AY285" s="22">
        <v>1.2847900000000001</v>
      </c>
      <c r="AZ285" s="22">
        <v>241.17599999999999</v>
      </c>
      <c r="BA285" s="22">
        <v>-1.4810200000000001E-2</v>
      </c>
      <c r="BB285" s="22">
        <v>275</v>
      </c>
      <c r="BC285" s="22">
        <v>1.2841800000000001</v>
      </c>
      <c r="BD285">
        <f t="shared" si="58"/>
        <v>14.8102</v>
      </c>
      <c r="BE285">
        <f t="shared" si="59"/>
        <v>19.027996858000002</v>
      </c>
    </row>
    <row r="286" spans="6:101">
      <c r="F286" s="9"/>
      <c r="G286" s="22">
        <v>0.41015600000000002</v>
      </c>
      <c r="H286" s="22">
        <v>11.766</v>
      </c>
      <c r="I286" s="22">
        <v>-1.5631099999999998E-2</v>
      </c>
      <c r="J286" s="22">
        <v>276</v>
      </c>
      <c r="K286" s="22">
        <v>0.40954600000000002</v>
      </c>
      <c r="L286">
        <f t="shared" si="48"/>
        <v>15.631099999999998</v>
      </c>
      <c r="M286">
        <f t="shared" si="49"/>
        <v>6.4111894515999994</v>
      </c>
      <c r="N286" s="9"/>
      <c r="O286" s="22">
        <v>1.28983</v>
      </c>
      <c r="P286" s="22">
        <v>61.187399999999997</v>
      </c>
      <c r="Q286" s="22">
        <v>-1.4825400000000001E-2</v>
      </c>
      <c r="R286" s="22">
        <v>276</v>
      </c>
      <c r="S286" s="22">
        <v>1.2887599999999999</v>
      </c>
      <c r="T286">
        <f t="shared" si="50"/>
        <v>14.8254</v>
      </c>
      <c r="U286">
        <f t="shared" si="51"/>
        <v>19.122245681999999</v>
      </c>
      <c r="X286" s="9"/>
      <c r="Y286" s="22">
        <v>0.41015600000000002</v>
      </c>
      <c r="Z286" s="22">
        <v>110.765</v>
      </c>
      <c r="AA286" s="22">
        <v>-1.5658600000000002E-2</v>
      </c>
      <c r="AB286" s="22">
        <v>276</v>
      </c>
      <c r="AC286" s="22">
        <v>0.409576</v>
      </c>
      <c r="AD286">
        <f t="shared" si="52"/>
        <v>15.658600000000002</v>
      </c>
      <c r="AE286">
        <f t="shared" si="53"/>
        <v>6.4224687416000013</v>
      </c>
      <c r="AF286" s="9"/>
      <c r="AG286" s="22">
        <v>1.28983</v>
      </c>
      <c r="AH286" s="22">
        <v>142.42400000000001</v>
      </c>
      <c r="AI286" s="22">
        <v>-1.47949E-2</v>
      </c>
      <c r="AJ286" s="22">
        <v>276</v>
      </c>
      <c r="AK286" s="22">
        <v>1.2896700000000001</v>
      </c>
      <c r="AL286">
        <f t="shared" si="54"/>
        <v>14.7949</v>
      </c>
      <c r="AM286">
        <f t="shared" si="55"/>
        <v>19.082905867000001</v>
      </c>
      <c r="AP286" s="9"/>
      <c r="AQ286" s="22">
        <v>0.41015600000000002</v>
      </c>
      <c r="AR286" s="22">
        <v>191.80199999999999</v>
      </c>
      <c r="AS286" s="22">
        <v>-1.5643299999999999E-2</v>
      </c>
      <c r="AT286" s="22">
        <v>276</v>
      </c>
      <c r="AU286" s="22">
        <v>0.409576</v>
      </c>
      <c r="AV286">
        <f t="shared" si="56"/>
        <v>15.643299999999998</v>
      </c>
      <c r="AW286">
        <f t="shared" si="57"/>
        <v>6.4161933547999999</v>
      </c>
      <c r="AX286" s="9"/>
      <c r="AY286" s="22">
        <v>1.28983</v>
      </c>
      <c r="AZ286" s="22">
        <v>241.18600000000001</v>
      </c>
      <c r="BA286" s="22">
        <v>-1.47919E-2</v>
      </c>
      <c r="BB286" s="22">
        <v>276</v>
      </c>
      <c r="BC286" s="22">
        <v>1.2893699999999999</v>
      </c>
      <c r="BD286">
        <f t="shared" si="58"/>
        <v>14.7919</v>
      </c>
      <c r="BE286">
        <f t="shared" si="59"/>
        <v>19.079036377000001</v>
      </c>
    </row>
    <row r="287" spans="6:101">
      <c r="F287" s="9"/>
      <c r="G287" s="22">
        <v>0.40512100000000001</v>
      </c>
      <c r="H287" s="22">
        <v>11.7761</v>
      </c>
      <c r="I287" s="22">
        <v>-1.5631099999999998E-2</v>
      </c>
      <c r="J287" s="22">
        <v>277</v>
      </c>
      <c r="K287" s="22">
        <v>0.40460200000000002</v>
      </c>
      <c r="L287">
        <f t="shared" si="48"/>
        <v>15.631099999999998</v>
      </c>
      <c r="M287">
        <f t="shared" si="49"/>
        <v>6.3324868630999998</v>
      </c>
      <c r="N287" s="9"/>
      <c r="O287" s="22">
        <v>1.2948599999999999</v>
      </c>
      <c r="P287" s="22">
        <v>61.197499999999998</v>
      </c>
      <c r="Q287" s="22">
        <v>-1.47919E-2</v>
      </c>
      <c r="R287" s="22">
        <v>277</v>
      </c>
      <c r="S287" s="22">
        <v>1.2939499999999999</v>
      </c>
      <c r="T287">
        <f t="shared" si="50"/>
        <v>14.7919</v>
      </c>
      <c r="U287">
        <f t="shared" si="51"/>
        <v>19.153439633999998</v>
      </c>
      <c r="X287" s="9"/>
      <c r="Y287" s="22">
        <v>0.40512100000000001</v>
      </c>
      <c r="Z287" s="22">
        <v>110.77500000000001</v>
      </c>
      <c r="AA287" s="22">
        <v>-1.5661600000000001E-2</v>
      </c>
      <c r="AB287" s="22">
        <v>277</v>
      </c>
      <c r="AC287" s="22">
        <v>0.40454099999999998</v>
      </c>
      <c r="AD287">
        <f t="shared" si="52"/>
        <v>15.661600000000002</v>
      </c>
      <c r="AE287">
        <f t="shared" si="53"/>
        <v>6.3448430536000009</v>
      </c>
      <c r="AF287" s="9"/>
      <c r="AG287" s="22">
        <v>1.2948599999999999</v>
      </c>
      <c r="AH287" s="22">
        <v>142.434</v>
      </c>
      <c r="AI287" s="22">
        <v>-1.4770500000000001E-2</v>
      </c>
      <c r="AJ287" s="22">
        <v>277</v>
      </c>
      <c r="AK287" s="22">
        <v>1.2942499999999999</v>
      </c>
      <c r="AL287">
        <f t="shared" si="54"/>
        <v>14.7705</v>
      </c>
      <c r="AM287">
        <f t="shared" si="55"/>
        <v>19.125729629999999</v>
      </c>
      <c r="AP287" s="9"/>
      <c r="AQ287" s="22">
        <v>0.40512100000000001</v>
      </c>
      <c r="AR287" s="22">
        <v>191.81200000000001</v>
      </c>
      <c r="AS287" s="22">
        <v>-1.5649400000000001E-2</v>
      </c>
      <c r="AT287" s="22">
        <v>277</v>
      </c>
      <c r="AU287" s="22">
        <v>0.40460200000000002</v>
      </c>
      <c r="AV287">
        <f t="shared" si="56"/>
        <v>15.6494</v>
      </c>
      <c r="AW287">
        <f t="shared" si="57"/>
        <v>6.3399005773999999</v>
      </c>
      <c r="AX287" s="9"/>
      <c r="AY287" s="22">
        <v>1.2948599999999999</v>
      </c>
      <c r="AZ287" s="22">
        <v>241.196</v>
      </c>
      <c r="BA287" s="22">
        <v>-1.47797E-2</v>
      </c>
      <c r="BB287" s="22">
        <v>277</v>
      </c>
      <c r="BC287" s="22">
        <v>1.2942499999999999</v>
      </c>
      <c r="BD287">
        <f t="shared" si="58"/>
        <v>14.7797</v>
      </c>
      <c r="BE287">
        <f t="shared" si="59"/>
        <v>19.137642341999999</v>
      </c>
    </row>
    <row r="288" spans="6:101">
      <c r="F288" s="9"/>
      <c r="G288" s="22">
        <v>0.40008500000000002</v>
      </c>
      <c r="H288" s="22">
        <v>11.786099999999999</v>
      </c>
      <c r="I288" s="22">
        <v>-1.5628099999999999E-2</v>
      </c>
      <c r="J288" s="22">
        <v>278</v>
      </c>
      <c r="K288" s="22">
        <v>0.39944499999999999</v>
      </c>
      <c r="L288">
        <f t="shared" si="48"/>
        <v>15.628099999999998</v>
      </c>
      <c r="M288">
        <f t="shared" si="49"/>
        <v>6.2525683884999994</v>
      </c>
      <c r="N288" s="9"/>
      <c r="O288" s="22">
        <v>1.2999000000000001</v>
      </c>
      <c r="P288" s="22">
        <v>61.207599999999999</v>
      </c>
      <c r="Q288" s="22">
        <v>-1.4776600000000001E-2</v>
      </c>
      <c r="R288" s="22">
        <v>278</v>
      </c>
      <c r="S288" s="22">
        <v>1.2988299999999999</v>
      </c>
      <c r="T288">
        <f t="shared" si="50"/>
        <v>14.7766</v>
      </c>
      <c r="U288">
        <f t="shared" si="51"/>
        <v>19.20810234</v>
      </c>
      <c r="X288" s="9"/>
      <c r="Y288" s="22">
        <v>0.40008500000000002</v>
      </c>
      <c r="Z288" s="22">
        <v>110.785</v>
      </c>
      <c r="AA288" s="22">
        <v>-1.56647E-2</v>
      </c>
      <c r="AB288" s="22">
        <v>278</v>
      </c>
      <c r="AC288" s="22">
        <v>0.399536</v>
      </c>
      <c r="AD288">
        <f t="shared" si="52"/>
        <v>15.6647</v>
      </c>
      <c r="AE288">
        <f t="shared" si="53"/>
        <v>6.2672114995000001</v>
      </c>
      <c r="AF288" s="9"/>
      <c r="AG288" s="22">
        <v>1.2999000000000001</v>
      </c>
      <c r="AH288" s="22">
        <v>142.44399999999999</v>
      </c>
      <c r="AI288" s="22">
        <v>-1.47461E-2</v>
      </c>
      <c r="AJ288" s="22">
        <v>278</v>
      </c>
      <c r="AK288" s="22">
        <v>1.2994399999999999</v>
      </c>
      <c r="AL288">
        <f t="shared" si="54"/>
        <v>14.7461</v>
      </c>
      <c r="AM288">
        <f t="shared" si="55"/>
        <v>19.168455390000002</v>
      </c>
      <c r="AP288" s="9"/>
      <c r="AQ288" s="22">
        <v>0.40008500000000002</v>
      </c>
      <c r="AR288" s="22">
        <v>191.822</v>
      </c>
      <c r="AS288" s="22">
        <v>-1.5655499999999999E-2</v>
      </c>
      <c r="AT288" s="22">
        <v>278</v>
      </c>
      <c r="AU288" s="22">
        <v>0.39950600000000003</v>
      </c>
      <c r="AV288">
        <f t="shared" si="56"/>
        <v>15.6555</v>
      </c>
      <c r="AW288">
        <f t="shared" si="57"/>
        <v>6.2635307175000001</v>
      </c>
      <c r="AX288" s="9"/>
      <c r="AY288" s="22">
        <v>1.2999000000000001</v>
      </c>
      <c r="AZ288" s="22">
        <v>241.20599999999999</v>
      </c>
      <c r="BA288" s="22">
        <v>-1.4749099999999999E-2</v>
      </c>
      <c r="BB288" s="22">
        <v>278</v>
      </c>
      <c r="BC288" s="22">
        <v>1.2991299999999999</v>
      </c>
      <c r="BD288">
        <f t="shared" si="58"/>
        <v>14.749099999999999</v>
      </c>
      <c r="BE288">
        <f t="shared" si="59"/>
        <v>19.17235509</v>
      </c>
    </row>
    <row r="289" spans="6:57">
      <c r="F289" s="9"/>
      <c r="G289" s="22">
        <v>0.39505000000000001</v>
      </c>
      <c r="H289" s="22">
        <v>11.796200000000001</v>
      </c>
      <c r="I289" s="22">
        <v>-1.5631099999999998E-2</v>
      </c>
      <c r="J289" s="22">
        <v>279</v>
      </c>
      <c r="K289" s="22">
        <v>0.394592</v>
      </c>
      <c r="L289">
        <f t="shared" si="48"/>
        <v>15.631099999999998</v>
      </c>
      <c r="M289">
        <f t="shared" si="49"/>
        <v>6.1750660549999994</v>
      </c>
      <c r="N289" s="9"/>
      <c r="O289" s="22">
        <v>1.3049299999999999</v>
      </c>
      <c r="P289" s="22">
        <v>61.217599999999997</v>
      </c>
      <c r="Q289" s="22">
        <v>-1.4761399999999999E-2</v>
      </c>
      <c r="R289" s="22">
        <v>279</v>
      </c>
      <c r="S289" s="22">
        <v>1.3043199999999999</v>
      </c>
      <c r="T289">
        <f t="shared" si="50"/>
        <v>14.761399999999998</v>
      </c>
      <c r="U289">
        <f t="shared" si="51"/>
        <v>19.262593701999997</v>
      </c>
      <c r="X289" s="9"/>
      <c r="Y289" s="22">
        <v>0.39505000000000001</v>
      </c>
      <c r="Z289" s="22">
        <v>110.795</v>
      </c>
      <c r="AA289" s="22">
        <v>-1.5670799999999999E-2</v>
      </c>
      <c r="AB289" s="22">
        <v>279</v>
      </c>
      <c r="AC289" s="22">
        <v>0.39453100000000002</v>
      </c>
      <c r="AD289">
        <f t="shared" si="52"/>
        <v>15.670799999999998</v>
      </c>
      <c r="AE289">
        <f t="shared" si="53"/>
        <v>6.1907495399999997</v>
      </c>
      <c r="AF289" s="9"/>
      <c r="AG289" s="22">
        <v>1.3049299999999999</v>
      </c>
      <c r="AH289" s="22">
        <v>142.45400000000001</v>
      </c>
      <c r="AI289" s="22">
        <v>-1.4715600000000001E-2</v>
      </c>
      <c r="AJ289" s="22">
        <v>279</v>
      </c>
      <c r="AK289" s="22">
        <v>1.3037099999999999</v>
      </c>
      <c r="AL289">
        <f t="shared" si="54"/>
        <v>14.7156</v>
      </c>
      <c r="AM289">
        <f t="shared" si="55"/>
        <v>19.202827908</v>
      </c>
      <c r="AP289" s="9"/>
      <c r="AQ289" s="22">
        <v>0.39505000000000001</v>
      </c>
      <c r="AR289" s="22">
        <v>191.833</v>
      </c>
      <c r="AS289" s="22">
        <v>-1.5658600000000002E-2</v>
      </c>
      <c r="AT289" s="22">
        <v>279</v>
      </c>
      <c r="AU289" s="22">
        <v>0.39453100000000002</v>
      </c>
      <c r="AV289">
        <f t="shared" si="56"/>
        <v>15.658600000000002</v>
      </c>
      <c r="AW289">
        <f t="shared" si="57"/>
        <v>6.1859299300000012</v>
      </c>
      <c r="AX289" s="9"/>
      <c r="AY289" s="22">
        <v>1.3049299999999999</v>
      </c>
      <c r="AZ289" s="22">
        <v>241.21600000000001</v>
      </c>
      <c r="BA289" s="22">
        <v>-1.47247E-2</v>
      </c>
      <c r="BB289" s="22">
        <v>279</v>
      </c>
      <c r="BC289" s="22">
        <v>1.3043199999999999</v>
      </c>
      <c r="BD289">
        <f t="shared" si="58"/>
        <v>14.7247</v>
      </c>
      <c r="BE289">
        <f t="shared" si="59"/>
        <v>19.214702770999999</v>
      </c>
    </row>
    <row r="290" spans="6:57">
      <c r="F290" s="9"/>
      <c r="G290" s="22">
        <v>0.390015</v>
      </c>
      <c r="H290" s="22">
        <v>11.8063</v>
      </c>
      <c r="I290" s="22">
        <v>-1.5631099999999998E-2</v>
      </c>
      <c r="J290" s="22">
        <v>280</v>
      </c>
      <c r="K290" s="22">
        <v>0.38946500000000001</v>
      </c>
      <c r="L290">
        <f t="shared" si="48"/>
        <v>15.631099999999998</v>
      </c>
      <c r="M290">
        <f t="shared" si="49"/>
        <v>6.0963634664999997</v>
      </c>
      <c r="N290" s="9"/>
      <c r="O290" s="22">
        <v>1.3099700000000001</v>
      </c>
      <c r="P290" s="22">
        <v>61.227699999999999</v>
      </c>
      <c r="Q290" s="22">
        <v>-1.474E-2</v>
      </c>
      <c r="R290" s="22">
        <v>280</v>
      </c>
      <c r="S290" s="22">
        <v>1.3089</v>
      </c>
      <c r="T290">
        <f t="shared" si="50"/>
        <v>14.74</v>
      </c>
      <c r="U290">
        <f t="shared" si="51"/>
        <v>19.308957800000002</v>
      </c>
      <c r="X290" s="9"/>
      <c r="Y290" s="22">
        <v>0.390015</v>
      </c>
      <c r="Z290" s="22">
        <v>110.80500000000001</v>
      </c>
      <c r="AA290" s="22">
        <v>-1.5670799999999999E-2</v>
      </c>
      <c r="AB290" s="22">
        <v>280</v>
      </c>
      <c r="AC290" s="22">
        <v>0.38943499999999998</v>
      </c>
      <c r="AD290">
        <f t="shared" si="52"/>
        <v>15.670799999999998</v>
      </c>
      <c r="AE290">
        <f t="shared" si="53"/>
        <v>6.1118470619999989</v>
      </c>
      <c r="AF290" s="9"/>
      <c r="AG290" s="22">
        <v>1.3099700000000001</v>
      </c>
      <c r="AH290" s="22">
        <v>142.464</v>
      </c>
      <c r="AI290" s="22">
        <v>-1.47034E-2</v>
      </c>
      <c r="AJ290" s="22">
        <v>280</v>
      </c>
      <c r="AK290" s="22">
        <v>1.30951</v>
      </c>
      <c r="AL290">
        <f t="shared" si="54"/>
        <v>14.7034</v>
      </c>
      <c r="AM290">
        <f t="shared" si="55"/>
        <v>19.261012898000001</v>
      </c>
      <c r="AP290" s="9"/>
      <c r="AQ290" s="22">
        <v>0.390015</v>
      </c>
      <c r="AR290" s="22">
        <v>191.84299999999999</v>
      </c>
      <c r="AS290" s="22">
        <v>-1.5661600000000001E-2</v>
      </c>
      <c r="AT290" s="22">
        <v>280</v>
      </c>
      <c r="AU290" s="22">
        <v>0.38946500000000001</v>
      </c>
      <c r="AV290">
        <f t="shared" si="56"/>
        <v>15.661600000000002</v>
      </c>
      <c r="AW290">
        <f t="shared" si="57"/>
        <v>6.1082589240000003</v>
      </c>
      <c r="AX290" s="9"/>
      <c r="AY290" s="22">
        <v>1.3099700000000001</v>
      </c>
      <c r="AZ290" s="22">
        <v>241.226</v>
      </c>
      <c r="BA290" s="22">
        <v>-1.4700299999999999E-2</v>
      </c>
      <c r="BB290" s="22">
        <v>280</v>
      </c>
      <c r="BC290" s="22">
        <v>1.3091999999999999</v>
      </c>
      <c r="BD290">
        <f t="shared" si="58"/>
        <v>14.700299999999999</v>
      </c>
      <c r="BE290">
        <f t="shared" si="59"/>
        <v>19.256951990999998</v>
      </c>
    </row>
    <row r="291" spans="6:57">
      <c r="F291" s="9"/>
      <c r="G291" s="22">
        <v>0.38497900000000002</v>
      </c>
      <c r="H291" s="22">
        <v>11.8163</v>
      </c>
      <c r="I291" s="22">
        <v>-1.5628099999999999E-2</v>
      </c>
      <c r="J291" s="22">
        <v>281</v>
      </c>
      <c r="K291" s="22">
        <v>0.38433800000000001</v>
      </c>
      <c r="L291">
        <f t="shared" si="48"/>
        <v>15.628099999999998</v>
      </c>
      <c r="M291">
        <f t="shared" si="49"/>
        <v>6.0164903098999991</v>
      </c>
      <c r="N291" s="9"/>
      <c r="O291" s="22">
        <v>1.3149999999999999</v>
      </c>
      <c r="P291" s="22">
        <v>61.2378</v>
      </c>
      <c r="Q291" s="22">
        <v>-1.47125E-2</v>
      </c>
      <c r="R291" s="22">
        <v>281</v>
      </c>
      <c r="S291" s="22">
        <v>1.31409</v>
      </c>
      <c r="T291">
        <f t="shared" si="50"/>
        <v>14.7125</v>
      </c>
      <c r="U291">
        <f t="shared" si="51"/>
        <v>19.346937499999999</v>
      </c>
      <c r="X291" s="9"/>
      <c r="Y291" s="22">
        <v>0.38497900000000002</v>
      </c>
      <c r="Z291" s="22">
        <v>110.815</v>
      </c>
      <c r="AA291" s="22">
        <v>-1.5673800000000002E-2</v>
      </c>
      <c r="AB291" s="22">
        <v>281</v>
      </c>
      <c r="AC291" s="22">
        <v>0.38449100000000003</v>
      </c>
      <c r="AD291">
        <f t="shared" si="52"/>
        <v>15.673800000000002</v>
      </c>
      <c r="AE291">
        <f t="shared" si="53"/>
        <v>6.0340838502000009</v>
      </c>
      <c r="AF291" s="9"/>
      <c r="AG291" s="22">
        <v>1.3149999999999999</v>
      </c>
      <c r="AH291" s="22">
        <v>142.47399999999999</v>
      </c>
      <c r="AI291" s="22">
        <v>-1.4694199999999999E-2</v>
      </c>
      <c r="AJ291" s="22">
        <v>281</v>
      </c>
      <c r="AK291" s="22">
        <v>1.3143899999999999</v>
      </c>
      <c r="AL291">
        <f t="shared" si="54"/>
        <v>14.694199999999999</v>
      </c>
      <c r="AM291">
        <f t="shared" si="55"/>
        <v>19.322872999999998</v>
      </c>
      <c r="AP291" s="9"/>
      <c r="AQ291" s="22">
        <v>0.38497900000000002</v>
      </c>
      <c r="AR291" s="22">
        <v>191.85300000000001</v>
      </c>
      <c r="AS291" s="22">
        <v>-1.56647E-2</v>
      </c>
      <c r="AT291" s="22">
        <v>281</v>
      </c>
      <c r="AU291" s="22">
        <v>0.38449100000000003</v>
      </c>
      <c r="AV291">
        <f t="shared" si="56"/>
        <v>15.6647</v>
      </c>
      <c r="AW291">
        <f t="shared" si="57"/>
        <v>6.0305805413</v>
      </c>
      <c r="AX291" s="9"/>
      <c r="AY291" s="22">
        <v>1.3149999999999999</v>
      </c>
      <c r="AZ291" s="22">
        <v>241.23599999999999</v>
      </c>
      <c r="BA291" s="22">
        <v>-1.46637E-2</v>
      </c>
      <c r="BB291" s="22">
        <v>281</v>
      </c>
      <c r="BC291" s="22">
        <v>1.3147</v>
      </c>
      <c r="BD291">
        <f t="shared" si="58"/>
        <v>14.6637</v>
      </c>
      <c r="BE291">
        <f t="shared" si="59"/>
        <v>19.2827655</v>
      </c>
    </row>
    <row r="292" spans="6:57">
      <c r="F292" s="9"/>
      <c r="G292" s="22">
        <v>0.379944</v>
      </c>
      <c r="H292" s="22">
        <v>11.8264</v>
      </c>
      <c r="I292" s="22">
        <v>-1.5631099999999998E-2</v>
      </c>
      <c r="J292" s="22">
        <v>282</v>
      </c>
      <c r="K292" s="22">
        <v>0.37933299999999998</v>
      </c>
      <c r="L292">
        <f t="shared" si="48"/>
        <v>15.631099999999998</v>
      </c>
      <c r="M292">
        <f t="shared" si="49"/>
        <v>5.9389426583999994</v>
      </c>
      <c r="N292" s="9"/>
      <c r="O292" s="22">
        <v>1.3200400000000001</v>
      </c>
      <c r="P292" s="22">
        <v>61.247799999999998</v>
      </c>
      <c r="Q292" s="22">
        <v>-1.46973E-2</v>
      </c>
      <c r="R292" s="22">
        <v>282</v>
      </c>
      <c r="S292" s="22">
        <v>1.31897</v>
      </c>
      <c r="T292">
        <f t="shared" si="50"/>
        <v>14.6973</v>
      </c>
      <c r="U292">
        <f t="shared" si="51"/>
        <v>19.401023892000001</v>
      </c>
      <c r="X292" s="9"/>
      <c r="Y292" s="22">
        <v>0.379944</v>
      </c>
      <c r="Z292" s="22">
        <v>110.825</v>
      </c>
      <c r="AA292" s="22">
        <v>-1.5670799999999999E-2</v>
      </c>
      <c r="AB292" s="22">
        <v>282</v>
      </c>
      <c r="AC292" s="22">
        <v>0.37933299999999998</v>
      </c>
      <c r="AD292">
        <f t="shared" si="52"/>
        <v>15.670799999999998</v>
      </c>
      <c r="AE292">
        <f t="shared" si="53"/>
        <v>5.9540264351999994</v>
      </c>
      <c r="AF292" s="9"/>
      <c r="AG292" s="22">
        <v>1.3200400000000001</v>
      </c>
      <c r="AH292" s="22">
        <v>142.48400000000001</v>
      </c>
      <c r="AI292" s="22">
        <v>-1.4672899999999999E-2</v>
      </c>
      <c r="AJ292" s="22">
        <v>282</v>
      </c>
      <c r="AK292" s="22">
        <v>1.3192699999999999</v>
      </c>
      <c r="AL292">
        <f t="shared" si="54"/>
        <v>14.672899999999998</v>
      </c>
      <c r="AM292">
        <f t="shared" si="55"/>
        <v>19.368814915999998</v>
      </c>
      <c r="AP292" s="9"/>
      <c r="AQ292" s="22">
        <v>0.379944</v>
      </c>
      <c r="AR292" s="22">
        <v>191.863</v>
      </c>
      <c r="AS292" s="22">
        <v>-1.56647E-2</v>
      </c>
      <c r="AT292" s="22">
        <v>282</v>
      </c>
      <c r="AU292" s="22">
        <v>0.37936399999999998</v>
      </c>
      <c r="AV292">
        <f t="shared" si="56"/>
        <v>15.6647</v>
      </c>
      <c r="AW292">
        <f t="shared" si="57"/>
        <v>5.9517087768000003</v>
      </c>
      <c r="AX292" s="9"/>
      <c r="AY292" s="22">
        <v>1.3200400000000001</v>
      </c>
      <c r="AZ292" s="22">
        <v>241.24600000000001</v>
      </c>
      <c r="BA292" s="22">
        <v>-1.46301E-2</v>
      </c>
      <c r="BB292" s="22">
        <v>282</v>
      </c>
      <c r="BC292" s="22">
        <v>1.3192699999999999</v>
      </c>
      <c r="BD292">
        <f t="shared" si="58"/>
        <v>14.630100000000001</v>
      </c>
      <c r="BE292">
        <f t="shared" si="59"/>
        <v>19.312317204000003</v>
      </c>
    </row>
    <row r="293" spans="6:57">
      <c r="F293" s="9"/>
      <c r="G293" s="22">
        <v>0.37490800000000002</v>
      </c>
      <c r="H293" s="22">
        <v>11.836499999999999</v>
      </c>
      <c r="I293" s="22">
        <v>-1.5628099999999999E-2</v>
      </c>
      <c r="J293" s="22">
        <v>283</v>
      </c>
      <c r="K293" s="22">
        <v>0.37423699999999999</v>
      </c>
      <c r="L293">
        <f t="shared" si="48"/>
        <v>15.628099999999998</v>
      </c>
      <c r="M293">
        <f t="shared" si="49"/>
        <v>5.8590997147999992</v>
      </c>
      <c r="N293" s="9"/>
      <c r="O293" s="22">
        <v>1.32507</v>
      </c>
      <c r="P293" s="22">
        <v>61.257899999999999</v>
      </c>
      <c r="Q293" s="22">
        <v>-1.4682000000000001E-2</v>
      </c>
      <c r="R293" s="22">
        <v>283</v>
      </c>
      <c r="S293" s="22">
        <v>1.32385</v>
      </c>
      <c r="T293">
        <f t="shared" si="50"/>
        <v>14.682</v>
      </c>
      <c r="U293">
        <f t="shared" si="51"/>
        <v>19.454677740000001</v>
      </c>
      <c r="X293" s="9"/>
      <c r="Y293" s="22">
        <v>0.37490800000000002</v>
      </c>
      <c r="Z293" s="22">
        <v>110.83499999999999</v>
      </c>
      <c r="AA293" s="22">
        <v>-1.5670799999999999E-2</v>
      </c>
      <c r="AB293" s="22">
        <v>283</v>
      </c>
      <c r="AC293" s="22">
        <v>0.37429800000000002</v>
      </c>
      <c r="AD293">
        <f t="shared" si="52"/>
        <v>15.670799999999998</v>
      </c>
      <c r="AE293">
        <f t="shared" si="53"/>
        <v>5.8751082863999997</v>
      </c>
      <c r="AF293" s="9"/>
      <c r="AG293" s="22">
        <v>1.32507</v>
      </c>
      <c r="AH293" s="22">
        <v>142.494</v>
      </c>
      <c r="AI293" s="22">
        <v>-1.46515E-2</v>
      </c>
      <c r="AJ293" s="22">
        <v>283</v>
      </c>
      <c r="AK293" s="22">
        <v>1.32416</v>
      </c>
      <c r="AL293">
        <f t="shared" si="54"/>
        <v>14.6515</v>
      </c>
      <c r="AM293">
        <f t="shared" si="55"/>
        <v>19.414263105</v>
      </c>
      <c r="AP293" s="9"/>
      <c r="AQ293" s="22">
        <v>0.37490800000000002</v>
      </c>
      <c r="AR293" s="22">
        <v>191.87299999999999</v>
      </c>
      <c r="AS293" s="22">
        <v>-1.56677E-2</v>
      </c>
      <c r="AT293" s="22">
        <v>283</v>
      </c>
      <c r="AU293" s="22">
        <v>0.37432900000000002</v>
      </c>
      <c r="AV293">
        <f t="shared" si="56"/>
        <v>15.6677</v>
      </c>
      <c r="AW293">
        <f t="shared" si="57"/>
        <v>5.8739460716000007</v>
      </c>
      <c r="AX293" s="9"/>
      <c r="AY293" s="22">
        <v>1.32507</v>
      </c>
      <c r="AZ293" s="22">
        <v>241.256</v>
      </c>
      <c r="BA293" s="22">
        <v>-1.46088E-2</v>
      </c>
      <c r="BB293" s="22">
        <v>283</v>
      </c>
      <c r="BC293" s="22">
        <v>1.32416</v>
      </c>
      <c r="BD293">
        <f t="shared" si="58"/>
        <v>14.6088</v>
      </c>
      <c r="BE293">
        <f t="shared" si="59"/>
        <v>19.357682616000002</v>
      </c>
    </row>
    <row r="294" spans="6:57">
      <c r="F294" s="9"/>
      <c r="G294" s="22">
        <v>0.36987300000000001</v>
      </c>
      <c r="H294" s="22">
        <v>11.8466</v>
      </c>
      <c r="I294" s="22">
        <v>-1.5628099999999999E-2</v>
      </c>
      <c r="J294" s="22">
        <v>284</v>
      </c>
      <c r="K294" s="22">
        <v>0.36926300000000001</v>
      </c>
      <c r="L294">
        <f t="shared" si="48"/>
        <v>15.628099999999998</v>
      </c>
      <c r="M294">
        <f t="shared" si="49"/>
        <v>5.7804122312999997</v>
      </c>
      <c r="N294" s="9"/>
      <c r="O294" s="22">
        <v>1.3301099999999999</v>
      </c>
      <c r="P294" s="22">
        <v>61.268000000000001</v>
      </c>
      <c r="Q294" s="22">
        <v>-1.46637E-2</v>
      </c>
      <c r="R294" s="22">
        <v>284</v>
      </c>
      <c r="S294" s="22">
        <v>1.32935</v>
      </c>
      <c r="T294">
        <f t="shared" si="50"/>
        <v>14.6637</v>
      </c>
      <c r="U294">
        <f t="shared" si="51"/>
        <v>19.504334007000001</v>
      </c>
      <c r="X294" s="9"/>
      <c r="Y294" s="22">
        <v>0.36987300000000001</v>
      </c>
      <c r="Z294" s="22">
        <v>110.845</v>
      </c>
      <c r="AA294" s="22">
        <v>-1.5661600000000001E-2</v>
      </c>
      <c r="AB294" s="22">
        <v>284</v>
      </c>
      <c r="AC294" s="22">
        <v>0.36929299999999998</v>
      </c>
      <c r="AD294">
        <f t="shared" si="52"/>
        <v>15.661600000000002</v>
      </c>
      <c r="AE294">
        <f t="shared" si="53"/>
        <v>5.7928029768000009</v>
      </c>
      <c r="AF294" s="9"/>
      <c r="AG294" s="22">
        <v>1.3301099999999999</v>
      </c>
      <c r="AH294" s="22">
        <v>142.505</v>
      </c>
      <c r="AI294" s="22">
        <v>-1.46362E-2</v>
      </c>
      <c r="AJ294" s="22">
        <v>284</v>
      </c>
      <c r="AK294" s="22">
        <v>1.33026</v>
      </c>
      <c r="AL294">
        <f t="shared" si="54"/>
        <v>14.636200000000001</v>
      </c>
      <c r="AM294">
        <f t="shared" si="55"/>
        <v>19.467755982</v>
      </c>
      <c r="AP294" s="9"/>
      <c r="AQ294" s="22">
        <v>0.36987300000000001</v>
      </c>
      <c r="AR294" s="22">
        <v>191.88300000000001</v>
      </c>
      <c r="AS294" s="22">
        <v>-1.5670799999999999E-2</v>
      </c>
      <c r="AT294" s="22">
        <v>284</v>
      </c>
      <c r="AU294" s="22">
        <v>0.36932399999999999</v>
      </c>
      <c r="AV294">
        <f t="shared" si="56"/>
        <v>15.670799999999998</v>
      </c>
      <c r="AW294">
        <f t="shared" si="57"/>
        <v>5.796205808399999</v>
      </c>
      <c r="AX294" s="9"/>
      <c r="AY294" s="22">
        <v>1.3301099999999999</v>
      </c>
      <c r="AZ294" s="22">
        <v>241.26599999999999</v>
      </c>
      <c r="BA294" s="22">
        <v>-1.45874E-2</v>
      </c>
      <c r="BB294" s="22">
        <v>284</v>
      </c>
      <c r="BC294" s="22">
        <v>1.32904</v>
      </c>
      <c r="BD294">
        <f t="shared" si="58"/>
        <v>14.587400000000001</v>
      </c>
      <c r="BE294">
        <f t="shared" si="59"/>
        <v>19.402846613999998</v>
      </c>
    </row>
    <row r="295" spans="6:57">
      <c r="F295" s="9"/>
      <c r="G295" s="22">
        <v>0.364838</v>
      </c>
      <c r="H295" s="22">
        <v>11.8566</v>
      </c>
      <c r="I295" s="22">
        <v>-1.5628099999999999E-2</v>
      </c>
      <c r="J295" s="22">
        <v>285</v>
      </c>
      <c r="K295" s="22">
        <v>0.364288</v>
      </c>
      <c r="L295">
        <f t="shared" si="48"/>
        <v>15.628099999999998</v>
      </c>
      <c r="M295">
        <f t="shared" si="49"/>
        <v>5.7017247477999993</v>
      </c>
      <c r="N295" s="9"/>
      <c r="O295" s="22">
        <v>1.33514</v>
      </c>
      <c r="P295" s="22">
        <v>61.278100000000002</v>
      </c>
      <c r="Q295" s="22">
        <v>-1.46423E-2</v>
      </c>
      <c r="R295" s="22">
        <v>285</v>
      </c>
      <c r="S295" s="22">
        <v>1.33453</v>
      </c>
      <c r="T295">
        <f t="shared" si="50"/>
        <v>14.642300000000001</v>
      </c>
      <c r="U295">
        <f t="shared" si="51"/>
        <v>19.549520422000001</v>
      </c>
      <c r="X295" s="9"/>
      <c r="Y295" s="22">
        <v>0.364838</v>
      </c>
      <c r="Z295" s="22">
        <v>110.855</v>
      </c>
      <c r="AA295" s="22">
        <v>-1.56677E-2</v>
      </c>
      <c r="AB295" s="22">
        <v>285</v>
      </c>
      <c r="AC295" s="22">
        <v>0.36422700000000002</v>
      </c>
      <c r="AD295">
        <f t="shared" si="52"/>
        <v>15.6677</v>
      </c>
      <c r="AE295">
        <f t="shared" si="53"/>
        <v>5.7161723326000002</v>
      </c>
      <c r="AF295" s="9"/>
      <c r="AG295" s="22">
        <v>1.33514</v>
      </c>
      <c r="AH295" s="22">
        <v>142.51499999999999</v>
      </c>
      <c r="AI295" s="22">
        <v>-1.4611799999999999E-2</v>
      </c>
      <c r="AJ295" s="22">
        <v>285</v>
      </c>
      <c r="AK295" s="22">
        <v>1.33392</v>
      </c>
      <c r="AL295">
        <f t="shared" si="54"/>
        <v>14.611799999999999</v>
      </c>
      <c r="AM295">
        <f t="shared" si="55"/>
        <v>19.508798651999999</v>
      </c>
      <c r="AP295" s="9"/>
      <c r="AQ295" s="22">
        <v>0.364838</v>
      </c>
      <c r="AR295" s="22">
        <v>191.893</v>
      </c>
      <c r="AS295" s="22">
        <v>-1.56677E-2</v>
      </c>
      <c r="AT295" s="22">
        <v>285</v>
      </c>
      <c r="AU295" s="22">
        <v>0.36422700000000002</v>
      </c>
      <c r="AV295">
        <f t="shared" si="56"/>
        <v>15.6677</v>
      </c>
      <c r="AW295">
        <f t="shared" si="57"/>
        <v>5.7161723326000002</v>
      </c>
      <c r="AX295" s="9"/>
      <c r="AY295" s="22">
        <v>1.33514</v>
      </c>
      <c r="AZ295" s="22">
        <v>241.27600000000001</v>
      </c>
      <c r="BA295" s="22">
        <v>-1.45691E-2</v>
      </c>
      <c r="BB295" s="22">
        <v>285</v>
      </c>
      <c r="BC295" s="22">
        <v>1.33453</v>
      </c>
      <c r="BD295">
        <f t="shared" si="58"/>
        <v>14.569100000000001</v>
      </c>
      <c r="BE295">
        <f t="shared" si="59"/>
        <v>19.451788174000001</v>
      </c>
    </row>
    <row r="296" spans="6:57">
      <c r="F296" s="9"/>
      <c r="G296" s="22">
        <v>0.35980200000000001</v>
      </c>
      <c r="H296" s="22">
        <v>11.8667</v>
      </c>
      <c r="I296" s="22">
        <v>-1.5628099999999999E-2</v>
      </c>
      <c r="J296" s="22">
        <v>286</v>
      </c>
      <c r="K296" s="22">
        <v>0.35919200000000001</v>
      </c>
      <c r="L296">
        <f t="shared" si="48"/>
        <v>15.628099999999998</v>
      </c>
      <c r="M296">
        <f t="shared" si="49"/>
        <v>5.6230216361999998</v>
      </c>
      <c r="N296" s="9"/>
      <c r="O296" s="22">
        <v>1.3401799999999999</v>
      </c>
      <c r="P296" s="22">
        <v>61.2881</v>
      </c>
      <c r="Q296" s="22">
        <v>-1.4611799999999999E-2</v>
      </c>
      <c r="R296" s="22">
        <v>286</v>
      </c>
      <c r="S296" s="22">
        <v>1.3394200000000001</v>
      </c>
      <c r="T296">
        <f t="shared" si="50"/>
        <v>14.611799999999999</v>
      </c>
      <c r="U296">
        <f t="shared" si="51"/>
        <v>19.582442123999996</v>
      </c>
      <c r="X296" s="9"/>
      <c r="Y296" s="22">
        <v>0.35980200000000001</v>
      </c>
      <c r="Z296" s="22">
        <v>110.866</v>
      </c>
      <c r="AA296" s="22">
        <v>-1.5670799999999999E-2</v>
      </c>
      <c r="AB296" s="22">
        <v>286</v>
      </c>
      <c r="AC296" s="22">
        <v>0.35925299999999999</v>
      </c>
      <c r="AD296">
        <f t="shared" si="52"/>
        <v>15.670799999999998</v>
      </c>
      <c r="AE296">
        <f t="shared" si="53"/>
        <v>5.6383851815999995</v>
      </c>
      <c r="AF296" s="9"/>
      <c r="AG296" s="22">
        <v>1.3401799999999999</v>
      </c>
      <c r="AH296" s="22">
        <v>142.52500000000001</v>
      </c>
      <c r="AI296" s="22">
        <v>-1.45752E-2</v>
      </c>
      <c r="AJ296" s="22">
        <v>286</v>
      </c>
      <c r="AK296" s="22">
        <v>1.3394200000000001</v>
      </c>
      <c r="AL296">
        <f t="shared" si="54"/>
        <v>14.575200000000001</v>
      </c>
      <c r="AM296">
        <f t="shared" si="55"/>
        <v>19.533391536</v>
      </c>
      <c r="AP296" s="9"/>
      <c r="AQ296" s="22">
        <v>0.35980200000000001</v>
      </c>
      <c r="AR296" s="22">
        <v>191.90299999999999</v>
      </c>
      <c r="AS296" s="22">
        <v>-1.5661600000000001E-2</v>
      </c>
      <c r="AT296" s="22">
        <v>286</v>
      </c>
      <c r="AU296" s="22">
        <v>0.35919200000000001</v>
      </c>
      <c r="AV296">
        <f t="shared" si="56"/>
        <v>15.661600000000002</v>
      </c>
      <c r="AW296">
        <f t="shared" si="57"/>
        <v>5.6350750032000008</v>
      </c>
      <c r="AX296" s="9"/>
      <c r="AY296" s="22">
        <v>1.3401799999999999</v>
      </c>
      <c r="AZ296" s="22">
        <v>241.286</v>
      </c>
      <c r="BA296" s="22">
        <v>-1.45416E-2</v>
      </c>
      <c r="BB296" s="22">
        <v>286</v>
      </c>
      <c r="BC296" s="22">
        <v>1.33911</v>
      </c>
      <c r="BD296">
        <f t="shared" si="58"/>
        <v>14.541600000000001</v>
      </c>
      <c r="BE296">
        <f t="shared" si="59"/>
        <v>19.488361487999999</v>
      </c>
    </row>
    <row r="297" spans="6:57">
      <c r="F297" s="9"/>
      <c r="G297" s="22">
        <v>0.354767</v>
      </c>
      <c r="H297" s="22">
        <v>11.876799999999999</v>
      </c>
      <c r="I297" s="22">
        <v>-1.56372E-2</v>
      </c>
      <c r="J297" s="22">
        <v>287</v>
      </c>
      <c r="K297" s="22">
        <v>0.354126</v>
      </c>
      <c r="L297">
        <f t="shared" si="48"/>
        <v>15.6372</v>
      </c>
      <c r="M297">
        <f t="shared" si="49"/>
        <v>5.5475625323999997</v>
      </c>
      <c r="N297" s="9"/>
      <c r="O297" s="22">
        <v>1.34521</v>
      </c>
      <c r="P297" s="22">
        <v>61.298200000000001</v>
      </c>
      <c r="Q297" s="22">
        <v>-1.4593500000000001E-2</v>
      </c>
      <c r="R297" s="22">
        <v>287</v>
      </c>
      <c r="S297" s="22">
        <v>1.3443000000000001</v>
      </c>
      <c r="T297">
        <f t="shared" si="50"/>
        <v>14.593500000000001</v>
      </c>
      <c r="U297">
        <f t="shared" si="51"/>
        <v>19.631322135000001</v>
      </c>
      <c r="X297" s="9"/>
      <c r="Y297" s="22">
        <v>0.354767</v>
      </c>
      <c r="Z297" s="22">
        <v>110.876</v>
      </c>
      <c r="AA297" s="22">
        <v>-1.5670799999999999E-2</v>
      </c>
      <c r="AB297" s="22">
        <v>287</v>
      </c>
      <c r="AC297" s="22">
        <v>0.35421799999999998</v>
      </c>
      <c r="AD297">
        <f t="shared" si="52"/>
        <v>15.670799999999998</v>
      </c>
      <c r="AE297">
        <f t="shared" si="53"/>
        <v>5.5594827035999996</v>
      </c>
      <c r="AF297" s="9"/>
      <c r="AG297" s="22">
        <v>1.34521</v>
      </c>
      <c r="AH297" s="22">
        <v>142.535</v>
      </c>
      <c r="AI297" s="22">
        <v>-1.45325E-2</v>
      </c>
      <c r="AJ297" s="22">
        <v>287</v>
      </c>
      <c r="AK297" s="22">
        <v>1.3443000000000001</v>
      </c>
      <c r="AL297">
        <f t="shared" si="54"/>
        <v>14.532500000000001</v>
      </c>
      <c r="AM297">
        <f t="shared" si="55"/>
        <v>19.549264324999999</v>
      </c>
      <c r="AP297" s="9"/>
      <c r="AQ297" s="22">
        <v>0.354767</v>
      </c>
      <c r="AR297" s="22">
        <v>191.91300000000001</v>
      </c>
      <c r="AS297" s="22">
        <v>-1.56647E-2</v>
      </c>
      <c r="AT297" s="22">
        <v>287</v>
      </c>
      <c r="AU297" s="22">
        <v>0.35415600000000003</v>
      </c>
      <c r="AV297">
        <f t="shared" si="56"/>
        <v>15.6647</v>
      </c>
      <c r="AW297">
        <f t="shared" si="57"/>
        <v>5.5573186248999997</v>
      </c>
      <c r="AX297" s="9"/>
      <c r="AY297" s="22">
        <v>1.34521</v>
      </c>
      <c r="AZ297" s="22">
        <v>241.297</v>
      </c>
      <c r="BA297" s="22">
        <v>-1.45203E-2</v>
      </c>
      <c r="BB297" s="22">
        <v>287</v>
      </c>
      <c r="BC297" s="22">
        <v>1.34399</v>
      </c>
      <c r="BD297">
        <f t="shared" si="58"/>
        <v>14.520300000000001</v>
      </c>
      <c r="BE297">
        <f t="shared" si="59"/>
        <v>19.532852763000001</v>
      </c>
    </row>
    <row r="298" spans="6:57">
      <c r="F298" s="9"/>
      <c r="G298" s="22">
        <v>0.34973100000000001</v>
      </c>
      <c r="H298" s="22">
        <v>11.886799999999999</v>
      </c>
      <c r="I298" s="22">
        <v>-1.56372E-2</v>
      </c>
      <c r="J298" s="22">
        <v>288</v>
      </c>
      <c r="K298" s="22">
        <v>0.34918199999999999</v>
      </c>
      <c r="L298">
        <f t="shared" si="48"/>
        <v>15.6372</v>
      </c>
      <c r="M298">
        <f t="shared" si="49"/>
        <v>5.4688135932000002</v>
      </c>
      <c r="N298" s="9"/>
      <c r="O298" s="22">
        <v>1.35025</v>
      </c>
      <c r="P298" s="22">
        <v>61.308300000000003</v>
      </c>
      <c r="Q298" s="22">
        <v>-1.4559900000000001E-2</v>
      </c>
      <c r="R298" s="22">
        <v>288</v>
      </c>
      <c r="S298" s="22">
        <v>1.34918</v>
      </c>
      <c r="T298">
        <f t="shared" si="50"/>
        <v>14.559900000000001</v>
      </c>
      <c r="U298">
        <f t="shared" si="51"/>
        <v>19.659504975000001</v>
      </c>
      <c r="X298" s="9"/>
      <c r="Y298" s="22">
        <v>0.34973100000000001</v>
      </c>
      <c r="Z298" s="22">
        <v>110.886</v>
      </c>
      <c r="AA298" s="22">
        <v>-1.5670799999999999E-2</v>
      </c>
      <c r="AB298" s="22">
        <v>288</v>
      </c>
      <c r="AC298" s="22">
        <v>0.34905999999999998</v>
      </c>
      <c r="AD298">
        <f t="shared" si="52"/>
        <v>15.670799999999998</v>
      </c>
      <c r="AE298">
        <f t="shared" si="53"/>
        <v>5.4805645547999999</v>
      </c>
      <c r="AF298" s="9"/>
      <c r="AG298" s="22">
        <v>1.35025</v>
      </c>
      <c r="AH298" s="22">
        <v>142.54499999999999</v>
      </c>
      <c r="AI298" s="22">
        <v>-1.44928E-2</v>
      </c>
      <c r="AJ298" s="22">
        <v>288</v>
      </c>
      <c r="AK298" s="22">
        <v>1.34979</v>
      </c>
      <c r="AL298">
        <f t="shared" si="54"/>
        <v>14.492800000000001</v>
      </c>
      <c r="AM298">
        <f t="shared" si="55"/>
        <v>19.568903200000001</v>
      </c>
      <c r="AP298" s="9"/>
      <c r="AQ298" s="22">
        <v>0.34973100000000001</v>
      </c>
      <c r="AR298" s="22">
        <v>191.923</v>
      </c>
      <c r="AS298" s="22">
        <v>-1.5661600000000001E-2</v>
      </c>
      <c r="AT298" s="22">
        <v>288</v>
      </c>
      <c r="AU298" s="22">
        <v>0.34915200000000002</v>
      </c>
      <c r="AV298">
        <f t="shared" si="56"/>
        <v>15.661600000000002</v>
      </c>
      <c r="AW298">
        <f t="shared" si="57"/>
        <v>5.4773470296000006</v>
      </c>
      <c r="AX298" s="9"/>
      <c r="AY298" s="22">
        <v>1.35025</v>
      </c>
      <c r="AZ298" s="22">
        <v>241.30699999999999</v>
      </c>
      <c r="BA298" s="22">
        <v>-1.44928E-2</v>
      </c>
      <c r="BB298" s="22">
        <v>288</v>
      </c>
      <c r="BC298" s="22">
        <v>1.34918</v>
      </c>
      <c r="BD298">
        <f t="shared" si="58"/>
        <v>14.492800000000001</v>
      </c>
      <c r="BE298">
        <f t="shared" si="59"/>
        <v>19.568903200000001</v>
      </c>
    </row>
    <row r="299" spans="6:57">
      <c r="F299" s="9"/>
      <c r="G299" s="22">
        <v>0.344696</v>
      </c>
      <c r="H299" s="22">
        <v>11.8969</v>
      </c>
      <c r="I299" s="22">
        <v>-1.5646400000000001E-2</v>
      </c>
      <c r="J299" s="22">
        <v>289</v>
      </c>
      <c r="K299" s="22">
        <v>0.344055</v>
      </c>
      <c r="L299">
        <f t="shared" si="48"/>
        <v>15.646400000000002</v>
      </c>
      <c r="M299">
        <f t="shared" si="49"/>
        <v>5.3932514944000003</v>
      </c>
      <c r="N299" s="9"/>
      <c r="O299" s="22">
        <v>1.3552900000000001</v>
      </c>
      <c r="P299" s="22">
        <v>61.318300000000001</v>
      </c>
      <c r="Q299" s="22">
        <v>-1.4523299999999999E-2</v>
      </c>
      <c r="R299" s="22">
        <v>289</v>
      </c>
      <c r="S299" s="22">
        <v>1.3543700000000001</v>
      </c>
      <c r="T299">
        <f t="shared" si="50"/>
        <v>14.523299999999999</v>
      </c>
      <c r="U299">
        <f t="shared" si="51"/>
        <v>19.683283256999999</v>
      </c>
      <c r="X299" s="9"/>
      <c r="Y299" s="22">
        <v>0.344696</v>
      </c>
      <c r="Z299" s="22">
        <v>110.896</v>
      </c>
      <c r="AA299" s="22">
        <v>-1.56677E-2</v>
      </c>
      <c r="AB299" s="22">
        <v>289</v>
      </c>
      <c r="AC299" s="22">
        <v>0.34417700000000001</v>
      </c>
      <c r="AD299">
        <f t="shared" si="52"/>
        <v>15.6677</v>
      </c>
      <c r="AE299">
        <f t="shared" si="53"/>
        <v>5.4005935192000001</v>
      </c>
      <c r="AF299" s="9"/>
      <c r="AG299" s="22">
        <v>1.3552900000000001</v>
      </c>
      <c r="AH299" s="22">
        <v>142.55500000000001</v>
      </c>
      <c r="AI299" s="22">
        <v>-1.44501E-2</v>
      </c>
      <c r="AJ299" s="22">
        <v>289</v>
      </c>
      <c r="AK299" s="22">
        <v>1.3552900000000001</v>
      </c>
      <c r="AL299">
        <f t="shared" si="54"/>
        <v>14.450100000000001</v>
      </c>
      <c r="AM299">
        <f t="shared" si="55"/>
        <v>19.584076029000002</v>
      </c>
      <c r="AP299" s="9"/>
      <c r="AQ299" s="22">
        <v>0.344696</v>
      </c>
      <c r="AR299" s="22">
        <v>191.93299999999999</v>
      </c>
      <c r="AS299" s="22">
        <v>-1.56647E-2</v>
      </c>
      <c r="AT299" s="22">
        <v>289</v>
      </c>
      <c r="AU299" s="22">
        <v>0.34411599999999998</v>
      </c>
      <c r="AV299">
        <f t="shared" si="56"/>
        <v>15.6647</v>
      </c>
      <c r="AW299">
        <f t="shared" si="57"/>
        <v>5.3995594312000001</v>
      </c>
      <c r="AX299" s="9"/>
      <c r="AY299" s="22">
        <v>1.3552900000000001</v>
      </c>
      <c r="AZ299" s="22">
        <v>241.31700000000001</v>
      </c>
      <c r="BA299" s="22">
        <v>-1.4447E-2</v>
      </c>
      <c r="BB299" s="22">
        <v>289</v>
      </c>
      <c r="BC299" s="22">
        <v>1.3546800000000001</v>
      </c>
      <c r="BD299">
        <f t="shared" si="58"/>
        <v>14.446999999999999</v>
      </c>
      <c r="BE299">
        <f t="shared" si="59"/>
        <v>19.579874629999999</v>
      </c>
    </row>
    <row r="300" spans="6:57">
      <c r="F300" s="9"/>
      <c r="G300" s="22">
        <v>0.33966099999999999</v>
      </c>
      <c r="H300" s="22">
        <v>11.907</v>
      </c>
      <c r="I300" s="22">
        <v>-1.56525E-2</v>
      </c>
      <c r="J300" s="22">
        <v>290</v>
      </c>
      <c r="K300" s="22">
        <v>0.33905000000000002</v>
      </c>
      <c r="L300">
        <f t="shared" si="48"/>
        <v>15.6525</v>
      </c>
      <c r="M300">
        <f t="shared" si="49"/>
        <v>5.3165438025</v>
      </c>
      <c r="N300" s="9"/>
      <c r="O300" s="22">
        <v>1.36032</v>
      </c>
      <c r="P300" s="22">
        <v>61.328400000000002</v>
      </c>
      <c r="Q300" s="22">
        <v>-1.4477500000000001E-2</v>
      </c>
      <c r="R300" s="22">
        <v>290</v>
      </c>
      <c r="S300" s="22">
        <v>1.3601700000000001</v>
      </c>
      <c r="T300">
        <f t="shared" si="50"/>
        <v>14.477500000000001</v>
      </c>
      <c r="U300">
        <f t="shared" si="51"/>
        <v>19.694032800000002</v>
      </c>
      <c r="X300" s="9"/>
      <c r="Y300" s="22">
        <v>0.33966099999999999</v>
      </c>
      <c r="Z300" s="22">
        <v>110.90600000000001</v>
      </c>
      <c r="AA300" s="22">
        <v>-1.56677E-2</v>
      </c>
      <c r="AB300" s="22">
        <v>290</v>
      </c>
      <c r="AC300" s="22">
        <v>0.33908100000000002</v>
      </c>
      <c r="AD300">
        <f t="shared" si="52"/>
        <v>15.6677</v>
      </c>
      <c r="AE300">
        <f t="shared" si="53"/>
        <v>5.3217066496999994</v>
      </c>
      <c r="AF300" s="9"/>
      <c r="AG300" s="22">
        <v>1.36032</v>
      </c>
      <c r="AH300" s="22">
        <v>142.565</v>
      </c>
      <c r="AI300" s="22">
        <v>-1.4422600000000001E-2</v>
      </c>
      <c r="AJ300" s="22">
        <v>290</v>
      </c>
      <c r="AK300" s="22">
        <v>1.3592500000000001</v>
      </c>
      <c r="AL300">
        <f t="shared" si="54"/>
        <v>14.422600000000001</v>
      </c>
      <c r="AM300">
        <f t="shared" si="55"/>
        <v>19.619351232</v>
      </c>
      <c r="AP300" s="9"/>
      <c r="AQ300" s="22">
        <v>0.33966099999999999</v>
      </c>
      <c r="AR300" s="22">
        <v>191.94300000000001</v>
      </c>
      <c r="AS300" s="22">
        <v>-1.56677E-2</v>
      </c>
      <c r="AT300" s="22">
        <v>290</v>
      </c>
      <c r="AU300" s="22">
        <v>0.33905000000000002</v>
      </c>
      <c r="AV300">
        <f t="shared" si="56"/>
        <v>15.6677</v>
      </c>
      <c r="AW300">
        <f t="shared" si="57"/>
        <v>5.3217066496999994</v>
      </c>
      <c r="AX300" s="9"/>
      <c r="AY300" s="22">
        <v>1.36032</v>
      </c>
      <c r="AZ300" s="22">
        <v>241.327</v>
      </c>
      <c r="BA300" s="22">
        <v>-1.44043E-2</v>
      </c>
      <c r="BB300" s="22">
        <v>290</v>
      </c>
      <c r="BC300" s="22">
        <v>1.3595600000000001</v>
      </c>
      <c r="BD300">
        <f t="shared" si="58"/>
        <v>14.404299999999999</v>
      </c>
      <c r="BE300">
        <f t="shared" si="59"/>
        <v>19.594457375999998</v>
      </c>
    </row>
    <row r="301" spans="6:57">
      <c r="F301" s="9"/>
      <c r="G301" s="22">
        <v>0.33462500000000001</v>
      </c>
      <c r="H301" s="22">
        <v>11.9171</v>
      </c>
      <c r="I301" s="22">
        <v>-1.56525E-2</v>
      </c>
      <c r="J301" s="22">
        <v>291</v>
      </c>
      <c r="K301" s="22">
        <v>0.33401500000000001</v>
      </c>
      <c r="L301">
        <f t="shared" si="48"/>
        <v>15.6525</v>
      </c>
      <c r="M301">
        <f t="shared" si="49"/>
        <v>5.2377178124999997</v>
      </c>
      <c r="N301" s="9"/>
      <c r="O301" s="22">
        <v>1.3653599999999999</v>
      </c>
      <c r="P301" s="22">
        <v>61.338500000000003</v>
      </c>
      <c r="Q301" s="22">
        <v>-1.4422600000000001E-2</v>
      </c>
      <c r="R301" s="22">
        <v>291</v>
      </c>
      <c r="S301" s="22">
        <v>1.3644400000000001</v>
      </c>
      <c r="T301">
        <f t="shared" si="50"/>
        <v>14.422600000000001</v>
      </c>
      <c r="U301">
        <f t="shared" si="51"/>
        <v>19.692041136</v>
      </c>
      <c r="X301" s="9"/>
      <c r="Y301" s="22">
        <v>0.33462500000000001</v>
      </c>
      <c r="Z301" s="22">
        <v>110.916</v>
      </c>
      <c r="AA301" s="22">
        <v>-1.5670799999999999E-2</v>
      </c>
      <c r="AB301" s="22">
        <v>291</v>
      </c>
      <c r="AC301" s="22">
        <v>0.333984</v>
      </c>
      <c r="AD301">
        <f t="shared" si="52"/>
        <v>15.670799999999998</v>
      </c>
      <c r="AE301">
        <f t="shared" si="53"/>
        <v>5.2438414499999997</v>
      </c>
      <c r="AF301" s="9"/>
      <c r="AG301" s="22">
        <v>1.3653599999999999</v>
      </c>
      <c r="AH301" s="22">
        <v>142.57499999999999</v>
      </c>
      <c r="AI301" s="22">
        <v>-1.4389000000000001E-2</v>
      </c>
      <c r="AJ301" s="22">
        <v>291</v>
      </c>
      <c r="AK301" s="22">
        <v>1.3647499999999999</v>
      </c>
      <c r="AL301">
        <f t="shared" si="54"/>
        <v>14.389000000000001</v>
      </c>
      <c r="AM301">
        <f t="shared" si="55"/>
        <v>19.64616504</v>
      </c>
      <c r="AP301" s="9"/>
      <c r="AQ301" s="22">
        <v>0.33462500000000001</v>
      </c>
      <c r="AR301" s="22">
        <v>191.953</v>
      </c>
      <c r="AS301" s="22">
        <v>-1.56677E-2</v>
      </c>
      <c r="AT301" s="22">
        <v>291</v>
      </c>
      <c r="AU301" s="22">
        <v>0.33407599999999998</v>
      </c>
      <c r="AV301">
        <f t="shared" si="56"/>
        <v>15.6677</v>
      </c>
      <c r="AW301">
        <f t="shared" si="57"/>
        <v>5.2428041125</v>
      </c>
      <c r="AX301" s="9"/>
      <c r="AY301" s="22">
        <v>1.3653599999999999</v>
      </c>
      <c r="AZ301" s="22">
        <v>241.33699999999999</v>
      </c>
      <c r="BA301" s="22">
        <v>-1.43646E-2</v>
      </c>
      <c r="BB301" s="22">
        <v>291</v>
      </c>
      <c r="BC301" s="22">
        <v>1.3644400000000001</v>
      </c>
      <c r="BD301">
        <f t="shared" si="58"/>
        <v>14.364599999999999</v>
      </c>
      <c r="BE301">
        <f t="shared" si="59"/>
        <v>19.612850255999998</v>
      </c>
    </row>
    <row r="302" spans="6:57">
      <c r="F302" s="9"/>
      <c r="G302" s="22">
        <v>0.32958999999999999</v>
      </c>
      <c r="H302" s="22">
        <v>11.927099999999999</v>
      </c>
      <c r="I302" s="22">
        <v>-1.5655499999999999E-2</v>
      </c>
      <c r="J302" s="22">
        <v>292</v>
      </c>
      <c r="K302" s="22">
        <v>0.32897900000000002</v>
      </c>
      <c r="L302">
        <f t="shared" si="48"/>
        <v>15.6555</v>
      </c>
      <c r="M302">
        <f t="shared" si="49"/>
        <v>5.1598962449999997</v>
      </c>
      <c r="N302" s="9"/>
      <c r="O302" s="22">
        <v>1.37039</v>
      </c>
      <c r="P302" s="22">
        <v>61.348599999999998</v>
      </c>
      <c r="Q302" s="22">
        <v>-1.43921E-2</v>
      </c>
      <c r="R302" s="22">
        <v>292</v>
      </c>
      <c r="S302" s="22">
        <v>1.3696299999999999</v>
      </c>
      <c r="T302">
        <f t="shared" si="50"/>
        <v>14.392099999999999</v>
      </c>
      <c r="U302">
        <f t="shared" si="51"/>
        <v>19.722789919</v>
      </c>
      <c r="X302" s="9"/>
      <c r="Y302" s="22">
        <v>0.32958999999999999</v>
      </c>
      <c r="Z302" s="22">
        <v>110.926</v>
      </c>
      <c r="AA302" s="22">
        <v>-1.5676900000000001E-2</v>
      </c>
      <c r="AB302" s="22">
        <v>292</v>
      </c>
      <c r="AC302" s="22">
        <v>0.32894899999999999</v>
      </c>
      <c r="AD302">
        <f t="shared" si="52"/>
        <v>15.6769</v>
      </c>
      <c r="AE302">
        <f t="shared" si="53"/>
        <v>5.1669494709999997</v>
      </c>
      <c r="AF302" s="9"/>
      <c r="AG302" s="22">
        <v>1.37039</v>
      </c>
      <c r="AH302" s="22">
        <v>142.58500000000001</v>
      </c>
      <c r="AI302" s="22">
        <v>-1.43524E-2</v>
      </c>
      <c r="AJ302" s="22">
        <v>292</v>
      </c>
      <c r="AK302" s="22">
        <v>1.3693200000000001</v>
      </c>
      <c r="AL302">
        <f t="shared" si="54"/>
        <v>14.352399999999999</v>
      </c>
      <c r="AM302">
        <f t="shared" si="55"/>
        <v>19.668385435999998</v>
      </c>
      <c r="AP302" s="9"/>
      <c r="AQ302" s="22">
        <v>0.32958999999999999</v>
      </c>
      <c r="AR302" s="22">
        <v>191.96299999999999</v>
      </c>
      <c r="AS302" s="22">
        <v>-1.5673800000000002E-2</v>
      </c>
      <c r="AT302" s="22">
        <v>292</v>
      </c>
      <c r="AU302" s="22">
        <v>0.32897900000000002</v>
      </c>
      <c r="AV302">
        <f t="shared" si="56"/>
        <v>15.673800000000002</v>
      </c>
      <c r="AW302">
        <f t="shared" si="57"/>
        <v>5.165927742</v>
      </c>
      <c r="AX302" s="9"/>
      <c r="AY302" s="22">
        <v>1.37039</v>
      </c>
      <c r="AZ302" s="22">
        <v>241.34700000000001</v>
      </c>
      <c r="BA302" s="22">
        <v>-1.4334100000000001E-2</v>
      </c>
      <c r="BB302" s="22">
        <v>292</v>
      </c>
      <c r="BC302" s="22">
        <v>1.3696299999999999</v>
      </c>
      <c r="BD302">
        <f t="shared" si="58"/>
        <v>14.334100000000001</v>
      </c>
      <c r="BE302">
        <f t="shared" si="59"/>
        <v>19.643307299</v>
      </c>
    </row>
    <row r="303" spans="6:57">
      <c r="F303" s="9"/>
      <c r="G303" s="22">
        <v>0.32455400000000001</v>
      </c>
      <c r="H303" s="22">
        <v>11.937200000000001</v>
      </c>
      <c r="I303" s="22">
        <v>-1.5655499999999999E-2</v>
      </c>
      <c r="J303" s="22">
        <v>293</v>
      </c>
      <c r="K303" s="22">
        <v>0.32394400000000001</v>
      </c>
      <c r="L303">
        <f t="shared" si="48"/>
        <v>15.6555</v>
      </c>
      <c r="M303">
        <f t="shared" si="49"/>
        <v>5.0810551469999998</v>
      </c>
      <c r="N303" s="9"/>
      <c r="O303" s="22">
        <v>1.3754299999999999</v>
      </c>
      <c r="P303" s="22">
        <v>61.358600000000003</v>
      </c>
      <c r="Q303" s="22">
        <v>-1.43646E-2</v>
      </c>
      <c r="R303" s="22">
        <v>293</v>
      </c>
      <c r="S303" s="22">
        <v>1.3745099999999999</v>
      </c>
      <c r="T303">
        <f t="shared" si="50"/>
        <v>14.364599999999999</v>
      </c>
      <c r="U303">
        <f t="shared" si="51"/>
        <v>19.757501777999998</v>
      </c>
      <c r="X303" s="9"/>
      <c r="Y303" s="22">
        <v>0.32455400000000001</v>
      </c>
      <c r="Z303" s="22">
        <v>110.93600000000001</v>
      </c>
      <c r="AA303" s="22">
        <v>-1.5682999999999999E-2</v>
      </c>
      <c r="AB303" s="22">
        <v>293</v>
      </c>
      <c r="AC303" s="22">
        <v>0.32391399999999998</v>
      </c>
      <c r="AD303">
        <f t="shared" si="52"/>
        <v>15.683</v>
      </c>
      <c r="AE303">
        <f t="shared" si="53"/>
        <v>5.0899803820000002</v>
      </c>
      <c r="AF303" s="9"/>
      <c r="AG303" s="22">
        <v>1.3754299999999999</v>
      </c>
      <c r="AH303" s="22">
        <v>142.595</v>
      </c>
      <c r="AI303" s="22">
        <v>-1.43158E-2</v>
      </c>
      <c r="AJ303" s="22">
        <v>293</v>
      </c>
      <c r="AK303" s="22">
        <v>1.3745099999999999</v>
      </c>
      <c r="AL303">
        <f t="shared" si="54"/>
        <v>14.315799999999999</v>
      </c>
      <c r="AM303">
        <f t="shared" si="55"/>
        <v>19.690380793999999</v>
      </c>
      <c r="AP303" s="9"/>
      <c r="AQ303" s="22">
        <v>0.32455400000000001</v>
      </c>
      <c r="AR303" s="22">
        <v>191.97399999999999</v>
      </c>
      <c r="AS303" s="22">
        <v>-1.5676900000000001E-2</v>
      </c>
      <c r="AT303" s="22">
        <v>293</v>
      </c>
      <c r="AU303" s="22">
        <v>0.32394400000000001</v>
      </c>
      <c r="AV303">
        <f t="shared" si="56"/>
        <v>15.6769</v>
      </c>
      <c r="AW303">
        <f t="shared" si="57"/>
        <v>5.0880006026000002</v>
      </c>
      <c r="AX303" s="9"/>
      <c r="AY303" s="22">
        <v>1.3754299999999999</v>
      </c>
      <c r="AZ303" s="22">
        <v>241.357</v>
      </c>
      <c r="BA303" s="22">
        <v>-1.4297499999999999E-2</v>
      </c>
      <c r="BB303" s="22">
        <v>293</v>
      </c>
      <c r="BC303" s="22">
        <v>1.3748199999999999</v>
      </c>
      <c r="BD303">
        <f t="shared" si="58"/>
        <v>14.297499999999999</v>
      </c>
      <c r="BE303">
        <f t="shared" si="59"/>
        <v>19.665210424999998</v>
      </c>
    </row>
    <row r="304" spans="6:57">
      <c r="F304" s="9"/>
      <c r="G304" s="22">
        <v>0.319519</v>
      </c>
      <c r="H304" s="22">
        <v>11.9473</v>
      </c>
      <c r="I304" s="22">
        <v>-1.5661600000000001E-2</v>
      </c>
      <c r="J304" s="22">
        <v>294</v>
      </c>
      <c r="K304" s="22">
        <v>0.31893899999999997</v>
      </c>
      <c r="L304">
        <f t="shared" si="48"/>
        <v>15.661600000000002</v>
      </c>
      <c r="M304">
        <f t="shared" si="49"/>
        <v>5.0041787704000003</v>
      </c>
      <c r="N304" s="9"/>
      <c r="O304" s="22">
        <v>1.38046</v>
      </c>
      <c r="P304" s="22">
        <v>61.368699999999997</v>
      </c>
      <c r="Q304" s="22">
        <v>-1.4331099999999999E-2</v>
      </c>
      <c r="R304" s="22">
        <v>294</v>
      </c>
      <c r="S304" s="22">
        <v>1.3796999999999999</v>
      </c>
      <c r="T304">
        <f t="shared" si="50"/>
        <v>14.331099999999999</v>
      </c>
      <c r="U304">
        <f t="shared" si="51"/>
        <v>19.783510306</v>
      </c>
      <c r="X304" s="9"/>
      <c r="Y304" s="22">
        <v>0.319519</v>
      </c>
      <c r="Z304" s="22">
        <v>110.946</v>
      </c>
      <c r="AA304" s="22">
        <v>-1.5685999999999999E-2</v>
      </c>
      <c r="AB304" s="22">
        <v>294</v>
      </c>
      <c r="AC304" s="22">
        <v>0.318909</v>
      </c>
      <c r="AD304">
        <f t="shared" si="52"/>
        <v>15.685999999999998</v>
      </c>
      <c r="AE304">
        <f t="shared" si="53"/>
        <v>5.0119750339999998</v>
      </c>
      <c r="AF304" s="9"/>
      <c r="AG304" s="22">
        <v>1.38046</v>
      </c>
      <c r="AH304" s="22">
        <v>142.60499999999999</v>
      </c>
      <c r="AI304" s="22">
        <v>-1.4279200000000001E-2</v>
      </c>
      <c r="AJ304" s="22">
        <v>294</v>
      </c>
      <c r="AK304" s="22">
        <v>1.3796999999999999</v>
      </c>
      <c r="AL304">
        <f t="shared" si="54"/>
        <v>14.279200000000001</v>
      </c>
      <c r="AM304">
        <f t="shared" si="55"/>
        <v>19.711864432000002</v>
      </c>
      <c r="AP304" s="9"/>
      <c r="AQ304" s="22">
        <v>0.319519</v>
      </c>
      <c r="AR304" s="22">
        <v>191.98400000000001</v>
      </c>
      <c r="AS304" s="22">
        <v>-1.5676900000000001E-2</v>
      </c>
      <c r="AT304" s="22">
        <v>294</v>
      </c>
      <c r="AU304" s="22">
        <v>0.31893899999999997</v>
      </c>
      <c r="AV304">
        <f t="shared" si="56"/>
        <v>15.6769</v>
      </c>
      <c r="AW304">
        <f t="shared" si="57"/>
        <v>5.0090674111000002</v>
      </c>
      <c r="AX304" s="9"/>
      <c r="AY304" s="22">
        <v>1.38046</v>
      </c>
      <c r="AZ304" s="22">
        <v>241.36699999999999</v>
      </c>
      <c r="BA304" s="22">
        <v>-1.427E-2</v>
      </c>
      <c r="BB304" s="22">
        <v>294</v>
      </c>
      <c r="BC304" s="22">
        <v>1.3793899999999999</v>
      </c>
      <c r="BD304">
        <f t="shared" si="58"/>
        <v>14.27</v>
      </c>
      <c r="BE304">
        <f t="shared" si="59"/>
        <v>19.699164199999998</v>
      </c>
    </row>
    <row r="305" spans="6:57">
      <c r="F305" s="9"/>
      <c r="G305" s="22">
        <v>0.31448399999999999</v>
      </c>
      <c r="H305" s="22">
        <v>11.9573</v>
      </c>
      <c r="I305" s="22">
        <v>-1.5661600000000001E-2</v>
      </c>
      <c r="J305" s="22">
        <v>295</v>
      </c>
      <c r="K305" s="22">
        <v>0.31381199999999998</v>
      </c>
      <c r="L305">
        <f t="shared" si="48"/>
        <v>15.661600000000002</v>
      </c>
      <c r="M305">
        <f t="shared" si="49"/>
        <v>4.9253226144000006</v>
      </c>
      <c r="N305" s="9"/>
      <c r="O305" s="22">
        <v>1.3855</v>
      </c>
      <c r="P305" s="22">
        <v>61.378799999999998</v>
      </c>
      <c r="Q305" s="22">
        <v>-1.4300500000000001E-2</v>
      </c>
      <c r="R305" s="22">
        <v>295</v>
      </c>
      <c r="S305" s="22">
        <v>1.3851899999999999</v>
      </c>
      <c r="T305">
        <f t="shared" si="50"/>
        <v>14.300500000000001</v>
      </c>
      <c r="U305">
        <f t="shared" si="51"/>
        <v>19.81334275</v>
      </c>
      <c r="X305" s="9"/>
      <c r="Y305" s="22">
        <v>0.31448399999999999</v>
      </c>
      <c r="Z305" s="22">
        <v>110.956</v>
      </c>
      <c r="AA305" s="22">
        <v>-1.56921E-2</v>
      </c>
      <c r="AB305" s="22">
        <v>295</v>
      </c>
      <c r="AC305" s="22">
        <v>0.31381199999999998</v>
      </c>
      <c r="AD305">
        <f t="shared" si="52"/>
        <v>15.6921</v>
      </c>
      <c r="AE305">
        <f t="shared" si="53"/>
        <v>4.9349143764000001</v>
      </c>
      <c r="AF305" s="9"/>
      <c r="AG305" s="22">
        <v>1.3855</v>
      </c>
      <c r="AH305" s="22">
        <v>142.61500000000001</v>
      </c>
      <c r="AI305" s="22">
        <v>-1.42273E-2</v>
      </c>
      <c r="AJ305" s="22">
        <v>295</v>
      </c>
      <c r="AK305" s="22">
        <v>1.3855</v>
      </c>
      <c r="AL305">
        <f t="shared" si="54"/>
        <v>14.2273</v>
      </c>
      <c r="AM305">
        <f t="shared" si="55"/>
        <v>19.711924149999998</v>
      </c>
      <c r="AP305" s="9"/>
      <c r="AQ305" s="22">
        <v>0.31448399999999999</v>
      </c>
      <c r="AR305" s="22">
        <v>191.994</v>
      </c>
      <c r="AS305" s="22">
        <v>-1.5676900000000001E-2</v>
      </c>
      <c r="AT305" s="22">
        <v>295</v>
      </c>
      <c r="AU305" s="22">
        <v>0.31390400000000002</v>
      </c>
      <c r="AV305">
        <f t="shared" si="56"/>
        <v>15.6769</v>
      </c>
      <c r="AW305">
        <f t="shared" si="57"/>
        <v>4.9301342195999993</v>
      </c>
      <c r="AX305" s="9"/>
      <c r="AY305" s="22">
        <v>1.3855</v>
      </c>
      <c r="AZ305" s="22">
        <v>241.37700000000001</v>
      </c>
      <c r="BA305" s="22">
        <v>-1.4245600000000001E-2</v>
      </c>
      <c r="BB305" s="22">
        <v>295</v>
      </c>
      <c r="BC305" s="22">
        <v>1.38489</v>
      </c>
      <c r="BD305">
        <f t="shared" si="58"/>
        <v>14.245600000000001</v>
      </c>
      <c r="BE305">
        <f t="shared" si="59"/>
        <v>19.737278800000002</v>
      </c>
    </row>
    <row r="306" spans="6:57">
      <c r="F306" s="9"/>
      <c r="G306" s="22">
        <v>0.309448</v>
      </c>
      <c r="H306" s="22">
        <v>11.9674</v>
      </c>
      <c r="I306" s="22">
        <v>-1.5661600000000001E-2</v>
      </c>
      <c r="J306" s="22">
        <v>296</v>
      </c>
      <c r="K306" s="22">
        <v>0.30886799999999998</v>
      </c>
      <c r="L306">
        <f t="shared" si="48"/>
        <v>15.661600000000002</v>
      </c>
      <c r="M306">
        <f t="shared" si="49"/>
        <v>4.8464507968000001</v>
      </c>
      <c r="N306" s="9"/>
      <c r="O306" s="22">
        <v>1.39053</v>
      </c>
      <c r="P306" s="22">
        <v>61.388800000000003</v>
      </c>
      <c r="Q306" s="22">
        <v>-1.4267E-2</v>
      </c>
      <c r="R306" s="22">
        <v>296</v>
      </c>
      <c r="S306" s="22">
        <v>1.3897699999999999</v>
      </c>
      <c r="T306">
        <f t="shared" si="50"/>
        <v>14.266999999999999</v>
      </c>
      <c r="U306">
        <f t="shared" si="51"/>
        <v>19.83869151</v>
      </c>
      <c r="X306" s="9"/>
      <c r="Y306" s="22">
        <v>0.309448</v>
      </c>
      <c r="Z306" s="22">
        <v>110.96599999999999</v>
      </c>
      <c r="AA306" s="22">
        <v>-1.5698199999999999E-2</v>
      </c>
      <c r="AB306" s="22">
        <v>296</v>
      </c>
      <c r="AC306" s="22">
        <v>0.308807</v>
      </c>
      <c r="AD306">
        <f t="shared" si="52"/>
        <v>15.698199999999998</v>
      </c>
      <c r="AE306">
        <f t="shared" si="53"/>
        <v>4.8577765935999997</v>
      </c>
      <c r="AF306" s="9"/>
      <c r="AG306" s="22">
        <v>1.39053</v>
      </c>
      <c r="AH306" s="22">
        <v>142.625</v>
      </c>
      <c r="AI306" s="22">
        <v>-1.41846E-2</v>
      </c>
      <c r="AJ306" s="22">
        <v>296</v>
      </c>
      <c r="AK306" s="22">
        <v>1.3897699999999999</v>
      </c>
      <c r="AL306">
        <f t="shared" si="54"/>
        <v>14.1846</v>
      </c>
      <c r="AM306">
        <f t="shared" si="55"/>
        <v>19.724111837999999</v>
      </c>
      <c r="AP306" s="9"/>
      <c r="AQ306" s="22">
        <v>0.309448</v>
      </c>
      <c r="AR306" s="22">
        <v>192.00399999999999</v>
      </c>
      <c r="AS306" s="22">
        <v>-1.5682999999999999E-2</v>
      </c>
      <c r="AT306" s="22">
        <v>296</v>
      </c>
      <c r="AU306" s="22">
        <v>0.30892900000000001</v>
      </c>
      <c r="AV306">
        <f t="shared" si="56"/>
        <v>15.683</v>
      </c>
      <c r="AW306">
        <f t="shared" si="57"/>
        <v>4.8530729839999998</v>
      </c>
      <c r="AX306" s="9"/>
      <c r="AY306" s="22">
        <v>1.39053</v>
      </c>
      <c r="AZ306" s="22">
        <v>241.387</v>
      </c>
      <c r="BA306" s="22">
        <v>-1.42059E-2</v>
      </c>
      <c r="BB306" s="22">
        <v>296</v>
      </c>
      <c r="BC306" s="22">
        <v>1.3897699999999999</v>
      </c>
      <c r="BD306">
        <f t="shared" si="58"/>
        <v>14.2059</v>
      </c>
      <c r="BE306">
        <f t="shared" si="59"/>
        <v>19.753730127000001</v>
      </c>
    </row>
    <row r="307" spans="6:57">
      <c r="F307" s="9"/>
      <c r="G307" s="22">
        <v>0.30441299999999999</v>
      </c>
      <c r="H307" s="22">
        <v>11.977499999999999</v>
      </c>
      <c r="I307" s="22">
        <v>-1.5661600000000001E-2</v>
      </c>
      <c r="J307" s="22">
        <v>297</v>
      </c>
      <c r="K307" s="22">
        <v>0.30383300000000002</v>
      </c>
      <c r="L307">
        <f t="shared" si="48"/>
        <v>15.661600000000002</v>
      </c>
      <c r="M307">
        <f t="shared" si="49"/>
        <v>4.7675946408000005</v>
      </c>
      <c r="N307" s="9"/>
      <c r="O307" s="22">
        <v>1.39557</v>
      </c>
      <c r="P307" s="22">
        <v>61.398899999999998</v>
      </c>
      <c r="Q307" s="22">
        <v>-1.4236499999999999E-2</v>
      </c>
      <c r="R307" s="22">
        <v>297</v>
      </c>
      <c r="S307" s="22">
        <v>1.39496</v>
      </c>
      <c r="T307">
        <f t="shared" si="50"/>
        <v>14.236499999999999</v>
      </c>
      <c r="U307">
        <f t="shared" si="51"/>
        <v>19.868032305</v>
      </c>
      <c r="X307" s="9"/>
      <c r="Y307" s="22">
        <v>0.30441299999999999</v>
      </c>
      <c r="Z307" s="22">
        <v>110.976</v>
      </c>
      <c r="AA307" s="22">
        <v>-1.5704300000000001E-2</v>
      </c>
      <c r="AB307" s="22">
        <v>297</v>
      </c>
      <c r="AC307" s="22">
        <v>0.30377199999999999</v>
      </c>
      <c r="AD307">
        <f t="shared" si="52"/>
        <v>15.704300000000002</v>
      </c>
      <c r="AE307">
        <f t="shared" si="53"/>
        <v>4.7805930759000006</v>
      </c>
      <c r="AF307" s="9"/>
      <c r="AG307" s="22">
        <v>1.39557</v>
      </c>
      <c r="AH307" s="22">
        <v>142.63499999999999</v>
      </c>
      <c r="AI307" s="22">
        <v>-1.41388E-2</v>
      </c>
      <c r="AJ307" s="22">
        <v>297</v>
      </c>
      <c r="AK307" s="22">
        <v>1.3952599999999999</v>
      </c>
      <c r="AL307">
        <f t="shared" si="54"/>
        <v>14.1388</v>
      </c>
      <c r="AM307">
        <f t="shared" si="55"/>
        <v>19.731685115999998</v>
      </c>
      <c r="AP307" s="9"/>
      <c r="AQ307" s="22">
        <v>0.30441299999999999</v>
      </c>
      <c r="AR307" s="22">
        <v>192.01400000000001</v>
      </c>
      <c r="AS307" s="22">
        <v>-1.56799E-2</v>
      </c>
      <c r="AT307" s="22">
        <v>297</v>
      </c>
      <c r="AU307" s="22">
        <v>0.30383300000000002</v>
      </c>
      <c r="AV307">
        <f t="shared" si="56"/>
        <v>15.6799</v>
      </c>
      <c r="AW307">
        <f t="shared" si="57"/>
        <v>4.7731653986999998</v>
      </c>
      <c r="AX307" s="9"/>
      <c r="AY307" s="22">
        <v>1.39557</v>
      </c>
      <c r="AZ307" s="22">
        <v>241.39699999999999</v>
      </c>
      <c r="BA307" s="22">
        <v>-1.4169299999999999E-2</v>
      </c>
      <c r="BB307" s="22">
        <v>297</v>
      </c>
      <c r="BC307" s="22">
        <v>1.39496</v>
      </c>
      <c r="BD307">
        <f t="shared" si="58"/>
        <v>14.1693</v>
      </c>
      <c r="BE307">
        <f t="shared" si="59"/>
        <v>19.774250000999999</v>
      </c>
    </row>
    <row r="308" spans="6:57">
      <c r="F308" s="9"/>
      <c r="G308" s="22">
        <v>0.299377</v>
      </c>
      <c r="H308" s="22">
        <v>11.9876</v>
      </c>
      <c r="I308" s="22">
        <v>-1.56647E-2</v>
      </c>
      <c r="J308" s="22">
        <v>298</v>
      </c>
      <c r="K308" s="22">
        <v>0.29870600000000003</v>
      </c>
      <c r="L308">
        <f t="shared" si="48"/>
        <v>15.6647</v>
      </c>
      <c r="M308">
        <f t="shared" si="49"/>
        <v>4.6896508919000004</v>
      </c>
      <c r="N308" s="9"/>
      <c r="O308" s="22">
        <v>1.4006000000000001</v>
      </c>
      <c r="P308" s="22">
        <v>61.408999999999999</v>
      </c>
      <c r="Q308" s="22">
        <v>-1.4202899999999999E-2</v>
      </c>
      <c r="R308" s="22">
        <v>298</v>
      </c>
      <c r="S308" s="22">
        <v>1.39954</v>
      </c>
      <c r="T308">
        <f t="shared" si="50"/>
        <v>14.2029</v>
      </c>
      <c r="U308">
        <f t="shared" si="51"/>
        <v>19.892581740000001</v>
      </c>
      <c r="X308" s="9"/>
      <c r="Y308" s="22">
        <v>0.299377</v>
      </c>
      <c r="Z308" s="22">
        <v>110.986</v>
      </c>
      <c r="AA308" s="22">
        <v>-1.5704300000000001E-2</v>
      </c>
      <c r="AB308" s="22">
        <v>298</v>
      </c>
      <c r="AC308" s="22">
        <v>0.29882799999999998</v>
      </c>
      <c r="AD308">
        <f t="shared" si="52"/>
        <v>15.704300000000002</v>
      </c>
      <c r="AE308">
        <f t="shared" si="53"/>
        <v>4.7015062211000007</v>
      </c>
      <c r="AF308" s="9"/>
      <c r="AG308" s="22">
        <v>1.4006000000000001</v>
      </c>
      <c r="AH308" s="22">
        <v>142.64599999999999</v>
      </c>
      <c r="AI308" s="22">
        <v>-1.41022E-2</v>
      </c>
      <c r="AJ308" s="22">
        <v>298</v>
      </c>
      <c r="AK308" s="22">
        <v>1.40015</v>
      </c>
      <c r="AL308">
        <f t="shared" si="54"/>
        <v>14.1022</v>
      </c>
      <c r="AM308">
        <f t="shared" si="55"/>
        <v>19.751541320000001</v>
      </c>
      <c r="AP308" s="9"/>
      <c r="AQ308" s="22">
        <v>0.299377</v>
      </c>
      <c r="AR308" s="22">
        <v>192.024</v>
      </c>
      <c r="AS308" s="22">
        <v>-1.56799E-2</v>
      </c>
      <c r="AT308" s="22">
        <v>298</v>
      </c>
      <c r="AU308" s="22">
        <v>0.29873699999999997</v>
      </c>
      <c r="AV308">
        <f t="shared" si="56"/>
        <v>15.6799</v>
      </c>
      <c r="AW308">
        <f t="shared" si="57"/>
        <v>4.6942014222999999</v>
      </c>
      <c r="AX308" s="9"/>
      <c r="AY308" s="22">
        <v>1.4006000000000001</v>
      </c>
      <c r="AZ308" s="22">
        <v>241.40700000000001</v>
      </c>
      <c r="BA308" s="22">
        <v>-1.41266E-2</v>
      </c>
      <c r="BB308" s="22">
        <v>298</v>
      </c>
      <c r="BC308" s="22">
        <v>1.40015</v>
      </c>
      <c r="BD308">
        <f t="shared" si="58"/>
        <v>14.1266</v>
      </c>
      <c r="BE308">
        <f t="shared" si="59"/>
        <v>19.785715960000001</v>
      </c>
    </row>
    <row r="309" spans="6:57">
      <c r="F309" s="9"/>
      <c r="G309" s="22">
        <v>0.29434199999999999</v>
      </c>
      <c r="H309" s="22">
        <v>11.9976</v>
      </c>
      <c r="I309" s="22">
        <v>-1.56647E-2</v>
      </c>
      <c r="J309" s="22">
        <v>299</v>
      </c>
      <c r="K309" s="22">
        <v>0.29370099999999999</v>
      </c>
      <c r="L309">
        <f t="shared" si="48"/>
        <v>15.6647</v>
      </c>
      <c r="M309">
        <f t="shared" si="49"/>
        <v>4.6107791273999998</v>
      </c>
      <c r="N309" s="9"/>
      <c r="O309" s="22">
        <v>1.40564</v>
      </c>
      <c r="P309" s="22">
        <v>61.418999999999997</v>
      </c>
      <c r="Q309" s="22">
        <v>-1.4154099999999999E-2</v>
      </c>
      <c r="R309" s="22">
        <v>299</v>
      </c>
      <c r="S309" s="22">
        <v>1.40503</v>
      </c>
      <c r="T309">
        <f t="shared" si="50"/>
        <v>14.1541</v>
      </c>
      <c r="U309">
        <f t="shared" si="51"/>
        <v>19.895569123999998</v>
      </c>
      <c r="X309" s="9"/>
      <c r="Y309" s="22">
        <v>0.29434199999999999</v>
      </c>
      <c r="Z309" s="22">
        <v>110.996</v>
      </c>
      <c r="AA309" s="22">
        <v>-1.5704300000000001E-2</v>
      </c>
      <c r="AB309" s="22">
        <v>299</v>
      </c>
      <c r="AC309" s="22">
        <v>0.29379300000000003</v>
      </c>
      <c r="AD309">
        <f t="shared" si="52"/>
        <v>15.704300000000002</v>
      </c>
      <c r="AE309">
        <f t="shared" si="53"/>
        <v>4.6224350706000008</v>
      </c>
      <c r="AF309" s="9"/>
      <c r="AG309" s="22">
        <v>1.40564</v>
      </c>
      <c r="AH309" s="22">
        <v>142.65600000000001</v>
      </c>
      <c r="AI309" s="22">
        <v>-1.40625E-2</v>
      </c>
      <c r="AJ309" s="22">
        <v>299</v>
      </c>
      <c r="AK309" s="22">
        <v>1.40503</v>
      </c>
      <c r="AL309">
        <f t="shared" si="54"/>
        <v>14.0625</v>
      </c>
      <c r="AM309">
        <f t="shared" si="55"/>
        <v>19.7668125</v>
      </c>
      <c r="AP309" s="9"/>
      <c r="AQ309" s="22">
        <v>0.29434199999999999</v>
      </c>
      <c r="AR309" s="22">
        <v>192.03399999999999</v>
      </c>
      <c r="AS309" s="22">
        <v>-1.56799E-2</v>
      </c>
      <c r="AT309" s="22">
        <v>299</v>
      </c>
      <c r="AU309" s="22">
        <v>0.29373199999999999</v>
      </c>
      <c r="AV309">
        <f t="shared" si="56"/>
        <v>15.6799</v>
      </c>
      <c r="AW309">
        <f t="shared" si="57"/>
        <v>4.6152531257999998</v>
      </c>
      <c r="AX309" s="9"/>
      <c r="AY309" s="22">
        <v>1.40564</v>
      </c>
      <c r="AZ309" s="22">
        <v>241.417</v>
      </c>
      <c r="BA309" s="22">
        <v>-1.40839E-2</v>
      </c>
      <c r="BB309" s="22">
        <v>299</v>
      </c>
      <c r="BC309" s="22">
        <v>1.40472</v>
      </c>
      <c r="BD309">
        <f t="shared" si="58"/>
        <v>14.0839</v>
      </c>
      <c r="BE309">
        <f t="shared" si="59"/>
        <v>19.796893195999999</v>
      </c>
    </row>
    <row r="310" spans="6:57">
      <c r="F310" s="9"/>
      <c r="G310" s="22">
        <v>0.28930699999999998</v>
      </c>
      <c r="H310" s="22">
        <v>12.0077</v>
      </c>
      <c r="I310" s="22">
        <v>-1.56677E-2</v>
      </c>
      <c r="J310" s="22">
        <v>300</v>
      </c>
      <c r="K310" s="22">
        <v>0.28869600000000001</v>
      </c>
      <c r="L310">
        <f t="shared" si="48"/>
        <v>15.6677</v>
      </c>
      <c r="M310">
        <f t="shared" si="49"/>
        <v>4.5327752838999995</v>
      </c>
      <c r="N310" s="9"/>
      <c r="O310" s="22">
        <v>1.4106799999999999</v>
      </c>
      <c r="P310" s="22">
        <v>61.429099999999998</v>
      </c>
      <c r="Q310" s="22">
        <v>-1.4114399999999999E-2</v>
      </c>
      <c r="R310" s="22">
        <v>300</v>
      </c>
      <c r="S310" s="22">
        <v>1.40961</v>
      </c>
      <c r="T310">
        <f t="shared" si="50"/>
        <v>14.1144</v>
      </c>
      <c r="U310">
        <f t="shared" si="51"/>
        <v>19.910901791999997</v>
      </c>
      <c r="X310" s="9"/>
      <c r="Y310" s="22">
        <v>0.28930699999999998</v>
      </c>
      <c r="Z310" s="22">
        <v>111.00700000000001</v>
      </c>
      <c r="AA310" s="22">
        <v>-1.5701300000000001E-2</v>
      </c>
      <c r="AB310" s="22">
        <v>300</v>
      </c>
      <c r="AC310" s="22">
        <v>0.28875699999999999</v>
      </c>
      <c r="AD310">
        <f t="shared" si="52"/>
        <v>15.701300000000002</v>
      </c>
      <c r="AE310">
        <f t="shared" si="53"/>
        <v>4.5424959990999998</v>
      </c>
      <c r="AF310" s="9"/>
      <c r="AG310" s="22">
        <v>1.4106799999999999</v>
      </c>
      <c r="AH310" s="22">
        <v>142.666</v>
      </c>
      <c r="AI310" s="22">
        <v>-1.40228E-2</v>
      </c>
      <c r="AJ310" s="22">
        <v>300</v>
      </c>
      <c r="AK310" s="22">
        <v>1.41022</v>
      </c>
      <c r="AL310">
        <f t="shared" si="54"/>
        <v>14.0228</v>
      </c>
      <c r="AM310">
        <f t="shared" si="55"/>
        <v>19.781683504</v>
      </c>
      <c r="AP310" s="9"/>
      <c r="AQ310" s="22">
        <v>0.28930699999999998</v>
      </c>
      <c r="AR310" s="22">
        <v>192.04400000000001</v>
      </c>
      <c r="AS310" s="22">
        <v>-1.5685999999999999E-2</v>
      </c>
      <c r="AT310" s="22">
        <v>300</v>
      </c>
      <c r="AU310" s="22">
        <v>0.28872700000000001</v>
      </c>
      <c r="AV310">
        <f t="shared" si="56"/>
        <v>15.685999999999998</v>
      </c>
      <c r="AW310">
        <f t="shared" si="57"/>
        <v>4.5380696019999993</v>
      </c>
      <c r="AX310" s="9"/>
      <c r="AY310" s="22">
        <v>1.4106799999999999</v>
      </c>
      <c r="AZ310" s="22">
        <v>241.42699999999999</v>
      </c>
      <c r="BA310" s="22">
        <v>-1.40442E-2</v>
      </c>
      <c r="BB310" s="22">
        <v>300</v>
      </c>
      <c r="BC310" s="22">
        <v>1.41022</v>
      </c>
      <c r="BD310">
        <f t="shared" si="58"/>
        <v>14.0442</v>
      </c>
      <c r="BE310">
        <f t="shared" si="59"/>
        <v>19.811872055999999</v>
      </c>
    </row>
    <row r="311" spans="6:57">
      <c r="F311" s="9"/>
      <c r="G311" s="22">
        <v>0.284271</v>
      </c>
      <c r="H311" s="22">
        <v>12.017799999999999</v>
      </c>
      <c r="I311" s="22">
        <v>-1.5670799999999999E-2</v>
      </c>
      <c r="J311" s="22">
        <v>301</v>
      </c>
      <c r="K311" s="22">
        <v>0.283661</v>
      </c>
      <c r="L311">
        <f t="shared" si="48"/>
        <v>15.670799999999998</v>
      </c>
      <c r="M311">
        <f t="shared" si="49"/>
        <v>4.4547539867999992</v>
      </c>
      <c r="N311" s="9"/>
      <c r="O311" s="22">
        <v>1.41571</v>
      </c>
      <c r="P311" s="22">
        <v>61.4392</v>
      </c>
      <c r="Q311" s="22">
        <v>-1.4071699999999999E-2</v>
      </c>
      <c r="R311" s="22">
        <v>301</v>
      </c>
      <c r="S311" s="22">
        <v>1.4151</v>
      </c>
      <c r="T311">
        <f t="shared" si="50"/>
        <v>14.0717</v>
      </c>
      <c r="U311">
        <f t="shared" si="51"/>
        <v>19.921446407000001</v>
      </c>
      <c r="X311" s="9"/>
      <c r="Y311" s="22">
        <v>0.284271</v>
      </c>
      <c r="Z311" s="22">
        <v>111.017</v>
      </c>
      <c r="AA311" s="22">
        <v>-1.5695199999999999E-2</v>
      </c>
      <c r="AB311" s="22">
        <v>301</v>
      </c>
      <c r="AC311" s="22">
        <v>0.28360000000000002</v>
      </c>
      <c r="AD311">
        <f t="shared" si="52"/>
        <v>15.6952</v>
      </c>
      <c r="AE311">
        <f t="shared" si="53"/>
        <v>4.4616901991999995</v>
      </c>
      <c r="AF311" s="9"/>
      <c r="AG311" s="22">
        <v>1.41571</v>
      </c>
      <c r="AH311" s="22">
        <v>142.67599999999999</v>
      </c>
      <c r="AI311" s="22">
        <v>-1.3998399999999999E-2</v>
      </c>
      <c r="AJ311" s="22">
        <v>301</v>
      </c>
      <c r="AK311" s="22">
        <v>1.4154100000000001</v>
      </c>
      <c r="AL311">
        <f t="shared" si="54"/>
        <v>13.9984</v>
      </c>
      <c r="AM311">
        <f t="shared" si="55"/>
        <v>19.817674864000001</v>
      </c>
      <c r="AP311" s="9"/>
      <c r="AQ311" s="22">
        <v>0.284271</v>
      </c>
      <c r="AR311" s="22">
        <v>192.054</v>
      </c>
      <c r="AS311" s="22">
        <v>-1.5685999999999999E-2</v>
      </c>
      <c r="AT311" s="22">
        <v>301</v>
      </c>
      <c r="AU311" s="22">
        <v>0.28372199999999997</v>
      </c>
      <c r="AV311">
        <f t="shared" si="56"/>
        <v>15.685999999999998</v>
      </c>
      <c r="AW311">
        <f t="shared" si="57"/>
        <v>4.4590749059999997</v>
      </c>
      <c r="AX311" s="9"/>
      <c r="AY311" s="22">
        <v>1.41571</v>
      </c>
      <c r="AZ311" s="22">
        <v>241.43799999999999</v>
      </c>
      <c r="BA311" s="22">
        <v>-1.40045E-2</v>
      </c>
      <c r="BB311" s="22">
        <v>301</v>
      </c>
      <c r="BC311" s="22">
        <v>1.4151</v>
      </c>
      <c r="BD311">
        <f t="shared" si="58"/>
        <v>14.0045</v>
      </c>
      <c r="BE311">
        <f t="shared" si="59"/>
        <v>19.826310695</v>
      </c>
    </row>
    <row r="312" spans="6:57">
      <c r="F312" s="9"/>
      <c r="G312" s="22">
        <v>0.27923599999999998</v>
      </c>
      <c r="H312" s="22">
        <v>12.027799999999999</v>
      </c>
      <c r="I312" s="22">
        <v>-1.5670799999999999E-2</v>
      </c>
      <c r="J312" s="22">
        <v>302</v>
      </c>
      <c r="K312" s="22">
        <v>0.27862500000000001</v>
      </c>
      <c r="L312">
        <f t="shared" si="48"/>
        <v>15.670799999999998</v>
      </c>
      <c r="M312">
        <f t="shared" si="49"/>
        <v>4.3758515087999994</v>
      </c>
      <c r="N312" s="9"/>
      <c r="O312" s="22">
        <v>1.42075</v>
      </c>
      <c r="P312" s="22">
        <v>61.449300000000001</v>
      </c>
      <c r="Q312" s="22">
        <v>-1.4025900000000001E-2</v>
      </c>
      <c r="R312" s="22">
        <v>302</v>
      </c>
      <c r="S312" s="22">
        <v>1.4202900000000001</v>
      </c>
      <c r="T312">
        <f t="shared" si="50"/>
        <v>14.0259</v>
      </c>
      <c r="U312">
        <f t="shared" si="51"/>
        <v>19.927297424999999</v>
      </c>
      <c r="X312" s="9"/>
      <c r="Y312" s="22">
        <v>0.27923599999999998</v>
      </c>
      <c r="Z312" s="22">
        <v>111.027</v>
      </c>
      <c r="AA312" s="22">
        <v>-1.5698199999999999E-2</v>
      </c>
      <c r="AB312" s="22">
        <v>302</v>
      </c>
      <c r="AC312" s="22">
        <v>0.27862500000000001</v>
      </c>
      <c r="AD312">
        <f t="shared" si="52"/>
        <v>15.698199999999998</v>
      </c>
      <c r="AE312">
        <f t="shared" si="53"/>
        <v>4.3835025751999996</v>
      </c>
      <c r="AF312" s="9"/>
      <c r="AG312" s="22">
        <v>1.42075</v>
      </c>
      <c r="AH312" s="22">
        <v>142.68600000000001</v>
      </c>
      <c r="AI312" s="22">
        <v>-1.3958699999999999E-2</v>
      </c>
      <c r="AJ312" s="22">
        <v>302</v>
      </c>
      <c r="AK312" s="22">
        <v>1.4202900000000001</v>
      </c>
      <c r="AL312">
        <f t="shared" si="54"/>
        <v>13.958699999999999</v>
      </c>
      <c r="AM312">
        <f t="shared" si="55"/>
        <v>19.831823024999998</v>
      </c>
      <c r="AP312" s="9"/>
      <c r="AQ312" s="22">
        <v>0.27923599999999998</v>
      </c>
      <c r="AR312" s="22">
        <v>192.06399999999999</v>
      </c>
      <c r="AS312" s="22">
        <v>-1.5682999999999999E-2</v>
      </c>
      <c r="AT312" s="22">
        <v>302</v>
      </c>
      <c r="AU312" s="22">
        <v>0.27862500000000001</v>
      </c>
      <c r="AV312">
        <f t="shared" si="56"/>
        <v>15.683</v>
      </c>
      <c r="AW312">
        <f t="shared" si="57"/>
        <v>4.3792581879999997</v>
      </c>
      <c r="AX312" s="9"/>
      <c r="AY312" s="22">
        <v>1.42075</v>
      </c>
      <c r="AZ312" s="22">
        <v>241.44800000000001</v>
      </c>
      <c r="BA312" s="22">
        <v>-1.3952600000000001E-2</v>
      </c>
      <c r="BB312" s="22">
        <v>302</v>
      </c>
      <c r="BC312" s="22">
        <v>1.4202900000000001</v>
      </c>
      <c r="BD312">
        <f t="shared" si="58"/>
        <v>13.9526</v>
      </c>
      <c r="BE312">
        <f t="shared" si="59"/>
        <v>19.823156449999999</v>
      </c>
    </row>
    <row r="313" spans="6:57">
      <c r="F313" s="9"/>
      <c r="G313" s="22">
        <v>0.2742</v>
      </c>
      <c r="H313" s="22">
        <v>12.0379</v>
      </c>
      <c r="I313" s="22">
        <v>-1.5670799999999999E-2</v>
      </c>
      <c r="J313" s="22">
        <v>303</v>
      </c>
      <c r="K313" s="22">
        <v>0.273621</v>
      </c>
      <c r="L313">
        <f t="shared" si="48"/>
        <v>15.670799999999998</v>
      </c>
      <c r="M313">
        <f t="shared" si="49"/>
        <v>4.2969333599999997</v>
      </c>
      <c r="N313" s="9"/>
      <c r="O313" s="22">
        <v>1.42578</v>
      </c>
      <c r="P313" s="22">
        <v>61.459299999999999</v>
      </c>
      <c r="Q313" s="22">
        <v>-1.39893E-2</v>
      </c>
      <c r="R313" s="22">
        <v>303</v>
      </c>
      <c r="S313" s="22">
        <v>1.4248700000000001</v>
      </c>
      <c r="T313">
        <f t="shared" si="50"/>
        <v>13.9893</v>
      </c>
      <c r="U313">
        <f t="shared" si="51"/>
        <v>19.945664153999999</v>
      </c>
      <c r="X313" s="9"/>
      <c r="Y313" s="22">
        <v>0.2742</v>
      </c>
      <c r="Z313" s="22">
        <v>111.03700000000001</v>
      </c>
      <c r="AA313" s="22">
        <v>-1.5695199999999999E-2</v>
      </c>
      <c r="AB313" s="22">
        <v>303</v>
      </c>
      <c r="AC313" s="22">
        <v>0.27365099999999998</v>
      </c>
      <c r="AD313">
        <f t="shared" si="52"/>
        <v>15.6952</v>
      </c>
      <c r="AE313">
        <f t="shared" si="53"/>
        <v>4.3036238400000002</v>
      </c>
      <c r="AF313" s="9"/>
      <c r="AG313" s="22">
        <v>1.42578</v>
      </c>
      <c r="AH313" s="22">
        <v>142.696</v>
      </c>
      <c r="AI313" s="22">
        <v>-1.39069E-2</v>
      </c>
      <c r="AJ313" s="22">
        <v>303</v>
      </c>
      <c r="AK313" s="22">
        <v>1.4254800000000001</v>
      </c>
      <c r="AL313">
        <f t="shared" si="54"/>
        <v>13.9069</v>
      </c>
      <c r="AM313">
        <f t="shared" si="55"/>
        <v>19.828179882000001</v>
      </c>
      <c r="AP313" s="9"/>
      <c r="AQ313" s="22">
        <v>0.2742</v>
      </c>
      <c r="AR313" s="22">
        <v>192.07400000000001</v>
      </c>
      <c r="AS313" s="22">
        <v>-1.5685999999999999E-2</v>
      </c>
      <c r="AT313" s="22">
        <v>303</v>
      </c>
      <c r="AU313" s="22">
        <v>0.27359</v>
      </c>
      <c r="AV313">
        <f t="shared" si="56"/>
        <v>15.685999999999998</v>
      </c>
      <c r="AW313">
        <f t="shared" si="57"/>
        <v>4.3011011999999997</v>
      </c>
      <c r="AX313" s="9"/>
      <c r="AY313" s="22">
        <v>1.42578</v>
      </c>
      <c r="AZ313" s="22">
        <v>241.458</v>
      </c>
      <c r="BA313" s="22">
        <v>-1.39069E-2</v>
      </c>
      <c r="BB313" s="22">
        <v>303</v>
      </c>
      <c r="BC313" s="22">
        <v>1.42517</v>
      </c>
      <c r="BD313">
        <f t="shared" si="58"/>
        <v>13.9069</v>
      </c>
      <c r="BE313">
        <f t="shared" si="59"/>
        <v>19.828179882000001</v>
      </c>
    </row>
    <row r="314" spans="6:57">
      <c r="F314" s="9"/>
      <c r="G314" s="22">
        <v>0.26916499999999999</v>
      </c>
      <c r="H314" s="22">
        <v>12.048</v>
      </c>
      <c r="I314" s="22">
        <v>-1.5670799999999999E-2</v>
      </c>
      <c r="J314" s="22">
        <v>304</v>
      </c>
      <c r="K314" s="22">
        <v>0.26852399999999998</v>
      </c>
      <c r="L314">
        <f t="shared" si="48"/>
        <v>15.670799999999998</v>
      </c>
      <c r="M314">
        <f t="shared" si="49"/>
        <v>4.218030881999999</v>
      </c>
      <c r="N314" s="9"/>
      <c r="O314" s="22">
        <v>1.43082</v>
      </c>
      <c r="P314" s="22">
        <v>61.4694</v>
      </c>
      <c r="Q314" s="22">
        <v>-1.39496E-2</v>
      </c>
      <c r="R314" s="22">
        <v>304</v>
      </c>
      <c r="S314" s="22">
        <v>1.43005</v>
      </c>
      <c r="T314">
        <f t="shared" si="50"/>
        <v>13.9496</v>
      </c>
      <c r="U314">
        <f t="shared" si="51"/>
        <v>19.959366672000002</v>
      </c>
      <c r="X314" s="9"/>
      <c r="Y314" s="22">
        <v>0.26916499999999999</v>
      </c>
      <c r="Z314" s="22">
        <v>111.047</v>
      </c>
      <c r="AA314" s="22">
        <v>-1.56921E-2</v>
      </c>
      <c r="AB314" s="22">
        <v>304</v>
      </c>
      <c r="AC314" s="22">
        <v>0.26852399999999998</v>
      </c>
      <c r="AD314">
        <f t="shared" si="52"/>
        <v>15.6921</v>
      </c>
      <c r="AE314">
        <f t="shared" si="53"/>
        <v>4.2237640965000001</v>
      </c>
      <c r="AF314" s="9"/>
      <c r="AG314" s="22">
        <v>1.43082</v>
      </c>
      <c r="AH314" s="22">
        <v>142.70599999999999</v>
      </c>
      <c r="AI314" s="22">
        <v>-1.38519E-2</v>
      </c>
      <c r="AJ314" s="22">
        <v>304</v>
      </c>
      <c r="AK314" s="22">
        <v>1.43005</v>
      </c>
      <c r="AL314">
        <f t="shared" si="54"/>
        <v>13.851900000000001</v>
      </c>
      <c r="AM314">
        <f t="shared" si="55"/>
        <v>19.819575558</v>
      </c>
      <c r="AP314" s="9"/>
      <c r="AQ314" s="22">
        <v>0.26916499999999999</v>
      </c>
      <c r="AR314" s="22">
        <v>192.084</v>
      </c>
      <c r="AS314" s="22">
        <v>-1.5689100000000001E-2</v>
      </c>
      <c r="AT314" s="22">
        <v>304</v>
      </c>
      <c r="AU314" s="22">
        <v>0.26852399999999998</v>
      </c>
      <c r="AV314">
        <f t="shared" si="56"/>
        <v>15.689100000000002</v>
      </c>
      <c r="AW314">
        <f t="shared" si="57"/>
        <v>4.2229566015</v>
      </c>
      <c r="AX314" s="9"/>
      <c r="AY314" s="22">
        <v>1.43082</v>
      </c>
      <c r="AZ314" s="22">
        <v>241.46799999999999</v>
      </c>
      <c r="BA314" s="22">
        <v>-1.3858000000000001E-2</v>
      </c>
      <c r="BB314" s="22">
        <v>304</v>
      </c>
      <c r="BC314" s="22">
        <v>1.42944</v>
      </c>
      <c r="BD314">
        <f t="shared" si="58"/>
        <v>13.858000000000001</v>
      </c>
      <c r="BE314">
        <f t="shared" si="59"/>
        <v>19.828303560000002</v>
      </c>
    </row>
    <row r="315" spans="6:57">
      <c r="F315" s="9"/>
      <c r="G315" s="22">
        <v>0.26412999999999998</v>
      </c>
      <c r="H315" s="22">
        <v>12.0581</v>
      </c>
      <c r="I315" s="22">
        <v>-1.5673800000000002E-2</v>
      </c>
      <c r="J315" s="22">
        <v>305</v>
      </c>
      <c r="K315" s="22">
        <v>0.263519</v>
      </c>
      <c r="L315">
        <f t="shared" si="48"/>
        <v>15.673800000000002</v>
      </c>
      <c r="M315">
        <f t="shared" si="49"/>
        <v>4.139920794</v>
      </c>
      <c r="N315" s="9"/>
      <c r="O315" s="22">
        <v>1.4358500000000001</v>
      </c>
      <c r="P315" s="22">
        <v>61.479500000000002</v>
      </c>
      <c r="Q315" s="22">
        <v>-1.3916E-2</v>
      </c>
      <c r="R315" s="22">
        <v>305</v>
      </c>
      <c r="S315" s="22">
        <v>1.4352400000000001</v>
      </c>
      <c r="T315">
        <f t="shared" si="50"/>
        <v>13.916</v>
      </c>
      <c r="U315">
        <f t="shared" si="51"/>
        <v>19.981288600000003</v>
      </c>
      <c r="X315" s="9"/>
      <c r="Y315" s="22">
        <v>0.26412999999999998</v>
      </c>
      <c r="Z315" s="22">
        <v>111.057</v>
      </c>
      <c r="AA315" s="22">
        <v>-1.5695199999999999E-2</v>
      </c>
      <c r="AB315" s="22">
        <v>305</v>
      </c>
      <c r="AC315" s="22">
        <v>0.26355000000000001</v>
      </c>
      <c r="AD315">
        <f t="shared" si="52"/>
        <v>15.6952</v>
      </c>
      <c r="AE315">
        <f t="shared" si="53"/>
        <v>4.1455731759999992</v>
      </c>
      <c r="AF315" s="9"/>
      <c r="AG315" s="22">
        <v>1.4358500000000001</v>
      </c>
      <c r="AH315" s="22">
        <v>142.71600000000001</v>
      </c>
      <c r="AI315" s="22">
        <v>-1.38E-2</v>
      </c>
      <c r="AJ315" s="22">
        <v>305</v>
      </c>
      <c r="AK315" s="22">
        <v>1.4349400000000001</v>
      </c>
      <c r="AL315">
        <f t="shared" si="54"/>
        <v>13.799999999999999</v>
      </c>
      <c r="AM315">
        <f t="shared" si="55"/>
        <v>19.814730000000001</v>
      </c>
      <c r="AP315" s="9"/>
      <c r="AQ315" s="22">
        <v>0.26412999999999998</v>
      </c>
      <c r="AR315" s="22">
        <v>192.09399999999999</v>
      </c>
      <c r="AS315" s="22">
        <v>-1.5695199999999999E-2</v>
      </c>
      <c r="AT315" s="22">
        <v>305</v>
      </c>
      <c r="AU315" s="22">
        <v>0.26357999999999998</v>
      </c>
      <c r="AV315">
        <f t="shared" si="56"/>
        <v>15.6952</v>
      </c>
      <c r="AW315">
        <f t="shared" si="57"/>
        <v>4.1455731759999992</v>
      </c>
      <c r="AX315" s="9"/>
      <c r="AY315" s="22">
        <v>1.4358500000000001</v>
      </c>
      <c r="AZ315" s="22">
        <v>241.47800000000001</v>
      </c>
      <c r="BA315" s="22">
        <v>-1.38245E-2</v>
      </c>
      <c r="BB315" s="22">
        <v>305</v>
      </c>
      <c r="BC315" s="22">
        <v>1.4352400000000001</v>
      </c>
      <c r="BD315">
        <f t="shared" si="58"/>
        <v>13.8245</v>
      </c>
      <c r="BE315">
        <f t="shared" si="59"/>
        <v>19.849908325000001</v>
      </c>
    </row>
    <row r="316" spans="6:57">
      <c r="F316" s="9"/>
      <c r="G316" s="22">
        <v>0.25909399999999999</v>
      </c>
      <c r="H316" s="22">
        <v>12.068099999999999</v>
      </c>
      <c r="I316" s="22">
        <v>-1.56799E-2</v>
      </c>
      <c r="J316" s="22">
        <v>306</v>
      </c>
      <c r="K316" s="22">
        <v>0.25851400000000002</v>
      </c>
      <c r="L316">
        <f t="shared" si="48"/>
        <v>15.6799</v>
      </c>
      <c r="M316">
        <f t="shared" si="49"/>
        <v>4.0625680105999997</v>
      </c>
      <c r="N316" s="9"/>
      <c r="O316" s="22">
        <v>1.44089</v>
      </c>
      <c r="P316" s="22">
        <v>61.4895</v>
      </c>
      <c r="Q316" s="22">
        <v>-1.38794E-2</v>
      </c>
      <c r="R316" s="22">
        <v>306</v>
      </c>
      <c r="S316" s="22">
        <v>1.4398200000000001</v>
      </c>
      <c r="T316">
        <f t="shared" si="50"/>
        <v>13.8794</v>
      </c>
      <c r="U316">
        <f t="shared" si="51"/>
        <v>19.998688666</v>
      </c>
      <c r="X316" s="9"/>
      <c r="Y316" s="22">
        <v>0.25909399999999999</v>
      </c>
      <c r="Z316" s="22">
        <v>111.06699999999999</v>
      </c>
      <c r="AA316" s="22">
        <v>-1.56921E-2</v>
      </c>
      <c r="AB316" s="22">
        <v>306</v>
      </c>
      <c r="AC316" s="22">
        <v>0.25848399999999999</v>
      </c>
      <c r="AD316">
        <f t="shared" si="52"/>
        <v>15.6921</v>
      </c>
      <c r="AE316">
        <f t="shared" si="53"/>
        <v>4.0657289574000002</v>
      </c>
      <c r="AF316" s="9"/>
      <c r="AG316" s="22">
        <v>1.44089</v>
      </c>
      <c r="AH316" s="22">
        <v>142.726</v>
      </c>
      <c r="AI316" s="22">
        <v>-1.3754300000000001E-2</v>
      </c>
      <c r="AJ316" s="22">
        <v>306</v>
      </c>
      <c r="AK316" s="22">
        <v>1.4395100000000001</v>
      </c>
      <c r="AL316">
        <f t="shared" si="54"/>
        <v>13.754300000000001</v>
      </c>
      <c r="AM316">
        <f t="shared" si="55"/>
        <v>19.818433327000001</v>
      </c>
      <c r="AP316" s="9"/>
      <c r="AQ316" s="22">
        <v>0.25909399999999999</v>
      </c>
      <c r="AR316" s="22">
        <v>192.10400000000001</v>
      </c>
      <c r="AS316" s="22">
        <v>-1.5704300000000001E-2</v>
      </c>
      <c r="AT316" s="22">
        <v>306</v>
      </c>
      <c r="AU316" s="22">
        <v>0.25848399999999999</v>
      </c>
      <c r="AV316">
        <f t="shared" si="56"/>
        <v>15.704300000000002</v>
      </c>
      <c r="AW316">
        <f t="shared" si="57"/>
        <v>4.0688899042000006</v>
      </c>
      <c r="AX316" s="9"/>
      <c r="AY316" s="22">
        <v>1.44089</v>
      </c>
      <c r="AZ316" s="22">
        <v>241.488</v>
      </c>
      <c r="BA316" s="22">
        <v>-1.37787E-2</v>
      </c>
      <c r="BB316" s="22">
        <v>306</v>
      </c>
      <c r="BC316" s="22">
        <v>1.4398200000000001</v>
      </c>
      <c r="BD316">
        <f t="shared" si="58"/>
        <v>13.778699999999999</v>
      </c>
      <c r="BE316">
        <f t="shared" si="59"/>
        <v>19.853591042999998</v>
      </c>
    </row>
    <row r="317" spans="6:57">
      <c r="F317" s="9"/>
      <c r="G317" s="22">
        <v>0.25405899999999998</v>
      </c>
      <c r="H317" s="22">
        <v>12.078200000000001</v>
      </c>
      <c r="I317" s="22">
        <v>-1.5682999999999999E-2</v>
      </c>
      <c r="J317" s="22">
        <v>307</v>
      </c>
      <c r="K317" s="22">
        <v>0.25341799999999998</v>
      </c>
      <c r="L317">
        <f t="shared" si="48"/>
        <v>15.683</v>
      </c>
      <c r="M317">
        <f t="shared" si="49"/>
        <v>3.9844072969999997</v>
      </c>
      <c r="N317" s="9"/>
      <c r="O317" s="22">
        <v>1.4459200000000001</v>
      </c>
      <c r="P317" s="22">
        <v>61.499600000000001</v>
      </c>
      <c r="Q317" s="22">
        <v>-1.38245E-2</v>
      </c>
      <c r="R317" s="22">
        <v>307</v>
      </c>
      <c r="S317" s="22">
        <v>1.4450099999999999</v>
      </c>
      <c r="T317">
        <f t="shared" si="50"/>
        <v>13.8245</v>
      </c>
      <c r="U317">
        <f t="shared" si="51"/>
        <v>19.989121040000001</v>
      </c>
      <c r="X317" s="9"/>
      <c r="Y317" s="22">
        <v>0.25405899999999998</v>
      </c>
      <c r="Z317" s="22">
        <v>111.077</v>
      </c>
      <c r="AA317" s="22">
        <v>-1.5689100000000001E-2</v>
      </c>
      <c r="AB317" s="22">
        <v>307</v>
      </c>
      <c r="AC317" s="22">
        <v>0.25351000000000001</v>
      </c>
      <c r="AD317">
        <f t="shared" si="52"/>
        <v>15.689100000000002</v>
      </c>
      <c r="AE317">
        <f t="shared" si="53"/>
        <v>3.9859570569000002</v>
      </c>
      <c r="AF317" s="9"/>
      <c r="AG317" s="22">
        <v>1.4459200000000001</v>
      </c>
      <c r="AH317" s="22">
        <v>142.73599999999999</v>
      </c>
      <c r="AI317" s="22">
        <v>-1.3699299999999999E-2</v>
      </c>
      <c r="AJ317" s="22">
        <v>307</v>
      </c>
      <c r="AK317" s="22">
        <v>1.4450099999999999</v>
      </c>
      <c r="AL317">
        <f t="shared" si="54"/>
        <v>13.699299999999999</v>
      </c>
      <c r="AM317">
        <f t="shared" si="55"/>
        <v>19.808091856000001</v>
      </c>
      <c r="AP317" s="9"/>
      <c r="AQ317" s="22">
        <v>0.25405899999999998</v>
      </c>
      <c r="AR317" s="22">
        <v>192.11500000000001</v>
      </c>
      <c r="AS317" s="22">
        <v>-1.5704300000000001E-2</v>
      </c>
      <c r="AT317" s="22">
        <v>307</v>
      </c>
      <c r="AU317" s="22">
        <v>0.25347900000000001</v>
      </c>
      <c r="AV317">
        <f t="shared" si="56"/>
        <v>15.704300000000002</v>
      </c>
      <c r="AW317">
        <f t="shared" si="57"/>
        <v>3.9898187537000003</v>
      </c>
      <c r="AX317" s="9"/>
      <c r="AY317" s="22">
        <v>1.4459200000000001</v>
      </c>
      <c r="AZ317" s="22">
        <v>241.49799999999999</v>
      </c>
      <c r="BA317" s="22">
        <v>-1.3720700000000001E-2</v>
      </c>
      <c r="BB317" s="22">
        <v>307</v>
      </c>
      <c r="BC317" s="22">
        <v>1.4453100000000001</v>
      </c>
      <c r="BD317">
        <f t="shared" si="58"/>
        <v>13.720700000000001</v>
      </c>
      <c r="BE317">
        <f t="shared" si="59"/>
        <v>19.839034544000004</v>
      </c>
    </row>
    <row r="318" spans="6:57">
      <c r="F318" s="9"/>
      <c r="G318" s="22">
        <v>0.24902299999999999</v>
      </c>
      <c r="H318" s="22">
        <v>12.0883</v>
      </c>
      <c r="I318" s="22">
        <v>-1.5689100000000001E-2</v>
      </c>
      <c r="J318" s="22">
        <v>308</v>
      </c>
      <c r="K318" s="22">
        <v>0.248505</v>
      </c>
      <c r="L318">
        <f t="shared" si="48"/>
        <v>15.689100000000002</v>
      </c>
      <c r="M318">
        <f t="shared" si="49"/>
        <v>3.9069467493000003</v>
      </c>
      <c r="N318" s="9"/>
      <c r="O318" s="22">
        <v>1.45096</v>
      </c>
      <c r="P318" s="22">
        <v>61.509700000000002</v>
      </c>
      <c r="Q318" s="22">
        <v>-1.37634E-2</v>
      </c>
      <c r="R318" s="22">
        <v>308</v>
      </c>
      <c r="S318" s="22">
        <v>1.4501999999999999</v>
      </c>
      <c r="T318">
        <f t="shared" si="50"/>
        <v>13.763400000000001</v>
      </c>
      <c r="U318">
        <f t="shared" si="51"/>
        <v>19.970142864000003</v>
      </c>
      <c r="X318" s="9"/>
      <c r="Y318" s="22">
        <v>0.24902299999999999</v>
      </c>
      <c r="Z318" s="22">
        <v>111.087</v>
      </c>
      <c r="AA318" s="22">
        <v>-1.5682999999999999E-2</v>
      </c>
      <c r="AB318" s="22">
        <v>308</v>
      </c>
      <c r="AC318" s="22">
        <v>0.248444</v>
      </c>
      <c r="AD318">
        <f t="shared" si="52"/>
        <v>15.683</v>
      </c>
      <c r="AE318">
        <f t="shared" si="53"/>
        <v>3.905427709</v>
      </c>
      <c r="AF318" s="9"/>
      <c r="AG318" s="22">
        <v>1.45096</v>
      </c>
      <c r="AH318" s="22">
        <v>142.74600000000001</v>
      </c>
      <c r="AI318" s="22">
        <v>-1.3644399999999999E-2</v>
      </c>
      <c r="AJ318" s="22">
        <v>308</v>
      </c>
      <c r="AK318" s="22">
        <v>1.4498899999999999</v>
      </c>
      <c r="AL318">
        <f t="shared" si="54"/>
        <v>13.644399999999999</v>
      </c>
      <c r="AM318">
        <f t="shared" si="55"/>
        <v>19.797478624</v>
      </c>
      <c r="AP318" s="9"/>
      <c r="AQ318" s="22">
        <v>0.24902299999999999</v>
      </c>
      <c r="AR318" s="22">
        <v>192.125</v>
      </c>
      <c r="AS318" s="22">
        <v>-1.5710399999999999E-2</v>
      </c>
      <c r="AT318" s="22">
        <v>308</v>
      </c>
      <c r="AU318" s="22">
        <v>0.248444</v>
      </c>
      <c r="AV318">
        <f t="shared" si="56"/>
        <v>15.7104</v>
      </c>
      <c r="AW318">
        <f t="shared" si="57"/>
        <v>3.9122509391999998</v>
      </c>
      <c r="AX318" s="9"/>
      <c r="AY318" s="22">
        <v>1.45096</v>
      </c>
      <c r="AZ318" s="22">
        <v>241.50800000000001</v>
      </c>
      <c r="BA318" s="22">
        <v>-1.36597E-2</v>
      </c>
      <c r="BB318" s="22">
        <v>308</v>
      </c>
      <c r="BC318" s="22">
        <v>1.4501999999999999</v>
      </c>
      <c r="BD318">
        <f t="shared" si="58"/>
        <v>13.659700000000001</v>
      </c>
      <c r="BE318">
        <f t="shared" si="59"/>
        <v>19.819678312000001</v>
      </c>
    </row>
    <row r="319" spans="6:57">
      <c r="F319" s="9"/>
      <c r="G319" s="22">
        <v>0.24398800000000001</v>
      </c>
      <c r="H319" s="22">
        <v>12.0983</v>
      </c>
      <c r="I319" s="22">
        <v>-1.5689100000000001E-2</v>
      </c>
      <c r="J319" s="22">
        <v>309</v>
      </c>
      <c r="K319" s="22">
        <v>0.24343899999999999</v>
      </c>
      <c r="L319">
        <f t="shared" si="48"/>
        <v>15.689100000000002</v>
      </c>
      <c r="M319">
        <f t="shared" si="49"/>
        <v>3.8279521308000004</v>
      </c>
      <c r="N319" s="9"/>
      <c r="O319" s="22">
        <v>1.4559899999999999</v>
      </c>
      <c r="P319" s="22">
        <v>61.519799999999996</v>
      </c>
      <c r="Q319" s="22">
        <v>-1.37085E-2</v>
      </c>
      <c r="R319" s="22">
        <v>309</v>
      </c>
      <c r="S319" s="22">
        <v>1.4553799999999999</v>
      </c>
      <c r="T319">
        <f t="shared" si="50"/>
        <v>13.708500000000001</v>
      </c>
      <c r="U319">
        <f t="shared" si="51"/>
        <v>19.959438915</v>
      </c>
      <c r="X319" s="9"/>
      <c r="Y319" s="22">
        <v>0.24398800000000001</v>
      </c>
      <c r="Z319" s="22">
        <v>111.09699999999999</v>
      </c>
      <c r="AA319" s="22">
        <v>-1.5689100000000001E-2</v>
      </c>
      <c r="AB319" s="22">
        <v>309</v>
      </c>
      <c r="AC319" s="22">
        <v>0.24334700000000001</v>
      </c>
      <c r="AD319">
        <f t="shared" si="52"/>
        <v>15.689100000000002</v>
      </c>
      <c r="AE319">
        <f t="shared" si="53"/>
        <v>3.8279521308000004</v>
      </c>
      <c r="AF319" s="9"/>
      <c r="AG319" s="22">
        <v>1.4559899999999999</v>
      </c>
      <c r="AH319" s="22">
        <v>142.756</v>
      </c>
      <c r="AI319" s="22">
        <v>-1.3583400000000001E-2</v>
      </c>
      <c r="AJ319" s="22">
        <v>309</v>
      </c>
      <c r="AK319" s="22">
        <v>1.4550799999999999</v>
      </c>
      <c r="AL319">
        <f t="shared" si="54"/>
        <v>13.583400000000001</v>
      </c>
      <c r="AM319">
        <f t="shared" si="55"/>
        <v>19.777294565999998</v>
      </c>
      <c r="AP319" s="9"/>
      <c r="AQ319" s="22">
        <v>0.24398800000000001</v>
      </c>
      <c r="AR319" s="22">
        <v>192.13499999999999</v>
      </c>
      <c r="AS319" s="22">
        <v>-1.5716600000000001E-2</v>
      </c>
      <c r="AT319" s="22">
        <v>309</v>
      </c>
      <c r="AU319" s="22">
        <v>0.24343899999999999</v>
      </c>
      <c r="AV319">
        <f t="shared" si="56"/>
        <v>15.716600000000001</v>
      </c>
      <c r="AW319">
        <f t="shared" si="57"/>
        <v>3.8346618008000006</v>
      </c>
      <c r="AX319" s="9"/>
      <c r="AY319" s="22">
        <v>1.4559899999999999</v>
      </c>
      <c r="AZ319" s="22">
        <v>241.518</v>
      </c>
      <c r="BA319" s="22">
        <v>-1.3589499999999999E-2</v>
      </c>
      <c r="BB319" s="22">
        <v>309</v>
      </c>
      <c r="BC319" s="22">
        <v>1.4550799999999999</v>
      </c>
      <c r="BD319">
        <f t="shared" si="58"/>
        <v>13.589499999999999</v>
      </c>
      <c r="BE319">
        <f t="shared" si="59"/>
        <v>19.786176104999999</v>
      </c>
    </row>
    <row r="320" spans="6:57">
      <c r="F320" s="9"/>
      <c r="G320" s="22">
        <v>0.238953</v>
      </c>
      <c r="H320" s="22">
        <v>12.1084</v>
      </c>
      <c r="I320" s="22">
        <v>-1.5685999999999999E-2</v>
      </c>
      <c r="J320" s="22">
        <v>310</v>
      </c>
      <c r="K320" s="22">
        <v>0.238403</v>
      </c>
      <c r="L320">
        <f t="shared" si="48"/>
        <v>15.685999999999998</v>
      </c>
      <c r="M320">
        <f t="shared" si="49"/>
        <v>3.7482167579999994</v>
      </c>
      <c r="N320" s="9"/>
      <c r="O320" s="22">
        <v>1.4610300000000001</v>
      </c>
      <c r="P320" s="22">
        <v>61.529800000000002</v>
      </c>
      <c r="Q320" s="22">
        <v>-1.3644399999999999E-2</v>
      </c>
      <c r="R320" s="22">
        <v>310</v>
      </c>
      <c r="S320" s="22">
        <v>1.4605699999999999</v>
      </c>
      <c r="T320">
        <f t="shared" si="50"/>
        <v>13.644399999999999</v>
      </c>
      <c r="U320">
        <f t="shared" si="51"/>
        <v>19.934877732</v>
      </c>
      <c r="X320" s="9"/>
      <c r="Y320" s="22">
        <v>0.238953</v>
      </c>
      <c r="Z320" s="22">
        <v>111.107</v>
      </c>
      <c r="AA320" s="22">
        <v>-1.56921E-2</v>
      </c>
      <c r="AB320" s="22">
        <v>310</v>
      </c>
      <c r="AC320" s="22">
        <v>0.238403</v>
      </c>
      <c r="AD320">
        <f t="shared" si="52"/>
        <v>15.6921</v>
      </c>
      <c r="AE320">
        <f t="shared" si="53"/>
        <v>3.7496743712999998</v>
      </c>
      <c r="AF320" s="9"/>
      <c r="AG320" s="22">
        <v>1.4610300000000001</v>
      </c>
      <c r="AH320" s="22">
        <v>142.76599999999999</v>
      </c>
      <c r="AI320" s="22">
        <v>-1.35345E-2</v>
      </c>
      <c r="AJ320" s="22">
        <v>310</v>
      </c>
      <c r="AK320" s="22">
        <v>1.4599599999999999</v>
      </c>
      <c r="AL320">
        <f t="shared" si="54"/>
        <v>13.5345</v>
      </c>
      <c r="AM320">
        <f t="shared" si="55"/>
        <v>19.774310535000001</v>
      </c>
      <c r="AP320" s="9"/>
      <c r="AQ320" s="22">
        <v>0.238953</v>
      </c>
      <c r="AR320" s="22">
        <v>192.14500000000001</v>
      </c>
      <c r="AS320" s="22">
        <v>-1.5713499999999998E-2</v>
      </c>
      <c r="AT320" s="22">
        <v>310</v>
      </c>
      <c r="AU320" s="22">
        <v>0.238403</v>
      </c>
      <c r="AV320">
        <f t="shared" si="56"/>
        <v>15.713499999999998</v>
      </c>
      <c r="AW320">
        <f t="shared" si="57"/>
        <v>3.7547879654999994</v>
      </c>
      <c r="AX320" s="9"/>
      <c r="AY320" s="22">
        <v>1.4610300000000001</v>
      </c>
      <c r="AZ320" s="22">
        <v>241.52799999999999</v>
      </c>
      <c r="BA320" s="22">
        <v>-1.35345E-2</v>
      </c>
      <c r="BB320" s="22">
        <v>310</v>
      </c>
      <c r="BC320" s="22">
        <v>1.4605699999999999</v>
      </c>
      <c r="BD320">
        <f t="shared" si="58"/>
        <v>13.5345</v>
      </c>
      <c r="BE320">
        <f t="shared" si="59"/>
        <v>19.774310535000001</v>
      </c>
    </row>
    <row r="321" spans="6:57">
      <c r="F321" s="9"/>
      <c r="G321" s="22">
        <v>0.23391700000000001</v>
      </c>
      <c r="H321" s="22">
        <v>12.118499999999999</v>
      </c>
      <c r="I321" s="22">
        <v>-1.5685999999999999E-2</v>
      </c>
      <c r="J321" s="22">
        <v>311</v>
      </c>
      <c r="K321" s="22">
        <v>0.23339799999999999</v>
      </c>
      <c r="L321">
        <f t="shared" si="48"/>
        <v>15.685999999999998</v>
      </c>
      <c r="M321">
        <f t="shared" si="49"/>
        <v>3.6692220619999998</v>
      </c>
      <c r="N321" s="9"/>
      <c r="O321" s="22">
        <v>1.4660599999999999</v>
      </c>
      <c r="P321" s="22">
        <v>61.539900000000003</v>
      </c>
      <c r="Q321" s="22">
        <v>-1.3583400000000001E-2</v>
      </c>
      <c r="R321" s="22">
        <v>311</v>
      </c>
      <c r="S321" s="22">
        <v>1.4654499999999999</v>
      </c>
      <c r="T321">
        <f t="shared" si="50"/>
        <v>13.583400000000001</v>
      </c>
      <c r="U321">
        <f t="shared" si="51"/>
        <v>19.914079403999999</v>
      </c>
      <c r="X321" s="9"/>
      <c r="Y321" s="22">
        <v>0.23391700000000001</v>
      </c>
      <c r="Z321" s="22">
        <v>111.117</v>
      </c>
      <c r="AA321" s="22">
        <v>-1.5701300000000001E-2</v>
      </c>
      <c r="AB321" s="22">
        <v>311</v>
      </c>
      <c r="AC321" s="22">
        <v>0.23336799999999999</v>
      </c>
      <c r="AD321">
        <f t="shared" si="52"/>
        <v>15.701300000000002</v>
      </c>
      <c r="AE321">
        <f t="shared" si="53"/>
        <v>3.6728009921000004</v>
      </c>
      <c r="AF321" s="9"/>
      <c r="AG321" s="22">
        <v>1.4660599999999999</v>
      </c>
      <c r="AH321" s="22">
        <v>142.77600000000001</v>
      </c>
      <c r="AI321" s="22">
        <v>-1.34796E-2</v>
      </c>
      <c r="AJ321" s="22">
        <v>311</v>
      </c>
      <c r="AK321" s="22">
        <v>1.46515</v>
      </c>
      <c r="AL321">
        <f t="shared" si="54"/>
        <v>13.4796</v>
      </c>
      <c r="AM321">
        <f t="shared" si="55"/>
        <v>19.761902375999998</v>
      </c>
      <c r="AP321" s="9"/>
      <c r="AQ321" s="22">
        <v>0.23391700000000001</v>
      </c>
      <c r="AR321" s="22">
        <v>192.155</v>
      </c>
      <c r="AS321" s="22">
        <v>-1.5722699999999999E-2</v>
      </c>
      <c r="AT321" s="22">
        <v>311</v>
      </c>
      <c r="AU321" s="22">
        <v>0.23339799999999999</v>
      </c>
      <c r="AV321">
        <f t="shared" si="56"/>
        <v>15.7227</v>
      </c>
      <c r="AW321">
        <f t="shared" si="57"/>
        <v>3.6778068159000004</v>
      </c>
      <c r="AX321" s="9"/>
      <c r="AY321" s="22">
        <v>1.4660599999999999</v>
      </c>
      <c r="AZ321" s="22">
        <v>241.53800000000001</v>
      </c>
      <c r="BA321" s="22">
        <v>-1.3473499999999999E-2</v>
      </c>
      <c r="BB321" s="22">
        <v>311</v>
      </c>
      <c r="BC321" s="22">
        <v>1.46576</v>
      </c>
      <c r="BD321">
        <f t="shared" si="58"/>
        <v>13.4735</v>
      </c>
      <c r="BE321">
        <f t="shared" si="59"/>
        <v>19.752959409999999</v>
      </c>
    </row>
    <row r="322" spans="6:57">
      <c r="F322" s="9"/>
      <c r="G322" s="22">
        <v>0.228882</v>
      </c>
      <c r="H322" s="22">
        <v>12.128500000000001</v>
      </c>
      <c r="I322" s="22">
        <v>-1.5685999999999999E-2</v>
      </c>
      <c r="J322" s="22">
        <v>312</v>
      </c>
      <c r="K322" s="22">
        <v>0.228302</v>
      </c>
      <c r="L322">
        <f t="shared" si="48"/>
        <v>15.685999999999998</v>
      </c>
      <c r="M322">
        <f t="shared" si="49"/>
        <v>3.5902430519999995</v>
      </c>
      <c r="N322" s="9"/>
      <c r="O322" s="22">
        <v>1.4711000000000001</v>
      </c>
      <c r="P322" s="22">
        <v>61.55</v>
      </c>
      <c r="Q322" s="22">
        <v>-1.3528399999999999E-2</v>
      </c>
      <c r="R322" s="22">
        <v>312</v>
      </c>
      <c r="S322" s="22">
        <v>1.47034</v>
      </c>
      <c r="T322">
        <f t="shared" si="50"/>
        <v>13.5284</v>
      </c>
      <c r="U322">
        <f t="shared" si="51"/>
        <v>19.901629240000002</v>
      </c>
      <c r="X322" s="9"/>
      <c r="Y322" s="22">
        <v>0.228882</v>
      </c>
      <c r="Z322" s="22">
        <v>111.127</v>
      </c>
      <c r="AA322" s="22">
        <v>-1.57074E-2</v>
      </c>
      <c r="AB322" s="22">
        <v>312</v>
      </c>
      <c r="AC322" s="22">
        <v>0.228271</v>
      </c>
      <c r="AD322">
        <f t="shared" si="52"/>
        <v>15.7074</v>
      </c>
      <c r="AE322">
        <f t="shared" si="53"/>
        <v>3.5951411268000002</v>
      </c>
      <c r="AF322" s="9"/>
      <c r="AG322" s="22">
        <v>1.4711000000000001</v>
      </c>
      <c r="AH322" s="22">
        <v>142.786</v>
      </c>
      <c r="AI322" s="22">
        <v>-1.3412500000000001E-2</v>
      </c>
      <c r="AJ322" s="22">
        <v>312</v>
      </c>
      <c r="AK322" s="22">
        <v>1.4706399999999999</v>
      </c>
      <c r="AL322">
        <f t="shared" si="54"/>
        <v>13.412500000000001</v>
      </c>
      <c r="AM322">
        <f t="shared" si="55"/>
        <v>19.731128750000003</v>
      </c>
      <c r="AP322" s="9"/>
      <c r="AQ322" s="22">
        <v>0.228882</v>
      </c>
      <c r="AR322" s="22">
        <v>192.16499999999999</v>
      </c>
      <c r="AS322" s="22">
        <v>-1.57196E-2</v>
      </c>
      <c r="AT322" s="22">
        <v>312</v>
      </c>
      <c r="AU322" s="22">
        <v>0.22836300000000001</v>
      </c>
      <c r="AV322">
        <f t="shared" si="56"/>
        <v>15.7196</v>
      </c>
      <c r="AW322">
        <f t="shared" si="57"/>
        <v>3.5979334872000002</v>
      </c>
      <c r="AX322" s="9"/>
      <c r="AY322" s="22">
        <v>1.4711000000000001</v>
      </c>
      <c r="AZ322" s="22">
        <v>241.548</v>
      </c>
      <c r="BA322" s="22">
        <v>-1.34155E-2</v>
      </c>
      <c r="BB322" s="22">
        <v>312</v>
      </c>
      <c r="BC322" s="22">
        <v>1.4706399999999999</v>
      </c>
      <c r="BD322">
        <f t="shared" si="58"/>
        <v>13.4155</v>
      </c>
      <c r="BE322">
        <f t="shared" si="59"/>
        <v>19.735542049999999</v>
      </c>
    </row>
    <row r="323" spans="6:57">
      <c r="F323" s="9"/>
      <c r="G323" s="22">
        <v>0.22384599999999999</v>
      </c>
      <c r="H323" s="22">
        <v>12.1386</v>
      </c>
      <c r="I323" s="22">
        <v>-1.5685999999999999E-2</v>
      </c>
      <c r="J323" s="22">
        <v>313</v>
      </c>
      <c r="K323" s="22">
        <v>0.22326699999999999</v>
      </c>
      <c r="L323">
        <f t="shared" si="48"/>
        <v>15.685999999999998</v>
      </c>
      <c r="M323">
        <f t="shared" si="49"/>
        <v>3.5112483559999994</v>
      </c>
      <c r="N323" s="9"/>
      <c r="O323" s="22">
        <v>1.47614</v>
      </c>
      <c r="P323" s="22">
        <v>61.56</v>
      </c>
      <c r="Q323" s="22">
        <v>-1.3473499999999999E-2</v>
      </c>
      <c r="R323" s="22">
        <v>313</v>
      </c>
      <c r="S323" s="22">
        <v>1.47583</v>
      </c>
      <c r="T323">
        <f t="shared" si="50"/>
        <v>13.4735</v>
      </c>
      <c r="U323">
        <f t="shared" si="51"/>
        <v>19.888772289999999</v>
      </c>
      <c r="X323" s="9"/>
      <c r="Y323" s="22">
        <v>0.22384599999999999</v>
      </c>
      <c r="Z323" s="22">
        <v>111.137</v>
      </c>
      <c r="AA323" s="22">
        <v>-1.5710399999999999E-2</v>
      </c>
      <c r="AB323" s="22">
        <v>313</v>
      </c>
      <c r="AC323" s="22">
        <v>0.22326699999999999</v>
      </c>
      <c r="AD323">
        <f t="shared" si="52"/>
        <v>15.7104</v>
      </c>
      <c r="AE323">
        <f t="shared" si="53"/>
        <v>3.5167101983999998</v>
      </c>
      <c r="AF323" s="9"/>
      <c r="AG323" s="22">
        <v>1.47614</v>
      </c>
      <c r="AH323" s="22">
        <v>142.797</v>
      </c>
      <c r="AI323" s="22">
        <v>-1.33545E-2</v>
      </c>
      <c r="AJ323" s="22">
        <v>313</v>
      </c>
      <c r="AK323" s="22">
        <v>1.4755199999999999</v>
      </c>
      <c r="AL323">
        <f t="shared" si="54"/>
        <v>13.3545</v>
      </c>
      <c r="AM323">
        <f t="shared" si="55"/>
        <v>19.71311163</v>
      </c>
      <c r="AP323" s="9"/>
      <c r="AQ323" s="22">
        <v>0.22384599999999999</v>
      </c>
      <c r="AR323" s="22">
        <v>192.17500000000001</v>
      </c>
      <c r="AS323" s="22">
        <v>-1.57196E-2</v>
      </c>
      <c r="AT323" s="22">
        <v>313</v>
      </c>
      <c r="AU323" s="22">
        <v>0.223297</v>
      </c>
      <c r="AV323">
        <f t="shared" si="56"/>
        <v>15.7196</v>
      </c>
      <c r="AW323">
        <f t="shared" si="57"/>
        <v>3.5187695816</v>
      </c>
      <c r="AX323" s="9"/>
      <c r="AY323" s="22">
        <v>1.47614</v>
      </c>
      <c r="AZ323" s="22">
        <v>241.55799999999999</v>
      </c>
      <c r="BA323" s="22">
        <v>-1.3351399999999999E-2</v>
      </c>
      <c r="BB323" s="22">
        <v>313</v>
      </c>
      <c r="BC323" s="22">
        <v>1.4755199999999999</v>
      </c>
      <c r="BD323">
        <f t="shared" si="58"/>
        <v>13.3514</v>
      </c>
      <c r="BE323">
        <f t="shared" si="59"/>
        <v>19.708535596000001</v>
      </c>
    </row>
    <row r="324" spans="6:57">
      <c r="F324" s="9"/>
      <c r="G324" s="22">
        <v>0.21881100000000001</v>
      </c>
      <c r="H324" s="22">
        <v>12.1487</v>
      </c>
      <c r="I324" s="22">
        <v>-1.5685999999999999E-2</v>
      </c>
      <c r="J324" s="22">
        <v>314</v>
      </c>
      <c r="K324" s="22">
        <v>0.21817</v>
      </c>
      <c r="L324">
        <f t="shared" si="48"/>
        <v>15.685999999999998</v>
      </c>
      <c r="M324">
        <f t="shared" si="49"/>
        <v>3.4322693459999996</v>
      </c>
      <c r="N324" s="9"/>
      <c r="O324" s="22">
        <v>1.4811700000000001</v>
      </c>
      <c r="P324" s="22">
        <v>61.570099999999996</v>
      </c>
      <c r="Q324" s="22">
        <v>-1.34155E-2</v>
      </c>
      <c r="R324" s="22">
        <v>314</v>
      </c>
      <c r="S324" s="22">
        <v>1.48041</v>
      </c>
      <c r="T324">
        <f t="shared" si="50"/>
        <v>13.4155</v>
      </c>
      <c r="U324">
        <f t="shared" si="51"/>
        <v>19.870636135000002</v>
      </c>
      <c r="X324" s="9"/>
      <c r="Y324" s="22">
        <v>0.21881100000000001</v>
      </c>
      <c r="Z324" s="22">
        <v>111.148</v>
      </c>
      <c r="AA324" s="22">
        <v>-1.57196E-2</v>
      </c>
      <c r="AB324" s="22">
        <v>314</v>
      </c>
      <c r="AC324" s="22">
        <v>0.21829200000000001</v>
      </c>
      <c r="AD324">
        <f t="shared" si="52"/>
        <v>15.7196</v>
      </c>
      <c r="AE324">
        <f t="shared" si="53"/>
        <v>3.4396213956000001</v>
      </c>
      <c r="AF324" s="9"/>
      <c r="AG324" s="22">
        <v>1.4811700000000001</v>
      </c>
      <c r="AH324" s="22">
        <v>142.80699999999999</v>
      </c>
      <c r="AI324" s="22">
        <v>-1.3284300000000001E-2</v>
      </c>
      <c r="AJ324" s="22">
        <v>314</v>
      </c>
      <c r="AK324" s="22">
        <v>1.48041</v>
      </c>
      <c r="AL324">
        <f t="shared" si="54"/>
        <v>13.2843</v>
      </c>
      <c r="AM324">
        <f t="shared" si="55"/>
        <v>19.676306631000003</v>
      </c>
      <c r="AP324" s="9"/>
      <c r="AQ324" s="22">
        <v>0.21881100000000001</v>
      </c>
      <c r="AR324" s="22">
        <v>192.185</v>
      </c>
      <c r="AS324" s="22">
        <v>-1.5716600000000001E-2</v>
      </c>
      <c r="AT324" s="22">
        <v>314</v>
      </c>
      <c r="AU324" s="22">
        <v>0.21823100000000001</v>
      </c>
      <c r="AV324">
        <f t="shared" si="56"/>
        <v>15.716600000000001</v>
      </c>
      <c r="AW324">
        <f t="shared" si="57"/>
        <v>3.4389649626000005</v>
      </c>
      <c r="AX324" s="9"/>
      <c r="AY324" s="22">
        <v>1.4811700000000001</v>
      </c>
      <c r="AZ324" s="22">
        <v>241.56800000000001</v>
      </c>
      <c r="BA324" s="22">
        <v>-1.3284300000000001E-2</v>
      </c>
      <c r="BB324" s="22">
        <v>314</v>
      </c>
      <c r="BC324" s="22">
        <v>1.48071</v>
      </c>
      <c r="BD324">
        <f t="shared" si="58"/>
        <v>13.2843</v>
      </c>
      <c r="BE324">
        <f t="shared" si="59"/>
        <v>19.676306631000003</v>
      </c>
    </row>
    <row r="325" spans="6:57">
      <c r="F325" s="9"/>
      <c r="G325" s="22">
        <v>0.21377599999999999</v>
      </c>
      <c r="H325" s="22">
        <v>12.158799999999999</v>
      </c>
      <c r="I325" s="22">
        <v>-1.5682999999999999E-2</v>
      </c>
      <c r="J325" s="22">
        <v>315</v>
      </c>
      <c r="K325" s="22">
        <v>0.213196</v>
      </c>
      <c r="L325">
        <f t="shared" si="48"/>
        <v>15.683</v>
      </c>
      <c r="M325">
        <f t="shared" si="49"/>
        <v>3.3526490079999998</v>
      </c>
      <c r="N325" s="9"/>
      <c r="O325" s="22">
        <v>1.48621</v>
      </c>
      <c r="P325" s="22">
        <v>61.580199999999998</v>
      </c>
      <c r="Q325" s="22">
        <v>-1.33484E-2</v>
      </c>
      <c r="R325" s="22">
        <v>315</v>
      </c>
      <c r="S325" s="22">
        <v>1.4859</v>
      </c>
      <c r="T325">
        <f t="shared" si="50"/>
        <v>13.3484</v>
      </c>
      <c r="U325">
        <f t="shared" si="51"/>
        <v>19.838525564000001</v>
      </c>
      <c r="X325" s="9"/>
      <c r="Y325" s="22">
        <v>0.21377599999999999</v>
      </c>
      <c r="Z325" s="22">
        <v>111.158</v>
      </c>
      <c r="AA325" s="22">
        <v>-1.57196E-2</v>
      </c>
      <c r="AB325" s="22">
        <v>315</v>
      </c>
      <c r="AC325" s="22">
        <v>0.213257</v>
      </c>
      <c r="AD325">
        <f t="shared" si="52"/>
        <v>15.7196</v>
      </c>
      <c r="AE325">
        <f t="shared" si="53"/>
        <v>3.3604732095999998</v>
      </c>
      <c r="AF325" s="9"/>
      <c r="AG325" s="22">
        <v>1.48621</v>
      </c>
      <c r="AH325" s="22">
        <v>142.81700000000001</v>
      </c>
      <c r="AI325" s="22">
        <v>-1.32111E-2</v>
      </c>
      <c r="AJ325" s="22">
        <v>315</v>
      </c>
      <c r="AK325" s="22">
        <v>1.4856</v>
      </c>
      <c r="AL325">
        <f t="shared" si="54"/>
        <v>13.2111</v>
      </c>
      <c r="AM325">
        <f t="shared" si="55"/>
        <v>19.634468931000001</v>
      </c>
      <c r="AP325" s="9"/>
      <c r="AQ325" s="22">
        <v>0.21377599999999999</v>
      </c>
      <c r="AR325" s="22">
        <v>192.19499999999999</v>
      </c>
      <c r="AS325" s="22">
        <v>-1.5716600000000001E-2</v>
      </c>
      <c r="AT325" s="22">
        <v>315</v>
      </c>
      <c r="AU325" s="22">
        <v>0.213196</v>
      </c>
      <c r="AV325">
        <f t="shared" si="56"/>
        <v>15.716600000000001</v>
      </c>
      <c r="AW325">
        <f t="shared" si="57"/>
        <v>3.3598318816000003</v>
      </c>
      <c r="AX325" s="9"/>
      <c r="AY325" s="22">
        <v>1.48621</v>
      </c>
      <c r="AZ325" s="22">
        <v>241.57900000000001</v>
      </c>
      <c r="BA325" s="22">
        <v>-1.32172E-2</v>
      </c>
      <c r="BB325" s="22">
        <v>315</v>
      </c>
      <c r="BC325" s="22">
        <v>1.48529</v>
      </c>
      <c r="BD325">
        <f t="shared" si="58"/>
        <v>13.2172</v>
      </c>
      <c r="BE325">
        <f t="shared" si="59"/>
        <v>19.643534812000002</v>
      </c>
    </row>
    <row r="326" spans="6:57">
      <c r="F326" s="9"/>
      <c r="G326" s="22">
        <v>0.20874000000000001</v>
      </c>
      <c r="H326" s="22">
        <v>12.168799999999999</v>
      </c>
      <c r="I326" s="22">
        <v>-1.56921E-2</v>
      </c>
      <c r="J326" s="22">
        <v>316</v>
      </c>
      <c r="K326" s="22">
        <v>0.20819099999999999</v>
      </c>
      <c r="L326">
        <f t="shared" si="48"/>
        <v>15.6921</v>
      </c>
      <c r="M326">
        <f t="shared" si="49"/>
        <v>3.2755689540000001</v>
      </c>
      <c r="N326" s="9"/>
      <c r="O326" s="22">
        <v>1.4912399999999999</v>
      </c>
      <c r="P326" s="22">
        <v>61.590299999999999</v>
      </c>
      <c r="Q326" s="22">
        <v>-1.3266E-2</v>
      </c>
      <c r="R326" s="22">
        <v>316</v>
      </c>
      <c r="S326" s="22">
        <v>1.49048</v>
      </c>
      <c r="T326">
        <f t="shared" si="50"/>
        <v>13.266</v>
      </c>
      <c r="U326">
        <f t="shared" si="51"/>
        <v>19.78278984</v>
      </c>
      <c r="X326" s="9"/>
      <c r="Y326" s="22">
        <v>0.20874000000000001</v>
      </c>
      <c r="Z326" s="22">
        <v>111.16800000000001</v>
      </c>
      <c r="AA326" s="22">
        <v>-1.5725699999999999E-2</v>
      </c>
      <c r="AB326" s="22">
        <v>316</v>
      </c>
      <c r="AC326" s="22">
        <v>0.20828199999999999</v>
      </c>
      <c r="AD326">
        <f t="shared" si="52"/>
        <v>15.725699999999998</v>
      </c>
      <c r="AE326">
        <f t="shared" si="53"/>
        <v>3.2825826179999997</v>
      </c>
      <c r="AF326" s="9"/>
      <c r="AG326" s="22">
        <v>1.4912399999999999</v>
      </c>
      <c r="AH326" s="22">
        <v>142.827</v>
      </c>
      <c r="AI326" s="22">
        <v>-1.3147000000000001E-2</v>
      </c>
      <c r="AJ326" s="22">
        <v>316</v>
      </c>
      <c r="AK326" s="22">
        <v>1.49078</v>
      </c>
      <c r="AL326">
        <f t="shared" si="54"/>
        <v>13.147</v>
      </c>
      <c r="AM326">
        <f t="shared" si="55"/>
        <v>19.605332279999999</v>
      </c>
      <c r="AP326" s="9"/>
      <c r="AQ326" s="22">
        <v>0.20874000000000001</v>
      </c>
      <c r="AR326" s="22">
        <v>192.20500000000001</v>
      </c>
      <c r="AS326" s="22">
        <v>-1.5713499999999998E-2</v>
      </c>
      <c r="AT326" s="22">
        <v>316</v>
      </c>
      <c r="AU326" s="22">
        <v>0.20822099999999999</v>
      </c>
      <c r="AV326">
        <f t="shared" si="56"/>
        <v>15.713499999999998</v>
      </c>
      <c r="AW326">
        <f t="shared" si="57"/>
        <v>3.2800359899999996</v>
      </c>
      <c r="AX326" s="9"/>
      <c r="AY326" s="22">
        <v>1.4912399999999999</v>
      </c>
      <c r="AZ326" s="22">
        <v>241.589</v>
      </c>
      <c r="BA326" s="22">
        <v>-1.31439E-2</v>
      </c>
      <c r="BB326" s="22">
        <v>316</v>
      </c>
      <c r="BC326" s="22">
        <v>1.49109</v>
      </c>
      <c r="BD326">
        <f t="shared" si="58"/>
        <v>13.1439</v>
      </c>
      <c r="BE326">
        <f t="shared" si="59"/>
        <v>19.600709435999999</v>
      </c>
    </row>
    <row r="327" spans="6:57">
      <c r="F327" s="9"/>
      <c r="G327" s="22">
        <v>0.203705</v>
      </c>
      <c r="H327" s="22">
        <v>12.178900000000001</v>
      </c>
      <c r="I327" s="22">
        <v>-1.5695199999999999E-2</v>
      </c>
      <c r="J327" s="22">
        <v>317</v>
      </c>
      <c r="K327" s="22">
        <v>0.203156</v>
      </c>
      <c r="L327">
        <f t="shared" si="48"/>
        <v>15.6952</v>
      </c>
      <c r="M327">
        <f t="shared" si="49"/>
        <v>3.1971907159999997</v>
      </c>
      <c r="N327" s="9"/>
      <c r="O327" s="22">
        <v>1.4962800000000001</v>
      </c>
      <c r="P327" s="22">
        <v>61.600299999999997</v>
      </c>
      <c r="Q327" s="22">
        <v>-1.31927E-2</v>
      </c>
      <c r="R327" s="22">
        <v>317</v>
      </c>
      <c r="S327" s="22">
        <v>1.4956700000000001</v>
      </c>
      <c r="T327">
        <f t="shared" si="50"/>
        <v>13.1927</v>
      </c>
      <c r="U327">
        <f t="shared" si="51"/>
        <v>19.739973156000001</v>
      </c>
      <c r="X327" s="9"/>
      <c r="Y327" s="22">
        <v>0.203705</v>
      </c>
      <c r="Z327" s="22">
        <v>111.178</v>
      </c>
      <c r="AA327" s="22">
        <v>-1.5722699999999999E-2</v>
      </c>
      <c r="AB327" s="22">
        <v>317</v>
      </c>
      <c r="AC327" s="22">
        <v>0.203156</v>
      </c>
      <c r="AD327">
        <f t="shared" si="52"/>
        <v>15.7227</v>
      </c>
      <c r="AE327">
        <f t="shared" si="53"/>
        <v>3.2027926034999998</v>
      </c>
      <c r="AF327" s="9"/>
      <c r="AG327" s="22">
        <v>1.4962800000000001</v>
      </c>
      <c r="AH327" s="22">
        <v>142.83699999999999</v>
      </c>
      <c r="AI327" s="22">
        <v>-1.30829E-2</v>
      </c>
      <c r="AJ327" s="22">
        <v>317</v>
      </c>
      <c r="AK327" s="22">
        <v>1.4956700000000001</v>
      </c>
      <c r="AL327">
        <f t="shared" si="54"/>
        <v>13.0829</v>
      </c>
      <c r="AM327">
        <f t="shared" si="55"/>
        <v>19.575681612</v>
      </c>
      <c r="AP327" s="9"/>
      <c r="AQ327" s="22">
        <v>0.203705</v>
      </c>
      <c r="AR327" s="22">
        <v>192.215</v>
      </c>
      <c r="AS327" s="22">
        <v>-1.5713499999999998E-2</v>
      </c>
      <c r="AT327" s="22">
        <v>317</v>
      </c>
      <c r="AU327" s="22">
        <v>0.203156</v>
      </c>
      <c r="AV327">
        <f t="shared" si="56"/>
        <v>15.713499999999998</v>
      </c>
      <c r="AW327">
        <f t="shared" si="57"/>
        <v>3.2009185174999994</v>
      </c>
      <c r="AX327" s="9"/>
      <c r="AY327" s="22">
        <v>1.4962800000000001</v>
      </c>
      <c r="AZ327" s="22">
        <v>241.59899999999999</v>
      </c>
      <c r="BA327" s="22">
        <v>-1.3070699999999999E-2</v>
      </c>
      <c r="BB327" s="22">
        <v>317</v>
      </c>
      <c r="BC327" s="22">
        <v>1.4956700000000001</v>
      </c>
      <c r="BD327">
        <f t="shared" si="58"/>
        <v>13.070699999999999</v>
      </c>
      <c r="BE327">
        <f t="shared" si="59"/>
        <v>19.557426996</v>
      </c>
    </row>
    <row r="328" spans="6:57">
      <c r="F328" s="9"/>
      <c r="G328" s="22">
        <v>0.19866900000000001</v>
      </c>
      <c r="H328" s="22">
        <v>12.189</v>
      </c>
      <c r="I328" s="22">
        <v>-1.5695199999999999E-2</v>
      </c>
      <c r="J328" s="22">
        <v>318</v>
      </c>
      <c r="K328" s="22">
        <v>0.19805900000000001</v>
      </c>
      <c r="L328">
        <f t="shared" si="48"/>
        <v>15.6952</v>
      </c>
      <c r="M328">
        <f t="shared" si="49"/>
        <v>3.1181496888</v>
      </c>
      <c r="N328" s="9"/>
      <c r="O328" s="22">
        <v>1.5013099999999999</v>
      </c>
      <c r="P328" s="22">
        <v>61.610399999999998</v>
      </c>
      <c r="Q328" s="22">
        <v>-1.3113400000000001E-2</v>
      </c>
      <c r="R328" s="22">
        <v>318</v>
      </c>
      <c r="S328" s="22">
        <v>1.5005500000000001</v>
      </c>
      <c r="T328">
        <f t="shared" si="50"/>
        <v>13.1134</v>
      </c>
      <c r="U328">
        <f t="shared" si="51"/>
        <v>19.687278553999999</v>
      </c>
      <c r="X328" s="9"/>
      <c r="Y328" s="22">
        <v>0.19866900000000001</v>
      </c>
      <c r="Z328" s="22">
        <v>111.188</v>
      </c>
      <c r="AA328" s="22">
        <v>-1.5722699999999999E-2</v>
      </c>
      <c r="AB328" s="22">
        <v>318</v>
      </c>
      <c r="AC328" s="22">
        <v>0.19815099999999999</v>
      </c>
      <c r="AD328">
        <f t="shared" si="52"/>
        <v>15.7227</v>
      </c>
      <c r="AE328">
        <f t="shared" si="53"/>
        <v>3.1236130863000002</v>
      </c>
      <c r="AF328" s="9"/>
      <c r="AG328" s="22">
        <v>1.5013099999999999</v>
      </c>
      <c r="AH328" s="22">
        <v>142.84700000000001</v>
      </c>
      <c r="AI328" s="22">
        <v>-1.30157E-2</v>
      </c>
      <c r="AJ328" s="22">
        <v>318</v>
      </c>
      <c r="AK328" s="22">
        <v>1.5005500000000001</v>
      </c>
      <c r="AL328">
        <f t="shared" si="54"/>
        <v>13.015700000000001</v>
      </c>
      <c r="AM328">
        <f t="shared" si="55"/>
        <v>19.540600566999998</v>
      </c>
      <c r="AP328" s="9"/>
      <c r="AQ328" s="22">
        <v>0.19866900000000001</v>
      </c>
      <c r="AR328" s="22">
        <v>192.22499999999999</v>
      </c>
      <c r="AS328" s="22">
        <v>-1.5713499999999998E-2</v>
      </c>
      <c r="AT328" s="22">
        <v>318</v>
      </c>
      <c r="AU328" s="22">
        <v>0.198212</v>
      </c>
      <c r="AV328">
        <f t="shared" si="56"/>
        <v>15.713499999999998</v>
      </c>
      <c r="AW328">
        <f t="shared" si="57"/>
        <v>3.1217853314999999</v>
      </c>
      <c r="AX328" s="9"/>
      <c r="AY328" s="22">
        <v>1.5013099999999999</v>
      </c>
      <c r="AZ328" s="22">
        <v>241.60900000000001</v>
      </c>
      <c r="BA328" s="22">
        <v>-1.2985200000000001E-2</v>
      </c>
      <c r="BB328" s="22">
        <v>318</v>
      </c>
      <c r="BC328" s="22">
        <v>1.50085</v>
      </c>
      <c r="BD328">
        <f t="shared" si="58"/>
        <v>12.985200000000001</v>
      </c>
      <c r="BE328">
        <f t="shared" si="59"/>
        <v>19.494810611999998</v>
      </c>
    </row>
    <row r="329" spans="6:57">
      <c r="F329" s="9"/>
      <c r="G329" s="22">
        <v>0.193634</v>
      </c>
      <c r="H329" s="22">
        <v>12.199</v>
      </c>
      <c r="I329" s="22">
        <v>-1.5695199999999999E-2</v>
      </c>
      <c r="J329" s="22">
        <v>319</v>
      </c>
      <c r="K329" s="22">
        <v>0.193054</v>
      </c>
      <c r="L329">
        <f t="shared" si="48"/>
        <v>15.6952</v>
      </c>
      <c r="M329">
        <f t="shared" si="49"/>
        <v>3.0391243567999999</v>
      </c>
      <c r="N329" s="9"/>
      <c r="O329" s="22">
        <v>1.5063500000000001</v>
      </c>
      <c r="P329" s="22">
        <v>61.6205</v>
      </c>
      <c r="Q329" s="22">
        <v>-1.3030999999999999E-2</v>
      </c>
      <c r="R329" s="22">
        <v>319</v>
      </c>
      <c r="S329" s="22">
        <v>1.5057400000000001</v>
      </c>
      <c r="T329">
        <f t="shared" si="50"/>
        <v>13.030999999999999</v>
      </c>
      <c r="U329">
        <f t="shared" si="51"/>
        <v>19.629246849999998</v>
      </c>
      <c r="X329" s="9"/>
      <c r="Y329" s="22">
        <v>0.193634</v>
      </c>
      <c r="Z329" s="22">
        <v>111.19799999999999</v>
      </c>
      <c r="AA329" s="22">
        <v>-1.57196E-2</v>
      </c>
      <c r="AB329" s="22">
        <v>319</v>
      </c>
      <c r="AC329" s="22">
        <v>0.192993</v>
      </c>
      <c r="AD329">
        <f t="shared" si="52"/>
        <v>15.7196</v>
      </c>
      <c r="AE329">
        <f t="shared" si="53"/>
        <v>3.0438490263999998</v>
      </c>
      <c r="AF329" s="9"/>
      <c r="AG329" s="22">
        <v>1.5063500000000001</v>
      </c>
      <c r="AH329" s="22">
        <v>142.857</v>
      </c>
      <c r="AI329" s="22">
        <v>-1.29303E-2</v>
      </c>
      <c r="AJ329" s="22">
        <v>319</v>
      </c>
      <c r="AK329" s="22">
        <v>1.50543</v>
      </c>
      <c r="AL329">
        <f t="shared" si="54"/>
        <v>12.930300000000001</v>
      </c>
      <c r="AM329">
        <f t="shared" si="55"/>
        <v>19.477557405000002</v>
      </c>
      <c r="AP329" s="9"/>
      <c r="AQ329" s="22">
        <v>0.193634</v>
      </c>
      <c r="AR329" s="22">
        <v>192.23500000000001</v>
      </c>
      <c r="AS329" s="22">
        <v>-1.57196E-2</v>
      </c>
      <c r="AT329" s="22">
        <v>319</v>
      </c>
      <c r="AU329" s="22">
        <v>0.19317599999999999</v>
      </c>
      <c r="AV329">
        <f t="shared" si="56"/>
        <v>15.7196</v>
      </c>
      <c r="AW329">
        <f t="shared" si="57"/>
        <v>3.0438490263999998</v>
      </c>
      <c r="AX329" s="9"/>
      <c r="AY329" s="22">
        <v>1.5063500000000001</v>
      </c>
      <c r="AZ329" s="22">
        <v>241.619</v>
      </c>
      <c r="BA329" s="22">
        <v>-1.2902800000000001E-2</v>
      </c>
      <c r="BB329" s="22">
        <v>319</v>
      </c>
      <c r="BC329" s="22">
        <v>1.50543</v>
      </c>
      <c r="BD329">
        <f t="shared" si="58"/>
        <v>12.902800000000001</v>
      </c>
      <c r="BE329">
        <f t="shared" si="59"/>
        <v>19.436132780000001</v>
      </c>
    </row>
    <row r="330" spans="6:57">
      <c r="F330" s="9"/>
      <c r="G330" s="22">
        <v>0.18859899999999999</v>
      </c>
      <c r="H330" s="22">
        <v>12.209099999999999</v>
      </c>
      <c r="I330" s="22">
        <v>-1.5698199999999999E-2</v>
      </c>
      <c r="J330" s="22">
        <v>320</v>
      </c>
      <c r="K330" s="22">
        <v>0.188141</v>
      </c>
      <c r="L330">
        <f t="shared" si="48"/>
        <v>15.698199999999998</v>
      </c>
      <c r="M330">
        <f t="shared" si="49"/>
        <v>2.9606648217999996</v>
      </c>
      <c r="N330" s="9"/>
      <c r="O330" s="22">
        <v>1.5113799999999999</v>
      </c>
      <c r="P330" s="22">
        <v>61.630499999999998</v>
      </c>
      <c r="Q330" s="22">
        <v>-1.2942499999999999E-2</v>
      </c>
      <c r="R330" s="22">
        <v>320</v>
      </c>
      <c r="S330" s="22">
        <v>1.51031</v>
      </c>
      <c r="T330">
        <f t="shared" si="50"/>
        <v>12.942499999999999</v>
      </c>
      <c r="U330">
        <f t="shared" si="51"/>
        <v>19.561035649999997</v>
      </c>
      <c r="X330" s="9"/>
      <c r="Y330" s="22">
        <v>0.18859899999999999</v>
      </c>
      <c r="Z330" s="22">
        <v>111.208</v>
      </c>
      <c r="AA330" s="22">
        <v>-1.5716600000000001E-2</v>
      </c>
      <c r="AB330" s="22">
        <v>320</v>
      </c>
      <c r="AC330" s="22">
        <v>0.18808</v>
      </c>
      <c r="AD330">
        <f t="shared" si="52"/>
        <v>15.716600000000001</v>
      </c>
      <c r="AE330">
        <f t="shared" si="53"/>
        <v>2.9641350434000002</v>
      </c>
      <c r="AF330" s="9"/>
      <c r="AG330" s="22">
        <v>1.5113799999999999</v>
      </c>
      <c r="AH330" s="22">
        <v>142.86699999999999</v>
      </c>
      <c r="AI330" s="22">
        <v>-1.2851E-2</v>
      </c>
      <c r="AJ330" s="22">
        <v>320</v>
      </c>
      <c r="AK330" s="22">
        <v>1.5106200000000001</v>
      </c>
      <c r="AL330">
        <f t="shared" si="54"/>
        <v>12.850999999999999</v>
      </c>
      <c r="AM330">
        <f t="shared" si="55"/>
        <v>19.422744379999997</v>
      </c>
      <c r="AP330" s="9"/>
      <c r="AQ330" s="22">
        <v>0.18859899999999999</v>
      </c>
      <c r="AR330" s="22">
        <v>192.245</v>
      </c>
      <c r="AS330" s="22">
        <v>-1.5728800000000001E-2</v>
      </c>
      <c r="AT330" s="22">
        <v>320</v>
      </c>
      <c r="AU330" s="22">
        <v>0.18804899999999999</v>
      </c>
      <c r="AV330">
        <f t="shared" si="56"/>
        <v>15.728800000000001</v>
      </c>
      <c r="AW330">
        <f t="shared" si="57"/>
        <v>2.9664359512000003</v>
      </c>
      <c r="AX330" s="9"/>
      <c r="AY330" s="22">
        <v>1.5113799999999999</v>
      </c>
      <c r="AZ330" s="22">
        <v>241.62899999999999</v>
      </c>
      <c r="BA330" s="22">
        <v>-1.28174E-2</v>
      </c>
      <c r="BB330" s="22">
        <v>320</v>
      </c>
      <c r="BC330" s="22">
        <v>1.5109300000000001</v>
      </c>
      <c r="BD330">
        <f t="shared" si="58"/>
        <v>12.817399999999999</v>
      </c>
      <c r="BE330">
        <f t="shared" si="59"/>
        <v>19.371962011999997</v>
      </c>
    </row>
    <row r="331" spans="6:57">
      <c r="F331" s="9"/>
      <c r="G331" s="22">
        <v>0.183563</v>
      </c>
      <c r="H331" s="22">
        <v>12.219200000000001</v>
      </c>
      <c r="I331" s="22">
        <v>-1.5704300000000001E-2</v>
      </c>
      <c r="J331" s="22">
        <v>321</v>
      </c>
      <c r="K331" s="22">
        <v>0.18298300000000001</v>
      </c>
      <c r="L331">
        <f t="shared" si="48"/>
        <v>15.704300000000002</v>
      </c>
      <c r="M331">
        <f t="shared" si="49"/>
        <v>2.8827284209000004</v>
      </c>
      <c r="N331" s="9"/>
      <c r="O331" s="22">
        <v>1.5164200000000001</v>
      </c>
      <c r="P331" s="22">
        <v>61.640599999999999</v>
      </c>
      <c r="Q331" s="22">
        <v>-1.28662E-2</v>
      </c>
      <c r="R331" s="22">
        <v>321</v>
      </c>
      <c r="S331" s="22">
        <v>1.5158100000000001</v>
      </c>
      <c r="T331">
        <f t="shared" si="50"/>
        <v>12.866199999999999</v>
      </c>
      <c r="U331">
        <f t="shared" si="51"/>
        <v>19.510563004000002</v>
      </c>
      <c r="X331" s="9"/>
      <c r="Y331" s="22">
        <v>0.183563</v>
      </c>
      <c r="Z331" s="22">
        <v>111.218</v>
      </c>
      <c r="AA331" s="22">
        <v>-1.5716600000000001E-2</v>
      </c>
      <c r="AB331" s="22">
        <v>321</v>
      </c>
      <c r="AC331" s="22">
        <v>0.18301400000000001</v>
      </c>
      <c r="AD331">
        <f t="shared" si="52"/>
        <v>15.716600000000001</v>
      </c>
      <c r="AE331">
        <f t="shared" si="53"/>
        <v>2.8849862458000004</v>
      </c>
      <c r="AF331" s="9"/>
      <c r="AG331" s="22">
        <v>1.5164200000000001</v>
      </c>
      <c r="AH331" s="22">
        <v>142.87700000000001</v>
      </c>
      <c r="AI331" s="22">
        <v>-1.27625E-2</v>
      </c>
      <c r="AJ331" s="22">
        <v>321</v>
      </c>
      <c r="AK331" s="22">
        <v>1.5158100000000001</v>
      </c>
      <c r="AL331">
        <f t="shared" si="54"/>
        <v>12.762499999999999</v>
      </c>
      <c r="AM331">
        <f t="shared" si="55"/>
        <v>19.35331025</v>
      </c>
      <c r="AP331" s="9"/>
      <c r="AQ331" s="22">
        <v>0.183563</v>
      </c>
      <c r="AR331" s="22">
        <v>192.256</v>
      </c>
      <c r="AS331" s="22">
        <v>-1.5731800000000001E-2</v>
      </c>
      <c r="AT331" s="22">
        <v>321</v>
      </c>
      <c r="AU331" s="22">
        <v>0.18301400000000001</v>
      </c>
      <c r="AV331">
        <f t="shared" si="56"/>
        <v>15.7318</v>
      </c>
      <c r="AW331">
        <f t="shared" si="57"/>
        <v>2.8877764034000002</v>
      </c>
      <c r="AX331" s="9"/>
      <c r="AY331" s="22">
        <v>1.5164200000000001</v>
      </c>
      <c r="AZ331" s="22">
        <v>241.63900000000001</v>
      </c>
      <c r="BA331" s="22">
        <v>-1.2731900000000001E-2</v>
      </c>
      <c r="BB331" s="22">
        <v>321</v>
      </c>
      <c r="BC331" s="22">
        <v>1.5161100000000001</v>
      </c>
      <c r="BD331">
        <f t="shared" si="58"/>
        <v>12.731900000000001</v>
      </c>
      <c r="BE331">
        <f t="shared" si="59"/>
        <v>19.306907798000005</v>
      </c>
    </row>
    <row r="332" spans="6:57">
      <c r="F332" s="9"/>
      <c r="G332" s="22">
        <v>0.17852799999999999</v>
      </c>
      <c r="H332" s="22">
        <v>12.2293</v>
      </c>
      <c r="I332" s="22">
        <v>-1.5701300000000001E-2</v>
      </c>
      <c r="J332" s="22">
        <v>322</v>
      </c>
      <c r="K332" s="22">
        <v>0.177948</v>
      </c>
      <c r="L332">
        <f t="shared" ref="L332:L388" si="60">-I332/$F$2*1000</f>
        <v>15.701300000000002</v>
      </c>
      <c r="M332">
        <f t="shared" ref="M332:M388" si="61">L332*G332</f>
        <v>2.8031216864000004</v>
      </c>
      <c r="N332" s="9"/>
      <c r="O332" s="22">
        <v>1.52145</v>
      </c>
      <c r="P332" s="22">
        <v>61.650700000000001</v>
      </c>
      <c r="Q332" s="22">
        <v>-1.27869E-2</v>
      </c>
      <c r="R332" s="22">
        <v>322</v>
      </c>
      <c r="S332" s="22">
        <v>1.5209999999999999</v>
      </c>
      <c r="T332">
        <f t="shared" ref="T332:T388" si="62">-Q332/$F$2*1000</f>
        <v>12.786900000000001</v>
      </c>
      <c r="U332">
        <f t="shared" ref="U332:U388" si="63">T332*O332</f>
        <v>19.454629005000001</v>
      </c>
      <c r="X332" s="9"/>
      <c r="Y332" s="22">
        <v>0.17852799999999999</v>
      </c>
      <c r="Z332" s="22">
        <v>111.22799999999999</v>
      </c>
      <c r="AA332" s="22">
        <v>-1.5713499999999998E-2</v>
      </c>
      <c r="AB332" s="22">
        <v>322</v>
      </c>
      <c r="AC332" s="22">
        <v>0.177948</v>
      </c>
      <c r="AD332">
        <f t="shared" ref="AD332:AD388" si="64">-AA332/$F$2*1000</f>
        <v>15.713499999999998</v>
      </c>
      <c r="AE332">
        <f t="shared" ref="AE332:AE388" si="65">AD332*Y332</f>
        <v>2.8052997279999996</v>
      </c>
      <c r="AF332" s="9"/>
      <c r="AG332" s="22">
        <v>1.52145</v>
      </c>
      <c r="AH332" s="22">
        <v>142.887</v>
      </c>
      <c r="AI332" s="22">
        <v>-1.26862E-2</v>
      </c>
      <c r="AJ332" s="22">
        <v>322</v>
      </c>
      <c r="AK332" s="22">
        <v>1.5206900000000001</v>
      </c>
      <c r="AL332">
        <f t="shared" ref="AL332:AL388" si="66">-AI332/$F$2*1000</f>
        <v>12.686199999999999</v>
      </c>
      <c r="AM332">
        <f t="shared" ref="AM332:AM388" si="67">AL332*AG332</f>
        <v>19.301418989999998</v>
      </c>
      <c r="AP332" s="9"/>
      <c r="AQ332" s="22">
        <v>0.17852799999999999</v>
      </c>
      <c r="AR332" s="22">
        <v>192.26599999999999</v>
      </c>
      <c r="AS332" s="22">
        <v>-1.5737899999999999E-2</v>
      </c>
      <c r="AT332" s="22">
        <v>322</v>
      </c>
      <c r="AU332" s="22">
        <v>0.17804</v>
      </c>
      <c r="AV332">
        <f t="shared" ref="AV332:AV388" si="68">-AS332/$F$2*1000</f>
        <v>15.7379</v>
      </c>
      <c r="AW332">
        <f t="shared" ref="AW332:AW388" si="69">AV332*AQ332</f>
        <v>2.8096558111999999</v>
      </c>
      <c r="AX332" s="9"/>
      <c r="AY332" s="22">
        <v>1.52145</v>
      </c>
      <c r="AZ332" s="22">
        <v>241.649</v>
      </c>
      <c r="BA332" s="22">
        <v>-1.2643400000000001E-2</v>
      </c>
      <c r="BB332" s="22">
        <v>322</v>
      </c>
      <c r="BC332" s="22">
        <v>1.5209999999999999</v>
      </c>
      <c r="BD332">
        <f t="shared" ref="BD332:BD388" si="70">-BA332/$F$2*1000</f>
        <v>12.643400000000002</v>
      </c>
      <c r="BE332">
        <f t="shared" ref="BE332:BE388" si="71">BD332*AY332</f>
        <v>19.236300930000002</v>
      </c>
    </row>
    <row r="333" spans="6:57">
      <c r="F333" s="9"/>
      <c r="G333" s="22">
        <v>0.17349200000000001</v>
      </c>
      <c r="H333" s="22">
        <v>12.2393</v>
      </c>
      <c r="I333" s="22">
        <v>-1.5701300000000001E-2</v>
      </c>
      <c r="J333" s="22">
        <v>323</v>
      </c>
      <c r="K333" s="22">
        <v>0.17291300000000001</v>
      </c>
      <c r="L333">
        <f t="shared" si="60"/>
        <v>15.701300000000002</v>
      </c>
      <c r="M333">
        <f t="shared" si="61"/>
        <v>2.7240499396000004</v>
      </c>
      <c r="N333" s="9"/>
      <c r="O333" s="22">
        <v>1.5264899999999999</v>
      </c>
      <c r="P333" s="22">
        <v>61.660800000000002</v>
      </c>
      <c r="Q333" s="22">
        <v>-1.27014E-2</v>
      </c>
      <c r="R333" s="22">
        <v>323</v>
      </c>
      <c r="S333" s="22">
        <v>1.5258799999999999</v>
      </c>
      <c r="T333">
        <f t="shared" si="62"/>
        <v>12.7014</v>
      </c>
      <c r="U333">
        <f t="shared" si="63"/>
        <v>19.388560085999998</v>
      </c>
      <c r="X333" s="9"/>
      <c r="Y333" s="22">
        <v>0.17349200000000001</v>
      </c>
      <c r="Z333" s="22">
        <v>111.238</v>
      </c>
      <c r="AA333" s="22">
        <v>-1.5716600000000001E-2</v>
      </c>
      <c r="AB333" s="22">
        <v>323</v>
      </c>
      <c r="AC333" s="22">
        <v>0.17300399999999999</v>
      </c>
      <c r="AD333">
        <f t="shared" si="64"/>
        <v>15.716600000000001</v>
      </c>
      <c r="AE333">
        <f t="shared" si="65"/>
        <v>2.7267043672000004</v>
      </c>
      <c r="AF333" s="9"/>
      <c r="AG333" s="22">
        <v>1.5264899999999999</v>
      </c>
      <c r="AH333" s="22">
        <v>142.89699999999999</v>
      </c>
      <c r="AI333" s="22">
        <v>-1.26068E-2</v>
      </c>
      <c r="AJ333" s="22">
        <v>323</v>
      </c>
      <c r="AK333" s="22">
        <v>1.5258799999999999</v>
      </c>
      <c r="AL333">
        <f t="shared" si="66"/>
        <v>12.6068</v>
      </c>
      <c r="AM333">
        <f t="shared" si="67"/>
        <v>19.244154131999998</v>
      </c>
      <c r="AP333" s="9"/>
      <c r="AQ333" s="22">
        <v>0.17349200000000001</v>
      </c>
      <c r="AR333" s="22">
        <v>192.27600000000001</v>
      </c>
      <c r="AS333" s="22">
        <v>-1.57349E-2</v>
      </c>
      <c r="AT333" s="22">
        <v>323</v>
      </c>
      <c r="AU333" s="22">
        <v>0.17300399999999999</v>
      </c>
      <c r="AV333">
        <f t="shared" si="68"/>
        <v>15.7349</v>
      </c>
      <c r="AW333">
        <f t="shared" si="69"/>
        <v>2.7298792708000001</v>
      </c>
      <c r="AX333" s="9"/>
      <c r="AY333" s="22">
        <v>1.5264899999999999</v>
      </c>
      <c r="AZ333" s="22">
        <v>241.65899999999999</v>
      </c>
      <c r="BA333" s="22">
        <v>-1.2558E-2</v>
      </c>
      <c r="BB333" s="22">
        <v>323</v>
      </c>
      <c r="BC333" s="22">
        <v>1.5258799999999999</v>
      </c>
      <c r="BD333">
        <f t="shared" si="70"/>
        <v>12.558</v>
      </c>
      <c r="BE333">
        <f t="shared" si="71"/>
        <v>19.169661419999997</v>
      </c>
    </row>
    <row r="334" spans="6:57">
      <c r="F334" s="9"/>
      <c r="G334" s="22">
        <v>0.168457</v>
      </c>
      <c r="H334" s="22">
        <v>12.2494</v>
      </c>
      <c r="I334" s="22">
        <v>-1.5698199999999999E-2</v>
      </c>
      <c r="J334" s="22">
        <v>324</v>
      </c>
      <c r="K334" s="22">
        <v>0.167938</v>
      </c>
      <c r="L334">
        <f t="shared" si="60"/>
        <v>15.698199999999998</v>
      </c>
      <c r="M334">
        <f t="shared" si="61"/>
        <v>2.6444716773999994</v>
      </c>
      <c r="N334" s="9"/>
      <c r="O334" s="22">
        <v>1.53152</v>
      </c>
      <c r="P334" s="22">
        <v>61.6708</v>
      </c>
      <c r="Q334" s="22">
        <v>-1.2619E-2</v>
      </c>
      <c r="R334" s="22">
        <v>324</v>
      </c>
      <c r="S334" s="22">
        <v>1.5304599999999999</v>
      </c>
      <c r="T334">
        <f t="shared" si="62"/>
        <v>12.619</v>
      </c>
      <c r="U334">
        <f t="shared" si="63"/>
        <v>19.32625088</v>
      </c>
      <c r="X334" s="9"/>
      <c r="Y334" s="22">
        <v>0.168457</v>
      </c>
      <c r="Z334" s="22">
        <v>111.248</v>
      </c>
      <c r="AA334" s="22">
        <v>-1.5713499999999998E-2</v>
      </c>
      <c r="AB334" s="22">
        <v>324</v>
      </c>
      <c r="AC334" s="22">
        <v>0.16796900000000001</v>
      </c>
      <c r="AD334">
        <f t="shared" si="64"/>
        <v>15.713499999999998</v>
      </c>
      <c r="AE334">
        <f t="shared" si="65"/>
        <v>2.6470490694999995</v>
      </c>
      <c r="AF334" s="9"/>
      <c r="AG334" s="22">
        <v>1.53152</v>
      </c>
      <c r="AH334" s="22">
        <v>142.90700000000001</v>
      </c>
      <c r="AI334" s="22">
        <v>-1.25275E-2</v>
      </c>
      <c r="AJ334" s="22">
        <v>324</v>
      </c>
      <c r="AK334" s="22">
        <v>1.5310699999999999</v>
      </c>
      <c r="AL334">
        <f t="shared" si="66"/>
        <v>12.5275</v>
      </c>
      <c r="AM334">
        <f t="shared" si="67"/>
        <v>19.186116800000001</v>
      </c>
      <c r="AP334" s="9"/>
      <c r="AQ334" s="22">
        <v>0.168457</v>
      </c>
      <c r="AR334" s="22">
        <v>192.286</v>
      </c>
      <c r="AS334" s="22">
        <v>-1.5731800000000001E-2</v>
      </c>
      <c r="AT334" s="22">
        <v>324</v>
      </c>
      <c r="AU334" s="22">
        <v>0.16803000000000001</v>
      </c>
      <c r="AV334">
        <f t="shared" si="68"/>
        <v>15.7318</v>
      </c>
      <c r="AW334">
        <f t="shared" si="69"/>
        <v>2.6501318326000001</v>
      </c>
      <c r="AX334" s="9"/>
      <c r="AY334" s="22">
        <v>1.53152</v>
      </c>
      <c r="AZ334" s="22">
        <v>241.66900000000001</v>
      </c>
      <c r="BA334" s="22">
        <v>-1.2472499999999999E-2</v>
      </c>
      <c r="BB334" s="22">
        <v>324</v>
      </c>
      <c r="BC334" s="22">
        <v>1.5313699999999999</v>
      </c>
      <c r="BD334">
        <f t="shared" si="70"/>
        <v>12.472499999999998</v>
      </c>
      <c r="BE334">
        <f t="shared" si="71"/>
        <v>19.101883199999996</v>
      </c>
    </row>
    <row r="335" spans="6:57">
      <c r="F335" s="9"/>
      <c r="G335" s="22">
        <v>0.16342200000000001</v>
      </c>
      <c r="H335" s="22">
        <v>12.259499999999999</v>
      </c>
      <c r="I335" s="22">
        <v>-1.5698199999999999E-2</v>
      </c>
      <c r="J335" s="22">
        <v>325</v>
      </c>
      <c r="K335" s="22">
        <v>0.16281100000000001</v>
      </c>
      <c r="L335">
        <f t="shared" si="60"/>
        <v>15.698199999999998</v>
      </c>
      <c r="M335">
        <f t="shared" si="61"/>
        <v>2.5654312403999997</v>
      </c>
      <c r="N335" s="9"/>
      <c r="O335" s="22">
        <v>1.5365599999999999</v>
      </c>
      <c r="P335" s="22">
        <v>61.680900000000001</v>
      </c>
      <c r="Q335" s="22">
        <v>-1.25183E-2</v>
      </c>
      <c r="R335" s="22">
        <v>325</v>
      </c>
      <c r="S335" s="22">
        <v>1.5362499999999999</v>
      </c>
      <c r="T335">
        <f t="shared" si="62"/>
        <v>12.5183</v>
      </c>
      <c r="U335">
        <f t="shared" si="63"/>
        <v>19.235119047999998</v>
      </c>
      <c r="X335" s="9"/>
      <c r="Y335" s="22">
        <v>0.16342200000000001</v>
      </c>
      <c r="Z335" s="22">
        <v>111.258</v>
      </c>
      <c r="AA335" s="22">
        <v>-1.5713499999999998E-2</v>
      </c>
      <c r="AB335" s="22">
        <v>325</v>
      </c>
      <c r="AC335" s="22">
        <v>0.162964</v>
      </c>
      <c r="AD335">
        <f t="shared" si="64"/>
        <v>15.713499999999998</v>
      </c>
      <c r="AE335">
        <f t="shared" si="65"/>
        <v>2.5679315969999998</v>
      </c>
      <c r="AF335" s="9"/>
      <c r="AG335" s="22">
        <v>1.5365599999999999</v>
      </c>
      <c r="AH335" s="22">
        <v>142.917</v>
      </c>
      <c r="AI335" s="22">
        <v>-1.24329E-2</v>
      </c>
      <c r="AJ335" s="22">
        <v>325</v>
      </c>
      <c r="AK335" s="22">
        <v>1.5359499999999999</v>
      </c>
      <c r="AL335">
        <f t="shared" si="66"/>
        <v>12.4329</v>
      </c>
      <c r="AM335">
        <f t="shared" si="67"/>
        <v>19.103896824</v>
      </c>
      <c r="AP335" s="9"/>
      <c r="AQ335" s="22">
        <v>0.16342200000000001</v>
      </c>
      <c r="AR335" s="22">
        <v>192.29599999999999</v>
      </c>
      <c r="AS335" s="22">
        <v>-1.5731800000000001E-2</v>
      </c>
      <c r="AT335" s="22">
        <v>325</v>
      </c>
      <c r="AU335" s="22">
        <v>0.16290299999999999</v>
      </c>
      <c r="AV335">
        <f t="shared" si="68"/>
        <v>15.7318</v>
      </c>
      <c r="AW335">
        <f t="shared" si="69"/>
        <v>2.5709222196000003</v>
      </c>
      <c r="AX335" s="9"/>
      <c r="AY335" s="22">
        <v>1.5365599999999999</v>
      </c>
      <c r="AZ335" s="22">
        <v>241.679</v>
      </c>
      <c r="BA335" s="22">
        <v>-1.2383999999999999E-2</v>
      </c>
      <c r="BB335" s="22">
        <v>325</v>
      </c>
      <c r="BC335" s="22">
        <v>1.5356399999999999</v>
      </c>
      <c r="BD335">
        <f t="shared" si="70"/>
        <v>12.383999999999999</v>
      </c>
      <c r="BE335">
        <f t="shared" si="71"/>
        <v>19.028759039999997</v>
      </c>
    </row>
    <row r="336" spans="6:57">
      <c r="F336" s="9"/>
      <c r="G336" s="22">
        <v>0.158386</v>
      </c>
      <c r="H336" s="22">
        <v>12.269500000000001</v>
      </c>
      <c r="I336" s="22">
        <v>-1.5698199999999999E-2</v>
      </c>
      <c r="J336" s="22">
        <v>326</v>
      </c>
      <c r="K336" s="22">
        <v>0.15786700000000001</v>
      </c>
      <c r="L336">
        <f t="shared" si="60"/>
        <v>15.698199999999998</v>
      </c>
      <c r="M336">
        <f t="shared" si="61"/>
        <v>2.4863751051999996</v>
      </c>
      <c r="N336" s="9"/>
      <c r="O336" s="22">
        <v>1.5416000000000001</v>
      </c>
      <c r="P336" s="22">
        <v>61.691000000000003</v>
      </c>
      <c r="Q336" s="22">
        <v>-1.2417600000000001E-2</v>
      </c>
      <c r="R336" s="22">
        <v>326</v>
      </c>
      <c r="S336" s="22">
        <v>1.5402199999999999</v>
      </c>
      <c r="T336">
        <f t="shared" si="62"/>
        <v>12.4176</v>
      </c>
      <c r="U336">
        <f t="shared" si="63"/>
        <v>19.142972160000003</v>
      </c>
      <c r="X336" s="9"/>
      <c r="Y336" s="22">
        <v>0.158386</v>
      </c>
      <c r="Z336" s="22">
        <v>111.268</v>
      </c>
      <c r="AA336" s="22">
        <v>-1.57196E-2</v>
      </c>
      <c r="AB336" s="22">
        <v>326</v>
      </c>
      <c r="AC336" s="22">
        <v>0.157776</v>
      </c>
      <c r="AD336">
        <f t="shared" si="64"/>
        <v>15.7196</v>
      </c>
      <c r="AE336">
        <f t="shared" si="65"/>
        <v>2.4897645655999998</v>
      </c>
      <c r="AF336" s="9"/>
      <c r="AG336" s="22">
        <v>1.5416000000000001</v>
      </c>
      <c r="AH336" s="22">
        <v>142.92699999999999</v>
      </c>
      <c r="AI336" s="22">
        <v>-1.2326E-2</v>
      </c>
      <c r="AJ336" s="22">
        <v>326</v>
      </c>
      <c r="AK336" s="22">
        <v>1.54114</v>
      </c>
      <c r="AL336">
        <f t="shared" si="66"/>
        <v>12.326000000000001</v>
      </c>
      <c r="AM336">
        <f t="shared" si="67"/>
        <v>19.001761600000002</v>
      </c>
      <c r="AP336" s="9"/>
      <c r="AQ336" s="22">
        <v>0.158386</v>
      </c>
      <c r="AR336" s="22">
        <v>192.30600000000001</v>
      </c>
      <c r="AS336" s="22">
        <v>-1.5728800000000001E-2</v>
      </c>
      <c r="AT336" s="22">
        <v>326</v>
      </c>
      <c r="AU336" s="22">
        <v>0.15792800000000001</v>
      </c>
      <c r="AV336">
        <f t="shared" si="68"/>
        <v>15.728800000000001</v>
      </c>
      <c r="AW336">
        <f t="shared" si="69"/>
        <v>2.4912217168000002</v>
      </c>
      <c r="AX336" s="9"/>
      <c r="AY336" s="22">
        <v>1.5416000000000001</v>
      </c>
      <c r="AZ336" s="22">
        <v>241.68899999999999</v>
      </c>
      <c r="BA336" s="22">
        <v>-1.2289400000000001E-2</v>
      </c>
      <c r="BB336" s="22">
        <v>326</v>
      </c>
      <c r="BC336" s="22">
        <v>1.54053</v>
      </c>
      <c r="BD336">
        <f t="shared" si="70"/>
        <v>12.289400000000001</v>
      </c>
      <c r="BE336">
        <f t="shared" si="71"/>
        <v>18.94533904</v>
      </c>
    </row>
    <row r="337" spans="6:57">
      <c r="F337" s="9"/>
      <c r="G337" s="22">
        <v>0.15335099999999999</v>
      </c>
      <c r="H337" s="22">
        <v>12.2796</v>
      </c>
      <c r="I337" s="22">
        <v>-1.5698199999999999E-2</v>
      </c>
      <c r="J337" s="22">
        <v>327</v>
      </c>
      <c r="K337" s="22">
        <v>0.15280199999999999</v>
      </c>
      <c r="L337">
        <f t="shared" si="60"/>
        <v>15.698199999999998</v>
      </c>
      <c r="M337">
        <f t="shared" si="61"/>
        <v>2.4073346681999994</v>
      </c>
      <c r="N337" s="9"/>
      <c r="O337" s="22">
        <v>1.5466299999999999</v>
      </c>
      <c r="P337" s="22">
        <v>61.701000000000001</v>
      </c>
      <c r="Q337" s="22">
        <v>-1.23138E-2</v>
      </c>
      <c r="R337" s="22">
        <v>327</v>
      </c>
      <c r="S337" s="22">
        <v>1.5466299999999999</v>
      </c>
      <c r="T337">
        <f t="shared" si="62"/>
        <v>12.313800000000001</v>
      </c>
      <c r="U337">
        <f t="shared" si="63"/>
        <v>19.044892493999999</v>
      </c>
      <c r="X337" s="9"/>
      <c r="Y337" s="22">
        <v>0.15335099999999999</v>
      </c>
      <c r="Z337" s="22">
        <v>111.27800000000001</v>
      </c>
      <c r="AA337" s="22">
        <v>-1.5725699999999999E-2</v>
      </c>
      <c r="AB337" s="22">
        <v>327</v>
      </c>
      <c r="AC337" s="22">
        <v>0.152863</v>
      </c>
      <c r="AD337">
        <f t="shared" si="64"/>
        <v>15.725699999999998</v>
      </c>
      <c r="AE337">
        <f t="shared" si="65"/>
        <v>2.4115518206999993</v>
      </c>
      <c r="AF337" s="9"/>
      <c r="AG337" s="22">
        <v>1.5466299999999999</v>
      </c>
      <c r="AH337" s="22">
        <v>142.93799999999999</v>
      </c>
      <c r="AI337" s="22">
        <v>-1.22253E-2</v>
      </c>
      <c r="AJ337" s="22">
        <v>327</v>
      </c>
      <c r="AK337" s="22">
        <v>1.54633</v>
      </c>
      <c r="AL337">
        <f t="shared" si="66"/>
        <v>12.225299999999999</v>
      </c>
      <c r="AM337">
        <f t="shared" si="67"/>
        <v>18.908015738999996</v>
      </c>
      <c r="AP337" s="9"/>
      <c r="AQ337" s="22">
        <v>0.15335099999999999</v>
      </c>
      <c r="AR337" s="22">
        <v>192.316</v>
      </c>
      <c r="AS337" s="22">
        <v>-1.5728800000000001E-2</v>
      </c>
      <c r="AT337" s="22">
        <v>327</v>
      </c>
      <c r="AU337" s="22">
        <v>0.152863</v>
      </c>
      <c r="AV337">
        <f t="shared" si="68"/>
        <v>15.728800000000001</v>
      </c>
      <c r="AW337">
        <f t="shared" si="69"/>
        <v>2.4120272088000001</v>
      </c>
      <c r="AX337" s="9"/>
      <c r="AY337" s="22">
        <v>1.5466299999999999</v>
      </c>
      <c r="AZ337" s="22">
        <v>241.69900000000001</v>
      </c>
      <c r="BA337" s="22">
        <v>-1.2200900000000001E-2</v>
      </c>
      <c r="BB337" s="22">
        <v>327</v>
      </c>
      <c r="BC337" s="22">
        <v>1.5460199999999999</v>
      </c>
      <c r="BD337">
        <f t="shared" si="70"/>
        <v>12.200900000000001</v>
      </c>
      <c r="BE337">
        <f t="shared" si="71"/>
        <v>18.870277967</v>
      </c>
    </row>
    <row r="338" spans="6:57">
      <c r="F338" s="9"/>
      <c r="G338" s="22">
        <v>0.148315</v>
      </c>
      <c r="H338" s="22">
        <v>12.2897</v>
      </c>
      <c r="I338" s="22">
        <v>-1.5701300000000001E-2</v>
      </c>
      <c r="J338" s="22">
        <v>328</v>
      </c>
      <c r="K338" s="22">
        <v>0.14773600000000001</v>
      </c>
      <c r="L338">
        <f t="shared" si="60"/>
        <v>15.701300000000002</v>
      </c>
      <c r="M338">
        <f t="shared" si="61"/>
        <v>2.3287383095000003</v>
      </c>
      <c r="N338" s="9"/>
      <c r="O338" s="22">
        <v>1.5516700000000001</v>
      </c>
      <c r="P338" s="22">
        <v>61.711100000000002</v>
      </c>
      <c r="Q338" s="22">
        <v>-1.2204E-2</v>
      </c>
      <c r="R338" s="22">
        <v>328</v>
      </c>
      <c r="S338" s="22">
        <v>1.5506</v>
      </c>
      <c r="T338">
        <f t="shared" si="62"/>
        <v>12.203999999999999</v>
      </c>
      <c r="U338">
        <f t="shared" si="63"/>
        <v>18.936580679999999</v>
      </c>
      <c r="X338" s="9"/>
      <c r="Y338" s="22">
        <v>0.148315</v>
      </c>
      <c r="Z338" s="22">
        <v>111.289</v>
      </c>
      <c r="AA338" s="22">
        <v>-1.5731800000000001E-2</v>
      </c>
      <c r="AB338" s="22">
        <v>328</v>
      </c>
      <c r="AC338" s="22">
        <v>0.14773600000000001</v>
      </c>
      <c r="AD338">
        <f t="shared" si="64"/>
        <v>15.7318</v>
      </c>
      <c r="AE338">
        <f t="shared" si="65"/>
        <v>2.3332619170000002</v>
      </c>
      <c r="AF338" s="9"/>
      <c r="AG338" s="22">
        <v>1.5516700000000001</v>
      </c>
      <c r="AH338" s="22">
        <v>142.94800000000001</v>
      </c>
      <c r="AI338" s="22">
        <v>-1.2124599999999999E-2</v>
      </c>
      <c r="AJ338" s="22">
        <v>328</v>
      </c>
      <c r="AK338" s="22">
        <v>1.55121</v>
      </c>
      <c r="AL338">
        <f t="shared" si="66"/>
        <v>12.124599999999999</v>
      </c>
      <c r="AM338">
        <f t="shared" si="67"/>
        <v>18.813378082</v>
      </c>
      <c r="AP338" s="9"/>
      <c r="AQ338" s="22">
        <v>0.148315</v>
      </c>
      <c r="AR338" s="22">
        <v>192.32599999999999</v>
      </c>
      <c r="AS338" s="22">
        <v>-1.5725699999999999E-2</v>
      </c>
      <c r="AT338" s="22">
        <v>328</v>
      </c>
      <c r="AU338" s="22">
        <v>0.147644</v>
      </c>
      <c r="AV338">
        <f t="shared" si="68"/>
        <v>15.725699999999998</v>
      </c>
      <c r="AW338">
        <f t="shared" si="69"/>
        <v>2.3323571954999998</v>
      </c>
      <c r="AX338" s="9"/>
      <c r="AY338" s="22">
        <v>1.5516700000000001</v>
      </c>
      <c r="AZ338" s="22">
        <v>241.709</v>
      </c>
      <c r="BA338" s="22">
        <v>-1.21002E-2</v>
      </c>
      <c r="BB338" s="22">
        <v>328</v>
      </c>
      <c r="BC338" s="22">
        <v>1.5515099999999999</v>
      </c>
      <c r="BD338">
        <f t="shared" si="70"/>
        <v>12.100200000000001</v>
      </c>
      <c r="BE338">
        <f t="shared" si="71"/>
        <v>18.775517334000003</v>
      </c>
    </row>
    <row r="339" spans="6:57">
      <c r="F339" s="9"/>
      <c r="G339" s="22">
        <v>0.14327999999999999</v>
      </c>
      <c r="H339" s="22">
        <v>12.299799999999999</v>
      </c>
      <c r="I339" s="22">
        <v>-1.5701300000000001E-2</v>
      </c>
      <c r="J339" s="22">
        <v>329</v>
      </c>
      <c r="K339" s="22">
        <v>0.142731</v>
      </c>
      <c r="L339">
        <f t="shared" si="60"/>
        <v>15.701300000000002</v>
      </c>
      <c r="M339">
        <f t="shared" si="61"/>
        <v>2.249682264</v>
      </c>
      <c r="N339" s="9"/>
      <c r="O339" s="22">
        <v>1.5567</v>
      </c>
      <c r="P339" s="22">
        <v>61.721200000000003</v>
      </c>
      <c r="Q339" s="22">
        <v>-1.21063E-2</v>
      </c>
      <c r="R339" s="22">
        <v>329</v>
      </c>
      <c r="S339" s="22">
        <v>1.55548</v>
      </c>
      <c r="T339">
        <f t="shared" si="62"/>
        <v>12.106300000000001</v>
      </c>
      <c r="U339">
        <f t="shared" si="63"/>
        <v>18.845877210000001</v>
      </c>
      <c r="X339" s="9"/>
      <c r="Y339" s="22">
        <v>0.14327999999999999</v>
      </c>
      <c r="Z339" s="22">
        <v>111.29900000000001</v>
      </c>
      <c r="AA339" s="22">
        <v>-1.5737899999999999E-2</v>
      </c>
      <c r="AB339" s="22">
        <v>329</v>
      </c>
      <c r="AC339" s="22">
        <v>0.142792</v>
      </c>
      <c r="AD339">
        <f t="shared" si="64"/>
        <v>15.7379</v>
      </c>
      <c r="AE339">
        <f t="shared" si="65"/>
        <v>2.2549263119999998</v>
      </c>
      <c r="AF339" s="9"/>
      <c r="AG339" s="22">
        <v>1.5567</v>
      </c>
      <c r="AH339" s="22">
        <v>142.958</v>
      </c>
      <c r="AI339" s="22">
        <v>-1.2014800000000001E-2</v>
      </c>
      <c r="AJ339" s="22">
        <v>329</v>
      </c>
      <c r="AK339" s="22">
        <v>1.55609</v>
      </c>
      <c r="AL339">
        <f t="shared" si="66"/>
        <v>12.014800000000001</v>
      </c>
      <c r="AM339">
        <f t="shared" si="67"/>
        <v>18.703439160000002</v>
      </c>
      <c r="AP339" s="9"/>
      <c r="AQ339" s="22">
        <v>0.14327999999999999</v>
      </c>
      <c r="AR339" s="22">
        <v>192.33600000000001</v>
      </c>
      <c r="AS339" s="22">
        <v>-1.5722699999999999E-2</v>
      </c>
      <c r="AT339" s="22">
        <v>329</v>
      </c>
      <c r="AU339" s="22">
        <v>0.14263899999999999</v>
      </c>
      <c r="AV339">
        <f t="shared" si="68"/>
        <v>15.7227</v>
      </c>
      <c r="AW339">
        <f t="shared" si="69"/>
        <v>2.252748456</v>
      </c>
      <c r="AX339" s="9"/>
      <c r="AY339" s="22">
        <v>1.5567</v>
      </c>
      <c r="AZ339" s="22">
        <v>241.72</v>
      </c>
      <c r="BA339" s="22">
        <v>-1.19965E-2</v>
      </c>
      <c r="BB339" s="22">
        <v>329</v>
      </c>
      <c r="BC339" s="22">
        <v>1.55579</v>
      </c>
      <c r="BD339">
        <f t="shared" si="70"/>
        <v>11.996500000000001</v>
      </c>
      <c r="BE339">
        <f t="shared" si="71"/>
        <v>18.674951550000003</v>
      </c>
    </row>
    <row r="340" spans="6:57">
      <c r="F340" s="9"/>
      <c r="G340" s="22">
        <v>0.13824500000000001</v>
      </c>
      <c r="H340" s="22">
        <v>12.309799999999999</v>
      </c>
      <c r="I340" s="22">
        <v>-1.5710399999999999E-2</v>
      </c>
      <c r="J340" s="22">
        <v>330</v>
      </c>
      <c r="K340" s="22">
        <v>0.13772599999999999</v>
      </c>
      <c r="L340">
        <f t="shared" si="60"/>
        <v>15.7104</v>
      </c>
      <c r="M340">
        <f t="shared" si="61"/>
        <v>2.171884248</v>
      </c>
      <c r="N340" s="9"/>
      <c r="O340" s="22">
        <v>1.5617399999999999</v>
      </c>
      <c r="P340" s="22">
        <v>61.731299999999997</v>
      </c>
      <c r="Q340" s="22">
        <v>-1.1987299999999999E-2</v>
      </c>
      <c r="R340" s="22">
        <v>330</v>
      </c>
      <c r="S340" s="22">
        <v>1.56128</v>
      </c>
      <c r="T340">
        <f t="shared" si="62"/>
        <v>11.987299999999999</v>
      </c>
      <c r="U340">
        <f t="shared" si="63"/>
        <v>18.721045901999997</v>
      </c>
      <c r="X340" s="9"/>
      <c r="Y340" s="22">
        <v>0.13824500000000001</v>
      </c>
      <c r="Z340" s="22">
        <v>111.309</v>
      </c>
      <c r="AA340" s="22">
        <v>-1.5741000000000002E-2</v>
      </c>
      <c r="AB340" s="22">
        <v>330</v>
      </c>
      <c r="AC340" s="22">
        <v>0.13775599999999999</v>
      </c>
      <c r="AD340">
        <f t="shared" si="64"/>
        <v>15.741000000000001</v>
      </c>
      <c r="AE340">
        <f t="shared" si="65"/>
        <v>2.1761145450000003</v>
      </c>
      <c r="AF340" s="9"/>
      <c r="AG340" s="22">
        <v>1.5617399999999999</v>
      </c>
      <c r="AH340" s="22">
        <v>142.96799999999999</v>
      </c>
      <c r="AI340" s="22">
        <v>-1.1892700000000001E-2</v>
      </c>
      <c r="AJ340" s="22">
        <v>330</v>
      </c>
      <c r="AK340" s="22">
        <v>1.56128</v>
      </c>
      <c r="AL340">
        <f t="shared" si="66"/>
        <v>11.892700000000001</v>
      </c>
      <c r="AM340">
        <f t="shared" si="67"/>
        <v>18.573305298000001</v>
      </c>
      <c r="AP340" s="9"/>
      <c r="AQ340" s="22">
        <v>0.13824500000000001</v>
      </c>
      <c r="AR340" s="22">
        <v>192.346</v>
      </c>
      <c r="AS340" s="22">
        <v>-1.5722699999999999E-2</v>
      </c>
      <c r="AT340" s="22">
        <v>330</v>
      </c>
      <c r="AU340" s="22">
        <v>0.13772599999999999</v>
      </c>
      <c r="AV340">
        <f t="shared" si="68"/>
        <v>15.7227</v>
      </c>
      <c r="AW340">
        <f t="shared" si="69"/>
        <v>2.1735846615000001</v>
      </c>
      <c r="AX340" s="9"/>
      <c r="AY340" s="22">
        <v>1.5617399999999999</v>
      </c>
      <c r="AZ340" s="22">
        <v>241.73</v>
      </c>
      <c r="BA340" s="22">
        <v>-1.1886600000000001E-2</v>
      </c>
      <c r="BB340" s="22">
        <v>330</v>
      </c>
      <c r="BC340" s="22">
        <v>1.56189</v>
      </c>
      <c r="BD340">
        <f t="shared" si="70"/>
        <v>11.886600000000001</v>
      </c>
      <c r="BE340">
        <f t="shared" si="71"/>
        <v>18.563778684000003</v>
      </c>
    </row>
    <row r="341" spans="6:57">
      <c r="F341" s="9"/>
      <c r="G341" s="22">
        <v>0.13320899999999999</v>
      </c>
      <c r="H341" s="22">
        <v>12.319900000000001</v>
      </c>
      <c r="I341" s="22">
        <v>-1.5713499999999998E-2</v>
      </c>
      <c r="J341" s="22">
        <v>331</v>
      </c>
      <c r="K341" s="22">
        <v>0.13275100000000001</v>
      </c>
      <c r="L341">
        <f t="shared" si="60"/>
        <v>15.713499999999998</v>
      </c>
      <c r="M341">
        <f t="shared" si="61"/>
        <v>2.0931796214999996</v>
      </c>
      <c r="N341" s="9"/>
      <c r="O341" s="22">
        <v>1.56677</v>
      </c>
      <c r="P341" s="22">
        <v>61.741300000000003</v>
      </c>
      <c r="Q341" s="22">
        <v>-1.18774E-2</v>
      </c>
      <c r="R341" s="22">
        <v>331</v>
      </c>
      <c r="S341" s="22">
        <v>1.56616</v>
      </c>
      <c r="T341">
        <f t="shared" si="62"/>
        <v>11.8774</v>
      </c>
      <c r="U341">
        <f t="shared" si="63"/>
        <v>18.609153998</v>
      </c>
      <c r="X341" s="9"/>
      <c r="Y341" s="22">
        <v>0.13320899999999999</v>
      </c>
      <c r="Z341" s="22">
        <v>111.319</v>
      </c>
      <c r="AA341" s="22">
        <v>-1.5737899999999999E-2</v>
      </c>
      <c r="AB341" s="22">
        <v>331</v>
      </c>
      <c r="AC341" s="22">
        <v>0.13275100000000001</v>
      </c>
      <c r="AD341">
        <f t="shared" si="64"/>
        <v>15.7379</v>
      </c>
      <c r="AE341">
        <f t="shared" si="65"/>
        <v>2.0964299210999999</v>
      </c>
      <c r="AF341" s="9"/>
      <c r="AG341" s="22">
        <v>1.56677</v>
      </c>
      <c r="AH341" s="22">
        <v>142.97800000000001</v>
      </c>
      <c r="AI341" s="22">
        <v>-1.17737E-2</v>
      </c>
      <c r="AJ341" s="22">
        <v>331</v>
      </c>
      <c r="AK341" s="22">
        <v>1.56586</v>
      </c>
      <c r="AL341">
        <f t="shared" si="66"/>
        <v>11.7737</v>
      </c>
      <c r="AM341">
        <f t="shared" si="67"/>
        <v>18.446679949</v>
      </c>
      <c r="AP341" s="9"/>
      <c r="AQ341" s="22">
        <v>0.13320899999999999</v>
      </c>
      <c r="AR341" s="22">
        <v>192.35599999999999</v>
      </c>
      <c r="AS341" s="22">
        <v>-1.57196E-2</v>
      </c>
      <c r="AT341" s="22">
        <v>331</v>
      </c>
      <c r="AU341" s="22">
        <v>0.13266</v>
      </c>
      <c r="AV341">
        <f t="shared" si="68"/>
        <v>15.7196</v>
      </c>
      <c r="AW341">
        <f t="shared" si="69"/>
        <v>2.0939921963999999</v>
      </c>
      <c r="AX341" s="9"/>
      <c r="AY341" s="22">
        <v>1.56677</v>
      </c>
      <c r="AZ341" s="22">
        <v>241.74</v>
      </c>
      <c r="BA341" s="22">
        <v>-1.1764500000000001E-2</v>
      </c>
      <c r="BB341" s="22">
        <v>331</v>
      </c>
      <c r="BC341" s="22">
        <v>1.56647</v>
      </c>
      <c r="BD341">
        <f t="shared" si="70"/>
        <v>11.7645</v>
      </c>
      <c r="BE341">
        <f t="shared" si="71"/>
        <v>18.432265664999999</v>
      </c>
    </row>
    <row r="342" spans="6:57">
      <c r="F342" s="9"/>
      <c r="G342" s="22">
        <v>0.12817400000000001</v>
      </c>
      <c r="H342" s="22">
        <v>12.33</v>
      </c>
      <c r="I342" s="22">
        <v>-1.5716600000000001E-2</v>
      </c>
      <c r="J342" s="22">
        <v>332</v>
      </c>
      <c r="K342" s="22">
        <v>0.12762499999999999</v>
      </c>
      <c r="L342">
        <f t="shared" si="60"/>
        <v>15.716600000000001</v>
      </c>
      <c r="M342">
        <f t="shared" si="61"/>
        <v>2.0144594884000004</v>
      </c>
      <c r="N342" s="9"/>
      <c r="O342" s="22">
        <v>1.5718099999999999</v>
      </c>
      <c r="P342" s="22">
        <v>61.751399999999997</v>
      </c>
      <c r="Q342" s="22">
        <v>-1.1761499999999999E-2</v>
      </c>
      <c r="R342" s="22">
        <v>332</v>
      </c>
      <c r="S342" s="22">
        <v>1.57104</v>
      </c>
      <c r="T342">
        <f t="shared" si="62"/>
        <v>11.7615</v>
      </c>
      <c r="U342">
        <f t="shared" si="63"/>
        <v>18.486843314999998</v>
      </c>
      <c r="X342" s="9"/>
      <c r="Y342" s="22">
        <v>0.12817400000000001</v>
      </c>
      <c r="Z342" s="22">
        <v>111.32899999999999</v>
      </c>
      <c r="AA342" s="22">
        <v>-1.57349E-2</v>
      </c>
      <c r="AB342" s="22">
        <v>332</v>
      </c>
      <c r="AC342" s="22">
        <v>0.12765499999999999</v>
      </c>
      <c r="AD342">
        <f t="shared" si="64"/>
        <v>15.7349</v>
      </c>
      <c r="AE342">
        <f t="shared" si="65"/>
        <v>2.0168050726</v>
      </c>
      <c r="AF342" s="9"/>
      <c r="AG342" s="22">
        <v>1.5718099999999999</v>
      </c>
      <c r="AH342" s="22">
        <v>142.988</v>
      </c>
      <c r="AI342" s="22">
        <v>-1.1666899999999999E-2</v>
      </c>
      <c r="AJ342" s="22">
        <v>332</v>
      </c>
      <c r="AK342" s="22">
        <v>1.57104</v>
      </c>
      <c r="AL342">
        <f t="shared" si="66"/>
        <v>11.666899999999998</v>
      </c>
      <c r="AM342">
        <f t="shared" si="67"/>
        <v>18.338150088999996</v>
      </c>
      <c r="AP342" s="9"/>
      <c r="AQ342" s="22">
        <v>0.12817400000000001</v>
      </c>
      <c r="AR342" s="22">
        <v>192.36600000000001</v>
      </c>
      <c r="AS342" s="22">
        <v>-1.57196E-2</v>
      </c>
      <c r="AT342" s="22">
        <v>332</v>
      </c>
      <c r="AU342" s="22">
        <v>0.12762499999999999</v>
      </c>
      <c r="AV342">
        <f t="shared" si="68"/>
        <v>15.7196</v>
      </c>
      <c r="AW342">
        <f t="shared" si="69"/>
        <v>2.0148440104000001</v>
      </c>
      <c r="AX342" s="9"/>
      <c r="AY342" s="22">
        <v>1.5718099999999999</v>
      </c>
      <c r="AZ342" s="22">
        <v>241.75</v>
      </c>
      <c r="BA342" s="22">
        <v>-1.16425E-2</v>
      </c>
      <c r="BB342" s="22">
        <v>332</v>
      </c>
      <c r="BC342" s="22">
        <v>1.57104</v>
      </c>
      <c r="BD342">
        <f t="shared" si="70"/>
        <v>11.6425</v>
      </c>
      <c r="BE342">
        <f t="shared" si="71"/>
        <v>18.299797925</v>
      </c>
    </row>
    <row r="343" spans="6:57">
      <c r="F343" s="9"/>
      <c r="G343" s="22">
        <v>0.123138</v>
      </c>
      <c r="H343" s="22">
        <v>12.34</v>
      </c>
      <c r="I343" s="22">
        <v>-1.57196E-2</v>
      </c>
      <c r="J343" s="22">
        <v>333</v>
      </c>
      <c r="K343" s="22">
        <v>0.122559</v>
      </c>
      <c r="L343">
        <f t="shared" si="60"/>
        <v>15.7196</v>
      </c>
      <c r="M343">
        <f t="shared" si="61"/>
        <v>1.9356801047999999</v>
      </c>
      <c r="N343" s="9"/>
      <c r="O343" s="22">
        <v>1.57684</v>
      </c>
      <c r="P343" s="22">
        <v>61.761499999999998</v>
      </c>
      <c r="Q343" s="22">
        <v>-1.16425E-2</v>
      </c>
      <c r="R343" s="22">
        <v>333</v>
      </c>
      <c r="S343" s="22">
        <v>1.57623</v>
      </c>
      <c r="T343">
        <f t="shared" si="62"/>
        <v>11.6425</v>
      </c>
      <c r="U343">
        <f t="shared" si="63"/>
        <v>18.358359700000001</v>
      </c>
      <c r="X343" s="9"/>
      <c r="Y343" s="22">
        <v>0.123138</v>
      </c>
      <c r="Z343" s="22">
        <v>111.339</v>
      </c>
      <c r="AA343" s="22">
        <v>-1.57349E-2</v>
      </c>
      <c r="AB343" s="22">
        <v>333</v>
      </c>
      <c r="AC343" s="22">
        <v>0.12262000000000001</v>
      </c>
      <c r="AD343">
        <f t="shared" si="64"/>
        <v>15.7349</v>
      </c>
      <c r="AE343">
        <f t="shared" si="65"/>
        <v>1.9375641161999999</v>
      </c>
      <c r="AF343" s="9"/>
      <c r="AG343" s="22">
        <v>1.57684</v>
      </c>
      <c r="AH343" s="22">
        <v>142.99799999999999</v>
      </c>
      <c r="AI343" s="22">
        <v>-1.1538700000000001E-2</v>
      </c>
      <c r="AJ343" s="22">
        <v>333</v>
      </c>
      <c r="AK343" s="22">
        <v>1.5759300000000001</v>
      </c>
      <c r="AL343">
        <f t="shared" si="66"/>
        <v>11.5387</v>
      </c>
      <c r="AM343">
        <f t="shared" si="67"/>
        <v>18.194683707999999</v>
      </c>
      <c r="AP343" s="9"/>
      <c r="AQ343" s="22">
        <v>0.123138</v>
      </c>
      <c r="AR343" s="22">
        <v>192.376</v>
      </c>
      <c r="AS343" s="22">
        <v>-1.5722699999999999E-2</v>
      </c>
      <c r="AT343" s="22">
        <v>333</v>
      </c>
      <c r="AU343" s="22">
        <v>0.12262000000000001</v>
      </c>
      <c r="AV343">
        <f t="shared" si="68"/>
        <v>15.7227</v>
      </c>
      <c r="AW343">
        <f t="shared" si="69"/>
        <v>1.9360618325999999</v>
      </c>
      <c r="AX343" s="9"/>
      <c r="AY343" s="22">
        <v>1.57684</v>
      </c>
      <c r="AZ343" s="22">
        <v>241.76</v>
      </c>
      <c r="BA343" s="22">
        <v>-1.15082E-2</v>
      </c>
      <c r="BB343" s="22">
        <v>333</v>
      </c>
      <c r="BC343" s="22">
        <v>1.5759300000000001</v>
      </c>
      <c r="BD343">
        <f t="shared" si="70"/>
        <v>11.5082</v>
      </c>
      <c r="BE343">
        <f t="shared" si="71"/>
        <v>18.146590088</v>
      </c>
    </row>
    <row r="344" spans="6:57">
      <c r="F344" s="9"/>
      <c r="G344" s="22">
        <v>0.118103</v>
      </c>
      <c r="H344" s="22">
        <v>12.350099999999999</v>
      </c>
      <c r="I344" s="22">
        <v>-1.5722699999999999E-2</v>
      </c>
      <c r="J344" s="22">
        <v>334</v>
      </c>
      <c r="K344" s="22">
        <v>0.117523</v>
      </c>
      <c r="L344">
        <f t="shared" si="60"/>
        <v>15.7227</v>
      </c>
      <c r="M344">
        <f t="shared" si="61"/>
        <v>1.8568980381</v>
      </c>
      <c r="N344" s="9"/>
      <c r="O344" s="22">
        <v>1.58188</v>
      </c>
      <c r="P344" s="22">
        <v>61.771500000000003</v>
      </c>
      <c r="Q344" s="22">
        <v>-1.15234E-2</v>
      </c>
      <c r="R344" s="22">
        <v>334</v>
      </c>
      <c r="S344" s="22">
        <v>1.58081</v>
      </c>
      <c r="T344">
        <f t="shared" si="62"/>
        <v>11.523399999999999</v>
      </c>
      <c r="U344">
        <f t="shared" si="63"/>
        <v>18.228635991999997</v>
      </c>
      <c r="X344" s="9"/>
      <c r="Y344" s="22">
        <v>0.118103</v>
      </c>
      <c r="Z344" s="22">
        <v>111.349</v>
      </c>
      <c r="AA344" s="22">
        <v>-1.57349E-2</v>
      </c>
      <c r="AB344" s="22">
        <v>334</v>
      </c>
      <c r="AC344" s="22">
        <v>0.117645</v>
      </c>
      <c r="AD344">
        <f t="shared" si="64"/>
        <v>15.7349</v>
      </c>
      <c r="AE344">
        <f t="shared" si="65"/>
        <v>1.8583388946999999</v>
      </c>
      <c r="AF344" s="9"/>
      <c r="AG344" s="22">
        <v>1.58188</v>
      </c>
      <c r="AH344" s="22">
        <v>143.00800000000001</v>
      </c>
      <c r="AI344" s="22">
        <v>-1.1410500000000001E-2</v>
      </c>
      <c r="AJ344" s="22">
        <v>334</v>
      </c>
      <c r="AK344" s="22">
        <v>1.5817300000000001</v>
      </c>
      <c r="AL344">
        <f t="shared" si="66"/>
        <v>11.410500000000001</v>
      </c>
      <c r="AM344">
        <f t="shared" si="67"/>
        <v>18.050041740000001</v>
      </c>
      <c r="AP344" s="9"/>
      <c r="AQ344" s="22">
        <v>0.118103</v>
      </c>
      <c r="AR344" s="22">
        <v>192.386</v>
      </c>
      <c r="AS344" s="22">
        <v>-1.5731800000000001E-2</v>
      </c>
      <c r="AT344" s="22">
        <v>334</v>
      </c>
      <c r="AU344" s="22">
        <v>0.117523</v>
      </c>
      <c r="AV344">
        <f t="shared" si="68"/>
        <v>15.7318</v>
      </c>
      <c r="AW344">
        <f t="shared" si="69"/>
        <v>1.8579727753999999</v>
      </c>
      <c r="AX344" s="9"/>
      <c r="AY344" s="22">
        <v>1.58188</v>
      </c>
      <c r="AZ344" s="22">
        <v>241.77</v>
      </c>
      <c r="BA344" s="22">
        <v>-1.13861E-2</v>
      </c>
      <c r="BB344" s="22">
        <v>334</v>
      </c>
      <c r="BC344" s="22">
        <v>1.5805100000000001</v>
      </c>
      <c r="BD344">
        <f t="shared" si="70"/>
        <v>11.386099999999999</v>
      </c>
      <c r="BE344">
        <f t="shared" si="71"/>
        <v>18.011443867999997</v>
      </c>
    </row>
    <row r="345" spans="6:57">
      <c r="F345" s="9"/>
      <c r="G345" s="22">
        <v>0.113068</v>
      </c>
      <c r="H345" s="22">
        <v>12.360200000000001</v>
      </c>
      <c r="I345" s="22">
        <v>-1.5728800000000001E-2</v>
      </c>
      <c r="J345" s="22">
        <v>335</v>
      </c>
      <c r="K345" s="22">
        <v>0.112549</v>
      </c>
      <c r="L345">
        <f t="shared" si="60"/>
        <v>15.728800000000001</v>
      </c>
      <c r="M345">
        <f t="shared" si="61"/>
        <v>1.7784239584000001</v>
      </c>
      <c r="N345" s="9"/>
      <c r="O345" s="22">
        <v>1.58691</v>
      </c>
      <c r="P345" s="22">
        <v>61.781599999999997</v>
      </c>
      <c r="Q345" s="22">
        <v>-1.13922E-2</v>
      </c>
      <c r="R345" s="22">
        <v>335</v>
      </c>
      <c r="S345" s="22">
        <v>1.5863</v>
      </c>
      <c r="T345">
        <f t="shared" si="62"/>
        <v>11.392200000000001</v>
      </c>
      <c r="U345">
        <f t="shared" si="63"/>
        <v>18.078396102000003</v>
      </c>
      <c r="X345" s="9"/>
      <c r="Y345" s="22">
        <v>0.113068</v>
      </c>
      <c r="Z345" s="22">
        <v>111.35899999999999</v>
      </c>
      <c r="AA345" s="22">
        <v>-1.5731800000000001E-2</v>
      </c>
      <c r="AB345" s="22">
        <v>335</v>
      </c>
      <c r="AC345" s="22">
        <v>0.112549</v>
      </c>
      <c r="AD345">
        <f t="shared" si="64"/>
        <v>15.7318</v>
      </c>
      <c r="AE345">
        <f t="shared" si="65"/>
        <v>1.7787631624</v>
      </c>
      <c r="AF345" s="9"/>
      <c r="AG345" s="22">
        <v>1.58691</v>
      </c>
      <c r="AH345" s="22">
        <v>143.018</v>
      </c>
      <c r="AI345" s="22">
        <v>-1.1285399999999999E-2</v>
      </c>
      <c r="AJ345" s="22">
        <v>335</v>
      </c>
      <c r="AK345" s="22">
        <v>1.5860000000000001</v>
      </c>
      <c r="AL345">
        <f t="shared" si="66"/>
        <v>11.285399999999999</v>
      </c>
      <c r="AM345">
        <f t="shared" si="67"/>
        <v>17.908914113999998</v>
      </c>
      <c r="AP345" s="9"/>
      <c r="AQ345" s="22">
        <v>0.113068</v>
      </c>
      <c r="AR345" s="22">
        <v>192.39699999999999</v>
      </c>
      <c r="AS345" s="22">
        <v>-1.5737899999999999E-2</v>
      </c>
      <c r="AT345" s="22">
        <v>335</v>
      </c>
      <c r="AU345" s="22">
        <v>0.112488</v>
      </c>
      <c r="AV345">
        <f t="shared" si="68"/>
        <v>15.7379</v>
      </c>
      <c r="AW345">
        <f t="shared" si="69"/>
        <v>1.7794528772</v>
      </c>
      <c r="AX345" s="9"/>
      <c r="AY345" s="22">
        <v>1.58691</v>
      </c>
      <c r="AZ345" s="22">
        <v>241.78</v>
      </c>
      <c r="BA345" s="22">
        <v>-1.1261E-2</v>
      </c>
      <c r="BB345" s="22">
        <v>335</v>
      </c>
      <c r="BC345" s="22">
        <v>1.5863</v>
      </c>
      <c r="BD345">
        <f t="shared" si="70"/>
        <v>11.261000000000001</v>
      </c>
      <c r="BE345">
        <f t="shared" si="71"/>
        <v>17.870193510000004</v>
      </c>
    </row>
    <row r="346" spans="6:57">
      <c r="F346" s="9"/>
      <c r="G346" s="22">
        <v>0.108032</v>
      </c>
      <c r="H346" s="22">
        <v>12.3703</v>
      </c>
      <c r="I346" s="22">
        <v>-1.5731800000000001E-2</v>
      </c>
      <c r="J346" s="22">
        <v>336</v>
      </c>
      <c r="K346" s="22">
        <v>0.107422</v>
      </c>
      <c r="L346">
        <f t="shared" si="60"/>
        <v>15.7318</v>
      </c>
      <c r="M346">
        <f t="shared" si="61"/>
        <v>1.6995378176</v>
      </c>
      <c r="N346" s="9"/>
      <c r="O346" s="22">
        <v>1.59195</v>
      </c>
      <c r="P346" s="22">
        <v>61.791699999999999</v>
      </c>
      <c r="Q346" s="22">
        <v>-1.12671E-2</v>
      </c>
      <c r="R346" s="22">
        <v>336</v>
      </c>
      <c r="S346" s="22">
        <v>1.5908800000000001</v>
      </c>
      <c r="T346">
        <f t="shared" si="62"/>
        <v>11.267100000000001</v>
      </c>
      <c r="U346">
        <f t="shared" si="63"/>
        <v>17.936659845000001</v>
      </c>
      <c r="X346" s="9"/>
      <c r="Y346" s="22">
        <v>0.108032</v>
      </c>
      <c r="Z346" s="22">
        <v>111.369</v>
      </c>
      <c r="AA346" s="22">
        <v>-1.5737899999999999E-2</v>
      </c>
      <c r="AB346" s="22">
        <v>336</v>
      </c>
      <c r="AC346" s="22">
        <v>0.107422</v>
      </c>
      <c r="AD346">
        <f t="shared" si="64"/>
        <v>15.7379</v>
      </c>
      <c r="AE346">
        <f t="shared" si="65"/>
        <v>1.7001968128</v>
      </c>
      <c r="AF346" s="9"/>
      <c r="AG346" s="22">
        <v>1.59195</v>
      </c>
      <c r="AH346" s="22">
        <v>143.02799999999999</v>
      </c>
      <c r="AI346" s="22">
        <v>-1.1157200000000001E-2</v>
      </c>
      <c r="AJ346" s="22">
        <v>336</v>
      </c>
      <c r="AK346" s="22">
        <v>1.5908800000000001</v>
      </c>
      <c r="AL346">
        <f t="shared" si="66"/>
        <v>11.157200000000001</v>
      </c>
      <c r="AM346">
        <f t="shared" si="67"/>
        <v>17.76170454</v>
      </c>
      <c r="AP346" s="9"/>
      <c r="AQ346" s="22">
        <v>0.108032</v>
      </c>
      <c r="AR346" s="22">
        <v>192.40700000000001</v>
      </c>
      <c r="AS346" s="22">
        <v>-1.5741000000000002E-2</v>
      </c>
      <c r="AT346" s="22">
        <v>336</v>
      </c>
      <c r="AU346" s="22">
        <v>0.10745200000000001</v>
      </c>
      <c r="AV346">
        <f t="shared" si="68"/>
        <v>15.741000000000001</v>
      </c>
      <c r="AW346">
        <f t="shared" si="69"/>
        <v>1.7005317120000003</v>
      </c>
      <c r="AX346" s="9"/>
      <c r="AY346" s="22">
        <v>1.59195</v>
      </c>
      <c r="AZ346" s="22">
        <v>241.79</v>
      </c>
      <c r="BA346" s="22">
        <v>-1.11206E-2</v>
      </c>
      <c r="BB346" s="22">
        <v>336</v>
      </c>
      <c r="BC346" s="22">
        <v>1.5911900000000001</v>
      </c>
      <c r="BD346">
        <f t="shared" si="70"/>
        <v>11.1206</v>
      </c>
      <c r="BE346">
        <f t="shared" si="71"/>
        <v>17.703439169999999</v>
      </c>
    </row>
    <row r="347" spans="6:57">
      <c r="F347" s="9"/>
      <c r="G347" s="22">
        <v>0.10299700000000001</v>
      </c>
      <c r="H347" s="22">
        <v>12.3803</v>
      </c>
      <c r="I347" s="22">
        <v>-1.5728800000000001E-2</v>
      </c>
      <c r="J347" s="22">
        <v>337</v>
      </c>
      <c r="K347" s="22">
        <v>0.102478</v>
      </c>
      <c r="L347">
        <f t="shared" si="60"/>
        <v>15.728800000000001</v>
      </c>
      <c r="M347">
        <f t="shared" si="61"/>
        <v>1.6200192136000002</v>
      </c>
      <c r="N347" s="9"/>
      <c r="O347" s="22">
        <v>1.5969800000000001</v>
      </c>
      <c r="P347" s="22">
        <v>61.801699999999997</v>
      </c>
      <c r="Q347" s="22">
        <v>-1.11206E-2</v>
      </c>
      <c r="R347" s="22">
        <v>337</v>
      </c>
      <c r="S347" s="22">
        <v>1.5960700000000001</v>
      </c>
      <c r="T347">
        <f t="shared" si="62"/>
        <v>11.1206</v>
      </c>
      <c r="U347">
        <f t="shared" si="63"/>
        <v>17.759375788</v>
      </c>
      <c r="X347" s="9"/>
      <c r="Y347" s="22">
        <v>0.10299700000000001</v>
      </c>
      <c r="Z347" s="22">
        <v>111.379</v>
      </c>
      <c r="AA347" s="22">
        <v>-1.5741000000000002E-2</v>
      </c>
      <c r="AB347" s="22">
        <v>337</v>
      </c>
      <c r="AC347" s="22">
        <v>0.102478</v>
      </c>
      <c r="AD347">
        <f t="shared" si="64"/>
        <v>15.741000000000001</v>
      </c>
      <c r="AE347">
        <f t="shared" si="65"/>
        <v>1.6212757770000001</v>
      </c>
      <c r="AF347" s="9"/>
      <c r="AG347" s="22">
        <v>1.5969800000000001</v>
      </c>
      <c r="AH347" s="22">
        <v>143.03800000000001</v>
      </c>
      <c r="AI347" s="22">
        <v>-1.10046E-2</v>
      </c>
      <c r="AJ347" s="22">
        <v>337</v>
      </c>
      <c r="AK347" s="22">
        <v>1.5966800000000001</v>
      </c>
      <c r="AL347">
        <f t="shared" si="66"/>
        <v>11.0046</v>
      </c>
      <c r="AM347">
        <f t="shared" si="67"/>
        <v>17.574126108000002</v>
      </c>
      <c r="AP347" s="9"/>
      <c r="AQ347" s="22">
        <v>0.10299700000000001</v>
      </c>
      <c r="AR347" s="22">
        <v>192.417</v>
      </c>
      <c r="AS347" s="22">
        <v>-1.57471E-2</v>
      </c>
      <c r="AT347" s="22">
        <v>337</v>
      </c>
      <c r="AU347" s="22">
        <v>0.102478</v>
      </c>
      <c r="AV347">
        <f t="shared" si="68"/>
        <v>15.7471</v>
      </c>
      <c r="AW347">
        <f t="shared" si="69"/>
        <v>1.6219040587</v>
      </c>
      <c r="AX347" s="9"/>
      <c r="AY347" s="22">
        <v>1.5969800000000001</v>
      </c>
      <c r="AZ347" s="22">
        <v>241.8</v>
      </c>
      <c r="BA347" s="22">
        <v>-1.0968E-2</v>
      </c>
      <c r="BB347" s="22">
        <v>337</v>
      </c>
      <c r="BC347" s="22">
        <v>1.5960700000000001</v>
      </c>
      <c r="BD347">
        <f t="shared" si="70"/>
        <v>10.968</v>
      </c>
      <c r="BE347">
        <f t="shared" si="71"/>
        <v>17.515676640000002</v>
      </c>
    </row>
    <row r="348" spans="6:57">
      <c r="F348" s="9"/>
      <c r="G348" s="22">
        <v>9.7961400000000004E-2</v>
      </c>
      <c r="H348" s="22">
        <v>12.3904</v>
      </c>
      <c r="I348" s="22">
        <v>-1.5731800000000001E-2</v>
      </c>
      <c r="J348" s="22">
        <v>338</v>
      </c>
      <c r="K348" s="22">
        <v>9.7381599999999999E-2</v>
      </c>
      <c r="L348">
        <f t="shared" si="60"/>
        <v>15.7318</v>
      </c>
      <c r="M348">
        <f t="shared" si="61"/>
        <v>1.54110915252</v>
      </c>
      <c r="N348" s="9"/>
      <c r="O348" s="22">
        <v>1.60202</v>
      </c>
      <c r="P348" s="22">
        <v>61.811799999999998</v>
      </c>
      <c r="Q348" s="22">
        <v>-1.0992399999999999E-2</v>
      </c>
      <c r="R348" s="22">
        <v>338</v>
      </c>
      <c r="S348" s="22">
        <v>1.6006499999999999</v>
      </c>
      <c r="T348">
        <f t="shared" si="62"/>
        <v>10.9924</v>
      </c>
      <c r="U348">
        <f t="shared" si="63"/>
        <v>17.610044647999999</v>
      </c>
      <c r="X348" s="9"/>
      <c r="Y348" s="22">
        <v>9.7961400000000004E-2</v>
      </c>
      <c r="Z348" s="22">
        <v>111.389</v>
      </c>
      <c r="AA348" s="22">
        <v>-1.5741000000000002E-2</v>
      </c>
      <c r="AB348" s="22">
        <v>338</v>
      </c>
      <c r="AC348" s="22">
        <v>9.7412100000000001E-2</v>
      </c>
      <c r="AD348">
        <f t="shared" si="64"/>
        <v>15.741000000000001</v>
      </c>
      <c r="AE348">
        <f t="shared" si="65"/>
        <v>1.5420103974000001</v>
      </c>
      <c r="AF348" s="9"/>
      <c r="AG348" s="22">
        <v>1.60202</v>
      </c>
      <c r="AH348" s="22">
        <v>143.048</v>
      </c>
      <c r="AI348" s="22">
        <v>-1.08459E-2</v>
      </c>
      <c r="AJ348" s="22">
        <v>338</v>
      </c>
      <c r="AK348" s="22">
        <v>1.6012599999999999</v>
      </c>
      <c r="AL348">
        <f t="shared" si="66"/>
        <v>10.8459</v>
      </c>
      <c r="AM348">
        <f t="shared" si="67"/>
        <v>17.375348718000001</v>
      </c>
      <c r="AP348" s="9"/>
      <c r="AQ348" s="22">
        <v>9.7961400000000004E-2</v>
      </c>
      <c r="AR348" s="22">
        <v>192.42699999999999</v>
      </c>
      <c r="AS348" s="22">
        <v>-1.57471E-2</v>
      </c>
      <c r="AT348" s="22">
        <v>338</v>
      </c>
      <c r="AU348" s="22">
        <v>9.7473099999999993E-2</v>
      </c>
      <c r="AV348">
        <f t="shared" si="68"/>
        <v>15.7471</v>
      </c>
      <c r="AW348">
        <f t="shared" si="69"/>
        <v>1.5426079619399999</v>
      </c>
      <c r="AX348" s="9"/>
      <c r="AY348" s="22">
        <v>1.60202</v>
      </c>
      <c r="AZ348" s="22">
        <v>241.81</v>
      </c>
      <c r="BA348" s="22">
        <v>-1.08185E-2</v>
      </c>
      <c r="BB348" s="22">
        <v>338</v>
      </c>
      <c r="BC348" s="22">
        <v>1.6015600000000001</v>
      </c>
      <c r="BD348">
        <f t="shared" si="70"/>
        <v>10.8185</v>
      </c>
      <c r="BE348">
        <f t="shared" si="71"/>
        <v>17.331453370000002</v>
      </c>
    </row>
    <row r="349" spans="6:57">
      <c r="F349" s="9"/>
      <c r="G349" s="22">
        <v>9.2925999999999995E-2</v>
      </c>
      <c r="H349" s="22">
        <v>12.400499999999999</v>
      </c>
      <c r="I349" s="22">
        <v>-1.5728800000000001E-2</v>
      </c>
      <c r="J349" s="22">
        <v>339</v>
      </c>
      <c r="K349" s="22">
        <v>9.2437699999999998E-2</v>
      </c>
      <c r="L349">
        <f t="shared" si="60"/>
        <v>15.728800000000001</v>
      </c>
      <c r="M349">
        <f t="shared" si="61"/>
        <v>1.4616144688000001</v>
      </c>
      <c r="N349" s="9"/>
      <c r="O349" s="22">
        <v>1.6070599999999999</v>
      </c>
      <c r="P349" s="22">
        <v>61.821899999999999</v>
      </c>
      <c r="Q349" s="22">
        <v>-1.08398E-2</v>
      </c>
      <c r="R349" s="22">
        <v>339</v>
      </c>
      <c r="S349" s="22">
        <v>1.6064499999999999</v>
      </c>
      <c r="T349">
        <f t="shared" si="62"/>
        <v>10.8398</v>
      </c>
      <c r="U349">
        <f t="shared" si="63"/>
        <v>17.420208987999999</v>
      </c>
      <c r="X349" s="9"/>
      <c r="Y349" s="22">
        <v>9.2925999999999995E-2</v>
      </c>
      <c r="Z349" s="22">
        <v>111.399</v>
      </c>
      <c r="AA349" s="22">
        <v>-1.5741000000000002E-2</v>
      </c>
      <c r="AB349" s="22">
        <v>339</v>
      </c>
      <c r="AC349" s="22">
        <v>9.2468300000000003E-2</v>
      </c>
      <c r="AD349">
        <f t="shared" si="64"/>
        <v>15.741000000000001</v>
      </c>
      <c r="AE349">
        <f t="shared" si="65"/>
        <v>1.4627481660000001</v>
      </c>
      <c r="AF349" s="9"/>
      <c r="AG349" s="22">
        <v>1.6070599999999999</v>
      </c>
      <c r="AH349" s="22">
        <v>143.05799999999999</v>
      </c>
      <c r="AI349" s="22">
        <v>-1.06964E-2</v>
      </c>
      <c r="AJ349" s="22">
        <v>339</v>
      </c>
      <c r="AK349" s="22">
        <v>1.6061399999999999</v>
      </c>
      <c r="AL349">
        <f t="shared" si="66"/>
        <v>10.696400000000001</v>
      </c>
      <c r="AM349">
        <f t="shared" si="67"/>
        <v>17.189756584000001</v>
      </c>
      <c r="AP349" s="9"/>
      <c r="AQ349" s="22">
        <v>9.2925999999999995E-2</v>
      </c>
      <c r="AR349" s="22">
        <v>192.43700000000001</v>
      </c>
      <c r="AS349" s="22">
        <v>-1.5744000000000001E-2</v>
      </c>
      <c r="AT349" s="22">
        <v>339</v>
      </c>
      <c r="AU349" s="22">
        <v>9.2437699999999998E-2</v>
      </c>
      <c r="AV349">
        <f t="shared" si="68"/>
        <v>15.744000000000002</v>
      </c>
      <c r="AW349">
        <f t="shared" si="69"/>
        <v>1.4630269440000001</v>
      </c>
      <c r="AX349" s="9"/>
      <c r="AY349" s="22">
        <v>1.6070599999999999</v>
      </c>
      <c r="AZ349" s="22">
        <v>241.82</v>
      </c>
      <c r="BA349" s="22">
        <v>-1.06537E-2</v>
      </c>
      <c r="BB349" s="22">
        <v>339</v>
      </c>
      <c r="BC349" s="22">
        <v>1.6064499999999999</v>
      </c>
      <c r="BD349">
        <f t="shared" si="70"/>
        <v>10.653700000000001</v>
      </c>
      <c r="BE349">
        <f t="shared" si="71"/>
        <v>17.121135122000002</v>
      </c>
    </row>
    <row r="350" spans="6:57">
      <c r="F350" s="9"/>
      <c r="G350" s="22">
        <v>8.7890599999999999E-2</v>
      </c>
      <c r="H350" s="22">
        <v>12.410500000000001</v>
      </c>
      <c r="I350" s="22">
        <v>-1.5728800000000001E-2</v>
      </c>
      <c r="J350" s="22">
        <v>340</v>
      </c>
      <c r="K350" s="22">
        <v>8.7371799999999999E-2</v>
      </c>
      <c r="L350">
        <f t="shared" si="60"/>
        <v>15.728800000000001</v>
      </c>
      <c r="M350">
        <f t="shared" si="61"/>
        <v>1.3824136692800002</v>
      </c>
      <c r="N350" s="9"/>
      <c r="O350" s="22">
        <v>1.61209</v>
      </c>
      <c r="P350" s="22">
        <v>61.832000000000001</v>
      </c>
      <c r="Q350" s="22">
        <v>-1.0678099999999999E-2</v>
      </c>
      <c r="R350" s="22">
        <v>340</v>
      </c>
      <c r="S350" s="22">
        <v>1.6119399999999999</v>
      </c>
      <c r="T350">
        <f t="shared" si="62"/>
        <v>10.678099999999999</v>
      </c>
      <c r="U350">
        <f t="shared" si="63"/>
        <v>17.214058228999999</v>
      </c>
      <c r="X350" s="9"/>
      <c r="Y350" s="22">
        <v>8.7890599999999999E-2</v>
      </c>
      <c r="Z350" s="22">
        <v>111.40900000000001</v>
      </c>
      <c r="AA350" s="22">
        <v>-1.5744000000000001E-2</v>
      </c>
      <c r="AB350" s="22">
        <v>340</v>
      </c>
      <c r="AC350" s="22">
        <v>8.7310799999999994E-2</v>
      </c>
      <c r="AD350">
        <f t="shared" si="64"/>
        <v>15.744000000000002</v>
      </c>
      <c r="AE350">
        <f t="shared" si="65"/>
        <v>1.3837496064000001</v>
      </c>
      <c r="AF350" s="9"/>
      <c r="AG350" s="22">
        <v>1.61209</v>
      </c>
      <c r="AH350" s="22">
        <v>143.06800000000001</v>
      </c>
      <c r="AI350" s="22">
        <v>-1.05316E-2</v>
      </c>
      <c r="AJ350" s="22">
        <v>340</v>
      </c>
      <c r="AK350" s="22">
        <v>1.6116299999999999</v>
      </c>
      <c r="AL350">
        <f t="shared" si="66"/>
        <v>10.531600000000001</v>
      </c>
      <c r="AM350">
        <f t="shared" si="67"/>
        <v>16.977887044000003</v>
      </c>
      <c r="AP350" s="9"/>
      <c r="AQ350" s="22">
        <v>8.7890599999999999E-2</v>
      </c>
      <c r="AR350" s="22">
        <v>192.447</v>
      </c>
      <c r="AS350" s="22">
        <v>-1.5741000000000002E-2</v>
      </c>
      <c r="AT350" s="22">
        <v>340</v>
      </c>
      <c r="AU350" s="22">
        <v>8.7463399999999997E-2</v>
      </c>
      <c r="AV350">
        <f t="shared" si="68"/>
        <v>15.741000000000001</v>
      </c>
      <c r="AW350">
        <f t="shared" si="69"/>
        <v>1.3834859346000001</v>
      </c>
      <c r="AX350" s="9"/>
      <c r="AY350" s="22">
        <v>1.61209</v>
      </c>
      <c r="AZ350" s="22">
        <v>241.83</v>
      </c>
      <c r="BA350" s="22">
        <v>-1.04858E-2</v>
      </c>
      <c r="BB350" s="22">
        <v>340</v>
      </c>
      <c r="BC350" s="22">
        <v>1.6116299999999999</v>
      </c>
      <c r="BD350">
        <f t="shared" si="70"/>
        <v>10.485799999999999</v>
      </c>
      <c r="BE350">
        <f t="shared" si="71"/>
        <v>16.904053321999999</v>
      </c>
    </row>
    <row r="351" spans="6:57">
      <c r="F351" s="9"/>
      <c r="G351" s="22">
        <v>8.2855200000000004E-2</v>
      </c>
      <c r="H351" s="22">
        <v>12.4206</v>
      </c>
      <c r="I351" s="22">
        <v>-1.5728800000000001E-2</v>
      </c>
      <c r="J351" s="22">
        <v>341</v>
      </c>
      <c r="K351" s="22">
        <v>8.2366900000000007E-2</v>
      </c>
      <c r="L351">
        <f t="shared" si="60"/>
        <v>15.728800000000001</v>
      </c>
      <c r="M351">
        <f t="shared" si="61"/>
        <v>1.3032128697600003</v>
      </c>
      <c r="N351" s="9"/>
      <c r="O351" s="22">
        <v>1.61713</v>
      </c>
      <c r="P351" s="22">
        <v>61.841999999999999</v>
      </c>
      <c r="Q351" s="22">
        <v>-1.05164E-2</v>
      </c>
      <c r="R351" s="22">
        <v>341</v>
      </c>
      <c r="S351" s="22">
        <v>1.61591</v>
      </c>
      <c r="T351">
        <f t="shared" si="62"/>
        <v>10.516400000000001</v>
      </c>
      <c r="U351">
        <f t="shared" si="63"/>
        <v>17.006385932000001</v>
      </c>
      <c r="X351" s="9"/>
      <c r="Y351" s="22">
        <v>8.2855200000000004E-2</v>
      </c>
      <c r="Z351" s="22">
        <v>111.419</v>
      </c>
      <c r="AA351" s="22">
        <v>-1.57471E-2</v>
      </c>
      <c r="AB351" s="22">
        <v>341</v>
      </c>
      <c r="AC351" s="22">
        <v>8.2397499999999999E-2</v>
      </c>
      <c r="AD351">
        <f t="shared" si="64"/>
        <v>15.7471</v>
      </c>
      <c r="AE351">
        <f t="shared" si="65"/>
        <v>1.30472911992</v>
      </c>
      <c r="AF351" s="9"/>
      <c r="AG351" s="22">
        <v>1.61713</v>
      </c>
      <c r="AH351" s="22">
        <v>143.07900000000001</v>
      </c>
      <c r="AI351" s="22">
        <v>-1.03699E-2</v>
      </c>
      <c r="AJ351" s="22">
        <v>341</v>
      </c>
      <c r="AK351" s="22">
        <v>1.6168199999999999</v>
      </c>
      <c r="AL351">
        <f t="shared" si="66"/>
        <v>10.369899999999999</v>
      </c>
      <c r="AM351">
        <f t="shared" si="67"/>
        <v>16.769476386999997</v>
      </c>
      <c r="AP351" s="9"/>
      <c r="AQ351" s="22">
        <v>8.2855200000000004E-2</v>
      </c>
      <c r="AR351" s="22">
        <v>192.45699999999999</v>
      </c>
      <c r="AS351" s="22">
        <v>-1.5744000000000001E-2</v>
      </c>
      <c r="AT351" s="22">
        <v>341</v>
      </c>
      <c r="AU351" s="22">
        <v>8.2366900000000007E-2</v>
      </c>
      <c r="AV351">
        <f t="shared" si="68"/>
        <v>15.744000000000002</v>
      </c>
      <c r="AW351">
        <f t="shared" si="69"/>
        <v>1.3044722688000001</v>
      </c>
      <c r="AX351" s="9"/>
      <c r="AY351" s="22">
        <v>1.61713</v>
      </c>
      <c r="AZ351" s="22">
        <v>241.84</v>
      </c>
      <c r="BA351" s="22">
        <v>-1.0330199999999999E-2</v>
      </c>
      <c r="BB351" s="22">
        <v>341</v>
      </c>
      <c r="BC351" s="22">
        <v>1.61652</v>
      </c>
      <c r="BD351">
        <f t="shared" si="70"/>
        <v>10.3302</v>
      </c>
      <c r="BE351">
        <f t="shared" si="71"/>
        <v>16.705276326</v>
      </c>
    </row>
    <row r="352" spans="6:57">
      <c r="F352" s="9"/>
      <c r="G352" s="22">
        <v>7.7819799999999995E-2</v>
      </c>
      <c r="H352" s="22">
        <v>12.4307</v>
      </c>
      <c r="I352" s="22">
        <v>-1.5731800000000001E-2</v>
      </c>
      <c r="J352" s="22">
        <v>342</v>
      </c>
      <c r="K352" s="22">
        <v>7.7300999999999995E-2</v>
      </c>
      <c r="L352">
        <f t="shared" si="60"/>
        <v>15.7318</v>
      </c>
      <c r="M352">
        <f t="shared" si="61"/>
        <v>1.2242455296399999</v>
      </c>
      <c r="N352" s="9"/>
      <c r="O352" s="22">
        <v>1.62216</v>
      </c>
      <c r="P352" s="22">
        <v>61.8521</v>
      </c>
      <c r="Q352" s="22">
        <v>-1.03363E-2</v>
      </c>
      <c r="R352" s="22">
        <v>342</v>
      </c>
      <c r="S352" s="22">
        <v>1.6214</v>
      </c>
      <c r="T352">
        <f t="shared" si="62"/>
        <v>10.3363</v>
      </c>
      <c r="U352">
        <f t="shared" si="63"/>
        <v>16.767132407999998</v>
      </c>
      <c r="X352" s="9"/>
      <c r="Y352" s="22">
        <v>7.7819799999999995E-2</v>
      </c>
      <c r="Z352" s="22">
        <v>111.43</v>
      </c>
      <c r="AA352" s="22">
        <v>-1.57471E-2</v>
      </c>
      <c r="AB352" s="22">
        <v>342</v>
      </c>
      <c r="AC352" s="22">
        <v>7.7270500000000006E-2</v>
      </c>
      <c r="AD352">
        <f t="shared" si="64"/>
        <v>15.7471</v>
      </c>
      <c r="AE352">
        <f t="shared" si="65"/>
        <v>1.2254361725799998</v>
      </c>
      <c r="AF352" s="9"/>
      <c r="AG352" s="22">
        <v>1.62216</v>
      </c>
      <c r="AH352" s="22">
        <v>143.089</v>
      </c>
      <c r="AI352" s="22">
        <v>-1.0195900000000001E-2</v>
      </c>
      <c r="AJ352" s="22">
        <v>342</v>
      </c>
      <c r="AK352" s="22">
        <v>1.6214</v>
      </c>
      <c r="AL352">
        <f t="shared" si="66"/>
        <v>10.1959</v>
      </c>
      <c r="AM352">
        <f t="shared" si="67"/>
        <v>16.539381144</v>
      </c>
      <c r="AP352" s="9"/>
      <c r="AQ352" s="22">
        <v>7.7819799999999995E-2</v>
      </c>
      <c r="AR352" s="22">
        <v>192.46700000000001</v>
      </c>
      <c r="AS352" s="22">
        <v>-1.57471E-2</v>
      </c>
      <c r="AT352" s="22">
        <v>342</v>
      </c>
      <c r="AU352" s="22">
        <v>7.72095E-2</v>
      </c>
      <c r="AV352">
        <f t="shared" si="68"/>
        <v>15.7471</v>
      </c>
      <c r="AW352">
        <f t="shared" si="69"/>
        <v>1.2254361725799998</v>
      </c>
      <c r="AX352" s="9"/>
      <c r="AY352" s="22">
        <v>1.62216</v>
      </c>
      <c r="AZ352" s="22">
        <v>241.85</v>
      </c>
      <c r="BA352" s="22">
        <v>-1.01624E-2</v>
      </c>
      <c r="BB352" s="22">
        <v>342</v>
      </c>
      <c r="BC352" s="22">
        <v>1.6214</v>
      </c>
      <c r="BD352">
        <f t="shared" si="70"/>
        <v>10.1624</v>
      </c>
      <c r="BE352">
        <f t="shared" si="71"/>
        <v>16.485038784</v>
      </c>
    </row>
    <row r="353" spans="6:57">
      <c r="F353" s="9"/>
      <c r="G353" s="22">
        <v>7.2784399999999999E-2</v>
      </c>
      <c r="H353" s="22">
        <v>12.4407</v>
      </c>
      <c r="I353" s="22">
        <v>-1.5731800000000001E-2</v>
      </c>
      <c r="J353" s="22">
        <v>343</v>
      </c>
      <c r="K353" s="22">
        <v>7.2265599999999999E-2</v>
      </c>
      <c r="L353">
        <f t="shared" si="60"/>
        <v>15.7318</v>
      </c>
      <c r="M353">
        <f t="shared" si="61"/>
        <v>1.14502962392</v>
      </c>
      <c r="N353" s="9"/>
      <c r="O353" s="22">
        <v>1.6272</v>
      </c>
      <c r="P353" s="22">
        <v>61.862200000000001</v>
      </c>
      <c r="Q353" s="22">
        <v>-1.01593E-2</v>
      </c>
      <c r="R353" s="22">
        <v>343</v>
      </c>
      <c r="S353" s="22">
        <v>1.62659</v>
      </c>
      <c r="T353">
        <f t="shared" si="62"/>
        <v>10.1593</v>
      </c>
      <c r="U353">
        <f t="shared" si="63"/>
        <v>16.531212960000001</v>
      </c>
      <c r="X353" s="9"/>
      <c r="Y353" s="22">
        <v>7.2784399999999999E-2</v>
      </c>
      <c r="Z353" s="22">
        <v>111.44</v>
      </c>
      <c r="AA353" s="22">
        <v>-1.57501E-2</v>
      </c>
      <c r="AB353" s="22">
        <v>343</v>
      </c>
      <c r="AC353" s="22">
        <v>7.2265599999999999E-2</v>
      </c>
      <c r="AD353">
        <f t="shared" si="64"/>
        <v>15.7501</v>
      </c>
      <c r="AE353">
        <f t="shared" si="65"/>
        <v>1.1463615784399999</v>
      </c>
      <c r="AF353" s="9"/>
      <c r="AG353" s="22">
        <v>1.6272</v>
      </c>
      <c r="AH353" s="22">
        <v>143.09899999999999</v>
      </c>
      <c r="AI353" s="22">
        <v>-1.0012800000000001E-2</v>
      </c>
      <c r="AJ353" s="22">
        <v>343</v>
      </c>
      <c r="AK353" s="22">
        <v>1.62659</v>
      </c>
      <c r="AL353">
        <f t="shared" si="66"/>
        <v>10.0128</v>
      </c>
      <c r="AM353">
        <f t="shared" si="67"/>
        <v>16.292828159999999</v>
      </c>
      <c r="AP353" s="9"/>
      <c r="AQ353" s="22">
        <v>7.2784399999999999E-2</v>
      </c>
      <c r="AR353" s="22">
        <v>192.477</v>
      </c>
      <c r="AS353" s="22">
        <v>-1.57471E-2</v>
      </c>
      <c r="AT353" s="22">
        <v>343</v>
      </c>
      <c r="AU353" s="22">
        <v>7.2235099999999997E-2</v>
      </c>
      <c r="AV353">
        <f t="shared" si="68"/>
        <v>15.7471</v>
      </c>
      <c r="AW353">
        <f t="shared" si="69"/>
        <v>1.1461432252399999</v>
      </c>
      <c r="AX353" s="9"/>
      <c r="AY353" s="22">
        <v>1.6272</v>
      </c>
      <c r="AZ353" s="22">
        <v>241.86099999999999</v>
      </c>
      <c r="BA353" s="22">
        <v>-9.9792500000000003E-3</v>
      </c>
      <c r="BB353" s="22">
        <v>343</v>
      </c>
      <c r="BC353" s="22">
        <v>1.6262799999999999</v>
      </c>
      <c r="BD353">
        <f t="shared" si="70"/>
        <v>9.9792500000000004</v>
      </c>
      <c r="BE353">
        <f t="shared" si="71"/>
        <v>16.238235599999999</v>
      </c>
    </row>
    <row r="354" spans="6:57">
      <c r="F354" s="9"/>
      <c r="G354" s="22">
        <v>6.7749000000000004E-2</v>
      </c>
      <c r="H354" s="22">
        <v>12.450799999999999</v>
      </c>
      <c r="I354" s="22">
        <v>-1.5731800000000001E-2</v>
      </c>
      <c r="J354" s="22">
        <v>344</v>
      </c>
      <c r="K354" s="22">
        <v>6.7199700000000001E-2</v>
      </c>
      <c r="L354">
        <f t="shared" si="60"/>
        <v>15.7318</v>
      </c>
      <c r="M354">
        <f t="shared" si="61"/>
        <v>1.0658137182</v>
      </c>
      <c r="N354" s="9"/>
      <c r="O354" s="22">
        <v>1.6322300000000001</v>
      </c>
      <c r="P354" s="22">
        <v>61.872199999999999</v>
      </c>
      <c r="Q354" s="22">
        <v>-9.9700899999999992E-3</v>
      </c>
      <c r="R354" s="22">
        <v>344</v>
      </c>
      <c r="S354" s="22">
        <v>1.6317699999999999</v>
      </c>
      <c r="T354">
        <f t="shared" si="62"/>
        <v>9.970089999999999</v>
      </c>
      <c r="U354">
        <f t="shared" si="63"/>
        <v>16.273480000699998</v>
      </c>
      <c r="X354" s="9"/>
      <c r="Y354" s="22">
        <v>6.7749000000000004E-2</v>
      </c>
      <c r="Z354" s="22">
        <v>111.45</v>
      </c>
      <c r="AA354" s="22">
        <v>-1.57593E-2</v>
      </c>
      <c r="AB354" s="22">
        <v>344</v>
      </c>
      <c r="AC354" s="22">
        <v>6.7230200000000004E-2</v>
      </c>
      <c r="AD354">
        <f t="shared" si="64"/>
        <v>15.7593</v>
      </c>
      <c r="AE354">
        <f t="shared" si="65"/>
        <v>1.0676768157000001</v>
      </c>
      <c r="AF354" s="9"/>
      <c r="AG354" s="22">
        <v>1.6322300000000001</v>
      </c>
      <c r="AH354" s="22">
        <v>143.10900000000001</v>
      </c>
      <c r="AI354" s="22">
        <v>-9.8205600000000007E-3</v>
      </c>
      <c r="AJ354" s="22">
        <v>344</v>
      </c>
      <c r="AK354" s="22">
        <v>1.6317699999999999</v>
      </c>
      <c r="AL354">
        <f t="shared" si="66"/>
        <v>9.8205600000000004</v>
      </c>
      <c r="AM354">
        <f t="shared" si="67"/>
        <v>16.029412648800001</v>
      </c>
      <c r="AP354" s="9"/>
      <c r="AQ354" s="22">
        <v>6.7749000000000004E-2</v>
      </c>
      <c r="AR354" s="22">
        <v>192.48699999999999</v>
      </c>
      <c r="AS354" s="22">
        <v>-1.57471E-2</v>
      </c>
      <c r="AT354" s="22">
        <v>344</v>
      </c>
      <c r="AU354" s="22">
        <v>6.7199700000000001E-2</v>
      </c>
      <c r="AV354">
        <f t="shared" si="68"/>
        <v>15.7471</v>
      </c>
      <c r="AW354">
        <f t="shared" si="69"/>
        <v>1.0668502779</v>
      </c>
      <c r="AX354" s="9"/>
      <c r="AY354" s="22">
        <v>1.6322300000000001</v>
      </c>
      <c r="AZ354" s="22">
        <v>241.87100000000001</v>
      </c>
      <c r="BA354" s="22">
        <v>-9.7961400000000001E-3</v>
      </c>
      <c r="BB354" s="22">
        <v>344</v>
      </c>
      <c r="BC354" s="22">
        <v>1.63147</v>
      </c>
      <c r="BD354">
        <f t="shared" si="70"/>
        <v>9.7961399999999994</v>
      </c>
      <c r="BE354">
        <f t="shared" si="71"/>
        <v>15.9895535922</v>
      </c>
    </row>
    <row r="355" spans="6:57">
      <c r="F355" s="9"/>
      <c r="G355" s="22">
        <v>6.2713599999999994E-2</v>
      </c>
      <c r="H355" s="22">
        <v>12.460900000000001</v>
      </c>
      <c r="I355" s="22">
        <v>-1.5728800000000001E-2</v>
      </c>
      <c r="J355" s="22">
        <v>345</v>
      </c>
      <c r="K355" s="22">
        <v>6.21033E-2</v>
      </c>
      <c r="L355">
        <f t="shared" si="60"/>
        <v>15.728800000000001</v>
      </c>
      <c r="M355">
        <f t="shared" si="61"/>
        <v>0.98640967168000004</v>
      </c>
      <c r="N355" s="9"/>
      <c r="O355" s="22">
        <v>1.63727</v>
      </c>
      <c r="P355" s="22">
        <v>61.882300000000001</v>
      </c>
      <c r="Q355" s="22">
        <v>-9.7686800000000001E-3</v>
      </c>
      <c r="R355" s="22">
        <v>345</v>
      </c>
      <c r="S355" s="22">
        <v>1.63635</v>
      </c>
      <c r="T355">
        <f t="shared" si="62"/>
        <v>9.7686799999999998</v>
      </c>
      <c r="U355">
        <f t="shared" si="63"/>
        <v>15.9939667036</v>
      </c>
      <c r="X355" s="9"/>
      <c r="Y355" s="22">
        <v>6.2713599999999994E-2</v>
      </c>
      <c r="Z355" s="22">
        <v>111.46</v>
      </c>
      <c r="AA355" s="22">
        <v>-1.5765399999999999E-2</v>
      </c>
      <c r="AB355" s="22">
        <v>345</v>
      </c>
      <c r="AC355" s="22">
        <v>6.2194800000000001E-2</v>
      </c>
      <c r="AD355">
        <f t="shared" si="64"/>
        <v>15.7654</v>
      </c>
      <c r="AE355">
        <f t="shared" si="65"/>
        <v>0.98870498943999985</v>
      </c>
      <c r="AF355" s="9"/>
      <c r="AG355" s="22">
        <v>1.63727</v>
      </c>
      <c r="AH355" s="22">
        <v>143.119</v>
      </c>
      <c r="AI355" s="22">
        <v>-9.6221899999999992E-3</v>
      </c>
      <c r="AJ355" s="22">
        <v>345</v>
      </c>
      <c r="AK355" s="22">
        <v>1.63666</v>
      </c>
      <c r="AL355">
        <f t="shared" si="66"/>
        <v>9.6221899999999998</v>
      </c>
      <c r="AM355">
        <f t="shared" si="67"/>
        <v>15.7541230213</v>
      </c>
      <c r="AP355" s="9"/>
      <c r="AQ355" s="22">
        <v>6.2713599999999994E-2</v>
      </c>
      <c r="AR355" s="22">
        <v>192.49700000000001</v>
      </c>
      <c r="AS355" s="22">
        <v>-1.57471E-2</v>
      </c>
      <c r="AT355" s="22">
        <v>345</v>
      </c>
      <c r="AU355" s="22">
        <v>6.2164299999999999E-2</v>
      </c>
      <c r="AV355">
        <f t="shared" si="68"/>
        <v>15.7471</v>
      </c>
      <c r="AW355">
        <f t="shared" si="69"/>
        <v>0.98755733055999984</v>
      </c>
      <c r="AX355" s="9"/>
      <c r="AY355" s="22">
        <v>1.63727</v>
      </c>
      <c r="AZ355" s="22">
        <v>241.881</v>
      </c>
      <c r="BA355" s="22">
        <v>-9.5977800000000002E-3</v>
      </c>
      <c r="BB355" s="22">
        <v>345</v>
      </c>
      <c r="BC355" s="22">
        <v>1.63635</v>
      </c>
      <c r="BD355">
        <f t="shared" si="70"/>
        <v>9.5977800000000002</v>
      </c>
      <c r="BE355">
        <f t="shared" si="71"/>
        <v>15.7141572606</v>
      </c>
    </row>
    <row r="356" spans="6:57">
      <c r="F356" s="9"/>
      <c r="G356" s="22">
        <v>5.7678199999999999E-2</v>
      </c>
      <c r="H356" s="22">
        <v>12.471</v>
      </c>
      <c r="I356" s="22">
        <v>-1.5725699999999999E-2</v>
      </c>
      <c r="J356" s="22">
        <v>346</v>
      </c>
      <c r="K356" s="22">
        <v>5.7189900000000002E-2</v>
      </c>
      <c r="L356">
        <f t="shared" si="60"/>
        <v>15.725699999999998</v>
      </c>
      <c r="M356">
        <f t="shared" si="61"/>
        <v>0.90703006973999989</v>
      </c>
      <c r="N356" s="9"/>
      <c r="O356" s="22">
        <v>1.6423000000000001</v>
      </c>
      <c r="P356" s="22">
        <v>61.892400000000002</v>
      </c>
      <c r="Q356" s="22">
        <v>-9.5672599999999993E-3</v>
      </c>
      <c r="R356" s="22">
        <v>346</v>
      </c>
      <c r="S356" s="22">
        <v>1.64185</v>
      </c>
      <c r="T356">
        <f t="shared" si="62"/>
        <v>9.5672599999999992</v>
      </c>
      <c r="U356">
        <f t="shared" si="63"/>
        <v>15.712311097999999</v>
      </c>
      <c r="X356" s="9"/>
      <c r="Y356" s="22">
        <v>5.7678199999999999E-2</v>
      </c>
      <c r="Z356" s="22">
        <v>111.47</v>
      </c>
      <c r="AA356" s="22">
        <v>-1.5771500000000001E-2</v>
      </c>
      <c r="AB356" s="22">
        <v>346</v>
      </c>
      <c r="AC356" s="22">
        <v>5.7220500000000001E-2</v>
      </c>
      <c r="AD356">
        <f t="shared" si="64"/>
        <v>15.771500000000001</v>
      </c>
      <c r="AE356">
        <f t="shared" si="65"/>
        <v>0.90967173130000012</v>
      </c>
      <c r="AF356" s="9"/>
      <c r="AG356" s="22">
        <v>1.6423000000000001</v>
      </c>
      <c r="AH356" s="22">
        <v>143.12899999999999</v>
      </c>
      <c r="AI356" s="22">
        <v>-9.4207800000000001E-3</v>
      </c>
      <c r="AJ356" s="22">
        <v>346</v>
      </c>
      <c r="AK356" s="22">
        <v>1.64185</v>
      </c>
      <c r="AL356">
        <f t="shared" si="66"/>
        <v>9.4207800000000006</v>
      </c>
      <c r="AM356">
        <f t="shared" si="67"/>
        <v>15.471746994000002</v>
      </c>
      <c r="AP356" s="9"/>
      <c r="AQ356" s="22">
        <v>5.7678199999999999E-2</v>
      </c>
      <c r="AR356" s="22">
        <v>192.50700000000001</v>
      </c>
      <c r="AS356" s="22">
        <v>-1.57501E-2</v>
      </c>
      <c r="AT356" s="22">
        <v>346</v>
      </c>
      <c r="AU356" s="22">
        <v>5.7159399999999999E-2</v>
      </c>
      <c r="AV356">
        <f t="shared" si="68"/>
        <v>15.7501</v>
      </c>
      <c r="AW356">
        <f t="shared" si="69"/>
        <v>0.90843741781999998</v>
      </c>
      <c r="AX356" s="9"/>
      <c r="AY356" s="22">
        <v>1.6423000000000001</v>
      </c>
      <c r="AZ356" s="22">
        <v>241.89099999999999</v>
      </c>
      <c r="BA356" s="22">
        <v>-9.38721E-3</v>
      </c>
      <c r="BB356" s="22">
        <v>346</v>
      </c>
      <c r="BC356" s="22">
        <v>1.64154</v>
      </c>
      <c r="BD356">
        <f t="shared" si="70"/>
        <v>9.3872099999999996</v>
      </c>
      <c r="BE356">
        <f t="shared" si="71"/>
        <v>15.416614983000001</v>
      </c>
    </row>
    <row r="357" spans="6:57">
      <c r="F357" s="9"/>
      <c r="G357" s="22">
        <v>5.2642799999999997E-2</v>
      </c>
      <c r="H357" s="22">
        <v>12.481</v>
      </c>
      <c r="I357" s="22">
        <v>-1.5725699999999999E-2</v>
      </c>
      <c r="J357" s="22">
        <v>347</v>
      </c>
      <c r="K357" s="22">
        <v>5.2215600000000001E-2</v>
      </c>
      <c r="L357">
        <f t="shared" si="60"/>
        <v>15.725699999999998</v>
      </c>
      <c r="M357">
        <f t="shared" si="61"/>
        <v>0.82784487995999989</v>
      </c>
      <c r="N357" s="9"/>
      <c r="O357" s="22">
        <v>1.64734</v>
      </c>
      <c r="P357" s="22">
        <v>61.902500000000003</v>
      </c>
      <c r="Q357" s="22">
        <v>-9.3719500000000004E-3</v>
      </c>
      <c r="R357" s="22">
        <v>347</v>
      </c>
      <c r="S357" s="22">
        <v>1.64673</v>
      </c>
      <c r="T357">
        <f t="shared" si="62"/>
        <v>9.37195</v>
      </c>
      <c r="U357">
        <f t="shared" si="63"/>
        <v>15.438788113000001</v>
      </c>
      <c r="X357" s="9"/>
      <c r="Y357" s="22">
        <v>5.2642799999999997E-2</v>
      </c>
      <c r="Z357" s="22">
        <v>111.48</v>
      </c>
      <c r="AA357" s="22">
        <v>-1.5771500000000001E-2</v>
      </c>
      <c r="AB357" s="22">
        <v>347</v>
      </c>
      <c r="AC357" s="22">
        <v>5.2215600000000001E-2</v>
      </c>
      <c r="AD357">
        <f t="shared" si="64"/>
        <v>15.771500000000001</v>
      </c>
      <c r="AE357">
        <f t="shared" si="65"/>
        <v>0.83025592020000005</v>
      </c>
      <c r="AF357" s="9"/>
      <c r="AG357" s="22">
        <v>1.64734</v>
      </c>
      <c r="AH357" s="22">
        <v>143.13900000000001</v>
      </c>
      <c r="AI357" s="22">
        <v>-9.2102099999999999E-3</v>
      </c>
      <c r="AJ357" s="22">
        <v>347</v>
      </c>
      <c r="AK357" s="22">
        <v>1.64673</v>
      </c>
      <c r="AL357">
        <f t="shared" si="66"/>
        <v>9.21021</v>
      </c>
      <c r="AM357">
        <f t="shared" si="67"/>
        <v>15.1723473414</v>
      </c>
      <c r="AP357" s="9"/>
      <c r="AQ357" s="22">
        <v>5.2642799999999997E-2</v>
      </c>
      <c r="AR357" s="22">
        <v>192.517</v>
      </c>
      <c r="AS357" s="22">
        <v>-1.57501E-2</v>
      </c>
      <c r="AT357" s="22">
        <v>347</v>
      </c>
      <c r="AU357" s="22">
        <v>5.2215600000000001E-2</v>
      </c>
      <c r="AV357">
        <f t="shared" si="68"/>
        <v>15.7501</v>
      </c>
      <c r="AW357">
        <f t="shared" si="69"/>
        <v>0.82912936427999995</v>
      </c>
      <c r="AX357" s="9"/>
      <c r="AY357" s="22">
        <v>1.64734</v>
      </c>
      <c r="AZ357" s="22">
        <v>241.90100000000001</v>
      </c>
      <c r="BA357" s="22">
        <v>-9.1766399999999998E-3</v>
      </c>
      <c r="BB357" s="22">
        <v>347</v>
      </c>
      <c r="BC357" s="22">
        <v>1.64642</v>
      </c>
      <c r="BD357">
        <f t="shared" si="70"/>
        <v>9.176639999999999</v>
      </c>
      <c r="BE357">
        <f t="shared" si="71"/>
        <v>15.117046137599999</v>
      </c>
    </row>
    <row r="358" spans="6:57">
      <c r="F358" s="9"/>
      <c r="G358" s="22">
        <v>4.7607400000000001E-2</v>
      </c>
      <c r="H358" s="22">
        <v>12.491099999999999</v>
      </c>
      <c r="I358" s="22">
        <v>-1.5725699999999999E-2</v>
      </c>
      <c r="J358" s="22">
        <v>348</v>
      </c>
      <c r="K358" s="22">
        <v>4.7558599999999999E-2</v>
      </c>
      <c r="L358">
        <f t="shared" si="60"/>
        <v>15.725699999999998</v>
      </c>
      <c r="M358">
        <f t="shared" si="61"/>
        <v>0.74865969017999989</v>
      </c>
      <c r="N358" s="9"/>
      <c r="O358" s="22">
        <v>1.6523699999999999</v>
      </c>
      <c r="P358" s="22">
        <v>61.912500000000001</v>
      </c>
      <c r="Q358" s="22">
        <v>-9.1644299999999995E-3</v>
      </c>
      <c r="R358" s="22">
        <v>348</v>
      </c>
      <c r="S358" s="22">
        <v>1.6513100000000001</v>
      </c>
      <c r="T358">
        <f t="shared" si="62"/>
        <v>9.1644299999999994</v>
      </c>
      <c r="U358">
        <f t="shared" si="63"/>
        <v>15.143029199099997</v>
      </c>
      <c r="X358" s="9"/>
      <c r="Y358" s="22">
        <v>4.7607400000000001E-2</v>
      </c>
      <c r="Z358" s="22">
        <v>111.49</v>
      </c>
      <c r="AA358" s="22">
        <v>-1.57745E-2</v>
      </c>
      <c r="AB358" s="22">
        <v>348</v>
      </c>
      <c r="AC358" s="22">
        <v>4.7583E-2</v>
      </c>
      <c r="AD358">
        <f t="shared" si="64"/>
        <v>15.7745</v>
      </c>
      <c r="AE358">
        <f t="shared" si="65"/>
        <v>0.75098293130000005</v>
      </c>
      <c r="AF358" s="9"/>
      <c r="AG358" s="22">
        <v>1.6523699999999999</v>
      </c>
      <c r="AH358" s="22">
        <v>143.149</v>
      </c>
      <c r="AI358" s="22">
        <v>-8.9904800000000003E-3</v>
      </c>
      <c r="AJ358" s="22">
        <v>348</v>
      </c>
      <c r="AK358" s="22">
        <v>1.65161</v>
      </c>
      <c r="AL358">
        <f t="shared" si="66"/>
        <v>8.9904799999999998</v>
      </c>
      <c r="AM358">
        <f t="shared" si="67"/>
        <v>14.855599437599999</v>
      </c>
      <c r="AP358" s="9"/>
      <c r="AQ358" s="22">
        <v>4.7607400000000001E-2</v>
      </c>
      <c r="AR358" s="22">
        <v>192.52699999999999</v>
      </c>
      <c r="AS358" s="22">
        <v>-1.5744000000000001E-2</v>
      </c>
      <c r="AT358" s="22">
        <v>348</v>
      </c>
      <c r="AU358" s="22">
        <v>4.7567699999999997E-2</v>
      </c>
      <c r="AV358">
        <f t="shared" si="68"/>
        <v>15.744000000000002</v>
      </c>
      <c r="AW358">
        <f t="shared" si="69"/>
        <v>0.74953090560000013</v>
      </c>
      <c r="AX358" s="9"/>
      <c r="AY358" s="22">
        <v>1.6523699999999999</v>
      </c>
      <c r="AZ358" s="22">
        <v>241.911</v>
      </c>
      <c r="BA358" s="22">
        <v>-8.9569100000000002E-3</v>
      </c>
      <c r="BB358" s="22">
        <v>348</v>
      </c>
      <c r="BC358" s="22">
        <v>1.65161</v>
      </c>
      <c r="BD358">
        <f t="shared" si="70"/>
        <v>8.9569100000000006</v>
      </c>
      <c r="BE358">
        <f t="shared" si="71"/>
        <v>14.800129376699999</v>
      </c>
    </row>
    <row r="359" spans="6:57">
      <c r="F359" s="9"/>
      <c r="G359" s="22">
        <v>4.2571999999999999E-2</v>
      </c>
      <c r="H359" s="22">
        <v>12.501200000000001</v>
      </c>
      <c r="I359" s="22">
        <v>-1.5725699999999999E-2</v>
      </c>
      <c r="J359" s="22">
        <v>349</v>
      </c>
      <c r="K359" s="22">
        <v>4.2535400000000001E-2</v>
      </c>
      <c r="L359">
        <f t="shared" si="60"/>
        <v>15.725699999999998</v>
      </c>
      <c r="M359">
        <f t="shared" si="61"/>
        <v>0.66947450039999989</v>
      </c>
      <c r="N359" s="9"/>
      <c r="O359" s="22">
        <v>1.65741</v>
      </c>
      <c r="P359" s="22">
        <v>61.922600000000003</v>
      </c>
      <c r="Q359" s="22">
        <v>-8.9416500000000006E-3</v>
      </c>
      <c r="R359" s="22">
        <v>349</v>
      </c>
      <c r="S359" s="22">
        <v>1.6568000000000001</v>
      </c>
      <c r="T359">
        <f t="shared" si="62"/>
        <v>8.941650000000001</v>
      </c>
      <c r="U359">
        <f t="shared" si="63"/>
        <v>14.819980126500003</v>
      </c>
      <c r="X359" s="9"/>
      <c r="Y359" s="22">
        <v>4.2571999999999999E-2</v>
      </c>
      <c r="Z359" s="22">
        <v>111.5</v>
      </c>
      <c r="AA359" s="22">
        <v>-1.5771500000000001E-2</v>
      </c>
      <c r="AB359" s="22">
        <v>349</v>
      </c>
      <c r="AC359" s="22">
        <v>4.2547599999999998E-2</v>
      </c>
      <c r="AD359">
        <f t="shared" si="64"/>
        <v>15.771500000000001</v>
      </c>
      <c r="AE359">
        <f t="shared" si="65"/>
        <v>0.67142429800000003</v>
      </c>
      <c r="AF359" s="9"/>
      <c r="AG359" s="22">
        <v>1.65741</v>
      </c>
      <c r="AH359" s="22">
        <v>143.15899999999999</v>
      </c>
      <c r="AI359" s="22">
        <v>-8.7768599999999992E-3</v>
      </c>
      <c r="AJ359" s="22">
        <v>349</v>
      </c>
      <c r="AK359" s="22">
        <v>1.6561900000000001</v>
      </c>
      <c r="AL359">
        <f t="shared" si="66"/>
        <v>8.7768599999999992</v>
      </c>
      <c r="AM359">
        <f t="shared" si="67"/>
        <v>14.546855532599999</v>
      </c>
      <c r="AP359" s="9"/>
      <c r="AQ359" s="22">
        <v>4.2571999999999999E-2</v>
      </c>
      <c r="AR359" s="22">
        <v>192.53800000000001</v>
      </c>
      <c r="AS359" s="22">
        <v>-1.5744000000000001E-2</v>
      </c>
      <c r="AT359" s="22">
        <v>349</v>
      </c>
      <c r="AU359" s="22">
        <v>4.2532300000000002E-2</v>
      </c>
      <c r="AV359">
        <f t="shared" si="68"/>
        <v>15.744000000000002</v>
      </c>
      <c r="AW359">
        <f t="shared" si="69"/>
        <v>0.67025356800000002</v>
      </c>
      <c r="AX359" s="9"/>
      <c r="AY359" s="22">
        <v>1.65741</v>
      </c>
      <c r="AZ359" s="22">
        <v>241.92099999999999</v>
      </c>
      <c r="BA359" s="22">
        <v>-8.7188700000000001E-3</v>
      </c>
      <c r="BB359" s="22">
        <v>349</v>
      </c>
      <c r="BC359" s="22">
        <v>1.65649</v>
      </c>
      <c r="BD359">
        <f t="shared" si="70"/>
        <v>8.7188700000000008</v>
      </c>
      <c r="BE359">
        <f t="shared" si="71"/>
        <v>14.450742326700002</v>
      </c>
    </row>
    <row r="360" spans="6:57">
      <c r="F360" s="9"/>
      <c r="G360" s="22">
        <v>3.7536600000000003E-2</v>
      </c>
      <c r="H360" s="22">
        <v>12.511200000000001</v>
      </c>
      <c r="I360" s="22">
        <v>-1.5722699999999999E-2</v>
      </c>
      <c r="J360" s="22">
        <v>350</v>
      </c>
      <c r="K360" s="22">
        <v>3.7463400000000001E-2</v>
      </c>
      <c r="L360">
        <f t="shared" si="60"/>
        <v>15.7227</v>
      </c>
      <c r="M360">
        <f t="shared" si="61"/>
        <v>0.59017670082000007</v>
      </c>
      <c r="N360" s="9"/>
      <c r="O360" s="22">
        <v>1.66245</v>
      </c>
      <c r="P360" s="22">
        <v>61.932699999999997</v>
      </c>
      <c r="Q360" s="22">
        <v>-8.7005599999999995E-3</v>
      </c>
      <c r="R360" s="22">
        <v>350</v>
      </c>
      <c r="S360" s="22">
        <v>1.66168</v>
      </c>
      <c r="T360">
        <f t="shared" si="62"/>
        <v>8.7005599999999994</v>
      </c>
      <c r="U360">
        <f t="shared" si="63"/>
        <v>14.464245971999999</v>
      </c>
      <c r="X360" s="9"/>
      <c r="Y360" s="22">
        <v>3.7536600000000003E-2</v>
      </c>
      <c r="Z360" s="22">
        <v>111.51</v>
      </c>
      <c r="AA360" s="22">
        <v>-1.57745E-2</v>
      </c>
      <c r="AB360" s="22">
        <v>350</v>
      </c>
      <c r="AC360" s="22">
        <v>3.7487800000000002E-2</v>
      </c>
      <c r="AD360">
        <f t="shared" si="64"/>
        <v>15.7745</v>
      </c>
      <c r="AE360">
        <f t="shared" si="65"/>
        <v>0.59212109670000002</v>
      </c>
      <c r="AF360" s="9"/>
      <c r="AG360" s="22">
        <v>1.66245</v>
      </c>
      <c r="AH360" s="22">
        <v>143.16900000000001</v>
      </c>
      <c r="AI360" s="22">
        <v>-8.5327100000000006E-3</v>
      </c>
      <c r="AJ360" s="22">
        <v>350</v>
      </c>
      <c r="AK360" s="22">
        <v>1.6613800000000001</v>
      </c>
      <c r="AL360">
        <f t="shared" si="66"/>
        <v>8.5327099999999998</v>
      </c>
      <c r="AM360">
        <f t="shared" si="67"/>
        <v>14.1852037395</v>
      </c>
      <c r="AP360" s="9"/>
      <c r="AQ360" s="22">
        <v>3.7536600000000003E-2</v>
      </c>
      <c r="AR360" s="22">
        <v>192.548</v>
      </c>
      <c r="AS360" s="22">
        <v>-1.5744000000000001E-2</v>
      </c>
      <c r="AT360" s="22">
        <v>350</v>
      </c>
      <c r="AU360" s="22">
        <v>3.7478600000000001E-2</v>
      </c>
      <c r="AV360">
        <f t="shared" si="68"/>
        <v>15.744000000000002</v>
      </c>
      <c r="AW360">
        <f t="shared" si="69"/>
        <v>0.59097623040000014</v>
      </c>
      <c r="AX360" s="9"/>
      <c r="AY360" s="22">
        <v>1.66245</v>
      </c>
      <c r="AZ360" s="22">
        <v>241.93100000000001</v>
      </c>
      <c r="BA360" s="22">
        <v>-8.4594700000000002E-3</v>
      </c>
      <c r="BB360" s="22">
        <v>350</v>
      </c>
      <c r="BC360" s="22">
        <v>1.6613800000000001</v>
      </c>
      <c r="BD360">
        <f t="shared" si="70"/>
        <v>8.4594699999999996</v>
      </c>
      <c r="BE360">
        <f t="shared" si="71"/>
        <v>14.0634459015</v>
      </c>
    </row>
    <row r="361" spans="6:57">
      <c r="F361" s="9"/>
      <c r="G361" s="22">
        <v>3.2501200000000001E-2</v>
      </c>
      <c r="H361" s="22">
        <v>12.5213</v>
      </c>
      <c r="I361" s="22">
        <v>-1.5725699999999999E-2</v>
      </c>
      <c r="J361" s="22">
        <v>351</v>
      </c>
      <c r="K361" s="22">
        <v>3.2415800000000002E-2</v>
      </c>
      <c r="L361">
        <f t="shared" si="60"/>
        <v>15.725699999999998</v>
      </c>
      <c r="M361">
        <f t="shared" si="61"/>
        <v>0.5111041208399999</v>
      </c>
      <c r="N361" s="9"/>
      <c r="O361" s="22">
        <v>1.6674800000000001</v>
      </c>
      <c r="P361" s="22">
        <v>61.942700000000002</v>
      </c>
      <c r="Q361" s="22">
        <v>-8.4594700000000002E-3</v>
      </c>
      <c r="R361" s="22">
        <v>351</v>
      </c>
      <c r="S361" s="22">
        <v>1.6668700000000001</v>
      </c>
      <c r="T361">
        <f t="shared" si="62"/>
        <v>8.4594699999999996</v>
      </c>
      <c r="U361">
        <f t="shared" si="63"/>
        <v>14.1059970356</v>
      </c>
      <c r="X361" s="9"/>
      <c r="Y361" s="22">
        <v>3.2501200000000001E-2</v>
      </c>
      <c r="Z361" s="22">
        <v>111.52</v>
      </c>
      <c r="AA361" s="22">
        <v>-1.5777599999999999E-2</v>
      </c>
      <c r="AB361" s="22">
        <v>351</v>
      </c>
      <c r="AC361" s="22">
        <v>3.2418799999999998E-2</v>
      </c>
      <c r="AD361">
        <f t="shared" si="64"/>
        <v>15.7776</v>
      </c>
      <c r="AE361">
        <f t="shared" si="65"/>
        <v>0.51279093312000001</v>
      </c>
      <c r="AF361" s="9"/>
      <c r="AG361" s="22">
        <v>1.6674800000000001</v>
      </c>
      <c r="AH361" s="22">
        <v>143.179</v>
      </c>
      <c r="AI361" s="22">
        <v>-8.2794199999999991E-3</v>
      </c>
      <c r="AJ361" s="22">
        <v>351</v>
      </c>
      <c r="AK361" s="22">
        <v>1.6668700000000001</v>
      </c>
      <c r="AL361">
        <f t="shared" si="66"/>
        <v>8.27942</v>
      </c>
      <c r="AM361">
        <f t="shared" si="67"/>
        <v>13.8057672616</v>
      </c>
      <c r="AP361" s="9"/>
      <c r="AQ361" s="22">
        <v>3.2501200000000001E-2</v>
      </c>
      <c r="AR361" s="22">
        <v>192.55799999999999</v>
      </c>
      <c r="AS361" s="22">
        <v>-1.5744000000000001E-2</v>
      </c>
      <c r="AT361" s="22">
        <v>351</v>
      </c>
      <c r="AU361" s="22">
        <v>3.2397500000000003E-2</v>
      </c>
      <c r="AV361">
        <f t="shared" si="68"/>
        <v>15.744000000000002</v>
      </c>
      <c r="AW361">
        <f t="shared" si="69"/>
        <v>0.51169889280000003</v>
      </c>
      <c r="AX361" s="9"/>
      <c r="AY361" s="22">
        <v>1.6674800000000001</v>
      </c>
      <c r="AZ361" s="22">
        <v>241.941</v>
      </c>
      <c r="BA361" s="22">
        <v>-8.2031299999999994E-3</v>
      </c>
      <c r="BB361" s="22">
        <v>351</v>
      </c>
      <c r="BC361" s="22">
        <v>1.6668700000000001</v>
      </c>
      <c r="BD361">
        <f t="shared" si="70"/>
        <v>8.2031299999999998</v>
      </c>
      <c r="BE361">
        <f t="shared" si="71"/>
        <v>13.678555212400001</v>
      </c>
    </row>
    <row r="362" spans="6:57">
      <c r="F362" s="9"/>
      <c r="G362" s="22">
        <v>2.7465799999999999E-2</v>
      </c>
      <c r="H362" s="22">
        <v>12.5314</v>
      </c>
      <c r="I362" s="22">
        <v>-1.5725699999999999E-2</v>
      </c>
      <c r="J362" s="22">
        <v>352</v>
      </c>
      <c r="K362" s="22">
        <v>2.73621E-2</v>
      </c>
      <c r="L362">
        <f t="shared" si="60"/>
        <v>15.725699999999998</v>
      </c>
      <c r="M362">
        <f t="shared" si="61"/>
        <v>0.4319189310599999</v>
      </c>
      <c r="N362" s="9"/>
      <c r="O362" s="22">
        <v>1.67252</v>
      </c>
      <c r="P362" s="22">
        <v>61.952800000000003</v>
      </c>
      <c r="Q362" s="22">
        <v>-8.2000700000000003E-3</v>
      </c>
      <c r="R362" s="22">
        <v>352</v>
      </c>
      <c r="S362" s="22">
        <v>1.6717500000000001</v>
      </c>
      <c r="T362">
        <f t="shared" si="62"/>
        <v>8.2000700000000002</v>
      </c>
      <c r="U362">
        <f t="shared" si="63"/>
        <v>13.7147810764</v>
      </c>
      <c r="X362" s="9"/>
      <c r="Y362" s="22">
        <v>2.7465799999999999E-2</v>
      </c>
      <c r="Z362" s="22">
        <v>111.53</v>
      </c>
      <c r="AA362" s="22">
        <v>-1.5780599999999999E-2</v>
      </c>
      <c r="AB362" s="22">
        <v>352</v>
      </c>
      <c r="AC362" s="22">
        <v>2.7413900000000001E-2</v>
      </c>
      <c r="AD362">
        <f t="shared" si="64"/>
        <v>15.780599999999998</v>
      </c>
      <c r="AE362">
        <f t="shared" si="65"/>
        <v>0.4334268034799999</v>
      </c>
      <c r="AF362" s="9"/>
      <c r="AG362" s="22">
        <v>1.67252</v>
      </c>
      <c r="AH362" s="22">
        <v>143.18899999999999</v>
      </c>
      <c r="AI362" s="22">
        <v>-8.01697E-3</v>
      </c>
      <c r="AJ362" s="22">
        <v>352</v>
      </c>
      <c r="AK362" s="22">
        <v>1.6720600000000001</v>
      </c>
      <c r="AL362">
        <f t="shared" si="66"/>
        <v>8.0169700000000006</v>
      </c>
      <c r="AM362">
        <f t="shared" si="67"/>
        <v>13.408542664400001</v>
      </c>
      <c r="AP362" s="9"/>
      <c r="AQ362" s="22">
        <v>2.7465799999999999E-2</v>
      </c>
      <c r="AR362" s="22">
        <v>192.56800000000001</v>
      </c>
      <c r="AS362" s="22">
        <v>-1.57501E-2</v>
      </c>
      <c r="AT362" s="22">
        <v>352</v>
      </c>
      <c r="AU362" s="22">
        <v>2.7389500000000001E-2</v>
      </c>
      <c r="AV362">
        <f t="shared" si="68"/>
        <v>15.7501</v>
      </c>
      <c r="AW362">
        <f t="shared" si="69"/>
        <v>0.43258909657999994</v>
      </c>
      <c r="AX362" s="9"/>
      <c r="AY362" s="22">
        <v>1.67252</v>
      </c>
      <c r="AZ362" s="22">
        <v>241.95099999999999</v>
      </c>
      <c r="BA362" s="22">
        <v>-7.9437299999999995E-3</v>
      </c>
      <c r="BB362" s="22">
        <v>352</v>
      </c>
      <c r="BC362" s="22">
        <v>1.6717500000000001</v>
      </c>
      <c r="BD362">
        <f t="shared" si="70"/>
        <v>7.9437299999999995</v>
      </c>
      <c r="BE362">
        <f t="shared" si="71"/>
        <v>13.2860472996</v>
      </c>
    </row>
    <row r="363" spans="6:57">
      <c r="F363" s="9"/>
      <c r="G363" s="22">
        <v>2.24304E-2</v>
      </c>
      <c r="H363" s="22">
        <v>12.541499999999999</v>
      </c>
      <c r="I363" s="22">
        <v>-1.5722699999999999E-2</v>
      </c>
      <c r="J363" s="22">
        <v>353</v>
      </c>
      <c r="K363" s="22">
        <v>2.2326700000000001E-2</v>
      </c>
      <c r="L363">
        <f t="shared" si="60"/>
        <v>15.7227</v>
      </c>
      <c r="M363">
        <f t="shared" si="61"/>
        <v>0.35266645007999997</v>
      </c>
      <c r="N363" s="9"/>
      <c r="O363" s="22">
        <v>1.6775500000000001</v>
      </c>
      <c r="P363" s="22">
        <v>61.962899999999998</v>
      </c>
      <c r="Q363" s="22">
        <v>-7.9254200000000007E-3</v>
      </c>
      <c r="R363" s="22">
        <v>353</v>
      </c>
      <c r="S363" s="22">
        <v>1.6772499999999999</v>
      </c>
      <c r="T363">
        <f t="shared" si="62"/>
        <v>7.9254200000000008</v>
      </c>
      <c r="U363">
        <f t="shared" si="63"/>
        <v>13.295288321000003</v>
      </c>
      <c r="X363" s="9"/>
      <c r="Y363" s="22">
        <v>2.24304E-2</v>
      </c>
      <c r="Z363" s="22">
        <v>111.54</v>
      </c>
      <c r="AA363" s="22">
        <v>-1.5780599999999999E-2</v>
      </c>
      <c r="AB363" s="22">
        <v>353</v>
      </c>
      <c r="AC363" s="22">
        <v>2.2317500000000001E-2</v>
      </c>
      <c r="AD363">
        <f t="shared" si="64"/>
        <v>15.780599999999998</v>
      </c>
      <c r="AE363">
        <f t="shared" si="65"/>
        <v>0.35396517023999996</v>
      </c>
      <c r="AF363" s="9"/>
      <c r="AG363" s="22">
        <v>1.6775500000000001</v>
      </c>
      <c r="AH363" s="22">
        <v>143.19900000000001</v>
      </c>
      <c r="AI363" s="22">
        <v>-7.7392600000000004E-3</v>
      </c>
      <c r="AJ363" s="22">
        <v>353</v>
      </c>
      <c r="AK363" s="22">
        <v>1.6769400000000001</v>
      </c>
      <c r="AL363">
        <f t="shared" si="66"/>
        <v>7.7392600000000007</v>
      </c>
      <c r="AM363">
        <f t="shared" si="67"/>
        <v>12.982995613000002</v>
      </c>
      <c r="AP363" s="9"/>
      <c r="AQ363" s="22">
        <v>2.24304E-2</v>
      </c>
      <c r="AR363" s="22">
        <v>192.578</v>
      </c>
      <c r="AS363" s="22">
        <v>-1.57593E-2</v>
      </c>
      <c r="AT363" s="22">
        <v>353</v>
      </c>
      <c r="AU363" s="22">
        <v>2.2317500000000001E-2</v>
      </c>
      <c r="AV363">
        <f t="shared" si="68"/>
        <v>15.7593</v>
      </c>
      <c r="AW363">
        <f t="shared" si="69"/>
        <v>0.35348740272000001</v>
      </c>
      <c r="AX363" s="9"/>
      <c r="AY363" s="22">
        <v>1.6775500000000001</v>
      </c>
      <c r="AZ363" s="22">
        <v>241.96100000000001</v>
      </c>
      <c r="BA363" s="22">
        <v>-7.6782200000000004E-3</v>
      </c>
      <c r="BB363" s="22">
        <v>353</v>
      </c>
      <c r="BC363" s="22">
        <v>1.6766399999999999</v>
      </c>
      <c r="BD363">
        <f t="shared" si="70"/>
        <v>7.6782200000000005</v>
      </c>
      <c r="BE363">
        <f t="shared" si="71"/>
        <v>12.880597961000001</v>
      </c>
    </row>
    <row r="364" spans="6:57">
      <c r="F364" s="9"/>
      <c r="G364" s="22">
        <v>1.7395000000000001E-2</v>
      </c>
      <c r="H364" s="22">
        <v>12.551500000000001</v>
      </c>
      <c r="I364" s="22">
        <v>-1.5722699999999999E-2</v>
      </c>
      <c r="J364" s="22">
        <v>354</v>
      </c>
      <c r="K364" s="22">
        <v>1.7309600000000001E-2</v>
      </c>
      <c r="L364">
        <f t="shared" si="60"/>
        <v>15.7227</v>
      </c>
      <c r="M364">
        <f t="shared" si="61"/>
        <v>0.27349636650000003</v>
      </c>
      <c r="N364" s="9"/>
      <c r="O364" s="22">
        <v>1.68259</v>
      </c>
      <c r="P364" s="22">
        <v>61.972999999999999</v>
      </c>
      <c r="Q364" s="22">
        <v>-7.6293899999999998E-3</v>
      </c>
      <c r="R364" s="22">
        <v>354</v>
      </c>
      <c r="S364" s="22">
        <v>1.6824300000000001</v>
      </c>
      <c r="T364">
        <f t="shared" si="62"/>
        <v>7.6293899999999999</v>
      </c>
      <c r="U364">
        <f t="shared" si="63"/>
        <v>12.8371353201</v>
      </c>
      <c r="X364" s="9"/>
      <c r="Y364" s="22">
        <v>1.7395000000000001E-2</v>
      </c>
      <c r="Z364" s="22">
        <v>111.55</v>
      </c>
      <c r="AA364" s="22">
        <v>-1.5777599999999999E-2</v>
      </c>
      <c r="AB364" s="22">
        <v>354</v>
      </c>
      <c r="AC364" s="22">
        <v>1.7291299999999999E-2</v>
      </c>
      <c r="AD364">
        <f t="shared" si="64"/>
        <v>15.7776</v>
      </c>
      <c r="AE364">
        <f t="shared" si="65"/>
        <v>0.27445135199999998</v>
      </c>
      <c r="AF364" s="9"/>
      <c r="AG364" s="22">
        <v>1.68259</v>
      </c>
      <c r="AH364" s="22">
        <v>143.209</v>
      </c>
      <c r="AI364" s="22">
        <v>-7.4401900000000002E-3</v>
      </c>
      <c r="AJ364" s="22">
        <v>354</v>
      </c>
      <c r="AK364" s="22">
        <v>1.6821299999999999</v>
      </c>
      <c r="AL364">
        <f t="shared" si="66"/>
        <v>7.4401900000000003</v>
      </c>
      <c r="AM364">
        <f t="shared" si="67"/>
        <v>12.518789292100001</v>
      </c>
      <c r="AP364" s="9"/>
      <c r="AQ364" s="22">
        <v>1.7395000000000001E-2</v>
      </c>
      <c r="AR364" s="22">
        <v>192.58799999999999</v>
      </c>
      <c r="AS364" s="22">
        <v>-1.57623E-2</v>
      </c>
      <c r="AT364" s="22">
        <v>354</v>
      </c>
      <c r="AU364" s="22">
        <v>1.7297400000000001E-2</v>
      </c>
      <c r="AV364">
        <f t="shared" si="68"/>
        <v>15.7623</v>
      </c>
      <c r="AW364">
        <f t="shared" si="69"/>
        <v>0.2741852085</v>
      </c>
      <c r="AX364" s="9"/>
      <c r="AY364" s="22">
        <v>1.68259</v>
      </c>
      <c r="AZ364" s="22">
        <v>241.971</v>
      </c>
      <c r="BA364" s="22">
        <v>-7.3852500000000003E-3</v>
      </c>
      <c r="BB364" s="22">
        <v>354</v>
      </c>
      <c r="BC364" s="22">
        <v>1.6815199999999999</v>
      </c>
      <c r="BD364">
        <f t="shared" si="70"/>
        <v>7.3852500000000001</v>
      </c>
      <c r="BE364">
        <f t="shared" si="71"/>
        <v>12.4263477975</v>
      </c>
    </row>
    <row r="365" spans="6:57">
      <c r="F365" s="9"/>
      <c r="G365" s="22">
        <v>1.23596E-2</v>
      </c>
      <c r="H365" s="22">
        <v>12.5616</v>
      </c>
      <c r="I365" s="22">
        <v>-1.5725699999999999E-2</v>
      </c>
      <c r="J365" s="22">
        <v>355</v>
      </c>
      <c r="K365" s="22">
        <v>1.22498E-2</v>
      </c>
      <c r="L365">
        <f t="shared" si="60"/>
        <v>15.725699999999998</v>
      </c>
      <c r="M365">
        <f t="shared" si="61"/>
        <v>0.19436336171999999</v>
      </c>
      <c r="N365" s="9"/>
      <c r="O365" s="22">
        <v>1.6876199999999999</v>
      </c>
      <c r="P365" s="22">
        <v>61.982999999999997</v>
      </c>
      <c r="Q365" s="22">
        <v>-7.3425299999999999E-3</v>
      </c>
      <c r="R365" s="22">
        <v>355</v>
      </c>
      <c r="S365" s="22">
        <v>1.6873199999999999</v>
      </c>
      <c r="T365">
        <f t="shared" si="62"/>
        <v>7.34253</v>
      </c>
      <c r="U365">
        <f t="shared" si="63"/>
        <v>12.3914004786</v>
      </c>
      <c r="X365" s="9"/>
      <c r="Y365" s="22">
        <v>1.23596E-2</v>
      </c>
      <c r="Z365" s="22">
        <v>111.56</v>
      </c>
      <c r="AA365" s="22">
        <v>-1.57745E-2</v>
      </c>
      <c r="AB365" s="22">
        <v>355</v>
      </c>
      <c r="AC365" s="22">
        <v>1.2286399999999999E-2</v>
      </c>
      <c r="AD365">
        <f t="shared" si="64"/>
        <v>15.7745</v>
      </c>
      <c r="AE365">
        <f t="shared" si="65"/>
        <v>0.1949665102</v>
      </c>
      <c r="AF365" s="9"/>
      <c r="AG365" s="22">
        <v>1.6876199999999999</v>
      </c>
      <c r="AH365" s="22">
        <v>143.22</v>
      </c>
      <c r="AI365" s="22">
        <v>-7.14417E-3</v>
      </c>
      <c r="AJ365" s="22">
        <v>355</v>
      </c>
      <c r="AK365" s="22">
        <v>1.6870099999999999</v>
      </c>
      <c r="AL365">
        <f t="shared" si="66"/>
        <v>7.1441699999999999</v>
      </c>
      <c r="AM365">
        <f t="shared" si="67"/>
        <v>12.056644175399999</v>
      </c>
      <c r="AP365" s="9"/>
      <c r="AQ365" s="22">
        <v>1.23596E-2</v>
      </c>
      <c r="AR365" s="22">
        <v>192.59800000000001</v>
      </c>
      <c r="AS365" s="22">
        <v>-1.57623E-2</v>
      </c>
      <c r="AT365" s="22">
        <v>355</v>
      </c>
      <c r="AU365" s="22">
        <v>1.22375E-2</v>
      </c>
      <c r="AV365">
        <f t="shared" si="68"/>
        <v>15.7623</v>
      </c>
      <c r="AW365">
        <f t="shared" si="69"/>
        <v>0.19481572308</v>
      </c>
      <c r="AX365" s="9"/>
      <c r="AY365" s="22">
        <v>1.6876199999999999</v>
      </c>
      <c r="AZ365" s="22">
        <v>241.98099999999999</v>
      </c>
      <c r="BA365" s="22">
        <v>-7.08313E-3</v>
      </c>
      <c r="BB365" s="22">
        <v>355</v>
      </c>
      <c r="BC365" s="22">
        <v>1.6870099999999999</v>
      </c>
      <c r="BD365">
        <f t="shared" si="70"/>
        <v>7.0831299999999997</v>
      </c>
      <c r="BE365">
        <f t="shared" si="71"/>
        <v>11.953631850599999</v>
      </c>
    </row>
    <row r="366" spans="6:57">
      <c r="F366" s="9"/>
      <c r="G366" s="22">
        <v>7.3242200000000002E-3</v>
      </c>
      <c r="H366" s="22">
        <v>12.5717</v>
      </c>
      <c r="I366" s="22">
        <v>-1.5728800000000001E-2</v>
      </c>
      <c r="J366" s="22">
        <v>356</v>
      </c>
      <c r="K366" s="22">
        <v>7.2509799999999998E-3</v>
      </c>
      <c r="L366">
        <f t="shared" si="60"/>
        <v>15.728800000000001</v>
      </c>
      <c r="M366">
        <f t="shared" si="61"/>
        <v>0.11520119153600002</v>
      </c>
      <c r="N366" s="9"/>
      <c r="O366" s="22">
        <v>1.6926600000000001</v>
      </c>
      <c r="P366" s="22">
        <v>61.993099999999998</v>
      </c>
      <c r="Q366" s="22">
        <v>-7.0343000000000003E-3</v>
      </c>
      <c r="R366" s="22">
        <v>356</v>
      </c>
      <c r="S366" s="22">
        <v>1.6924999999999999</v>
      </c>
      <c r="T366">
        <f t="shared" si="62"/>
        <v>7.0343</v>
      </c>
      <c r="U366">
        <f t="shared" si="63"/>
        <v>11.906678238</v>
      </c>
      <c r="X366" s="9"/>
      <c r="Y366" s="22">
        <v>7.3242200000000002E-3</v>
      </c>
      <c r="Z366" s="22">
        <v>111.571</v>
      </c>
      <c r="AA366" s="22">
        <v>-1.5777599999999999E-2</v>
      </c>
      <c r="AB366" s="22">
        <v>356</v>
      </c>
      <c r="AC366" s="22">
        <v>7.1868899999999996E-3</v>
      </c>
      <c r="AD366">
        <f t="shared" si="64"/>
        <v>15.7776</v>
      </c>
      <c r="AE366">
        <f t="shared" si="65"/>
        <v>0.115558613472</v>
      </c>
      <c r="AF366" s="9"/>
      <c r="AG366" s="22">
        <v>1.6926600000000001</v>
      </c>
      <c r="AH366" s="22">
        <v>143.22999999999999</v>
      </c>
      <c r="AI366" s="22">
        <v>-6.8176299999999999E-3</v>
      </c>
      <c r="AJ366" s="22">
        <v>356</v>
      </c>
      <c r="AK366" s="22">
        <v>1.6918899999999999</v>
      </c>
      <c r="AL366">
        <f t="shared" si="66"/>
        <v>6.8176300000000003</v>
      </c>
      <c r="AM366">
        <f t="shared" si="67"/>
        <v>11.5399295958</v>
      </c>
      <c r="AP366" s="9"/>
      <c r="AQ366" s="22">
        <v>7.3242200000000002E-3</v>
      </c>
      <c r="AR366" s="22">
        <v>192.608</v>
      </c>
      <c r="AS366" s="22">
        <v>-1.57623E-2</v>
      </c>
      <c r="AT366" s="22">
        <v>356</v>
      </c>
      <c r="AU366" s="22">
        <v>7.1228000000000003E-3</v>
      </c>
      <c r="AV366">
        <f t="shared" si="68"/>
        <v>15.7623</v>
      </c>
      <c r="AW366">
        <f t="shared" si="69"/>
        <v>0.11544655290600001</v>
      </c>
      <c r="AX366" s="9"/>
      <c r="AY366" s="22">
        <v>1.6926600000000001</v>
      </c>
      <c r="AZ366" s="22">
        <v>241.99100000000001</v>
      </c>
      <c r="BA366" s="22">
        <v>-6.7627E-3</v>
      </c>
      <c r="BB366" s="22">
        <v>356</v>
      </c>
      <c r="BC366" s="22">
        <v>1.6921999999999999</v>
      </c>
      <c r="BD366">
        <f t="shared" si="70"/>
        <v>6.7626999999999997</v>
      </c>
      <c r="BE366">
        <f t="shared" si="71"/>
        <v>11.446951781999999</v>
      </c>
    </row>
    <row r="367" spans="6:57">
      <c r="F367" s="9"/>
      <c r="G367" s="22">
        <v>2.28882E-3</v>
      </c>
      <c r="H367" s="22">
        <v>12.5817</v>
      </c>
      <c r="I367" s="22">
        <v>-1.57349E-2</v>
      </c>
      <c r="J367" s="22">
        <v>357</v>
      </c>
      <c r="K367" s="22">
        <v>2.14233E-3</v>
      </c>
      <c r="L367">
        <f t="shared" si="60"/>
        <v>15.7349</v>
      </c>
      <c r="M367">
        <f t="shared" si="61"/>
        <v>3.6014353818E-2</v>
      </c>
      <c r="N367" s="9"/>
      <c r="O367" s="22">
        <v>1.6976899999999999</v>
      </c>
      <c r="P367" s="22">
        <v>62.0032</v>
      </c>
      <c r="Q367" s="22">
        <v>-6.7169200000000004E-3</v>
      </c>
      <c r="R367" s="22">
        <v>357</v>
      </c>
      <c r="S367" s="22">
        <v>1.6964699999999999</v>
      </c>
      <c r="T367">
        <f t="shared" si="62"/>
        <v>6.71692</v>
      </c>
      <c r="U367">
        <f t="shared" si="63"/>
        <v>11.4032479148</v>
      </c>
      <c r="X367" s="9"/>
      <c r="Y367" s="22">
        <v>2.28882E-3</v>
      </c>
      <c r="Z367" s="22">
        <v>111.581</v>
      </c>
      <c r="AA367" s="22">
        <v>-1.5777599999999999E-2</v>
      </c>
      <c r="AB367" s="22">
        <v>357</v>
      </c>
      <c r="AC367" s="22">
        <v>2.1362299999999998E-3</v>
      </c>
      <c r="AD367">
        <f t="shared" si="64"/>
        <v>15.7776</v>
      </c>
      <c r="AE367">
        <f t="shared" si="65"/>
        <v>3.6112086432E-2</v>
      </c>
      <c r="AF367" s="9"/>
      <c r="AG367" s="22">
        <v>1.6976899999999999</v>
      </c>
      <c r="AH367" s="22">
        <v>143.24</v>
      </c>
      <c r="AI367" s="22">
        <v>-6.4971899999999999E-3</v>
      </c>
      <c r="AJ367" s="22">
        <v>357</v>
      </c>
      <c r="AK367" s="22">
        <v>1.69678</v>
      </c>
      <c r="AL367">
        <f t="shared" si="66"/>
        <v>6.4971899999999998</v>
      </c>
      <c r="AM367">
        <f t="shared" si="67"/>
        <v>11.030214491099999</v>
      </c>
      <c r="AP367" s="9"/>
      <c r="AQ367" s="22">
        <v>2.28882E-3</v>
      </c>
      <c r="AR367" s="22">
        <v>192.61799999999999</v>
      </c>
      <c r="AS367" s="22">
        <v>-1.57623E-2</v>
      </c>
      <c r="AT367" s="22">
        <v>357</v>
      </c>
      <c r="AU367" s="22">
        <v>2.1026600000000001E-3</v>
      </c>
      <c r="AV367">
        <f t="shared" si="68"/>
        <v>15.7623</v>
      </c>
      <c r="AW367">
        <f t="shared" si="69"/>
        <v>3.6077067486000002E-2</v>
      </c>
      <c r="AX367" s="9"/>
      <c r="AY367" s="22">
        <v>1.6976899999999999</v>
      </c>
      <c r="AZ367" s="22">
        <v>242.00200000000001</v>
      </c>
      <c r="BA367" s="22">
        <v>-6.4270000000000004E-3</v>
      </c>
      <c r="BB367" s="22">
        <v>357</v>
      </c>
      <c r="BC367" s="22">
        <v>1.6970799999999999</v>
      </c>
      <c r="BD367">
        <f t="shared" si="70"/>
        <v>6.4270000000000005</v>
      </c>
      <c r="BE367">
        <f t="shared" si="71"/>
        <v>10.91105363</v>
      </c>
    </row>
    <row r="368" spans="6:57">
      <c r="F368" s="9"/>
      <c r="G368" s="22">
        <v>-2.7465800000000002E-3</v>
      </c>
      <c r="H368" s="22">
        <v>12.591799999999999</v>
      </c>
      <c r="I368" s="22">
        <v>-1.5737899999999999E-2</v>
      </c>
      <c r="J368" s="22">
        <v>358</v>
      </c>
      <c r="K368" s="22">
        <v>-2.9510500000000002E-3</v>
      </c>
      <c r="L368">
        <f t="shared" si="60"/>
        <v>15.7379</v>
      </c>
      <c r="M368">
        <f t="shared" si="61"/>
        <v>-4.3225401382000005E-2</v>
      </c>
      <c r="N368" s="9"/>
      <c r="O368" s="22">
        <v>1.7027300000000001</v>
      </c>
      <c r="P368" s="22">
        <v>62.013199999999998</v>
      </c>
      <c r="Q368" s="22">
        <v>-6.3659700000000003E-3</v>
      </c>
      <c r="R368" s="22">
        <v>358</v>
      </c>
      <c r="S368" s="22">
        <v>1.7022699999999999</v>
      </c>
      <c r="T368">
        <f t="shared" si="62"/>
        <v>6.3659699999999999</v>
      </c>
      <c r="U368">
        <f t="shared" si="63"/>
        <v>10.839528098100001</v>
      </c>
      <c r="X368" s="9"/>
      <c r="Y368" s="22">
        <v>-2.7465800000000002E-3</v>
      </c>
      <c r="Z368" s="22">
        <v>111.59099999999999</v>
      </c>
      <c r="AA368" s="22">
        <v>-1.5771500000000001E-2</v>
      </c>
      <c r="AB368" s="22">
        <v>358</v>
      </c>
      <c r="AC368" s="22">
        <v>-2.9266399999999999E-3</v>
      </c>
      <c r="AD368">
        <f t="shared" si="64"/>
        <v>15.771500000000001</v>
      </c>
      <c r="AE368">
        <f t="shared" si="65"/>
        <v>-4.3317686470000005E-2</v>
      </c>
      <c r="AF368" s="9"/>
      <c r="AG368" s="22">
        <v>1.7027300000000001</v>
      </c>
      <c r="AH368" s="22">
        <v>143.25</v>
      </c>
      <c r="AI368" s="22">
        <v>-6.1401399999999997E-3</v>
      </c>
      <c r="AJ368" s="22">
        <v>358</v>
      </c>
      <c r="AK368" s="22">
        <v>1.70197</v>
      </c>
      <c r="AL368">
        <f t="shared" si="66"/>
        <v>6.1401399999999997</v>
      </c>
      <c r="AM368">
        <f t="shared" si="67"/>
        <v>10.4550005822</v>
      </c>
      <c r="AP368" s="9"/>
      <c r="AQ368" s="22">
        <v>-2.7465800000000002E-3</v>
      </c>
      <c r="AR368" s="22">
        <v>192.62799999999999</v>
      </c>
      <c r="AS368" s="22">
        <v>-1.5771500000000001E-2</v>
      </c>
      <c r="AT368" s="22">
        <v>358</v>
      </c>
      <c r="AU368" s="22">
        <v>-2.9663100000000002E-3</v>
      </c>
      <c r="AV368">
        <f t="shared" si="68"/>
        <v>15.771500000000001</v>
      </c>
      <c r="AW368">
        <f t="shared" si="69"/>
        <v>-4.3317686470000005E-2</v>
      </c>
      <c r="AX368" s="9"/>
      <c r="AY368" s="22">
        <v>1.7027300000000001</v>
      </c>
      <c r="AZ368" s="22">
        <v>242.012</v>
      </c>
      <c r="BA368" s="22">
        <v>-6.0790999999999996E-3</v>
      </c>
      <c r="BB368" s="22">
        <v>358</v>
      </c>
      <c r="BC368" s="22">
        <v>1.70197</v>
      </c>
      <c r="BD368">
        <f t="shared" si="70"/>
        <v>6.0790999999999995</v>
      </c>
      <c r="BE368">
        <f t="shared" si="71"/>
        <v>10.351065943</v>
      </c>
    </row>
    <row r="369" spans="6:57">
      <c r="F369" s="9"/>
      <c r="G369" s="22">
        <v>-7.78198E-3</v>
      </c>
      <c r="H369" s="22">
        <v>12.601900000000001</v>
      </c>
      <c r="I369" s="22">
        <v>-1.5741000000000002E-2</v>
      </c>
      <c r="J369" s="22">
        <v>359</v>
      </c>
      <c r="K369" s="22">
        <v>-8.0017100000000004E-3</v>
      </c>
      <c r="L369">
        <f t="shared" si="60"/>
        <v>15.741000000000001</v>
      </c>
      <c r="M369">
        <f t="shared" si="61"/>
        <v>-0.12249614718000001</v>
      </c>
      <c r="N369" s="9"/>
      <c r="O369" s="22">
        <v>1.7077599999999999</v>
      </c>
      <c r="P369" s="22">
        <v>62.023299999999999</v>
      </c>
      <c r="Q369" s="22">
        <v>-6.0028099999999999E-3</v>
      </c>
      <c r="R369" s="22">
        <v>359</v>
      </c>
      <c r="S369" s="22">
        <v>1.7071499999999999</v>
      </c>
      <c r="T369">
        <f t="shared" si="62"/>
        <v>6.0028100000000002</v>
      </c>
      <c r="U369">
        <f t="shared" si="63"/>
        <v>10.251358805600001</v>
      </c>
      <c r="X369" s="9"/>
      <c r="Y369" s="22">
        <v>-7.78198E-3</v>
      </c>
      <c r="Z369" s="22">
        <v>111.601</v>
      </c>
      <c r="AA369" s="22">
        <v>-1.57745E-2</v>
      </c>
      <c r="AB369" s="22">
        <v>359</v>
      </c>
      <c r="AC369" s="22">
        <v>-7.9437299999999995E-3</v>
      </c>
      <c r="AD369">
        <f t="shared" si="64"/>
        <v>15.7745</v>
      </c>
      <c r="AE369">
        <f t="shared" si="65"/>
        <v>-0.12275684350999999</v>
      </c>
      <c r="AF369" s="9"/>
      <c r="AG369" s="22">
        <v>1.7077599999999999</v>
      </c>
      <c r="AH369" s="22">
        <v>143.26</v>
      </c>
      <c r="AI369" s="22">
        <v>-5.77087E-3</v>
      </c>
      <c r="AJ369" s="22">
        <v>359</v>
      </c>
      <c r="AK369" s="22">
        <v>1.70746</v>
      </c>
      <c r="AL369">
        <f t="shared" si="66"/>
        <v>5.7708700000000004</v>
      </c>
      <c r="AM369">
        <f t="shared" si="67"/>
        <v>9.8552609512</v>
      </c>
      <c r="AP369" s="9"/>
      <c r="AQ369" s="22">
        <v>-7.78198E-3</v>
      </c>
      <c r="AR369" s="22">
        <v>192.63800000000001</v>
      </c>
      <c r="AS369" s="22">
        <v>-1.5780599999999999E-2</v>
      </c>
      <c r="AT369" s="22">
        <v>359</v>
      </c>
      <c r="AU369" s="22">
        <v>-7.9864500000000008E-3</v>
      </c>
      <c r="AV369">
        <f t="shared" si="68"/>
        <v>15.780599999999998</v>
      </c>
      <c r="AW369">
        <f t="shared" si="69"/>
        <v>-0.12280431358799998</v>
      </c>
      <c r="AX369" s="9"/>
      <c r="AY369" s="22">
        <v>1.7077599999999999</v>
      </c>
      <c r="AZ369" s="22">
        <v>242.02199999999999</v>
      </c>
      <c r="BA369" s="22">
        <v>-5.71289E-3</v>
      </c>
      <c r="BB369" s="22">
        <v>359</v>
      </c>
      <c r="BC369" s="22">
        <v>1.70746</v>
      </c>
      <c r="BD369">
        <f t="shared" si="70"/>
        <v>5.7128899999999998</v>
      </c>
      <c r="BE369">
        <f t="shared" si="71"/>
        <v>9.7562450263999985</v>
      </c>
    </row>
    <row r="370" spans="6:57">
      <c r="F370" s="9"/>
      <c r="G370" s="22">
        <v>-1.28174E-2</v>
      </c>
      <c r="H370" s="22">
        <v>12.612</v>
      </c>
      <c r="I370" s="22">
        <v>-1.5741000000000002E-2</v>
      </c>
      <c r="J370" s="22">
        <v>360</v>
      </c>
      <c r="K370" s="22">
        <v>-1.30127E-2</v>
      </c>
      <c r="L370">
        <f t="shared" si="60"/>
        <v>15.741000000000001</v>
      </c>
      <c r="M370">
        <f t="shared" si="61"/>
        <v>-0.20175869340000002</v>
      </c>
      <c r="N370" s="9"/>
      <c r="O370" s="22">
        <v>1.7128000000000001</v>
      </c>
      <c r="P370" s="22">
        <v>62.0334</v>
      </c>
      <c r="Q370" s="22">
        <v>-5.6060800000000003E-3</v>
      </c>
      <c r="R370" s="22">
        <v>360</v>
      </c>
      <c r="S370" s="22">
        <v>1.71204</v>
      </c>
      <c r="T370">
        <f t="shared" si="62"/>
        <v>5.6060800000000004</v>
      </c>
      <c r="U370">
        <f t="shared" si="63"/>
        <v>9.6020938240000007</v>
      </c>
      <c r="X370" s="9"/>
      <c r="Y370" s="22">
        <v>-1.28174E-2</v>
      </c>
      <c r="Z370" s="22">
        <v>111.611</v>
      </c>
      <c r="AA370" s="22">
        <v>-1.5780599999999999E-2</v>
      </c>
      <c r="AB370" s="22">
        <v>360</v>
      </c>
      <c r="AC370" s="22">
        <v>-1.3018800000000001E-2</v>
      </c>
      <c r="AD370">
        <f t="shared" si="64"/>
        <v>15.780599999999998</v>
      </c>
      <c r="AE370">
        <f t="shared" si="65"/>
        <v>-0.20226626243999996</v>
      </c>
      <c r="AF370" s="9"/>
      <c r="AG370" s="22">
        <v>1.7128000000000001</v>
      </c>
      <c r="AH370" s="22">
        <v>143.27000000000001</v>
      </c>
      <c r="AI370" s="22">
        <v>-5.3772000000000004E-3</v>
      </c>
      <c r="AJ370" s="22">
        <v>360</v>
      </c>
      <c r="AK370" s="22">
        <v>1.71204</v>
      </c>
      <c r="AL370">
        <f t="shared" si="66"/>
        <v>5.3772000000000002</v>
      </c>
      <c r="AM370">
        <f t="shared" si="67"/>
        <v>9.2100681600000005</v>
      </c>
      <c r="AP370" s="9"/>
      <c r="AQ370" s="22">
        <v>-1.28174E-2</v>
      </c>
      <c r="AR370" s="22">
        <v>192.648</v>
      </c>
      <c r="AS370" s="22">
        <v>-1.5783700000000001E-2</v>
      </c>
      <c r="AT370" s="22">
        <v>360</v>
      </c>
      <c r="AU370" s="22">
        <v>-1.3018800000000001E-2</v>
      </c>
      <c r="AV370">
        <f t="shared" si="68"/>
        <v>15.783700000000001</v>
      </c>
      <c r="AW370">
        <f t="shared" si="69"/>
        <v>-0.20230599638000002</v>
      </c>
      <c r="AX370" s="9"/>
      <c r="AY370" s="22">
        <v>1.7128000000000001</v>
      </c>
      <c r="AZ370" s="22">
        <v>242.03200000000001</v>
      </c>
      <c r="BA370" s="22">
        <v>-5.3253199999999997E-3</v>
      </c>
      <c r="BB370" s="22">
        <v>360</v>
      </c>
      <c r="BC370" s="22">
        <v>1.71204</v>
      </c>
      <c r="BD370">
        <f t="shared" si="70"/>
        <v>5.3253199999999996</v>
      </c>
      <c r="BE370">
        <f t="shared" si="71"/>
        <v>9.1212080960000002</v>
      </c>
    </row>
    <row r="371" spans="6:57">
      <c r="F371" s="9"/>
      <c r="G371" s="22">
        <v>-1.7852799999999999E-2</v>
      </c>
      <c r="H371" s="22">
        <v>12.622</v>
      </c>
      <c r="I371" s="22">
        <v>-1.57471E-2</v>
      </c>
      <c r="J371" s="22">
        <v>361</v>
      </c>
      <c r="K371" s="22">
        <v>-1.8072499999999998E-2</v>
      </c>
      <c r="L371">
        <f t="shared" si="60"/>
        <v>15.7471</v>
      </c>
      <c r="M371">
        <f t="shared" si="61"/>
        <v>-0.28112982687999999</v>
      </c>
      <c r="N371" s="9"/>
      <c r="O371" s="22">
        <v>1.71783</v>
      </c>
      <c r="P371" s="22">
        <v>62.043500000000002</v>
      </c>
      <c r="Q371" s="22">
        <v>-5.2123999999999998E-3</v>
      </c>
      <c r="R371" s="22">
        <v>361</v>
      </c>
      <c r="S371" s="22">
        <v>1.71692</v>
      </c>
      <c r="T371">
        <f t="shared" si="62"/>
        <v>5.2123999999999997</v>
      </c>
      <c r="U371">
        <f t="shared" si="63"/>
        <v>8.9540170919999991</v>
      </c>
      <c r="X371" s="9"/>
      <c r="Y371" s="22">
        <v>-1.7852799999999999E-2</v>
      </c>
      <c r="Z371" s="22">
        <v>111.621</v>
      </c>
      <c r="AA371" s="22">
        <v>-1.5783700000000001E-2</v>
      </c>
      <c r="AB371" s="22">
        <v>361</v>
      </c>
      <c r="AC371" s="22">
        <v>-1.8069499999999999E-2</v>
      </c>
      <c r="AD371">
        <f t="shared" si="64"/>
        <v>15.783700000000001</v>
      </c>
      <c r="AE371">
        <f t="shared" si="65"/>
        <v>-0.28178323935999999</v>
      </c>
      <c r="AF371" s="9"/>
      <c r="AG371" s="22">
        <v>1.71783</v>
      </c>
      <c r="AH371" s="22">
        <v>143.28</v>
      </c>
      <c r="AI371" s="22">
        <v>-4.9676499999999997E-3</v>
      </c>
      <c r="AJ371" s="22">
        <v>361</v>
      </c>
      <c r="AK371" s="22">
        <v>1.71631</v>
      </c>
      <c r="AL371">
        <f t="shared" si="66"/>
        <v>4.9676499999999999</v>
      </c>
      <c r="AM371">
        <f t="shared" si="67"/>
        <v>8.5335781994999991</v>
      </c>
      <c r="AP371" s="9"/>
      <c r="AQ371" s="22">
        <v>-1.7852799999999999E-2</v>
      </c>
      <c r="AR371" s="22">
        <v>192.65799999999999</v>
      </c>
      <c r="AS371" s="22">
        <v>-1.5786700000000001E-2</v>
      </c>
      <c r="AT371" s="22">
        <v>361</v>
      </c>
      <c r="AU371" s="22">
        <v>-1.8151899999999999E-2</v>
      </c>
      <c r="AV371">
        <f t="shared" si="68"/>
        <v>15.786700000000002</v>
      </c>
      <c r="AW371">
        <f t="shared" si="69"/>
        <v>-0.28183679775999998</v>
      </c>
      <c r="AX371" s="9"/>
      <c r="AY371" s="22">
        <v>1.71783</v>
      </c>
      <c r="AZ371" s="22">
        <v>242.042</v>
      </c>
      <c r="BA371" s="22">
        <v>-4.9087499999999999E-3</v>
      </c>
      <c r="BB371" s="22">
        <v>361</v>
      </c>
      <c r="BC371" s="22">
        <v>1.71722</v>
      </c>
      <c r="BD371">
        <f t="shared" si="70"/>
        <v>4.9087499999999995</v>
      </c>
      <c r="BE371">
        <f t="shared" si="71"/>
        <v>8.4323980124999984</v>
      </c>
    </row>
    <row r="372" spans="6:57">
      <c r="F372" s="9"/>
      <c r="G372" s="22">
        <v>-2.2888200000000001E-2</v>
      </c>
      <c r="H372" s="22">
        <v>12.632099999999999</v>
      </c>
      <c r="I372" s="22">
        <v>-1.57471E-2</v>
      </c>
      <c r="J372" s="22">
        <v>362</v>
      </c>
      <c r="K372" s="22">
        <v>-2.3132300000000001E-2</v>
      </c>
      <c r="L372">
        <f t="shared" si="60"/>
        <v>15.7471</v>
      </c>
      <c r="M372">
        <f t="shared" si="61"/>
        <v>-0.36042277422000002</v>
      </c>
      <c r="N372" s="9"/>
      <c r="O372" s="22">
        <v>1.7228699999999999</v>
      </c>
      <c r="P372" s="22">
        <v>62.0535</v>
      </c>
      <c r="Q372" s="22">
        <v>-4.7860699999999999E-3</v>
      </c>
      <c r="R372" s="22">
        <v>362</v>
      </c>
      <c r="S372" s="22">
        <v>1.72211</v>
      </c>
      <c r="T372">
        <f t="shared" si="62"/>
        <v>4.7860699999999996</v>
      </c>
      <c r="U372">
        <f t="shared" si="63"/>
        <v>8.2457764208999986</v>
      </c>
      <c r="X372" s="9"/>
      <c r="Y372" s="22">
        <v>-2.2888200000000001E-2</v>
      </c>
      <c r="Z372" s="22">
        <v>111.631</v>
      </c>
      <c r="AA372" s="22">
        <v>-1.5786700000000001E-2</v>
      </c>
      <c r="AB372" s="22">
        <v>362</v>
      </c>
      <c r="AC372" s="22">
        <v>-2.31659E-2</v>
      </c>
      <c r="AD372">
        <f t="shared" si="64"/>
        <v>15.786700000000002</v>
      </c>
      <c r="AE372">
        <f t="shared" si="65"/>
        <v>-0.36132914694000007</v>
      </c>
      <c r="AF372" s="9"/>
      <c r="AG372" s="22">
        <v>1.7228699999999999</v>
      </c>
      <c r="AH372" s="22">
        <v>143.29</v>
      </c>
      <c r="AI372" s="22">
        <v>-4.5214799999999996E-3</v>
      </c>
      <c r="AJ372" s="22">
        <v>362</v>
      </c>
      <c r="AK372" s="22">
        <v>1.72302</v>
      </c>
      <c r="AL372">
        <f t="shared" si="66"/>
        <v>4.5214799999999995</v>
      </c>
      <c r="AM372">
        <f t="shared" si="67"/>
        <v>7.789922247599999</v>
      </c>
      <c r="AP372" s="9"/>
      <c r="AQ372" s="22">
        <v>-2.2888200000000001E-2</v>
      </c>
      <c r="AR372" s="22">
        <v>192.66800000000001</v>
      </c>
      <c r="AS372" s="22">
        <v>-1.57898E-2</v>
      </c>
      <c r="AT372" s="22">
        <v>362</v>
      </c>
      <c r="AU372" s="22">
        <v>-2.3132300000000001E-2</v>
      </c>
      <c r="AV372">
        <f t="shared" si="68"/>
        <v>15.7898</v>
      </c>
      <c r="AW372">
        <f t="shared" si="69"/>
        <v>-0.36140010036000003</v>
      </c>
      <c r="AX372" s="9"/>
      <c r="AY372" s="22">
        <v>1.7228699999999999</v>
      </c>
      <c r="AZ372" s="22">
        <v>242.05199999999999</v>
      </c>
      <c r="BA372" s="22">
        <v>-4.4751000000000001E-3</v>
      </c>
      <c r="BB372" s="22">
        <v>362</v>
      </c>
      <c r="BC372" s="22">
        <v>1.72241</v>
      </c>
      <c r="BD372">
        <f t="shared" si="70"/>
        <v>4.4751000000000003</v>
      </c>
      <c r="BE372">
        <f t="shared" si="71"/>
        <v>7.7100155370000003</v>
      </c>
    </row>
    <row r="373" spans="6:57">
      <c r="F373" s="9"/>
      <c r="G373" s="22">
        <v>-2.79236E-2</v>
      </c>
      <c r="H373" s="22">
        <v>12.642200000000001</v>
      </c>
      <c r="I373" s="22">
        <v>-1.57471E-2</v>
      </c>
      <c r="J373" s="22">
        <v>363</v>
      </c>
      <c r="K373" s="22">
        <v>-2.8183E-2</v>
      </c>
      <c r="L373">
        <f t="shared" si="60"/>
        <v>15.7471</v>
      </c>
      <c r="M373">
        <f t="shared" si="61"/>
        <v>-0.43971572155999999</v>
      </c>
      <c r="N373" s="9"/>
      <c r="O373" s="22">
        <v>1.7279100000000001</v>
      </c>
      <c r="P373" s="22">
        <v>62.063600000000001</v>
      </c>
      <c r="Q373" s="22">
        <v>-4.3347200000000002E-3</v>
      </c>
      <c r="R373" s="22">
        <v>363</v>
      </c>
      <c r="S373" s="22">
        <v>1.72729</v>
      </c>
      <c r="T373">
        <f t="shared" si="62"/>
        <v>4.3347199999999999</v>
      </c>
      <c r="U373">
        <f t="shared" si="63"/>
        <v>7.4900060352000004</v>
      </c>
      <c r="X373" s="9"/>
      <c r="Y373" s="22">
        <v>-2.79236E-2</v>
      </c>
      <c r="Z373" s="22">
        <v>111.64100000000001</v>
      </c>
      <c r="AA373" s="22">
        <v>-1.5780599999999999E-2</v>
      </c>
      <c r="AB373" s="22">
        <v>363</v>
      </c>
      <c r="AC373" s="22">
        <v>-2.8149400000000002E-2</v>
      </c>
      <c r="AD373">
        <f t="shared" si="64"/>
        <v>15.780599999999998</v>
      </c>
      <c r="AE373">
        <f t="shared" si="65"/>
        <v>-0.44065116215999994</v>
      </c>
      <c r="AF373" s="9"/>
      <c r="AG373" s="22">
        <v>1.7279100000000001</v>
      </c>
      <c r="AH373" s="22">
        <v>143.30000000000001</v>
      </c>
      <c r="AI373" s="22">
        <v>-4.0728800000000001E-3</v>
      </c>
      <c r="AJ373" s="22">
        <v>363</v>
      </c>
      <c r="AK373" s="22">
        <v>1.72699</v>
      </c>
      <c r="AL373">
        <f t="shared" si="66"/>
        <v>4.0728800000000005</v>
      </c>
      <c r="AM373">
        <f t="shared" si="67"/>
        <v>7.037570080800001</v>
      </c>
      <c r="AP373" s="9"/>
      <c r="AQ373" s="22">
        <v>-2.79236E-2</v>
      </c>
      <c r="AR373" s="22">
        <v>192.679</v>
      </c>
      <c r="AS373" s="22">
        <v>-1.5792799999999999E-2</v>
      </c>
      <c r="AT373" s="22">
        <v>363</v>
      </c>
      <c r="AU373" s="22">
        <v>-2.8125000000000001E-2</v>
      </c>
      <c r="AV373">
        <f t="shared" si="68"/>
        <v>15.7928</v>
      </c>
      <c r="AW373">
        <f t="shared" si="69"/>
        <v>-0.44099183007999998</v>
      </c>
      <c r="AX373" s="9"/>
      <c r="AY373" s="22">
        <v>1.7279100000000001</v>
      </c>
      <c r="AZ373" s="22">
        <v>242.06200000000001</v>
      </c>
      <c r="BA373" s="22">
        <v>-4.0335099999999997E-3</v>
      </c>
      <c r="BB373" s="22">
        <v>363</v>
      </c>
      <c r="BC373" s="22">
        <v>1.7276</v>
      </c>
      <c r="BD373">
        <f t="shared" si="70"/>
        <v>4.0335099999999997</v>
      </c>
      <c r="BE373">
        <f t="shared" si="71"/>
        <v>6.9695422640999993</v>
      </c>
    </row>
    <row r="374" spans="6:57">
      <c r="F374" s="9"/>
      <c r="G374" s="22">
        <v>-3.2959000000000002E-2</v>
      </c>
      <c r="H374" s="22">
        <v>12.652200000000001</v>
      </c>
      <c r="I374" s="22">
        <v>-1.57471E-2</v>
      </c>
      <c r="J374" s="22">
        <v>364</v>
      </c>
      <c r="K374" s="22">
        <v>-3.32123E-2</v>
      </c>
      <c r="L374">
        <f t="shared" si="60"/>
        <v>15.7471</v>
      </c>
      <c r="M374">
        <f t="shared" si="61"/>
        <v>-0.51900866889999997</v>
      </c>
      <c r="N374" s="9"/>
      <c r="O374" s="22">
        <v>1.7329399999999999</v>
      </c>
      <c r="P374" s="22">
        <v>62.073700000000002</v>
      </c>
      <c r="Q374" s="22">
        <v>-3.84827E-3</v>
      </c>
      <c r="R374" s="22">
        <v>364</v>
      </c>
      <c r="S374" s="22">
        <v>1.73248</v>
      </c>
      <c r="T374">
        <f t="shared" si="62"/>
        <v>3.8482699999999999</v>
      </c>
      <c r="U374">
        <f t="shared" si="63"/>
        <v>6.6688210137999997</v>
      </c>
      <c r="X374" s="9"/>
      <c r="Y374" s="22">
        <v>-3.2959000000000002E-2</v>
      </c>
      <c r="Z374" s="22">
        <v>111.651</v>
      </c>
      <c r="AA374" s="22">
        <v>-1.5777599999999999E-2</v>
      </c>
      <c r="AB374" s="22">
        <v>364</v>
      </c>
      <c r="AC374" s="22">
        <v>-3.3187899999999999E-2</v>
      </c>
      <c r="AD374">
        <f t="shared" si="64"/>
        <v>15.7776</v>
      </c>
      <c r="AE374">
        <f t="shared" si="65"/>
        <v>-0.5200139184</v>
      </c>
      <c r="AF374" s="9"/>
      <c r="AG374" s="22">
        <v>1.7329399999999999</v>
      </c>
      <c r="AH374" s="22">
        <v>143.31</v>
      </c>
      <c r="AI374" s="22">
        <v>-3.57544E-3</v>
      </c>
      <c r="AJ374" s="22">
        <v>364</v>
      </c>
      <c r="AK374" s="22">
        <v>1.73248</v>
      </c>
      <c r="AL374">
        <f t="shared" si="66"/>
        <v>3.57544</v>
      </c>
      <c r="AM374">
        <f t="shared" si="67"/>
        <v>6.1960229935999998</v>
      </c>
      <c r="AP374" s="9"/>
      <c r="AQ374" s="22">
        <v>-3.2959000000000002E-2</v>
      </c>
      <c r="AR374" s="22">
        <v>192.68899999999999</v>
      </c>
      <c r="AS374" s="22">
        <v>-1.5795900000000002E-2</v>
      </c>
      <c r="AT374" s="22">
        <v>364</v>
      </c>
      <c r="AU374" s="22">
        <v>-3.3291599999999998E-2</v>
      </c>
      <c r="AV374">
        <f t="shared" si="68"/>
        <v>15.795900000000001</v>
      </c>
      <c r="AW374">
        <f t="shared" si="69"/>
        <v>-0.52061706810000008</v>
      </c>
      <c r="AX374" s="9"/>
      <c r="AY374" s="22">
        <v>1.7329399999999999</v>
      </c>
      <c r="AZ374" s="22">
        <v>242.072</v>
      </c>
      <c r="BA374" s="22">
        <v>-3.54828E-3</v>
      </c>
      <c r="BB374" s="22">
        <v>364</v>
      </c>
      <c r="BC374" s="22">
        <v>1.73187</v>
      </c>
      <c r="BD374">
        <f t="shared" si="70"/>
        <v>3.5482800000000001</v>
      </c>
      <c r="BE374">
        <f t="shared" si="71"/>
        <v>6.1489563432000001</v>
      </c>
    </row>
    <row r="375" spans="6:57">
      <c r="F375" s="9"/>
      <c r="G375" s="22">
        <v>-3.7994399999999998E-2</v>
      </c>
      <c r="H375" s="22">
        <v>12.6623</v>
      </c>
      <c r="I375" s="22">
        <v>-1.5744000000000001E-2</v>
      </c>
      <c r="J375" s="22">
        <v>365</v>
      </c>
      <c r="K375" s="22">
        <v>-3.8268999999999997E-2</v>
      </c>
      <c r="L375">
        <f t="shared" si="60"/>
        <v>15.744000000000002</v>
      </c>
      <c r="M375">
        <f t="shared" si="61"/>
        <v>-0.59818383360000005</v>
      </c>
      <c r="N375" s="9"/>
      <c r="O375" s="22">
        <v>1.7379800000000001</v>
      </c>
      <c r="P375" s="22">
        <v>62.0837</v>
      </c>
      <c r="Q375" s="22">
        <v>-3.3468600000000001E-3</v>
      </c>
      <c r="R375" s="22">
        <v>365</v>
      </c>
      <c r="S375" s="22">
        <v>1.7373700000000001</v>
      </c>
      <c r="T375">
        <f t="shared" si="62"/>
        <v>3.3468599999999999</v>
      </c>
      <c r="U375">
        <f t="shared" si="63"/>
        <v>5.8167757428</v>
      </c>
      <c r="X375" s="9"/>
      <c r="Y375" s="22">
        <v>-3.7994399999999998E-2</v>
      </c>
      <c r="Z375" s="22">
        <v>111.661</v>
      </c>
      <c r="AA375" s="22">
        <v>-1.5780599999999999E-2</v>
      </c>
      <c r="AB375" s="22">
        <v>365</v>
      </c>
      <c r="AC375" s="22">
        <v>-3.8272100000000003E-2</v>
      </c>
      <c r="AD375">
        <f t="shared" si="64"/>
        <v>15.780599999999998</v>
      </c>
      <c r="AE375">
        <f t="shared" si="65"/>
        <v>-0.59957442863999988</v>
      </c>
      <c r="AF375" s="9"/>
      <c r="AG375" s="22">
        <v>1.7379800000000001</v>
      </c>
      <c r="AH375" s="22">
        <v>143.32</v>
      </c>
      <c r="AI375" s="22">
        <v>-3.0658E-3</v>
      </c>
      <c r="AJ375" s="22">
        <v>365</v>
      </c>
      <c r="AK375" s="22">
        <v>1.7373700000000001</v>
      </c>
      <c r="AL375">
        <f t="shared" si="66"/>
        <v>3.0657999999999999</v>
      </c>
      <c r="AM375">
        <f t="shared" si="67"/>
        <v>5.3282990840000002</v>
      </c>
      <c r="AP375" s="9"/>
      <c r="AQ375" s="22">
        <v>-3.7994399999999998E-2</v>
      </c>
      <c r="AR375" s="22">
        <v>192.69900000000001</v>
      </c>
      <c r="AS375" s="22">
        <v>-1.5799000000000001E-2</v>
      </c>
      <c r="AT375" s="22">
        <v>365</v>
      </c>
      <c r="AU375" s="22">
        <v>-3.8266000000000001E-2</v>
      </c>
      <c r="AV375">
        <f t="shared" si="68"/>
        <v>15.799000000000001</v>
      </c>
      <c r="AW375">
        <f t="shared" si="69"/>
        <v>-0.60027352560000002</v>
      </c>
      <c r="AX375" s="9"/>
      <c r="AY375" s="22">
        <v>1.7379800000000001</v>
      </c>
      <c r="AZ375" s="22">
        <v>242.08199999999999</v>
      </c>
      <c r="BA375" s="22">
        <v>-3.0423E-3</v>
      </c>
      <c r="BB375" s="22">
        <v>365</v>
      </c>
      <c r="BC375" s="22">
        <v>1.7373700000000001</v>
      </c>
      <c r="BD375">
        <f t="shared" si="70"/>
        <v>3.0423</v>
      </c>
      <c r="BE375">
        <f t="shared" si="71"/>
        <v>5.2874565540000003</v>
      </c>
    </row>
    <row r="376" spans="6:57">
      <c r="F376" s="9"/>
      <c r="G376" s="22">
        <v>-4.30298E-2</v>
      </c>
      <c r="H376" s="22">
        <v>12.6724</v>
      </c>
      <c r="I376" s="22">
        <v>-1.57471E-2</v>
      </c>
      <c r="J376" s="22">
        <v>366</v>
      </c>
      <c r="K376" s="22">
        <v>-4.33319E-2</v>
      </c>
      <c r="L376">
        <f t="shared" si="60"/>
        <v>15.7471</v>
      </c>
      <c r="M376">
        <f t="shared" si="61"/>
        <v>-0.67759456358000003</v>
      </c>
      <c r="N376" s="9"/>
      <c r="O376" s="22">
        <v>1.7430099999999999</v>
      </c>
      <c r="P376" s="22">
        <v>62.093800000000002</v>
      </c>
      <c r="Q376" s="22">
        <v>-2.8024299999999999E-3</v>
      </c>
      <c r="R376" s="22">
        <v>366</v>
      </c>
      <c r="S376" s="22">
        <v>1.74194</v>
      </c>
      <c r="T376">
        <f t="shared" si="62"/>
        <v>2.8024299999999998</v>
      </c>
      <c r="U376">
        <f t="shared" si="63"/>
        <v>4.8846635142999997</v>
      </c>
      <c r="X376" s="9"/>
      <c r="Y376" s="22">
        <v>-4.30298E-2</v>
      </c>
      <c r="Z376" s="22">
        <v>111.67100000000001</v>
      </c>
      <c r="AA376" s="22">
        <v>-1.5786700000000001E-2</v>
      </c>
      <c r="AB376" s="22">
        <v>366</v>
      </c>
      <c r="AC376" s="22">
        <v>-4.3334999999999999E-2</v>
      </c>
      <c r="AD376">
        <f t="shared" si="64"/>
        <v>15.786700000000002</v>
      </c>
      <c r="AE376">
        <f t="shared" si="65"/>
        <v>-0.67929854366000009</v>
      </c>
      <c r="AF376" s="9"/>
      <c r="AG376" s="22">
        <v>1.7430099999999999</v>
      </c>
      <c r="AH376" s="22">
        <v>143.33000000000001</v>
      </c>
      <c r="AI376" s="22">
        <v>-2.5082400000000001E-3</v>
      </c>
      <c r="AJ376" s="22">
        <v>366</v>
      </c>
      <c r="AK376" s="22">
        <v>1.74194</v>
      </c>
      <c r="AL376">
        <f t="shared" si="66"/>
        <v>2.5082400000000002</v>
      </c>
      <c r="AM376">
        <f t="shared" si="67"/>
        <v>4.3718874024000005</v>
      </c>
      <c r="AP376" s="9"/>
      <c r="AQ376" s="22">
        <v>-4.30298E-2</v>
      </c>
      <c r="AR376" s="22">
        <v>192.709</v>
      </c>
      <c r="AS376" s="22">
        <v>-1.5802E-2</v>
      </c>
      <c r="AT376" s="22">
        <v>366</v>
      </c>
      <c r="AU376" s="22">
        <v>-4.3313600000000001E-2</v>
      </c>
      <c r="AV376">
        <f t="shared" si="68"/>
        <v>15.802</v>
      </c>
      <c r="AW376">
        <f t="shared" si="69"/>
        <v>-0.67995689959999994</v>
      </c>
      <c r="AX376" s="9"/>
      <c r="AY376" s="22">
        <v>1.7430099999999999</v>
      </c>
      <c r="AZ376" s="22">
        <v>242.09200000000001</v>
      </c>
      <c r="BA376" s="22">
        <v>-2.4908399999999998E-3</v>
      </c>
      <c r="BB376" s="22">
        <v>366</v>
      </c>
      <c r="BC376" s="22">
        <v>1.74255</v>
      </c>
      <c r="BD376">
        <f t="shared" si="70"/>
        <v>2.4908399999999999</v>
      </c>
      <c r="BE376">
        <f t="shared" si="71"/>
        <v>4.3415590283999999</v>
      </c>
    </row>
    <row r="377" spans="6:57">
      <c r="F377" s="9"/>
      <c r="G377" s="22">
        <v>-4.8065200000000002E-2</v>
      </c>
      <c r="H377" s="22">
        <v>12.682499999999999</v>
      </c>
      <c r="I377" s="22">
        <v>-1.57501E-2</v>
      </c>
      <c r="J377" s="22">
        <v>367</v>
      </c>
      <c r="K377" s="22">
        <v>-4.8345899999999997E-2</v>
      </c>
      <c r="L377">
        <f t="shared" si="60"/>
        <v>15.7501</v>
      </c>
      <c r="M377">
        <f t="shared" si="61"/>
        <v>-0.75703170652000007</v>
      </c>
      <c r="N377" s="9"/>
      <c r="O377" s="22">
        <v>1.7480500000000001</v>
      </c>
      <c r="P377" s="22">
        <v>62.103900000000003</v>
      </c>
      <c r="Q377" s="22">
        <v>-2.2146599999999998E-3</v>
      </c>
      <c r="R377" s="22">
        <v>367</v>
      </c>
      <c r="S377" s="22">
        <v>1.7474400000000001</v>
      </c>
      <c r="T377">
        <f t="shared" si="62"/>
        <v>2.2146599999999999</v>
      </c>
      <c r="U377">
        <f t="shared" si="63"/>
        <v>3.8713364129999999</v>
      </c>
      <c r="X377" s="9"/>
      <c r="Y377" s="22">
        <v>-4.8065200000000002E-2</v>
      </c>
      <c r="Z377" s="22">
        <v>111.681</v>
      </c>
      <c r="AA377" s="22">
        <v>-1.5795900000000002E-2</v>
      </c>
      <c r="AB377" s="22">
        <v>367</v>
      </c>
      <c r="AC377" s="22">
        <v>-4.8345899999999997E-2</v>
      </c>
      <c r="AD377">
        <f t="shared" si="64"/>
        <v>15.795900000000001</v>
      </c>
      <c r="AE377">
        <f t="shared" si="65"/>
        <v>-0.75923309268000005</v>
      </c>
      <c r="AF377" s="9"/>
      <c r="AG377" s="22">
        <v>1.7480500000000001</v>
      </c>
      <c r="AH377" s="22">
        <v>143.34</v>
      </c>
      <c r="AI377" s="22">
        <v>-1.93115E-3</v>
      </c>
      <c r="AJ377" s="22">
        <v>367</v>
      </c>
      <c r="AK377" s="22">
        <v>1.7471300000000001</v>
      </c>
      <c r="AL377">
        <f t="shared" si="66"/>
        <v>1.9311499999999999</v>
      </c>
      <c r="AM377">
        <f t="shared" si="67"/>
        <v>3.3757467575</v>
      </c>
      <c r="AP377" s="9"/>
      <c r="AQ377" s="22">
        <v>-4.8065200000000002E-2</v>
      </c>
      <c r="AR377" s="22">
        <v>192.71899999999999</v>
      </c>
      <c r="AS377" s="22">
        <v>-1.5795900000000002E-2</v>
      </c>
      <c r="AT377" s="22">
        <v>367</v>
      </c>
      <c r="AU377" s="22">
        <v>-4.8379499999999999E-2</v>
      </c>
      <c r="AV377">
        <f t="shared" si="68"/>
        <v>15.795900000000001</v>
      </c>
      <c r="AW377">
        <f t="shared" si="69"/>
        <v>-0.75923309268000005</v>
      </c>
      <c r="AX377" s="9"/>
      <c r="AY377" s="22">
        <v>1.7480500000000001</v>
      </c>
      <c r="AZ377" s="22">
        <v>242.102</v>
      </c>
      <c r="BA377" s="22">
        <v>-1.8957500000000001E-3</v>
      </c>
      <c r="BB377" s="22">
        <v>367</v>
      </c>
      <c r="BC377" s="22">
        <v>1.7471300000000001</v>
      </c>
      <c r="BD377">
        <f t="shared" si="70"/>
        <v>1.89575</v>
      </c>
      <c r="BE377">
        <f t="shared" si="71"/>
        <v>3.3138657875000002</v>
      </c>
    </row>
    <row r="378" spans="6:57">
      <c r="F378" s="9"/>
      <c r="G378" s="22">
        <v>-5.3100599999999998E-2</v>
      </c>
      <c r="H378" s="22">
        <v>12.692500000000001</v>
      </c>
      <c r="I378" s="22">
        <v>-1.5753199999999998E-2</v>
      </c>
      <c r="J378" s="22">
        <v>368</v>
      </c>
      <c r="K378" s="22">
        <v>-5.3588900000000002E-2</v>
      </c>
      <c r="L378">
        <f t="shared" si="60"/>
        <v>15.753199999999998</v>
      </c>
      <c r="M378">
        <f t="shared" si="61"/>
        <v>-0.83650437191999982</v>
      </c>
      <c r="N378" s="9"/>
      <c r="O378" s="22">
        <v>1.75308</v>
      </c>
      <c r="P378" s="22">
        <v>62.113900000000001</v>
      </c>
      <c r="Q378" s="22">
        <v>-1.5930199999999999E-3</v>
      </c>
      <c r="R378" s="22">
        <v>368</v>
      </c>
      <c r="S378" s="22">
        <v>1.7523200000000001</v>
      </c>
      <c r="T378">
        <f t="shared" si="62"/>
        <v>1.5930199999999999</v>
      </c>
      <c r="U378">
        <f t="shared" si="63"/>
        <v>2.7926915015999998</v>
      </c>
      <c r="X378" s="9"/>
      <c r="Y378" s="22">
        <v>-5.3100599999999998E-2</v>
      </c>
      <c r="Z378" s="22">
        <v>111.691</v>
      </c>
      <c r="AA378" s="22">
        <v>-1.5799000000000001E-2</v>
      </c>
      <c r="AB378" s="22">
        <v>368</v>
      </c>
      <c r="AC378" s="22">
        <v>-5.35278E-2</v>
      </c>
      <c r="AD378">
        <f t="shared" si="64"/>
        <v>15.799000000000001</v>
      </c>
      <c r="AE378">
        <f t="shared" si="65"/>
        <v>-0.83893637939999999</v>
      </c>
      <c r="AF378" s="9"/>
      <c r="AG378" s="22">
        <v>1.75308</v>
      </c>
      <c r="AH378" s="22">
        <v>143.35</v>
      </c>
      <c r="AI378" s="22">
        <v>-1.3101199999999999E-3</v>
      </c>
      <c r="AJ378" s="22">
        <v>368</v>
      </c>
      <c r="AK378" s="22">
        <v>1.7523200000000001</v>
      </c>
      <c r="AL378">
        <f t="shared" si="66"/>
        <v>1.31012</v>
      </c>
      <c r="AM378">
        <f t="shared" si="67"/>
        <v>2.2967451695999999</v>
      </c>
      <c r="AP378" s="9"/>
      <c r="AQ378" s="22">
        <v>-5.3100599999999998E-2</v>
      </c>
      <c r="AR378" s="22">
        <v>192.72900000000001</v>
      </c>
      <c r="AS378" s="22">
        <v>-1.5795900000000002E-2</v>
      </c>
      <c r="AT378" s="22">
        <v>368</v>
      </c>
      <c r="AU378" s="22">
        <v>-5.3558300000000003E-2</v>
      </c>
      <c r="AV378">
        <f t="shared" si="68"/>
        <v>15.795900000000001</v>
      </c>
      <c r="AW378">
        <f t="shared" si="69"/>
        <v>-0.83877176754000005</v>
      </c>
      <c r="AX378" s="9"/>
      <c r="AY378" s="22">
        <v>1.75308</v>
      </c>
      <c r="AZ378" s="22">
        <v>242.11199999999999</v>
      </c>
      <c r="BA378" s="22">
        <v>-1.27502E-3</v>
      </c>
      <c r="BB378" s="22">
        <v>368</v>
      </c>
      <c r="BC378" s="22">
        <v>1.7526200000000001</v>
      </c>
      <c r="BD378">
        <f t="shared" si="70"/>
        <v>1.27502</v>
      </c>
      <c r="BE378">
        <f t="shared" si="71"/>
        <v>2.2352120616</v>
      </c>
    </row>
    <row r="379" spans="6:57">
      <c r="F379" s="9"/>
      <c r="G379" s="22">
        <v>-5.8136E-2</v>
      </c>
      <c r="H379" s="22">
        <v>12.7026</v>
      </c>
      <c r="I379" s="22">
        <v>-1.5756200000000001E-2</v>
      </c>
      <c r="J379" s="22">
        <v>369</v>
      </c>
      <c r="K379" s="22">
        <v>-5.8563200000000003E-2</v>
      </c>
      <c r="L379">
        <f t="shared" si="60"/>
        <v>15.756200000000002</v>
      </c>
      <c r="M379">
        <f t="shared" si="61"/>
        <v>-0.91600244320000013</v>
      </c>
      <c r="N379" s="9"/>
      <c r="O379" s="22">
        <v>1.7581199999999999</v>
      </c>
      <c r="P379" s="22">
        <v>62.124000000000002</v>
      </c>
      <c r="Q379" s="22">
        <v>-9.4726599999999999E-4</v>
      </c>
      <c r="R379" s="22">
        <v>369</v>
      </c>
      <c r="S379" s="22">
        <v>1.7575099999999999</v>
      </c>
      <c r="T379">
        <f t="shared" si="62"/>
        <v>0.94726599999999994</v>
      </c>
      <c r="U379">
        <f t="shared" si="63"/>
        <v>1.6654072999199998</v>
      </c>
      <c r="X379" s="9"/>
      <c r="Y379" s="22">
        <v>-5.8136E-2</v>
      </c>
      <c r="Z379" s="22">
        <v>111.70099999999999</v>
      </c>
      <c r="AA379" s="22">
        <v>-1.5802E-2</v>
      </c>
      <c r="AB379" s="22">
        <v>369</v>
      </c>
      <c r="AC379" s="22">
        <v>-5.8624299999999997E-2</v>
      </c>
      <c r="AD379">
        <f t="shared" si="64"/>
        <v>15.802</v>
      </c>
      <c r="AE379">
        <f t="shared" si="65"/>
        <v>-0.91866507200000003</v>
      </c>
      <c r="AF379" s="9"/>
      <c r="AG379" s="22">
        <v>1.7581199999999999</v>
      </c>
      <c r="AH379" s="22">
        <v>143.36099999999999</v>
      </c>
      <c r="AI379" s="22">
        <v>-6.6009499999999997E-4</v>
      </c>
      <c r="AJ379" s="22">
        <v>369</v>
      </c>
      <c r="AK379" s="22">
        <v>1.7572000000000001</v>
      </c>
      <c r="AL379">
        <f t="shared" si="66"/>
        <v>0.66009499999999999</v>
      </c>
      <c r="AM379">
        <f t="shared" si="67"/>
        <v>1.1605262213999998</v>
      </c>
      <c r="AP379" s="9"/>
      <c r="AQ379" s="22">
        <v>-5.8136E-2</v>
      </c>
      <c r="AR379" s="22">
        <v>192.739</v>
      </c>
      <c r="AS379" s="22">
        <v>-1.5795900000000002E-2</v>
      </c>
      <c r="AT379" s="22">
        <v>369</v>
      </c>
      <c r="AU379" s="22">
        <v>-5.8593800000000001E-2</v>
      </c>
      <c r="AV379">
        <f t="shared" si="68"/>
        <v>15.795900000000001</v>
      </c>
      <c r="AW379">
        <f t="shared" si="69"/>
        <v>-0.91831044240000004</v>
      </c>
      <c r="AX379" s="9"/>
      <c r="AY379" s="22">
        <v>1.7581199999999999</v>
      </c>
      <c r="AZ379" s="22">
        <v>242.12200000000001</v>
      </c>
      <c r="BA379" s="22">
        <v>-6.05774E-4</v>
      </c>
      <c r="BB379" s="22">
        <v>369</v>
      </c>
      <c r="BC379" s="22">
        <v>1.7578100000000001</v>
      </c>
      <c r="BD379">
        <f t="shared" si="70"/>
        <v>0.60577400000000003</v>
      </c>
      <c r="BE379">
        <f t="shared" si="71"/>
        <v>1.0650233848799999</v>
      </c>
    </row>
    <row r="380" spans="6:57">
      <c r="F380" s="9"/>
      <c r="G380" s="22">
        <v>-6.3171400000000003E-2</v>
      </c>
      <c r="H380" s="22">
        <v>12.7127</v>
      </c>
      <c r="I380" s="22">
        <v>-1.57623E-2</v>
      </c>
      <c r="J380" s="22">
        <v>370</v>
      </c>
      <c r="K380" s="22">
        <v>-6.3629199999999997E-2</v>
      </c>
      <c r="L380">
        <f t="shared" si="60"/>
        <v>15.7623</v>
      </c>
      <c r="M380">
        <f t="shared" si="61"/>
        <v>-0.99572655822</v>
      </c>
      <c r="N380" s="9"/>
      <c r="O380" s="22">
        <v>1.76315</v>
      </c>
      <c r="P380" s="22">
        <v>62.134099999999997</v>
      </c>
      <c r="Q380" s="22">
        <v>-2.4346900000000001E-4</v>
      </c>
      <c r="R380" s="22">
        <v>370</v>
      </c>
      <c r="S380" s="22">
        <v>1.7629999999999999</v>
      </c>
      <c r="T380">
        <f t="shared" si="62"/>
        <v>0.24346900000000002</v>
      </c>
      <c r="U380">
        <f t="shared" si="63"/>
        <v>0.42927236735000002</v>
      </c>
      <c r="X380" s="9"/>
      <c r="Y380" s="22">
        <v>-6.3171400000000003E-2</v>
      </c>
      <c r="Z380" s="22">
        <v>111.712</v>
      </c>
      <c r="AA380" s="22">
        <v>-1.5802E-2</v>
      </c>
      <c r="AB380" s="22">
        <v>370</v>
      </c>
      <c r="AC380" s="22">
        <v>-6.36597E-2</v>
      </c>
      <c r="AD380">
        <f t="shared" si="64"/>
        <v>15.802</v>
      </c>
      <c r="AE380">
        <f t="shared" si="65"/>
        <v>-0.99823446280000006</v>
      </c>
      <c r="AF380" s="9"/>
      <c r="AG380" s="22">
        <v>1.76315</v>
      </c>
      <c r="AH380" s="22">
        <v>143.37100000000001</v>
      </c>
      <c r="AI380" s="25">
        <v>5.1910399999999997E-5</v>
      </c>
      <c r="AJ380" s="22">
        <v>370</v>
      </c>
      <c r="AK380" s="22">
        <v>1.7626999999999999</v>
      </c>
      <c r="AL380">
        <f t="shared" si="66"/>
        <v>-5.1910399999999995E-2</v>
      </c>
      <c r="AM380">
        <f t="shared" si="67"/>
        <v>-9.1525821759999987E-2</v>
      </c>
      <c r="AP380" s="9"/>
      <c r="AQ380" s="22">
        <v>-6.3171400000000003E-2</v>
      </c>
      <c r="AR380" s="22">
        <v>192.749</v>
      </c>
      <c r="AS380" s="22">
        <v>-1.5792799999999999E-2</v>
      </c>
      <c r="AT380" s="22">
        <v>370</v>
      </c>
      <c r="AU380" s="22">
        <v>-6.3598600000000005E-2</v>
      </c>
      <c r="AV380">
        <f t="shared" si="68"/>
        <v>15.7928</v>
      </c>
      <c r="AW380">
        <f t="shared" si="69"/>
        <v>-0.99765328592000002</v>
      </c>
      <c r="AX380" s="9"/>
      <c r="AY380" s="22">
        <v>1.76315</v>
      </c>
      <c r="AZ380" s="22">
        <v>242.13200000000001</v>
      </c>
      <c r="BA380" s="25">
        <v>9.0606700000000001E-5</v>
      </c>
      <c r="BB380" s="22">
        <v>370</v>
      </c>
      <c r="BC380" s="22">
        <v>1.7623899999999999</v>
      </c>
      <c r="BD380">
        <f t="shared" si="70"/>
        <v>-9.0606699999999998E-2</v>
      </c>
      <c r="BE380">
        <f t="shared" si="71"/>
        <v>-0.15975320310499999</v>
      </c>
    </row>
    <row r="381" spans="6:57">
      <c r="F381" s="9"/>
      <c r="G381" s="22">
        <v>-6.8206799999999998E-2</v>
      </c>
      <c r="H381" s="22">
        <v>12.7227</v>
      </c>
      <c r="I381" s="22">
        <v>-1.5768399999999998E-2</v>
      </c>
      <c r="J381" s="22">
        <v>371</v>
      </c>
      <c r="K381" s="22">
        <v>-6.8695099999999995E-2</v>
      </c>
      <c r="L381">
        <f t="shared" si="60"/>
        <v>15.768399999999998</v>
      </c>
      <c r="M381">
        <f t="shared" si="61"/>
        <v>-1.0755121051199998</v>
      </c>
      <c r="N381" s="9"/>
      <c r="O381" s="22">
        <v>1.7681899999999999</v>
      </c>
      <c r="P381" s="22">
        <v>62.144199999999998</v>
      </c>
      <c r="Q381" s="22">
        <v>5.1849399999999999E-4</v>
      </c>
      <c r="R381" s="22">
        <v>371</v>
      </c>
      <c r="S381" s="22">
        <v>1.7675799999999999</v>
      </c>
      <c r="T381">
        <f t="shared" si="62"/>
        <v>-0.51849400000000001</v>
      </c>
      <c r="U381">
        <f t="shared" si="63"/>
        <v>-0.91679590585999993</v>
      </c>
      <c r="X381" s="9"/>
      <c r="Y381" s="22">
        <v>-6.8206799999999998E-2</v>
      </c>
      <c r="Z381" s="22">
        <v>111.72199999999999</v>
      </c>
      <c r="AA381" s="22">
        <v>-1.5802E-2</v>
      </c>
      <c r="AB381" s="22">
        <v>371</v>
      </c>
      <c r="AC381" s="22">
        <v>-6.8695099999999995E-2</v>
      </c>
      <c r="AD381">
        <f t="shared" si="64"/>
        <v>15.802</v>
      </c>
      <c r="AE381">
        <f t="shared" si="65"/>
        <v>-1.0778038535999999</v>
      </c>
      <c r="AF381" s="9"/>
      <c r="AG381" s="22">
        <v>1.7681899999999999</v>
      </c>
      <c r="AH381" s="22">
        <v>143.381</v>
      </c>
      <c r="AI381" s="22">
        <v>8.2183799999999997E-4</v>
      </c>
      <c r="AJ381" s="22">
        <v>371</v>
      </c>
      <c r="AK381" s="22">
        <v>1.7678799999999999</v>
      </c>
      <c r="AL381">
        <f t="shared" si="66"/>
        <v>-0.82183799999999996</v>
      </c>
      <c r="AM381">
        <f t="shared" si="67"/>
        <v>-1.4531657332199999</v>
      </c>
      <c r="AP381" s="9"/>
      <c r="AQ381" s="22">
        <v>-6.8206799999999998E-2</v>
      </c>
      <c r="AR381" s="22">
        <v>192.75899999999999</v>
      </c>
      <c r="AS381" s="22">
        <v>-1.5792799999999999E-2</v>
      </c>
      <c r="AT381" s="22">
        <v>371</v>
      </c>
      <c r="AU381" s="22">
        <v>-6.8634000000000001E-2</v>
      </c>
      <c r="AV381">
        <f t="shared" si="68"/>
        <v>15.7928</v>
      </c>
      <c r="AW381">
        <f t="shared" si="69"/>
        <v>-1.0771763510399999</v>
      </c>
      <c r="AX381" s="9"/>
      <c r="AY381" s="22">
        <v>1.7681899999999999</v>
      </c>
      <c r="AZ381" s="22">
        <v>242.143</v>
      </c>
      <c r="BA381" s="22">
        <v>8.3557100000000001E-4</v>
      </c>
      <c r="BB381" s="22">
        <v>371</v>
      </c>
      <c r="BC381" s="22">
        <v>1.7675799999999999</v>
      </c>
      <c r="BD381">
        <f t="shared" si="70"/>
        <v>-0.83557100000000006</v>
      </c>
      <c r="BE381">
        <f t="shared" si="71"/>
        <v>-1.47744828649</v>
      </c>
    </row>
    <row r="382" spans="6:57">
      <c r="F382" s="9"/>
      <c r="G382" s="22">
        <v>-7.3242199999999993E-2</v>
      </c>
      <c r="H382" s="22">
        <v>12.732799999999999</v>
      </c>
      <c r="I382" s="22">
        <v>-1.57745E-2</v>
      </c>
      <c r="J382" s="22">
        <v>372</v>
      </c>
      <c r="K382" s="22">
        <v>-7.3700000000000002E-2</v>
      </c>
      <c r="L382">
        <f t="shared" si="60"/>
        <v>15.7745</v>
      </c>
      <c r="M382">
        <f t="shared" si="61"/>
        <v>-1.1553590838999999</v>
      </c>
      <c r="N382" s="9"/>
      <c r="O382" s="22">
        <v>1.77322</v>
      </c>
      <c r="P382" s="22">
        <v>62.154200000000003</v>
      </c>
      <c r="Q382" s="22">
        <v>1.3314799999999999E-3</v>
      </c>
      <c r="R382" s="22">
        <v>372</v>
      </c>
      <c r="S382" s="22">
        <v>1.77277</v>
      </c>
      <c r="T382">
        <f t="shared" si="62"/>
        <v>-1.33148</v>
      </c>
      <c r="U382">
        <f t="shared" si="63"/>
        <v>-2.3610069656000001</v>
      </c>
      <c r="X382" s="9"/>
      <c r="Y382" s="22">
        <v>-7.3242199999999993E-2</v>
      </c>
      <c r="Z382" s="22">
        <v>111.732</v>
      </c>
      <c r="AA382" s="22">
        <v>-1.5805099999999999E-2</v>
      </c>
      <c r="AB382" s="22">
        <v>372</v>
      </c>
      <c r="AC382" s="22">
        <v>-7.3791499999999996E-2</v>
      </c>
      <c r="AD382">
        <f t="shared" si="64"/>
        <v>15.805099999999999</v>
      </c>
      <c r="AE382">
        <f t="shared" si="65"/>
        <v>-1.15760029522</v>
      </c>
      <c r="AF382" s="9"/>
      <c r="AG382" s="22">
        <v>1.77322</v>
      </c>
      <c r="AH382" s="22">
        <v>143.39099999999999</v>
      </c>
      <c r="AI382" s="22">
        <v>1.6485600000000001E-3</v>
      </c>
      <c r="AJ382" s="22">
        <v>372</v>
      </c>
      <c r="AK382" s="22">
        <v>1.7718499999999999</v>
      </c>
      <c r="AL382">
        <f t="shared" si="66"/>
        <v>-1.64856</v>
      </c>
      <c r="AM382">
        <f t="shared" si="67"/>
        <v>-2.9232595632000002</v>
      </c>
      <c r="AP382" s="9"/>
      <c r="AQ382" s="22">
        <v>-7.3242199999999993E-2</v>
      </c>
      <c r="AR382" s="22">
        <v>192.76900000000001</v>
      </c>
      <c r="AS382" s="22">
        <v>-1.5792799999999999E-2</v>
      </c>
      <c r="AT382" s="22">
        <v>372</v>
      </c>
      <c r="AU382" s="22">
        <v>-7.3730500000000004E-2</v>
      </c>
      <c r="AV382">
        <f t="shared" si="68"/>
        <v>15.7928</v>
      </c>
      <c r="AW382">
        <f t="shared" si="69"/>
        <v>-1.1566994161599999</v>
      </c>
      <c r="AX382" s="9"/>
      <c r="AY382" s="22">
        <v>1.77322</v>
      </c>
      <c r="AZ382" s="22">
        <v>242.15299999999999</v>
      </c>
      <c r="BA382" s="22">
        <v>1.65985E-3</v>
      </c>
      <c r="BB382" s="22">
        <v>372</v>
      </c>
      <c r="BC382" s="22">
        <v>1.77277</v>
      </c>
      <c r="BD382">
        <f t="shared" si="70"/>
        <v>-1.65985</v>
      </c>
      <c r="BE382">
        <f t="shared" si="71"/>
        <v>-2.9432792170000002</v>
      </c>
    </row>
    <row r="383" spans="6:57">
      <c r="F383" s="9"/>
      <c r="G383" s="22">
        <v>-7.8277600000000003E-2</v>
      </c>
      <c r="H383" s="22">
        <v>12.742900000000001</v>
      </c>
      <c r="I383" s="22">
        <v>-1.5777599999999999E-2</v>
      </c>
      <c r="J383" s="22">
        <v>373</v>
      </c>
      <c r="K383" s="22">
        <v>-7.8796400000000003E-2</v>
      </c>
      <c r="L383">
        <f t="shared" si="60"/>
        <v>15.7776</v>
      </c>
      <c r="M383">
        <f t="shared" si="61"/>
        <v>-1.23503266176</v>
      </c>
      <c r="N383" s="9"/>
      <c r="O383" s="22">
        <v>1.77826</v>
      </c>
      <c r="P383" s="22">
        <v>62.164299999999997</v>
      </c>
      <c r="Q383" s="22">
        <v>2.2042799999999999E-3</v>
      </c>
      <c r="R383" s="22">
        <v>373</v>
      </c>
      <c r="S383" s="22">
        <v>1.77765</v>
      </c>
      <c r="T383">
        <f t="shared" si="62"/>
        <v>-2.2042799999999998</v>
      </c>
      <c r="U383">
        <f t="shared" si="63"/>
        <v>-3.9197829527999994</v>
      </c>
      <c r="X383" s="9"/>
      <c r="Y383" s="22">
        <v>-7.8277600000000003E-2</v>
      </c>
      <c r="Z383" s="22">
        <v>111.742</v>
      </c>
      <c r="AA383" s="22">
        <v>-1.5811200000000001E-2</v>
      </c>
      <c r="AB383" s="22">
        <v>373</v>
      </c>
      <c r="AC383" s="22">
        <v>-7.8735399999999997E-2</v>
      </c>
      <c r="AD383">
        <f t="shared" si="64"/>
        <v>15.811200000000001</v>
      </c>
      <c r="AE383">
        <f t="shared" si="65"/>
        <v>-1.2376627891200001</v>
      </c>
      <c r="AF383" s="9"/>
      <c r="AG383" s="22">
        <v>1.77826</v>
      </c>
      <c r="AH383" s="22">
        <v>143.40100000000001</v>
      </c>
      <c r="AI383" s="22">
        <v>2.5067100000000001E-3</v>
      </c>
      <c r="AJ383" s="22">
        <v>373</v>
      </c>
      <c r="AK383" s="22">
        <v>1.7773399999999999</v>
      </c>
      <c r="AL383">
        <f t="shared" si="66"/>
        <v>-2.50671</v>
      </c>
      <c r="AM383">
        <f t="shared" si="67"/>
        <v>-4.4575821246</v>
      </c>
      <c r="AP383" s="9"/>
      <c r="AQ383" s="22">
        <v>-7.8277600000000003E-2</v>
      </c>
      <c r="AR383" s="22">
        <v>192.779</v>
      </c>
      <c r="AS383" s="22">
        <v>-1.5792799999999999E-2</v>
      </c>
      <c r="AT383" s="22">
        <v>373</v>
      </c>
      <c r="AU383" s="22">
        <v>-7.8735399999999997E-2</v>
      </c>
      <c r="AV383">
        <f t="shared" si="68"/>
        <v>15.7928</v>
      </c>
      <c r="AW383">
        <f t="shared" si="69"/>
        <v>-1.23622248128</v>
      </c>
      <c r="AX383" s="9"/>
      <c r="AY383" s="22">
        <v>1.77826</v>
      </c>
      <c r="AZ383" s="22">
        <v>242.16300000000001</v>
      </c>
      <c r="BA383" s="22">
        <v>2.5421100000000002E-3</v>
      </c>
      <c r="BB383" s="22">
        <v>373</v>
      </c>
      <c r="BC383" s="22">
        <v>1.7779499999999999</v>
      </c>
      <c r="BD383">
        <f t="shared" si="70"/>
        <v>-2.5421100000000001</v>
      </c>
      <c r="BE383">
        <f t="shared" si="71"/>
        <v>-4.5205325286000004</v>
      </c>
    </row>
    <row r="384" spans="6:57">
      <c r="F384" s="9"/>
      <c r="G384" s="22">
        <v>-8.3312999999999998E-2</v>
      </c>
      <c r="H384" s="22">
        <v>12.753</v>
      </c>
      <c r="I384" s="22">
        <v>-1.57745E-2</v>
      </c>
      <c r="J384" s="22">
        <v>374</v>
      </c>
      <c r="K384" s="22">
        <v>-8.3801299999999995E-2</v>
      </c>
      <c r="L384">
        <f t="shared" si="60"/>
        <v>15.7745</v>
      </c>
      <c r="M384">
        <f t="shared" si="61"/>
        <v>-1.3142209185</v>
      </c>
      <c r="N384" s="9"/>
      <c r="O384" s="22">
        <v>1.78329</v>
      </c>
      <c r="P384" s="22">
        <v>62.174399999999999</v>
      </c>
      <c r="Q384" s="22">
        <v>3.1378199999999999E-3</v>
      </c>
      <c r="R384" s="22">
        <v>374</v>
      </c>
      <c r="S384" s="22">
        <v>1.7825299999999999</v>
      </c>
      <c r="T384">
        <f t="shared" si="62"/>
        <v>-3.1378200000000001</v>
      </c>
      <c r="U384">
        <f t="shared" si="63"/>
        <v>-5.5956430278000004</v>
      </c>
      <c r="X384" s="9"/>
      <c r="Y384" s="22">
        <v>-8.3312999999999998E-2</v>
      </c>
      <c r="Z384" s="22">
        <v>111.752</v>
      </c>
      <c r="AA384" s="22">
        <v>-1.5817299999999999E-2</v>
      </c>
      <c r="AB384" s="22">
        <v>374</v>
      </c>
      <c r="AC384" s="22">
        <v>-8.3770800000000006E-2</v>
      </c>
      <c r="AD384">
        <f t="shared" si="64"/>
        <v>15.817299999999999</v>
      </c>
      <c r="AE384">
        <f t="shared" si="65"/>
        <v>-1.3177867149</v>
      </c>
      <c r="AF384" s="9"/>
      <c r="AG384" s="22">
        <v>1.78329</v>
      </c>
      <c r="AH384" s="22">
        <v>143.411</v>
      </c>
      <c r="AI384" s="22">
        <v>3.4500099999999999E-3</v>
      </c>
      <c r="AJ384" s="22">
        <v>374</v>
      </c>
      <c r="AK384" s="22">
        <v>1.78284</v>
      </c>
      <c r="AL384">
        <f t="shared" si="66"/>
        <v>-3.4500099999999998</v>
      </c>
      <c r="AM384">
        <f t="shared" si="67"/>
        <v>-6.1523683329000001</v>
      </c>
      <c r="AP384" s="9"/>
      <c r="AQ384" s="22">
        <v>-8.3312999999999998E-2</v>
      </c>
      <c r="AR384" s="22">
        <v>192.78899999999999</v>
      </c>
      <c r="AS384" s="22">
        <v>-1.5795900000000002E-2</v>
      </c>
      <c r="AT384" s="22">
        <v>374</v>
      </c>
      <c r="AU384" s="22">
        <v>-8.3801299999999995E-2</v>
      </c>
      <c r="AV384">
        <f t="shared" si="68"/>
        <v>15.795900000000001</v>
      </c>
      <c r="AW384">
        <f t="shared" si="69"/>
        <v>-1.3160038167000001</v>
      </c>
      <c r="AX384" s="9"/>
      <c r="AY384" s="22">
        <v>1.78329</v>
      </c>
      <c r="AZ384" s="22">
        <v>242.173</v>
      </c>
      <c r="BA384" s="22">
        <v>3.50067E-3</v>
      </c>
      <c r="BB384" s="22">
        <v>374</v>
      </c>
      <c r="BC384" s="22">
        <v>1.7831399999999999</v>
      </c>
      <c r="BD384">
        <f t="shared" si="70"/>
        <v>-3.5006699999999999</v>
      </c>
      <c r="BE384">
        <f t="shared" si="71"/>
        <v>-6.2427098043000004</v>
      </c>
    </row>
    <row r="385" spans="6:57">
      <c r="F385" s="9"/>
      <c r="G385" s="22">
        <v>-8.8348399999999994E-2</v>
      </c>
      <c r="H385" s="22">
        <v>12.763</v>
      </c>
      <c r="I385" s="22">
        <v>-1.57745E-2</v>
      </c>
      <c r="J385" s="22">
        <v>375</v>
      </c>
      <c r="K385" s="22">
        <v>-8.8745099999999993E-2</v>
      </c>
      <c r="L385">
        <f t="shared" si="60"/>
        <v>15.7745</v>
      </c>
      <c r="M385">
        <f t="shared" si="61"/>
        <v>-1.3936518357999998</v>
      </c>
      <c r="N385" s="9"/>
      <c r="O385" s="22">
        <v>1.78833</v>
      </c>
      <c r="P385" s="22">
        <v>62.184399999999997</v>
      </c>
      <c r="Q385" s="22">
        <v>4.1369600000000003E-3</v>
      </c>
      <c r="R385" s="22">
        <v>375</v>
      </c>
      <c r="S385" s="22">
        <v>1.78711</v>
      </c>
      <c r="T385">
        <f t="shared" si="62"/>
        <v>-4.1369600000000002</v>
      </c>
      <c r="U385">
        <f t="shared" si="63"/>
        <v>-7.3982496767999999</v>
      </c>
      <c r="X385" s="9"/>
      <c r="Y385" s="22">
        <v>-8.8348399999999994E-2</v>
      </c>
      <c r="Z385" s="22">
        <v>111.762</v>
      </c>
      <c r="AA385" s="22">
        <v>-1.5817299999999999E-2</v>
      </c>
      <c r="AB385" s="22">
        <v>375</v>
      </c>
      <c r="AC385" s="22">
        <v>-8.8806200000000002E-2</v>
      </c>
      <c r="AD385">
        <f t="shared" si="64"/>
        <v>15.817299999999999</v>
      </c>
      <c r="AE385">
        <f t="shared" si="65"/>
        <v>-1.3974331473199999</v>
      </c>
      <c r="AF385" s="9"/>
      <c r="AG385" s="22">
        <v>1.78833</v>
      </c>
      <c r="AH385" s="22">
        <v>143.42099999999999</v>
      </c>
      <c r="AI385" s="22">
        <v>4.4461099999999996E-3</v>
      </c>
      <c r="AJ385" s="22">
        <v>375</v>
      </c>
      <c r="AK385" s="22">
        <v>1.7880199999999999</v>
      </c>
      <c r="AL385">
        <f t="shared" si="66"/>
        <v>-4.44611</v>
      </c>
      <c r="AM385">
        <f t="shared" si="67"/>
        <v>-7.9511118962999996</v>
      </c>
      <c r="AP385" s="9"/>
      <c r="AQ385" s="22">
        <v>-8.8348399999999994E-2</v>
      </c>
      <c r="AR385" s="22">
        <v>192.79900000000001</v>
      </c>
      <c r="AS385" s="22">
        <v>-1.5799000000000001E-2</v>
      </c>
      <c r="AT385" s="22">
        <v>375</v>
      </c>
      <c r="AU385" s="22">
        <v>-8.8745099999999993E-2</v>
      </c>
      <c r="AV385">
        <f t="shared" si="68"/>
        <v>15.799000000000001</v>
      </c>
      <c r="AW385">
        <f t="shared" si="69"/>
        <v>-1.3958163716</v>
      </c>
      <c r="AX385" s="9"/>
      <c r="AY385" s="22">
        <v>1.78833</v>
      </c>
      <c r="AZ385" s="22">
        <v>242.18299999999999</v>
      </c>
      <c r="BA385" s="22">
        <v>4.49951E-3</v>
      </c>
      <c r="BB385" s="22">
        <v>375</v>
      </c>
      <c r="BC385" s="22">
        <v>1.78711</v>
      </c>
      <c r="BD385">
        <f t="shared" si="70"/>
        <v>-4.4995099999999999</v>
      </c>
      <c r="BE385">
        <f t="shared" si="71"/>
        <v>-8.0466087182999999</v>
      </c>
    </row>
    <row r="386" spans="6:57">
      <c r="F386" s="9"/>
      <c r="G386" s="22">
        <v>-9.3383800000000003E-2</v>
      </c>
      <c r="H386" s="22">
        <v>12.773099999999999</v>
      </c>
      <c r="I386" s="22">
        <v>-1.5777599999999999E-2</v>
      </c>
      <c r="J386" s="22">
        <v>376</v>
      </c>
      <c r="K386" s="22">
        <v>-9.3902600000000003E-2</v>
      </c>
      <c r="L386">
        <f t="shared" si="60"/>
        <v>15.7776</v>
      </c>
      <c r="M386">
        <f t="shared" si="61"/>
        <v>-1.47337224288</v>
      </c>
      <c r="N386" s="9"/>
      <c r="O386" s="22">
        <v>1.7933699999999999</v>
      </c>
      <c r="P386" s="22">
        <v>62.194499999999998</v>
      </c>
      <c r="Q386" s="22">
        <v>5.2093499999999997E-3</v>
      </c>
      <c r="R386" s="22">
        <v>376</v>
      </c>
      <c r="S386" s="22">
        <v>1.79352</v>
      </c>
      <c r="T386">
        <f t="shared" si="62"/>
        <v>-5.2093499999999997</v>
      </c>
      <c r="U386">
        <f t="shared" si="63"/>
        <v>-9.3422920094999995</v>
      </c>
      <c r="X386" s="9"/>
      <c r="Y386" s="22">
        <v>-9.3383800000000003E-2</v>
      </c>
      <c r="Z386" s="22">
        <v>111.77200000000001</v>
      </c>
      <c r="AA386" s="22">
        <v>-1.5817299999999999E-2</v>
      </c>
      <c r="AB386" s="22">
        <v>376</v>
      </c>
      <c r="AC386" s="22">
        <v>-9.38721E-2</v>
      </c>
      <c r="AD386">
        <f t="shared" si="64"/>
        <v>15.817299999999999</v>
      </c>
      <c r="AE386">
        <f t="shared" si="65"/>
        <v>-1.47707957974</v>
      </c>
      <c r="AF386" s="9"/>
      <c r="AG386" s="22">
        <v>1.7933699999999999</v>
      </c>
      <c r="AH386" s="22">
        <v>143.43100000000001</v>
      </c>
      <c r="AI386" s="22">
        <v>5.53894E-3</v>
      </c>
      <c r="AJ386" s="22">
        <v>376</v>
      </c>
      <c r="AK386" s="22">
        <v>1.79291</v>
      </c>
      <c r="AL386">
        <f t="shared" si="66"/>
        <v>-5.5389400000000002</v>
      </c>
      <c r="AM386">
        <f t="shared" si="67"/>
        <v>-9.933368827799999</v>
      </c>
      <c r="AP386" s="9"/>
      <c r="AQ386" s="22">
        <v>-9.3383800000000003E-2</v>
      </c>
      <c r="AR386" s="22">
        <v>192.809</v>
      </c>
      <c r="AS386" s="22">
        <v>-1.5802E-2</v>
      </c>
      <c r="AT386" s="22">
        <v>376</v>
      </c>
      <c r="AU386" s="22">
        <v>-9.375E-2</v>
      </c>
      <c r="AV386">
        <f t="shared" si="68"/>
        <v>15.802</v>
      </c>
      <c r="AW386">
        <f t="shared" si="69"/>
        <v>-1.4756508076000001</v>
      </c>
      <c r="AX386" s="9"/>
      <c r="AY386" s="22">
        <v>1.7933699999999999</v>
      </c>
      <c r="AZ386" s="22">
        <v>242.19300000000001</v>
      </c>
      <c r="BA386" s="22">
        <v>5.5847199999999996E-3</v>
      </c>
      <c r="BB386" s="22">
        <v>376</v>
      </c>
      <c r="BC386" s="22">
        <v>1.79291</v>
      </c>
      <c r="BD386">
        <f t="shared" si="70"/>
        <v>-5.5847199999999999</v>
      </c>
      <c r="BE386">
        <f t="shared" si="71"/>
        <v>-10.0154693064</v>
      </c>
    </row>
    <row r="387" spans="6:57">
      <c r="F387" s="9"/>
      <c r="G387" s="22">
        <v>-9.8419199999999998E-2</v>
      </c>
      <c r="H387" s="22">
        <v>12.783200000000001</v>
      </c>
      <c r="I387" s="22">
        <v>-1.5780599999999999E-2</v>
      </c>
      <c r="J387" s="22">
        <v>377</v>
      </c>
      <c r="K387" s="22">
        <v>-9.8968500000000001E-2</v>
      </c>
      <c r="L387">
        <f t="shared" si="60"/>
        <v>15.780599999999998</v>
      </c>
      <c r="M387">
        <f t="shared" si="61"/>
        <v>-1.5531140275199997</v>
      </c>
      <c r="N387" s="9"/>
      <c r="O387" s="22">
        <v>1.7984</v>
      </c>
      <c r="P387" s="22">
        <v>62.204599999999999</v>
      </c>
      <c r="Q387" s="22">
        <v>6.38428E-3</v>
      </c>
      <c r="R387" s="22">
        <v>377</v>
      </c>
      <c r="S387" s="22">
        <v>1.7981</v>
      </c>
      <c r="T387">
        <f t="shared" si="62"/>
        <v>-6.3842800000000004</v>
      </c>
      <c r="U387">
        <f t="shared" si="63"/>
        <v>-11.481489152</v>
      </c>
      <c r="X387" s="9"/>
      <c r="Y387" s="22">
        <v>-9.8419199999999998E-2</v>
      </c>
      <c r="Z387" s="22">
        <v>111.782</v>
      </c>
      <c r="AA387" s="22">
        <v>-1.5820299999999999E-2</v>
      </c>
      <c r="AB387" s="22">
        <v>377</v>
      </c>
      <c r="AC387" s="22">
        <v>-9.8937999999999998E-2</v>
      </c>
      <c r="AD387">
        <f t="shared" si="64"/>
        <v>15.8203</v>
      </c>
      <c r="AE387">
        <f t="shared" si="65"/>
        <v>-1.5570212697599999</v>
      </c>
      <c r="AF387" s="9"/>
      <c r="AG387" s="22">
        <v>1.7984</v>
      </c>
      <c r="AH387" s="22">
        <v>143.441</v>
      </c>
      <c r="AI387" s="22">
        <v>6.7016599999999999E-3</v>
      </c>
      <c r="AJ387" s="22">
        <v>377</v>
      </c>
      <c r="AK387" s="22">
        <v>1.79718</v>
      </c>
      <c r="AL387">
        <f t="shared" si="66"/>
        <v>-6.7016599999999995</v>
      </c>
      <c r="AM387">
        <f t="shared" si="67"/>
        <v>-12.052265343999998</v>
      </c>
      <c r="AP387" s="9"/>
      <c r="AQ387" s="22">
        <v>-9.8419199999999998E-2</v>
      </c>
      <c r="AR387" s="22">
        <v>192.82</v>
      </c>
      <c r="AS387" s="22">
        <v>-1.5805099999999999E-2</v>
      </c>
      <c r="AT387" s="22">
        <v>377</v>
      </c>
      <c r="AU387" s="22">
        <v>-9.8846400000000001E-2</v>
      </c>
      <c r="AV387">
        <f t="shared" si="68"/>
        <v>15.805099999999999</v>
      </c>
      <c r="AW387">
        <f t="shared" si="69"/>
        <v>-1.5555252979199998</v>
      </c>
      <c r="AX387" s="9"/>
      <c r="AY387" s="22">
        <v>1.7984</v>
      </c>
      <c r="AZ387" s="22">
        <v>242.203</v>
      </c>
      <c r="BA387" s="22">
        <v>6.7474400000000004E-3</v>
      </c>
      <c r="BB387" s="22">
        <v>377</v>
      </c>
      <c r="BC387" s="22">
        <v>1.7984</v>
      </c>
      <c r="BD387">
        <f t="shared" si="70"/>
        <v>-6.7474400000000001</v>
      </c>
      <c r="BE387">
        <f t="shared" si="71"/>
        <v>-12.134596096000001</v>
      </c>
    </row>
    <row r="388" spans="6:57">
      <c r="F388" s="9"/>
      <c r="G388" s="22">
        <v>-0.10345500000000001</v>
      </c>
      <c r="H388" s="22">
        <v>12.793200000000001</v>
      </c>
      <c r="I388" s="22">
        <v>-1.5783700000000001E-2</v>
      </c>
      <c r="J388" s="22">
        <v>378</v>
      </c>
      <c r="K388" s="22">
        <v>-0.103912</v>
      </c>
      <c r="L388">
        <f t="shared" si="60"/>
        <v>15.783700000000001</v>
      </c>
      <c r="M388">
        <f t="shared" si="61"/>
        <v>-1.6329026835000002</v>
      </c>
      <c r="N388" s="9"/>
      <c r="O388" s="22">
        <v>1.8034399999999999</v>
      </c>
      <c r="P388" s="22">
        <v>62.214700000000001</v>
      </c>
      <c r="Q388" s="22">
        <v>7.6293899999999998E-3</v>
      </c>
      <c r="R388" s="22">
        <v>378</v>
      </c>
      <c r="S388" s="22">
        <v>1.80298</v>
      </c>
      <c r="T388">
        <f t="shared" si="62"/>
        <v>-7.6293899999999999</v>
      </c>
      <c r="U388">
        <f t="shared" si="63"/>
        <v>-13.7591471016</v>
      </c>
      <c r="X388" s="9"/>
      <c r="Y388" s="22">
        <v>-0.10345500000000001</v>
      </c>
      <c r="Z388" s="22">
        <v>111.792</v>
      </c>
      <c r="AA388" s="22">
        <v>-1.5823400000000001E-2</v>
      </c>
      <c r="AB388" s="22">
        <v>378</v>
      </c>
      <c r="AC388" s="22">
        <v>-0.103851</v>
      </c>
      <c r="AD388">
        <f t="shared" si="64"/>
        <v>15.823400000000001</v>
      </c>
      <c r="AE388">
        <f t="shared" si="65"/>
        <v>-1.6370098470000003</v>
      </c>
      <c r="AF388" s="9"/>
      <c r="AG388" s="22">
        <v>1.8034399999999999</v>
      </c>
      <c r="AH388" s="22">
        <v>143.45099999999999</v>
      </c>
      <c r="AI388" s="22">
        <v>7.9650899999999993E-3</v>
      </c>
      <c r="AJ388" s="22">
        <v>378</v>
      </c>
      <c r="AK388" s="22">
        <v>1.80267</v>
      </c>
      <c r="AL388">
        <f t="shared" si="66"/>
        <v>-7.9650899999999991</v>
      </c>
      <c r="AM388">
        <f t="shared" si="67"/>
        <v>-14.364561909599997</v>
      </c>
      <c r="AP388" s="9"/>
      <c r="AQ388" s="22">
        <v>-0.10345500000000001</v>
      </c>
      <c r="AR388" s="22">
        <v>192.83</v>
      </c>
      <c r="AS388" s="22">
        <v>-1.58142E-2</v>
      </c>
      <c r="AT388" s="22">
        <v>378</v>
      </c>
      <c r="AU388" s="22">
        <v>-0.103882</v>
      </c>
      <c r="AV388">
        <f t="shared" si="68"/>
        <v>15.8142</v>
      </c>
      <c r="AW388">
        <f t="shared" si="69"/>
        <v>-1.636058061</v>
      </c>
      <c r="AX388" s="9"/>
      <c r="AY388" s="22">
        <v>1.8034399999999999</v>
      </c>
      <c r="AZ388" s="22">
        <v>242.21299999999999</v>
      </c>
      <c r="BA388" s="22">
        <v>7.9925499999999993E-3</v>
      </c>
      <c r="BB388" s="22">
        <v>378</v>
      </c>
      <c r="BC388" s="22">
        <v>1.80298</v>
      </c>
      <c r="BD388">
        <f t="shared" si="70"/>
        <v>-7.9925499999999996</v>
      </c>
      <c r="BE388">
        <f t="shared" si="71"/>
        <v>-14.414084372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19.78576932</v>
      </c>
      <c r="M2" s="8" t="s">
        <v>14</v>
      </c>
      <c r="N2" s="9"/>
      <c r="O2" s="2">
        <f>ABS(S7-S6)/ABS(T7-T6)*1000</f>
        <v>1620.3838709687329</v>
      </c>
      <c r="P2" s="2"/>
      <c r="Q2" s="6" t="s">
        <v>15</v>
      </c>
      <c r="R2" s="2"/>
      <c r="S2" s="7" t="s">
        <v>13</v>
      </c>
      <c r="T2" s="3">
        <f>T4*Q6*T9/100*100</f>
        <v>19.29844722</v>
      </c>
      <c r="U2" s="8" t="s">
        <v>14</v>
      </c>
      <c r="X2" s="9"/>
      <c r="Y2" s="2">
        <f>ABS(AC7-AC6)/ABS(AD7-AD6)*1000</f>
        <v>1643.0161290332626</v>
      </c>
      <c r="Z2" s="2"/>
      <c r="AA2" s="6" t="s">
        <v>12</v>
      </c>
      <c r="AB2" s="2"/>
      <c r="AC2" s="7" t="s">
        <v>13</v>
      </c>
      <c r="AD2" s="3">
        <f>AD4*AA6*AD9/100*100</f>
        <v>19.557416579999998</v>
      </c>
      <c r="AE2" s="8" t="s">
        <v>14</v>
      </c>
      <c r="AF2" s="9"/>
      <c r="AG2" s="2">
        <f>ABS(AK7-AK6)/ABS(AL7-AL6)*1000</f>
        <v>1640.073225806515</v>
      </c>
      <c r="AH2" s="2"/>
      <c r="AI2" s="6" t="s">
        <v>15</v>
      </c>
      <c r="AJ2" s="2"/>
      <c r="AK2" s="7" t="s">
        <v>13</v>
      </c>
      <c r="AL2" s="3">
        <f>AL4*AI6*AL9/100*100</f>
        <v>19.016366380000004</v>
      </c>
      <c r="AM2" s="8" t="s">
        <v>14</v>
      </c>
      <c r="AP2" s="9"/>
      <c r="AQ2" s="2">
        <f>ABS(AU7-AU6)/ABS(AV7-AV6)*1000</f>
        <v>4906.4419354868714</v>
      </c>
      <c r="AR2" s="2"/>
      <c r="AS2" s="6" t="s">
        <v>12</v>
      </c>
      <c r="AT2" s="2"/>
      <c r="AU2" s="7" t="s">
        <v>13</v>
      </c>
      <c r="AV2" s="3">
        <f>AV4*AS6*AV9/100*100</f>
        <v>19.285827718</v>
      </c>
      <c r="AW2" s="8" t="s">
        <v>14</v>
      </c>
      <c r="AX2" s="9"/>
      <c r="AY2" s="2">
        <f>ABS(BC7-BC6)/ABS(BD7-BD6)*1000</f>
        <v>7452.2921311453774</v>
      </c>
      <c r="AZ2" s="2"/>
      <c r="BA2" s="6" t="s">
        <v>15</v>
      </c>
      <c r="BB2" s="2"/>
      <c r="BC2" s="7" t="s">
        <v>13</v>
      </c>
      <c r="BD2" s="3">
        <f>BD4*BA6*BD9/100*100</f>
        <v>18.78120564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1.71356</v>
      </c>
      <c r="J3" s="2"/>
      <c r="K3" s="10">
        <f>INDEX(L11:L1056,MATCH(I3,K11:K1056,0))</f>
        <v>-0.19647200000000001</v>
      </c>
      <c r="L3" s="33" t="s">
        <v>16</v>
      </c>
      <c r="M3" s="11">
        <f>M9</f>
        <v>19.78576932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4.0039100000000001E-2</v>
      </c>
      <c r="T3" s="33" t="s">
        <v>16</v>
      </c>
      <c r="U3" s="11">
        <f>U9</f>
        <v>19.29844722</v>
      </c>
      <c r="X3" s="9"/>
      <c r="Y3" s="2" t="s">
        <v>44</v>
      </c>
      <c r="Z3" s="2"/>
      <c r="AA3" s="2">
        <f>INDEX(AC11:AC856,MATCH(0,AD11:AD856,1))</f>
        <v>1.71906</v>
      </c>
      <c r="AB3" s="2"/>
      <c r="AC3" s="10">
        <f>INDEX(AD11:AD1056,MATCH(AA3,AC11:AC1056,0))</f>
        <v>-0.42715500000000001</v>
      </c>
      <c r="AD3" s="33" t="s">
        <v>16</v>
      </c>
      <c r="AE3" s="11">
        <f>AE9</f>
        <v>19.557416579999998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0.58105499999999999</v>
      </c>
      <c r="AL3" s="33" t="s">
        <v>16</v>
      </c>
      <c r="AM3" s="11">
        <f>AM9</f>
        <v>19.016366380000001</v>
      </c>
      <c r="AP3" s="9"/>
      <c r="AQ3" s="2" t="s">
        <v>44</v>
      </c>
      <c r="AR3" s="2"/>
      <c r="AS3" s="2">
        <f>INDEX(AU11:AU856,MATCH(0,AV11:AV856,1))</f>
        <v>1.71936</v>
      </c>
      <c r="AT3" s="2"/>
      <c r="AU3" s="10">
        <f>INDEX(AV11:AV1056,MATCH(AS3,AU11:AU1056,0))</f>
        <v>-0.34146100000000001</v>
      </c>
      <c r="AV3" s="33" t="s">
        <v>16</v>
      </c>
      <c r="AW3" s="11">
        <f>AW9</f>
        <v>19.285827718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0.42657499999999998</v>
      </c>
      <c r="BD3" s="33" t="s">
        <v>16</v>
      </c>
      <c r="BE3" s="11">
        <f>BE9</f>
        <v>18.78120564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7.7602486868134504</v>
      </c>
      <c r="H4" s="2"/>
      <c r="I4" s="2">
        <f>INDEX(K11:K1000,1+MATCH(0,L11:L856,1))</f>
        <v>1.7083699999999999</v>
      </c>
      <c r="J4" s="2"/>
      <c r="K4" s="10">
        <f>INDEX(L11:L1056,MATCH(I4,K11:K1056,0))</f>
        <v>0.47232099999999999</v>
      </c>
      <c r="L4" s="32">
        <f>M3/(I6*L9)</f>
        <v>0.72728169427521516</v>
      </c>
      <c r="M4" s="8" t="s">
        <v>17</v>
      </c>
      <c r="N4" s="9"/>
      <c r="O4" s="2">
        <f>ABS(Q3-Q4)/ABS(S3-S4)*1000</f>
        <v>8.0712639682071501</v>
      </c>
      <c r="P4" s="2"/>
      <c r="Q4" s="2">
        <f>INDEX(S11:S856,1+MATCH(0,T11:T856,-1))</f>
        <v>1.71722</v>
      </c>
      <c r="R4" s="2"/>
      <c r="S4" s="10">
        <f>INDEX(T11:T856,MATCH(Q4,S11:S856,0))</f>
        <v>-0.56457500000000005</v>
      </c>
      <c r="T4" s="32">
        <f>U3/(Q6*T9)</f>
        <v>0.71155826507334219</v>
      </c>
      <c r="U4" s="8" t="s">
        <v>17</v>
      </c>
      <c r="X4" s="9"/>
      <c r="Y4" s="2">
        <f>ABS(AA3-AA4)/ABS(AC3-AC4)*1000</f>
        <v>6.9956481060249276</v>
      </c>
      <c r="Z4" s="2"/>
      <c r="AA4" s="2">
        <f>INDEX(AC11:AC1000,1+MATCH(0,AD11:AD856,1))</f>
        <v>1.71417</v>
      </c>
      <c r="AB4" s="2"/>
      <c r="AC4" s="10">
        <f>INDEX(AD11:AD1056,MATCH(AA4,AC11:AC1056,0))</f>
        <v>0.27185100000000001</v>
      </c>
      <c r="AD4" s="32">
        <f>AE3/(AA6*AD9)</f>
        <v>0.71920959555236774</v>
      </c>
      <c r="AE4" s="8" t="s">
        <v>17</v>
      </c>
      <c r="AF4" s="9"/>
      <c r="AG4" s="2">
        <f>ABS(AI3-AI4)/ABS(AK3-AK4)*1000</f>
        <v>8.6009117297875726</v>
      </c>
      <c r="AH4" s="2"/>
      <c r="AI4" s="2">
        <f>INDEX(AK11:AK856,1+MATCH(0,AL11:AL856,-1))</f>
        <v>1.71234</v>
      </c>
      <c r="AJ4" s="2"/>
      <c r="AK4" s="10">
        <f>INDEX(AL11:AL856,MATCH(AI4,AK11:AK856,0))</f>
        <v>-2.2369400000000001E-2</v>
      </c>
      <c r="AL4" s="32">
        <f>AM3/(AI6*AL9)</f>
        <v>0.70407819691465356</v>
      </c>
      <c r="AM4" s="8" t="s">
        <v>17</v>
      </c>
      <c r="AP4" s="9"/>
      <c r="AQ4" s="2">
        <f>ABS(AS3-AS4)/ABS(AU3-AU4)*1000</f>
        <v>8.7019910440819945</v>
      </c>
      <c r="AR4" s="2"/>
      <c r="AS4" s="2">
        <f>INDEX(AU11:AU1000,1+MATCH(0,AV11:AV856,1))</f>
        <v>1.71326</v>
      </c>
      <c r="AT4" s="2"/>
      <c r="AU4" s="10">
        <f>INDEX(AV11:AV1056,MATCH(AS4,AU11:AU1056,0))</f>
        <v>0.35952800000000001</v>
      </c>
      <c r="AV4" s="32">
        <f>AW3/(AS6*AV9)</f>
        <v>0.71306815489895237</v>
      </c>
      <c r="AW4" s="8" t="s">
        <v>17</v>
      </c>
      <c r="AX4" s="9"/>
      <c r="AY4" s="2">
        <f>ABS(BA3-BA4)/ABS(BC3-BC4)*1000</f>
        <v>8.1949319048178744</v>
      </c>
      <c r="AZ4" s="2"/>
      <c r="BA4" s="2">
        <f>INDEX(BC11:BC856,1+MATCH(0,BD11:BD856,-1))</f>
        <v>1.71173</v>
      </c>
      <c r="BB4" s="2"/>
      <c r="BC4" s="10">
        <f>INDEX(BD11:BD856,MATCH(BA4,BC11:BC856,0))</f>
        <v>-0.16891500000000001</v>
      </c>
      <c r="BD4" s="32">
        <f>BE3/(BA6*BD9)</f>
        <v>0.69719474438472162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14.0106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13.778699999999999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13.8489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13.577300000000001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13.705399999999999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13.4094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1.7120353284200043</v>
      </c>
      <c r="J6" s="32"/>
      <c r="K6" s="13">
        <f>INDEX(K11:K1056,MATCH(L6,L11:L1056,0))</f>
        <v>3.7384000000000001E-2</v>
      </c>
      <c r="L6" s="10">
        <f>INDEX(L11:L1056,MATCH(0,K11:K1056,-1))</f>
        <v>15.890499999999998</v>
      </c>
      <c r="M6" s="8" t="s">
        <v>22</v>
      </c>
      <c r="N6" s="9"/>
      <c r="O6" s="2"/>
      <c r="P6" s="2"/>
      <c r="Q6" s="34">
        <f>(Q3-Q4)/(S3-S4)*(-S4)+Q4</f>
        <v>1.7126631661451495</v>
      </c>
      <c r="R6" s="34"/>
      <c r="S6" s="13">
        <f>INDEX(S11:S1056,MATCH(T6,T11:T1056,0))</f>
        <v>-4.5410199999999998E-3</v>
      </c>
      <c r="T6" s="10">
        <f>INDEX(T11:T1056,MATCH(0,S11:S1056,1))</f>
        <v>15.838600000000001</v>
      </c>
      <c r="U6" s="8" t="s">
        <v>22</v>
      </c>
      <c r="X6" s="9"/>
      <c r="Y6" s="2"/>
      <c r="Z6" s="2"/>
      <c r="AA6" s="32">
        <f>(AA3-AA4)/(AC3-AC4)*(-AC4)+AA4</f>
        <v>1.7160717739332709</v>
      </c>
      <c r="AB6" s="32"/>
      <c r="AC6" s="13">
        <f>INDEX(AC11:AC1056,MATCH(AD6,AD11:AD1056,0))</f>
        <v>1.2213099999999999E-2</v>
      </c>
      <c r="AD6" s="10">
        <f>INDEX(AD11:AD1056,MATCH(0,AC11:AC1056,-1))</f>
        <v>15.838600000000001</v>
      </c>
      <c r="AE6" s="8" t="s">
        <v>22</v>
      </c>
      <c r="AF6" s="9"/>
      <c r="AG6" s="2"/>
      <c r="AH6" s="2"/>
      <c r="AI6" s="34">
        <f>(AI3-AI4)/(AK3-AK4)*(-AK4)+AI4</f>
        <v>1.7121476027651517</v>
      </c>
      <c r="AJ6" s="34"/>
      <c r="AK6" s="13">
        <f>INDEX(AK11:AK1056,MATCH(AL6,AL11:AL1056,0))</f>
        <v>-4.4982900000000003E-3</v>
      </c>
      <c r="AL6" s="10">
        <f>INDEX(AL11:AL1056,MATCH(0,AK11:AK1056,1))</f>
        <v>15.7776</v>
      </c>
      <c r="AM6" s="8" t="s">
        <v>22</v>
      </c>
      <c r="AP6" s="9"/>
      <c r="AQ6" s="2"/>
      <c r="AR6" s="2"/>
      <c r="AS6" s="32">
        <f>(AS3-AS4)/(AU3-AU4)*(-AU4)+AS4</f>
        <v>1.7163886094360967</v>
      </c>
      <c r="AT6" s="32"/>
      <c r="AU6" s="13">
        <f>INDEX(AU11:AU1056,MATCH(AV6,AV11:AV1056,0))</f>
        <v>7.14417E-3</v>
      </c>
      <c r="AV6" s="10">
        <f>INDEX(AV11:AV1056,MATCH(0,AU11:AU1056,-1))</f>
        <v>15.756200000000002</v>
      </c>
      <c r="AW6" s="8" t="s">
        <v>22</v>
      </c>
      <c r="AX6" s="9"/>
      <c r="AY6" s="2"/>
      <c r="AZ6" s="2"/>
      <c r="BA6" s="34">
        <f>(BA3-BA4)/(BC3-BC4)*(-BC4)+BA4</f>
        <v>1.7103457530772976</v>
      </c>
      <c r="BB6" s="34"/>
      <c r="BC6" s="13">
        <f>INDEX(BC11:BC1056,MATCH(BD6,BD11:BD1056,0))</f>
        <v>-4.4882199999999997E-2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6.7199700000000001E-2</v>
      </c>
      <c r="L7" s="10">
        <f>INDEX(L11:L856,1+MATCH(0,K11:K856,-1))</f>
        <v>15.890499999999998</v>
      </c>
      <c r="M7" s="12">
        <f>INDEX(K11:K1056,MATCH(M9,M11:M1056,0))</f>
        <v>1.41144</v>
      </c>
      <c r="N7" s="9"/>
      <c r="O7" s="2"/>
      <c r="P7" s="2"/>
      <c r="Q7" s="2"/>
      <c r="R7" s="2"/>
      <c r="S7" s="13">
        <f>INDEX(S11:S1056,MATCH(T7,T11:T1056,0))</f>
        <v>-9.5642100000000001E-3</v>
      </c>
      <c r="T7" s="10">
        <f>INDEX(T11:T1056,1+MATCH(0,S11:S1056,1))</f>
        <v>15.841699999999999</v>
      </c>
      <c r="U7" s="12">
        <f>INDEX(S11:S1056,MATCH(U9,U11:U1056,0))</f>
        <v>1.39954</v>
      </c>
      <c r="X7" s="9"/>
      <c r="Y7" s="2"/>
      <c r="Z7" s="2"/>
      <c r="AA7" s="2"/>
      <c r="AB7" s="2"/>
      <c r="AC7" s="13">
        <f>INDEX(AC11:AC856,MATCH(AD7,AD11:AD856,1))</f>
        <v>7.1197500000000002E-3</v>
      </c>
      <c r="AD7" s="10">
        <f>INDEX(AD11:AD856,1+MATCH(0,AC11:AC856,-1))</f>
        <v>15.841699999999999</v>
      </c>
      <c r="AE7" s="12">
        <f>INDEX(AC11:AC1056,MATCH(AE9,AE11:AE1056,0))</f>
        <v>1.41113</v>
      </c>
      <c r="AF7" s="9"/>
      <c r="AG7" s="2"/>
      <c r="AH7" s="2"/>
      <c r="AI7" s="2"/>
      <c r="AJ7" s="2"/>
      <c r="AK7" s="13">
        <f>INDEX(AK11:AK1056,MATCH(AL7,AL11:AL1056,0))</f>
        <v>5.8593700000000002E-4</v>
      </c>
      <c r="AL7" s="10">
        <f>INDEX(AL11:AL1056,1+MATCH(0,AK11:AK1056,1))</f>
        <v>15.7745</v>
      </c>
      <c r="AM7" s="12">
        <f>INDEX(AK11:AK1056,MATCH(AM9,AM11:AM1056,0))</f>
        <v>1.39954</v>
      </c>
      <c r="AP7" s="9"/>
      <c r="AQ7" s="2"/>
      <c r="AR7" s="2"/>
      <c r="AS7" s="2"/>
      <c r="AT7" s="2"/>
      <c r="AU7" s="13">
        <f>INDEX(AU11:AU856,MATCH(AV7,AV11:AV856,1))</f>
        <v>-8.0657999999999997E-3</v>
      </c>
      <c r="AV7" s="10">
        <f>INDEX(AV11:AV856,1+MATCH(0,AU11:AU856,-1))</f>
        <v>15.7593</v>
      </c>
      <c r="AW7" s="12">
        <f>INDEX(AU11:AU1056,MATCH(AW9,AW11:AW1056,0))</f>
        <v>1.40594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15.7501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2.4629929325386479</v>
      </c>
      <c r="J9" s="2"/>
      <c r="K9" s="2"/>
      <c r="L9" s="3">
        <f>(L6-L7)/(K6-K7)*(-K7)+L7</f>
        <v>15.890499999999998</v>
      </c>
      <c r="M9" s="16">
        <f>MAX(M11:M1056)</f>
        <v>19.78576932</v>
      </c>
      <c r="N9" s="9"/>
      <c r="O9" s="2"/>
      <c r="P9" s="2"/>
      <c r="Q9" s="2"/>
      <c r="R9" s="2"/>
      <c r="S9" s="2"/>
      <c r="T9" s="3">
        <f>(T6-T7)/(S6-S7)*(-S7)+T7</f>
        <v>15.835797565292179</v>
      </c>
      <c r="U9" s="16">
        <f>MAX(U11:U1056)</f>
        <v>19.29844722</v>
      </c>
      <c r="X9" s="9"/>
      <c r="Y9" s="2"/>
      <c r="Z9" s="2"/>
      <c r="AA9" s="15">
        <f>(MAX(AD2,AL2)-MIN(AD2,AL2))/MAX(AD2,AL2)%</f>
        <v>2.7664707032588747</v>
      </c>
      <c r="AB9" s="2"/>
      <c r="AC9" s="2"/>
      <c r="AD9" s="3">
        <f>(AD6-AD7)/(AC6-AC7)*(-AC7)+AD7</f>
        <v>15.846033341513932</v>
      </c>
      <c r="AE9" s="16">
        <f>MAX(AE11:AE1056)</f>
        <v>19.557416579999998</v>
      </c>
      <c r="AF9" s="9"/>
      <c r="AG9" s="2"/>
      <c r="AH9" s="2"/>
      <c r="AI9" s="2"/>
      <c r="AJ9" s="2"/>
      <c r="AK9" s="2"/>
      <c r="AL9" s="3">
        <f>(AL6-AL7)/(AK6-AK7)*(-AK7)+AL7</f>
        <v>15.774857262706799</v>
      </c>
      <c r="AM9" s="16">
        <f>MAX(AM11:AM1056)</f>
        <v>19.016366380000001</v>
      </c>
      <c r="AP9" s="9"/>
      <c r="AQ9" s="2"/>
      <c r="AR9" s="2"/>
      <c r="AS9" s="15">
        <f>(MAX(AV2,BD2)-MIN(AV2,BD2))/MAX(AV2,BD2)%</f>
        <v>2.6165435333067024</v>
      </c>
      <c r="AT9" s="2"/>
      <c r="AU9" s="2"/>
      <c r="AV9" s="3">
        <f>(AV6-AV7)/(AU6-AU7)*(-AU7)+AV7</f>
        <v>15.75765607959779</v>
      </c>
      <c r="AW9" s="16">
        <f>MAX(AW11:AW1056)</f>
        <v>19.285827718</v>
      </c>
      <c r="AX9" s="9"/>
      <c r="AY9" s="2"/>
      <c r="AZ9" s="2"/>
      <c r="BA9" s="2"/>
      <c r="BB9" s="2"/>
      <c r="BC9" s="2"/>
      <c r="BD9" s="3">
        <f>(BD6-BD7)/(BC6-BC7)*(-BC7)+BD7</f>
        <v>15.750177396590184</v>
      </c>
      <c r="BE9" s="16">
        <f>MAX(BE11:BE1056)</f>
        <v>18.78120564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1.7120353284200043</v>
      </c>
      <c r="B11" s="19">
        <f>IFERROR(L9,0)</f>
        <v>15.890499999999998</v>
      </c>
      <c r="C11" s="20">
        <f>IFERROR(L4,0)</f>
        <v>0.72728169427521516</v>
      </c>
      <c r="D11" s="21">
        <f>IFERROR(L2,0)</f>
        <v>19.78576932</v>
      </c>
      <c r="E11" s="21">
        <f>IFERROR(I9,0)</f>
        <v>2.4629929325386479</v>
      </c>
      <c r="F11" s="9"/>
      <c r="G11" s="22">
        <v>1.7948900000000001</v>
      </c>
      <c r="H11" s="22">
        <v>49.065199999999997</v>
      </c>
      <c r="I11" s="22">
        <v>1.3766499999999999E-2</v>
      </c>
      <c r="J11" s="22">
        <v>1</v>
      </c>
      <c r="K11" s="22">
        <v>1.79382</v>
      </c>
      <c r="L11">
        <f>-I11/$F$2*1000</f>
        <v>-13.766499999999999</v>
      </c>
      <c r="M11">
        <f>L11*G11</f>
        <v>-24.709353184999998</v>
      </c>
      <c r="N11" s="9"/>
      <c r="O11" s="22">
        <v>-9.49097E-2</v>
      </c>
      <c r="P11" s="22">
        <v>98.491600000000005</v>
      </c>
      <c r="Q11" s="22">
        <v>-1.5887499999999999E-2</v>
      </c>
      <c r="R11" s="22">
        <v>1</v>
      </c>
      <c r="S11" s="22">
        <v>-9.5336900000000002E-2</v>
      </c>
      <c r="T11">
        <f>-Q11/$F$2*1000</f>
        <v>15.887499999999999</v>
      </c>
      <c r="U11">
        <f>T11*O11</f>
        <v>-1.5078778587499999</v>
      </c>
      <c r="V11" s="23"/>
      <c r="W11" s="24"/>
      <c r="X11" s="9"/>
      <c r="Y11" s="22">
        <v>1.7948900000000001</v>
      </c>
      <c r="Z11" s="22">
        <v>127.949</v>
      </c>
      <c r="AA11" s="22">
        <v>1.4074700000000001E-2</v>
      </c>
      <c r="AB11" s="22">
        <v>1</v>
      </c>
      <c r="AC11" s="22">
        <v>1.79474</v>
      </c>
      <c r="AD11">
        <f>-AA11/$F$2*1000</f>
        <v>-14.0747</v>
      </c>
      <c r="AE11">
        <f>AD11*Y11</f>
        <v>-25.262538283000001</v>
      </c>
      <c r="AF11" s="9"/>
      <c r="AG11" s="22">
        <v>-9.49097E-2</v>
      </c>
      <c r="AH11" s="22">
        <v>177.422</v>
      </c>
      <c r="AI11" s="22">
        <v>-1.58142E-2</v>
      </c>
      <c r="AJ11" s="22">
        <v>1</v>
      </c>
      <c r="AK11" s="22">
        <v>-9.5428499999999999E-2</v>
      </c>
      <c r="AL11">
        <f>-AI11/$F$2*1000</f>
        <v>15.8142</v>
      </c>
      <c r="AM11">
        <f>AL11*AG11</f>
        <v>-1.5009209777399999</v>
      </c>
      <c r="AP11" s="9"/>
      <c r="AQ11" s="22">
        <v>1.7948900000000001</v>
      </c>
      <c r="AR11" s="22">
        <v>226.869</v>
      </c>
      <c r="AS11" s="22">
        <v>1.427E-2</v>
      </c>
      <c r="AT11" s="22">
        <v>1</v>
      </c>
      <c r="AU11" s="22">
        <v>1.79443</v>
      </c>
      <c r="AV11">
        <f>-AS11/$F$2*1000</f>
        <v>-14.27</v>
      </c>
      <c r="AW11">
        <f>AV11*AQ11</f>
        <v>-25.6130803</v>
      </c>
      <c r="AX11" s="9"/>
      <c r="AY11" s="22">
        <v>-9.49097E-2</v>
      </c>
      <c r="AZ11" s="22">
        <v>261.209</v>
      </c>
      <c r="BA11" s="22">
        <v>-1.5832499999999999E-2</v>
      </c>
      <c r="BB11" s="22">
        <v>1</v>
      </c>
      <c r="BC11" s="22">
        <v>-9.5428499999999999E-2</v>
      </c>
      <c r="BD11">
        <f>-BA11/$F$2*1000</f>
        <v>15.8325</v>
      </c>
      <c r="BE11">
        <f>BD11*AY11</f>
        <v>-1.50265782525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1.7126631661451495</v>
      </c>
      <c r="B12" s="19">
        <f>IFERROR(T9,0)</f>
        <v>15.835797565292179</v>
      </c>
      <c r="C12" s="20">
        <f>IFERROR(T4,0)</f>
        <v>0.71155826507334219</v>
      </c>
      <c r="D12" s="21">
        <f>IFERROR(T2,0)</f>
        <v>19.29844722</v>
      </c>
      <c r="E12" s="21"/>
      <c r="F12" s="9"/>
      <c r="G12" s="22">
        <v>1.78986</v>
      </c>
      <c r="H12" s="22">
        <v>49.075299999999999</v>
      </c>
      <c r="I12" s="22">
        <v>1.2637300000000001E-2</v>
      </c>
      <c r="J12" s="22">
        <v>2</v>
      </c>
      <c r="K12" s="22">
        <v>1.78925</v>
      </c>
      <c r="L12">
        <f t="shared" ref="L12:L75" si="0">-I12/$F$2*1000</f>
        <v>-12.6373</v>
      </c>
      <c r="M12">
        <f t="shared" ref="M12:M75" si="1">L12*G12</f>
        <v>-22.618997778000001</v>
      </c>
      <c r="N12" s="9"/>
      <c r="O12" s="22">
        <v>-8.9874300000000004E-2</v>
      </c>
      <c r="P12" s="22">
        <v>98.5017</v>
      </c>
      <c r="Q12" s="22">
        <v>-1.5881300000000001E-2</v>
      </c>
      <c r="R12" s="22">
        <v>2</v>
      </c>
      <c r="S12" s="22">
        <v>-9.0362499999999998E-2</v>
      </c>
      <c r="T12">
        <f t="shared" ref="T12:T75" si="2">-Q12/$F$2*1000</f>
        <v>15.881300000000001</v>
      </c>
      <c r="U12">
        <f t="shared" ref="U12:U75" si="3">T12*O12</f>
        <v>-1.4273207205900003</v>
      </c>
      <c r="V12" s="23"/>
      <c r="W12" s="24"/>
      <c r="X12" s="9"/>
      <c r="Y12" s="22">
        <v>1.78986</v>
      </c>
      <c r="Z12" s="22">
        <v>127.959</v>
      </c>
      <c r="AA12" s="22">
        <v>1.2796E-2</v>
      </c>
      <c r="AB12" s="22">
        <v>2</v>
      </c>
      <c r="AC12" s="22">
        <v>1.78925</v>
      </c>
      <c r="AD12">
        <f t="shared" ref="AD12:AD75" si="4">-AA12/$F$2*1000</f>
        <v>-12.795999999999999</v>
      </c>
      <c r="AE12">
        <f t="shared" ref="AE12:AE75" si="5">AD12*Y12</f>
        <v>-22.903048559999998</v>
      </c>
      <c r="AF12" s="9"/>
      <c r="AG12" s="22">
        <v>-8.9874300000000004E-2</v>
      </c>
      <c r="AH12" s="22">
        <v>177.43199999999999</v>
      </c>
      <c r="AI12" s="22">
        <v>-1.5808099999999999E-2</v>
      </c>
      <c r="AJ12" s="22">
        <v>2</v>
      </c>
      <c r="AK12" s="22">
        <v>-9.0454099999999996E-2</v>
      </c>
      <c r="AL12">
        <f t="shared" ref="AL12:AL75" si="6">-AI12/$F$2*1000</f>
        <v>15.808099999999998</v>
      </c>
      <c r="AM12">
        <f t="shared" ref="AM12:AM75" si="7">AL12*AG12</f>
        <v>-1.4207419218299999</v>
      </c>
      <c r="AP12" s="9"/>
      <c r="AQ12" s="22">
        <v>1.78986</v>
      </c>
      <c r="AR12" s="22">
        <v>226.87899999999999</v>
      </c>
      <c r="AS12" s="22">
        <v>1.2970000000000001E-2</v>
      </c>
      <c r="AT12" s="22">
        <v>2</v>
      </c>
      <c r="AU12" s="22">
        <v>1.78925</v>
      </c>
      <c r="AV12">
        <f t="shared" ref="AV12:AV75" si="8">-AS12/$F$2*1000</f>
        <v>-12.97</v>
      </c>
      <c r="AW12">
        <f t="shared" ref="AW12:AW75" si="9">AV12*AQ12</f>
        <v>-23.214484200000001</v>
      </c>
      <c r="AX12" s="9"/>
      <c r="AY12" s="22">
        <v>-8.9874300000000004E-2</v>
      </c>
      <c r="AZ12" s="22">
        <v>261.21899999999999</v>
      </c>
      <c r="BA12" s="22">
        <v>-1.5820299999999999E-2</v>
      </c>
      <c r="BB12" s="22">
        <v>2</v>
      </c>
      <c r="BC12" s="22">
        <v>-9.0362499999999998E-2</v>
      </c>
      <c r="BD12">
        <f t="shared" ref="BD12:BD75" si="10">-BA12/$F$2*1000</f>
        <v>15.8203</v>
      </c>
      <c r="BE12">
        <f t="shared" ref="BE12:BE75" si="11">BD12*AY12</f>
        <v>-1.4218383882900001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1.7160717739332709</v>
      </c>
      <c r="B13" s="19">
        <f>IFERROR(AD9,0)</f>
        <v>15.846033341513932</v>
      </c>
      <c r="C13" s="20">
        <f>IFERROR(AD4,0)</f>
        <v>0.71920959555236774</v>
      </c>
      <c r="D13" s="21">
        <f>IFERROR(AD2,0)</f>
        <v>19.557416579999998</v>
      </c>
      <c r="E13" s="21">
        <f>IFERROR(AA9,0)</f>
        <v>2.7664707032588747</v>
      </c>
      <c r="F13" s="9"/>
      <c r="G13" s="22">
        <v>1.7848200000000001</v>
      </c>
      <c r="H13" s="22">
        <v>49.085299999999997</v>
      </c>
      <c r="I13" s="22">
        <v>1.1593600000000001E-2</v>
      </c>
      <c r="J13" s="22">
        <v>3</v>
      </c>
      <c r="K13" s="22">
        <v>1.7843599999999999</v>
      </c>
      <c r="L13">
        <f t="shared" si="0"/>
        <v>-11.5936</v>
      </c>
      <c r="M13">
        <f t="shared" si="1"/>
        <v>-20.692489152</v>
      </c>
      <c r="N13" s="9"/>
      <c r="O13" s="22">
        <v>-8.4838899999999995E-2</v>
      </c>
      <c r="P13" s="22">
        <v>98.511799999999994</v>
      </c>
      <c r="Q13" s="22">
        <v>-1.5878300000000001E-2</v>
      </c>
      <c r="R13" s="22">
        <v>3</v>
      </c>
      <c r="S13" s="22">
        <v>-8.5449200000000003E-2</v>
      </c>
      <c r="T13">
        <f t="shared" si="2"/>
        <v>15.878300000000001</v>
      </c>
      <c r="U13">
        <f t="shared" si="3"/>
        <v>-1.3470975058700001</v>
      </c>
      <c r="V13" s="23"/>
      <c r="W13" s="24"/>
      <c r="X13" s="9"/>
      <c r="Y13" s="22">
        <v>1.7848200000000001</v>
      </c>
      <c r="Z13" s="22">
        <v>127.96899999999999</v>
      </c>
      <c r="AA13" s="22">
        <v>1.16638E-2</v>
      </c>
      <c r="AB13" s="22">
        <v>3</v>
      </c>
      <c r="AC13" s="22">
        <v>1.78406</v>
      </c>
      <c r="AD13">
        <f t="shared" si="4"/>
        <v>-11.6638</v>
      </c>
      <c r="AE13">
        <f t="shared" si="5"/>
        <v>-20.817783516000002</v>
      </c>
      <c r="AF13" s="9"/>
      <c r="AG13" s="22">
        <v>-8.4838899999999995E-2</v>
      </c>
      <c r="AH13" s="22">
        <v>177.44200000000001</v>
      </c>
      <c r="AI13" s="22">
        <v>-1.5805099999999999E-2</v>
      </c>
      <c r="AJ13" s="22">
        <v>3</v>
      </c>
      <c r="AK13" s="22">
        <v>-8.5357699999999995E-2</v>
      </c>
      <c r="AL13">
        <f t="shared" si="6"/>
        <v>15.805099999999999</v>
      </c>
      <c r="AM13">
        <f t="shared" si="7"/>
        <v>-1.34088729839</v>
      </c>
      <c r="AP13" s="9"/>
      <c r="AQ13" s="22">
        <v>1.7848200000000001</v>
      </c>
      <c r="AR13" s="22">
        <v>226.88900000000001</v>
      </c>
      <c r="AS13" s="22">
        <v>1.17859E-2</v>
      </c>
      <c r="AT13" s="22">
        <v>3</v>
      </c>
      <c r="AU13" s="22">
        <v>1.78406</v>
      </c>
      <c r="AV13">
        <f t="shared" si="8"/>
        <v>-11.7859</v>
      </c>
      <c r="AW13">
        <f t="shared" si="9"/>
        <v>-21.035710038000001</v>
      </c>
      <c r="AX13" s="9"/>
      <c r="AY13" s="22">
        <v>-8.4838899999999995E-2</v>
      </c>
      <c r="AZ13" s="22">
        <v>261.22899999999998</v>
      </c>
      <c r="BA13" s="22">
        <v>-1.5811200000000001E-2</v>
      </c>
      <c r="BB13" s="22">
        <v>3</v>
      </c>
      <c r="BC13" s="22">
        <v>-8.5327100000000003E-2</v>
      </c>
      <c r="BD13">
        <f t="shared" si="10"/>
        <v>15.811200000000001</v>
      </c>
      <c r="BE13">
        <f t="shared" si="11"/>
        <v>-1.34140481568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1.7121476027651517</v>
      </c>
      <c r="B14" s="19">
        <f>IFERROR(AL9,0)</f>
        <v>15.774857262706799</v>
      </c>
      <c r="C14" s="20">
        <f>IFERROR(AL4,0)</f>
        <v>0.70407819691465356</v>
      </c>
      <c r="D14" s="21">
        <f>IFERROR(AL2,0)</f>
        <v>19.016366380000004</v>
      </c>
      <c r="E14" s="21"/>
      <c r="F14" s="9"/>
      <c r="G14" s="22">
        <v>1.77979</v>
      </c>
      <c r="H14" s="22">
        <v>49.095399999999998</v>
      </c>
      <c r="I14" s="22">
        <v>1.06018E-2</v>
      </c>
      <c r="J14" s="22">
        <v>4</v>
      </c>
      <c r="K14" s="22">
        <v>1.77887</v>
      </c>
      <c r="L14">
        <f t="shared" si="0"/>
        <v>-10.601799999999999</v>
      </c>
      <c r="M14">
        <f t="shared" si="1"/>
        <v>-18.868977621999999</v>
      </c>
      <c r="N14" s="9"/>
      <c r="O14" s="22">
        <v>-7.9803499999999999E-2</v>
      </c>
      <c r="P14" s="22">
        <v>98.521799999999999</v>
      </c>
      <c r="Q14" s="22">
        <v>-1.58722E-2</v>
      </c>
      <c r="R14" s="22">
        <v>4</v>
      </c>
      <c r="S14" s="22">
        <v>-8.0322299999999999E-2</v>
      </c>
      <c r="T14">
        <f t="shared" si="2"/>
        <v>15.872199999999999</v>
      </c>
      <c r="U14">
        <f t="shared" si="3"/>
        <v>-1.2666571126999999</v>
      </c>
      <c r="V14" s="23"/>
      <c r="W14" s="24"/>
      <c r="X14" s="9"/>
      <c r="Y14" s="22">
        <v>1.77979</v>
      </c>
      <c r="Z14" s="22">
        <v>127.979</v>
      </c>
      <c r="AA14" s="22">
        <v>1.06079E-2</v>
      </c>
      <c r="AB14" s="22">
        <v>4</v>
      </c>
      <c r="AC14" s="22">
        <v>1.77887</v>
      </c>
      <c r="AD14">
        <f t="shared" si="4"/>
        <v>-10.607900000000001</v>
      </c>
      <c r="AE14">
        <f t="shared" si="5"/>
        <v>-18.879834341000002</v>
      </c>
      <c r="AF14" s="9"/>
      <c r="AG14" s="22">
        <v>-7.9803499999999999E-2</v>
      </c>
      <c r="AH14" s="22">
        <v>177.452</v>
      </c>
      <c r="AI14" s="22">
        <v>-1.5802E-2</v>
      </c>
      <c r="AJ14" s="22">
        <v>4</v>
      </c>
      <c r="AK14" s="22">
        <v>-8.0322299999999999E-2</v>
      </c>
      <c r="AL14">
        <f t="shared" si="6"/>
        <v>15.802</v>
      </c>
      <c r="AM14">
        <f t="shared" si="7"/>
        <v>-1.2610549069999999</v>
      </c>
      <c r="AP14" s="9"/>
      <c r="AQ14" s="22">
        <v>1.77979</v>
      </c>
      <c r="AR14" s="22">
        <v>226.899</v>
      </c>
      <c r="AS14" s="22">
        <v>1.06903E-2</v>
      </c>
      <c r="AT14" s="22">
        <v>4</v>
      </c>
      <c r="AU14" s="22">
        <v>1.7791699999999999</v>
      </c>
      <c r="AV14">
        <f t="shared" si="8"/>
        <v>-10.690300000000001</v>
      </c>
      <c r="AW14">
        <f t="shared" si="9"/>
        <v>-19.026489037000001</v>
      </c>
      <c r="AX14" s="9"/>
      <c r="AY14" s="22">
        <v>-7.9803499999999999E-2</v>
      </c>
      <c r="AZ14" s="22">
        <v>261.23899999999998</v>
      </c>
      <c r="BA14" s="22">
        <v>-1.5799000000000001E-2</v>
      </c>
      <c r="BB14" s="22">
        <v>4</v>
      </c>
      <c r="BC14" s="22">
        <v>-8.0352800000000002E-2</v>
      </c>
      <c r="BD14">
        <f t="shared" si="10"/>
        <v>15.799000000000001</v>
      </c>
      <c r="BE14">
        <f t="shared" si="11"/>
        <v>-1.2608154965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1.7163886094360967</v>
      </c>
      <c r="B15" s="19">
        <f>IFERROR(AV9,0)</f>
        <v>15.75765607959779</v>
      </c>
      <c r="C15" s="20">
        <f>IFERROR(AV4,0)</f>
        <v>0.71306815489895237</v>
      </c>
      <c r="D15" s="21">
        <f>IFERROR(AV2,0)</f>
        <v>19.285827718</v>
      </c>
      <c r="E15" s="21">
        <f>IFERROR(AS9,0)</f>
        <v>2.6165435333067024</v>
      </c>
      <c r="F15" s="9"/>
      <c r="G15" s="22">
        <v>1.77475</v>
      </c>
      <c r="H15" s="22">
        <v>49.105499999999999</v>
      </c>
      <c r="I15" s="22">
        <v>9.6679699999999997E-3</v>
      </c>
      <c r="J15" s="22">
        <v>5</v>
      </c>
      <c r="K15" s="22">
        <v>1.77399</v>
      </c>
      <c r="L15">
        <f t="shared" si="0"/>
        <v>-9.6679700000000004</v>
      </c>
      <c r="M15">
        <f t="shared" si="1"/>
        <v>-17.158229757500003</v>
      </c>
      <c r="N15" s="9"/>
      <c r="O15" s="22">
        <v>-7.4768100000000004E-2</v>
      </c>
      <c r="P15" s="22">
        <v>98.531899999999993</v>
      </c>
      <c r="Q15" s="22">
        <v>-1.5866100000000001E-2</v>
      </c>
      <c r="R15" s="22">
        <v>5</v>
      </c>
      <c r="S15" s="22">
        <v>-7.5256299999999998E-2</v>
      </c>
      <c r="T15">
        <f t="shared" si="2"/>
        <v>15.866100000000001</v>
      </c>
      <c r="U15">
        <f t="shared" si="3"/>
        <v>-1.1862781514100003</v>
      </c>
      <c r="V15" s="23"/>
      <c r="W15" s="24"/>
      <c r="X15" s="9"/>
      <c r="Y15" s="22">
        <v>1.77475</v>
      </c>
      <c r="Z15" s="22">
        <v>127.989</v>
      </c>
      <c r="AA15" s="22">
        <v>9.6008299999999994E-3</v>
      </c>
      <c r="AB15" s="22">
        <v>5</v>
      </c>
      <c r="AC15" s="22">
        <v>1.7742899999999999</v>
      </c>
      <c r="AD15">
        <f t="shared" si="4"/>
        <v>-9.6008300000000002</v>
      </c>
      <c r="AE15">
        <f t="shared" si="5"/>
        <v>-17.0390730425</v>
      </c>
      <c r="AF15" s="9"/>
      <c r="AG15" s="22">
        <v>-7.4768100000000004E-2</v>
      </c>
      <c r="AH15" s="22">
        <v>177.46199999999999</v>
      </c>
      <c r="AI15" s="22">
        <v>-1.5795900000000002E-2</v>
      </c>
      <c r="AJ15" s="22">
        <v>5</v>
      </c>
      <c r="AK15" s="22">
        <v>-7.5286900000000004E-2</v>
      </c>
      <c r="AL15">
        <f t="shared" si="6"/>
        <v>15.795900000000001</v>
      </c>
      <c r="AM15">
        <f t="shared" si="7"/>
        <v>-1.1810294307900002</v>
      </c>
      <c r="AP15" s="9"/>
      <c r="AQ15" s="22">
        <v>1.77475</v>
      </c>
      <c r="AR15" s="22">
        <v>226.90899999999999</v>
      </c>
      <c r="AS15" s="22">
        <v>9.6343999999999996E-3</v>
      </c>
      <c r="AT15" s="22">
        <v>5</v>
      </c>
      <c r="AU15" s="22">
        <v>1.7746</v>
      </c>
      <c r="AV15">
        <f t="shared" si="8"/>
        <v>-9.6343999999999994</v>
      </c>
      <c r="AW15">
        <f t="shared" si="9"/>
        <v>-17.098651399999998</v>
      </c>
      <c r="AX15" s="9"/>
      <c r="AY15" s="22">
        <v>-7.4768100000000004E-2</v>
      </c>
      <c r="AZ15" s="22">
        <v>261.24900000000002</v>
      </c>
      <c r="BA15" s="22">
        <v>-1.5780599999999999E-2</v>
      </c>
      <c r="BB15" s="22">
        <v>5</v>
      </c>
      <c r="BC15" s="22">
        <v>-7.5286900000000004E-2</v>
      </c>
      <c r="BD15">
        <f t="shared" si="10"/>
        <v>15.780599999999998</v>
      </c>
      <c r="BE15">
        <f t="shared" si="11"/>
        <v>-1.1798854788599999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1.7103457530772976</v>
      </c>
      <c r="B16" s="19">
        <f>IFERROR(BD9,0)</f>
        <v>15.750177396590184</v>
      </c>
      <c r="C16" s="20">
        <f>IFERROR(BD4,0)</f>
        <v>0.69719474438472162</v>
      </c>
      <c r="D16" s="21">
        <f>IFERROR(BD2,0)</f>
        <v>18.78120564</v>
      </c>
      <c r="E16" s="21"/>
      <c r="F16" s="9"/>
      <c r="G16" s="22">
        <v>1.7697099999999999</v>
      </c>
      <c r="H16" s="22">
        <v>49.115600000000001</v>
      </c>
      <c r="I16" s="22">
        <v>8.7615999999999996E-3</v>
      </c>
      <c r="J16" s="22">
        <v>6</v>
      </c>
      <c r="K16" s="22">
        <v>1.7690999999999999</v>
      </c>
      <c r="L16">
        <f t="shared" si="0"/>
        <v>-8.7615999999999996</v>
      </c>
      <c r="M16">
        <f t="shared" si="1"/>
        <v>-15.505491135999998</v>
      </c>
      <c r="N16" s="9"/>
      <c r="O16" s="22">
        <v>-6.9732699999999995E-2</v>
      </c>
      <c r="P16" s="22">
        <v>98.542000000000002</v>
      </c>
      <c r="Q16" s="22">
        <v>-1.5859999999999999E-2</v>
      </c>
      <c r="R16" s="22">
        <v>6</v>
      </c>
      <c r="S16" s="22">
        <v>-7.0281999999999997E-2</v>
      </c>
      <c r="T16">
        <f t="shared" si="2"/>
        <v>15.86</v>
      </c>
      <c r="U16">
        <f t="shared" si="3"/>
        <v>-1.1059606219999998</v>
      </c>
      <c r="V16" s="23"/>
      <c r="W16" s="24"/>
      <c r="X16" s="9"/>
      <c r="Y16" s="22">
        <v>1.7697099999999999</v>
      </c>
      <c r="Z16" s="22">
        <v>127.999</v>
      </c>
      <c r="AA16" s="22">
        <v>8.6364700000000003E-3</v>
      </c>
      <c r="AB16" s="22">
        <v>6</v>
      </c>
      <c r="AC16" s="22">
        <v>1.7687999999999999</v>
      </c>
      <c r="AD16">
        <f t="shared" si="4"/>
        <v>-8.636470000000001</v>
      </c>
      <c r="AE16">
        <f t="shared" si="5"/>
        <v>-15.284047323700001</v>
      </c>
      <c r="AF16" s="9"/>
      <c r="AG16" s="22">
        <v>-6.9732699999999995E-2</v>
      </c>
      <c r="AH16" s="22">
        <v>177.47200000000001</v>
      </c>
      <c r="AI16" s="22">
        <v>-1.5799000000000001E-2</v>
      </c>
      <c r="AJ16" s="22">
        <v>6</v>
      </c>
      <c r="AK16" s="22">
        <v>-7.0281999999999997E-2</v>
      </c>
      <c r="AL16">
        <f t="shared" si="6"/>
        <v>15.799000000000001</v>
      </c>
      <c r="AM16">
        <f t="shared" si="7"/>
        <v>-1.1017069273</v>
      </c>
      <c r="AP16" s="9"/>
      <c r="AQ16" s="22">
        <v>1.7697099999999999</v>
      </c>
      <c r="AR16" s="22">
        <v>226.91900000000001</v>
      </c>
      <c r="AS16" s="22">
        <v>8.6456299999999996E-3</v>
      </c>
      <c r="AT16" s="22">
        <v>6</v>
      </c>
      <c r="AU16" s="22">
        <v>1.7690999999999999</v>
      </c>
      <c r="AV16">
        <f t="shared" si="8"/>
        <v>-8.6456299999999988</v>
      </c>
      <c r="AW16">
        <f t="shared" si="9"/>
        <v>-15.300257867299997</v>
      </c>
      <c r="AX16" s="9"/>
      <c r="AY16" s="22">
        <v>-6.9732699999999995E-2</v>
      </c>
      <c r="AZ16" s="22">
        <v>261.25900000000001</v>
      </c>
      <c r="BA16" s="22">
        <v>-1.5777599999999999E-2</v>
      </c>
      <c r="BB16" s="22">
        <v>6</v>
      </c>
      <c r="BC16" s="22">
        <v>-7.0251499999999995E-2</v>
      </c>
      <c r="BD16">
        <f t="shared" si="10"/>
        <v>15.7776</v>
      </c>
      <c r="BE16">
        <f t="shared" si="11"/>
        <v>-1.1002146475199999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49.125599999999999</v>
      </c>
      <c r="I17" s="22">
        <v>7.8857400000000005E-3</v>
      </c>
      <c r="J17" s="22">
        <v>7</v>
      </c>
      <c r="K17" s="22">
        <v>1.7633099999999999</v>
      </c>
      <c r="L17">
        <f t="shared" si="0"/>
        <v>-7.8857400000000002</v>
      </c>
      <c r="M17">
        <f t="shared" si="1"/>
        <v>-13.915807663200001</v>
      </c>
      <c r="N17" s="9"/>
      <c r="O17" s="22">
        <v>-6.4697299999999999E-2</v>
      </c>
      <c r="P17" s="22">
        <v>98.552099999999996</v>
      </c>
      <c r="Q17" s="22">
        <v>-1.58569E-2</v>
      </c>
      <c r="R17" s="22">
        <v>7</v>
      </c>
      <c r="S17" s="22">
        <v>-6.5032999999999994E-2</v>
      </c>
      <c r="T17">
        <f t="shared" si="2"/>
        <v>15.8569</v>
      </c>
      <c r="U17">
        <f t="shared" si="3"/>
        <v>-1.0258986163699999</v>
      </c>
      <c r="V17" s="23"/>
      <c r="W17" s="24"/>
      <c r="X17" s="9"/>
      <c r="Y17" s="22">
        <v>1.76468</v>
      </c>
      <c r="Z17" s="22">
        <v>128.00899999999999</v>
      </c>
      <c r="AA17" s="22">
        <v>7.6690700000000001E-3</v>
      </c>
      <c r="AB17" s="22">
        <v>7</v>
      </c>
      <c r="AC17" s="22">
        <v>1.7636099999999999</v>
      </c>
      <c r="AD17">
        <f t="shared" si="4"/>
        <v>-7.6690699999999996</v>
      </c>
      <c r="AE17">
        <f t="shared" si="5"/>
        <v>-13.533454447599999</v>
      </c>
      <c r="AF17" s="9"/>
      <c r="AG17" s="22">
        <v>-6.4697299999999999E-2</v>
      </c>
      <c r="AH17" s="22">
        <v>177.483</v>
      </c>
      <c r="AI17" s="22">
        <v>-1.5805099999999999E-2</v>
      </c>
      <c r="AJ17" s="22">
        <v>7</v>
      </c>
      <c r="AK17" s="22">
        <v>-6.5216099999999999E-2</v>
      </c>
      <c r="AL17">
        <f t="shared" si="6"/>
        <v>15.805099999999999</v>
      </c>
      <c r="AM17">
        <f t="shared" si="7"/>
        <v>-1.02254729623</v>
      </c>
      <c r="AP17" s="9"/>
      <c r="AQ17" s="22">
        <v>1.76468</v>
      </c>
      <c r="AR17" s="22">
        <v>226.929</v>
      </c>
      <c r="AS17" s="22">
        <v>7.6812699999999996E-3</v>
      </c>
      <c r="AT17" s="22">
        <v>7</v>
      </c>
      <c r="AU17" s="22">
        <v>1.7639199999999999</v>
      </c>
      <c r="AV17">
        <f t="shared" si="8"/>
        <v>-7.6812699999999996</v>
      </c>
      <c r="AW17">
        <f t="shared" si="9"/>
        <v>-13.554983543599999</v>
      </c>
      <c r="AX17" s="9"/>
      <c r="AY17" s="22">
        <v>-6.4697299999999999E-2</v>
      </c>
      <c r="AZ17" s="22">
        <v>261.26900000000001</v>
      </c>
      <c r="BA17" s="22">
        <v>-1.57745E-2</v>
      </c>
      <c r="BB17" s="22">
        <v>7</v>
      </c>
      <c r="BC17" s="22">
        <v>-6.5124500000000002E-2</v>
      </c>
      <c r="BD17">
        <f t="shared" si="10"/>
        <v>15.7745</v>
      </c>
      <c r="BE17">
        <f t="shared" si="11"/>
        <v>-1.0205675588500001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49.1357</v>
      </c>
      <c r="I18" s="22">
        <v>7.0373500000000004E-3</v>
      </c>
      <c r="J18" s="22">
        <v>8</v>
      </c>
      <c r="K18" s="22">
        <v>1.7587299999999999</v>
      </c>
      <c r="L18">
        <f t="shared" si="0"/>
        <v>-7.03735</v>
      </c>
      <c r="M18">
        <f t="shared" si="1"/>
        <v>-12.383202554</v>
      </c>
      <c r="N18" s="9"/>
      <c r="O18" s="22">
        <v>-5.9661899999999997E-2</v>
      </c>
      <c r="P18" s="22">
        <v>98.562100000000001</v>
      </c>
      <c r="Q18" s="22">
        <v>-1.5853900000000001E-2</v>
      </c>
      <c r="R18" s="22">
        <v>8</v>
      </c>
      <c r="S18" s="22">
        <v>-6.0241700000000002E-2</v>
      </c>
      <c r="T18">
        <f t="shared" si="2"/>
        <v>15.853900000000001</v>
      </c>
      <c r="U18">
        <f t="shared" si="3"/>
        <v>-0.94587379641000002</v>
      </c>
      <c r="V18" s="23"/>
      <c r="W18" s="24"/>
      <c r="X18" s="9"/>
      <c r="Y18" s="22">
        <v>1.7596400000000001</v>
      </c>
      <c r="Z18" s="22">
        <v>128.01900000000001</v>
      </c>
      <c r="AA18" s="22">
        <v>6.7779499999999996E-3</v>
      </c>
      <c r="AB18" s="22">
        <v>8</v>
      </c>
      <c r="AC18" s="22">
        <v>1.7590300000000001</v>
      </c>
      <c r="AD18">
        <f t="shared" si="4"/>
        <v>-6.7779499999999997</v>
      </c>
      <c r="AE18">
        <f t="shared" si="5"/>
        <v>-11.926751938000001</v>
      </c>
      <c r="AF18" s="9"/>
      <c r="AG18" s="22">
        <v>-5.9661899999999997E-2</v>
      </c>
      <c r="AH18" s="22">
        <v>177.49299999999999</v>
      </c>
      <c r="AI18" s="22">
        <v>-1.5808099999999999E-2</v>
      </c>
      <c r="AJ18" s="22">
        <v>8</v>
      </c>
      <c r="AK18" s="22">
        <v>-6.0241700000000002E-2</v>
      </c>
      <c r="AL18">
        <f t="shared" si="6"/>
        <v>15.808099999999998</v>
      </c>
      <c r="AM18">
        <f t="shared" si="7"/>
        <v>-0.94314128138999986</v>
      </c>
      <c r="AP18" s="9"/>
      <c r="AQ18" s="22">
        <v>1.7596400000000001</v>
      </c>
      <c r="AR18" s="22">
        <v>226.93899999999999</v>
      </c>
      <c r="AS18" s="22">
        <v>6.7749000000000004E-3</v>
      </c>
      <c r="AT18" s="22">
        <v>8</v>
      </c>
      <c r="AU18" s="22">
        <v>1.7584200000000001</v>
      </c>
      <c r="AV18">
        <f t="shared" si="8"/>
        <v>-6.7749000000000006</v>
      </c>
      <c r="AW18">
        <f t="shared" si="9"/>
        <v>-11.921385036000002</v>
      </c>
      <c r="AX18" s="9"/>
      <c r="AY18" s="22">
        <v>-5.9661899999999997E-2</v>
      </c>
      <c r="AZ18" s="22">
        <v>261.279</v>
      </c>
      <c r="BA18" s="22">
        <v>-1.5765399999999999E-2</v>
      </c>
      <c r="BB18" s="22">
        <v>8</v>
      </c>
      <c r="BC18" s="22">
        <v>-6.0150099999999998E-2</v>
      </c>
      <c r="BD18">
        <f t="shared" si="10"/>
        <v>15.7654</v>
      </c>
      <c r="BE18">
        <f t="shared" si="11"/>
        <v>-0.94059371825999993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49.145800000000001</v>
      </c>
      <c r="I19" s="22">
        <v>6.2042199999999999E-3</v>
      </c>
      <c r="J19" s="22">
        <v>9</v>
      </c>
      <c r="K19" s="22">
        <v>1.7538499999999999</v>
      </c>
      <c r="L19">
        <f t="shared" si="0"/>
        <v>-6.2042200000000003</v>
      </c>
      <c r="M19">
        <f t="shared" si="1"/>
        <v>-10.885986454200001</v>
      </c>
      <c r="N19" s="9"/>
      <c r="O19" s="22">
        <v>-5.4626500000000001E-2</v>
      </c>
      <c r="P19" s="22">
        <v>98.572199999999995</v>
      </c>
      <c r="Q19" s="22">
        <v>-1.58569E-2</v>
      </c>
      <c r="R19" s="22">
        <v>9</v>
      </c>
      <c r="S19" s="22">
        <v>-5.5175799999999997E-2</v>
      </c>
      <c r="T19">
        <f t="shared" si="2"/>
        <v>15.8569</v>
      </c>
      <c r="U19">
        <f t="shared" si="3"/>
        <v>-0.86620694784999996</v>
      </c>
      <c r="V19" s="23"/>
      <c r="W19" s="24"/>
      <c r="X19" s="9"/>
      <c r="Y19" s="22">
        <v>1.75461</v>
      </c>
      <c r="Z19" s="22">
        <v>128.029</v>
      </c>
      <c r="AA19" s="22">
        <v>5.9021000000000004E-3</v>
      </c>
      <c r="AB19" s="22">
        <v>9</v>
      </c>
      <c r="AC19" s="22">
        <v>1.7538499999999999</v>
      </c>
      <c r="AD19">
        <f t="shared" si="4"/>
        <v>-5.9021000000000008</v>
      </c>
      <c r="AE19">
        <f t="shared" si="5"/>
        <v>-10.355883681000002</v>
      </c>
      <c r="AF19" s="9"/>
      <c r="AG19" s="22">
        <v>-5.4626500000000001E-2</v>
      </c>
      <c r="AH19" s="22">
        <v>177.50299999999999</v>
      </c>
      <c r="AI19" s="22">
        <v>-1.5805099999999999E-2</v>
      </c>
      <c r="AJ19" s="22">
        <v>9</v>
      </c>
      <c r="AK19" s="22">
        <v>-5.5175799999999997E-2</v>
      </c>
      <c r="AL19">
        <f t="shared" si="6"/>
        <v>15.805099999999999</v>
      </c>
      <c r="AM19">
        <f t="shared" si="7"/>
        <v>-0.86337729514999995</v>
      </c>
      <c r="AP19" s="9"/>
      <c r="AQ19" s="22">
        <v>1.75461</v>
      </c>
      <c r="AR19" s="22">
        <v>226.94900000000001</v>
      </c>
      <c r="AS19" s="22">
        <v>5.8654800000000002E-3</v>
      </c>
      <c r="AT19" s="22">
        <v>9</v>
      </c>
      <c r="AU19" s="22">
        <v>1.7538499999999999</v>
      </c>
      <c r="AV19">
        <f t="shared" si="8"/>
        <v>-5.8654799999999998</v>
      </c>
      <c r="AW19">
        <f t="shared" si="9"/>
        <v>-10.291629862799999</v>
      </c>
      <c r="AX19" s="9"/>
      <c r="AY19" s="22">
        <v>-5.4626500000000001E-2</v>
      </c>
      <c r="AZ19" s="22">
        <v>261.28899999999999</v>
      </c>
      <c r="BA19" s="22">
        <v>-1.57623E-2</v>
      </c>
      <c r="BB19" s="22">
        <v>9</v>
      </c>
      <c r="BC19" s="22">
        <v>-5.5145300000000001E-2</v>
      </c>
      <c r="BD19">
        <f t="shared" si="10"/>
        <v>15.7623</v>
      </c>
      <c r="BE19">
        <f t="shared" si="11"/>
        <v>-0.86103928095000004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49.155799999999999</v>
      </c>
      <c r="I20" s="22">
        <v>5.3802499999999996E-3</v>
      </c>
      <c r="J20" s="22">
        <v>10</v>
      </c>
      <c r="K20" s="22">
        <v>1.7489600000000001</v>
      </c>
      <c r="L20">
        <f t="shared" si="0"/>
        <v>-5.3802499999999993</v>
      </c>
      <c r="M20">
        <f t="shared" si="1"/>
        <v>-9.4131239924999992</v>
      </c>
      <c r="N20" s="9"/>
      <c r="O20" s="22">
        <v>-4.9591099999999999E-2</v>
      </c>
      <c r="P20" s="22">
        <v>98.582300000000004</v>
      </c>
      <c r="Q20" s="22">
        <v>-1.58569E-2</v>
      </c>
      <c r="R20" s="22">
        <v>10</v>
      </c>
      <c r="S20" s="22">
        <v>-5.0109899999999999E-2</v>
      </c>
      <c r="T20">
        <f t="shared" si="2"/>
        <v>15.8569</v>
      </c>
      <c r="U20">
        <f t="shared" si="3"/>
        <v>-0.78636111358999994</v>
      </c>
      <c r="V20" s="23"/>
      <c r="W20" s="24"/>
      <c r="X20" s="9"/>
      <c r="Y20" s="22">
        <v>1.7495700000000001</v>
      </c>
      <c r="Z20" s="22">
        <v>128.03899999999999</v>
      </c>
      <c r="AA20" s="22">
        <v>5.0476100000000001E-3</v>
      </c>
      <c r="AB20" s="22">
        <v>10</v>
      </c>
      <c r="AC20" s="22">
        <v>1.7495700000000001</v>
      </c>
      <c r="AD20">
        <f t="shared" si="4"/>
        <v>-5.0476099999999997</v>
      </c>
      <c r="AE20">
        <f t="shared" si="5"/>
        <v>-8.8311470277000002</v>
      </c>
      <c r="AF20" s="9"/>
      <c r="AG20" s="22">
        <v>-4.9591099999999999E-2</v>
      </c>
      <c r="AH20" s="22">
        <v>177.51300000000001</v>
      </c>
      <c r="AI20" s="22">
        <v>-1.5792799999999999E-2</v>
      </c>
      <c r="AJ20" s="22">
        <v>10</v>
      </c>
      <c r="AK20" s="22">
        <v>-5.0140400000000002E-2</v>
      </c>
      <c r="AL20">
        <f t="shared" si="6"/>
        <v>15.7928</v>
      </c>
      <c r="AM20">
        <f t="shared" si="7"/>
        <v>-0.78318232407999999</v>
      </c>
      <c r="AP20" s="9"/>
      <c r="AQ20" s="22">
        <v>1.7495700000000001</v>
      </c>
      <c r="AR20" s="22">
        <v>226.959</v>
      </c>
      <c r="AS20" s="22">
        <v>5.0109899999999999E-3</v>
      </c>
      <c r="AT20" s="22">
        <v>10</v>
      </c>
      <c r="AU20" s="22">
        <v>1.7486600000000001</v>
      </c>
      <c r="AV20">
        <f t="shared" si="8"/>
        <v>-5.0109899999999996</v>
      </c>
      <c r="AW20">
        <f t="shared" si="9"/>
        <v>-8.7670777742999988</v>
      </c>
      <c r="AX20" s="9"/>
      <c r="AY20" s="22">
        <v>-4.9591099999999999E-2</v>
      </c>
      <c r="AZ20" s="22">
        <v>261.29899999999998</v>
      </c>
      <c r="BA20" s="22">
        <v>-1.57593E-2</v>
      </c>
      <c r="BB20" s="22">
        <v>10</v>
      </c>
      <c r="BC20" s="22">
        <v>-5.0170899999999997E-2</v>
      </c>
      <c r="BD20">
        <f t="shared" si="10"/>
        <v>15.7593</v>
      </c>
      <c r="BE20">
        <f t="shared" si="11"/>
        <v>-0.78152102222999997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49.165900000000001</v>
      </c>
      <c r="I21" s="22">
        <v>4.5831300000000004E-3</v>
      </c>
      <c r="J21" s="22">
        <v>11</v>
      </c>
      <c r="K21" s="22">
        <v>1.7440800000000001</v>
      </c>
      <c r="L21">
        <f t="shared" si="0"/>
        <v>-4.5831300000000006</v>
      </c>
      <c r="M21">
        <f t="shared" si="1"/>
        <v>-7.9954536102000011</v>
      </c>
      <c r="N21" s="9"/>
      <c r="O21" s="22">
        <v>-4.4555699999999997E-2</v>
      </c>
      <c r="P21" s="22">
        <v>98.592299999999994</v>
      </c>
      <c r="Q21" s="22">
        <v>-1.5859999999999999E-2</v>
      </c>
      <c r="R21" s="22">
        <v>11</v>
      </c>
      <c r="S21" s="22">
        <v>-4.4891399999999998E-2</v>
      </c>
      <c r="T21">
        <f t="shared" si="2"/>
        <v>15.86</v>
      </c>
      <c r="U21">
        <f t="shared" si="3"/>
        <v>-0.70665340199999993</v>
      </c>
      <c r="V21" s="23"/>
      <c r="W21" s="24"/>
      <c r="X21" s="9"/>
      <c r="Y21" s="22">
        <v>1.74454</v>
      </c>
      <c r="Z21" s="22">
        <v>128.04900000000001</v>
      </c>
      <c r="AA21" s="22">
        <v>4.2157000000000002E-3</v>
      </c>
      <c r="AB21" s="22">
        <v>11</v>
      </c>
      <c r="AC21" s="22">
        <v>1.7440800000000001</v>
      </c>
      <c r="AD21">
        <f t="shared" si="4"/>
        <v>-4.2157</v>
      </c>
      <c r="AE21">
        <f t="shared" si="5"/>
        <v>-7.3544572779999999</v>
      </c>
      <c r="AF21" s="9"/>
      <c r="AG21" s="22">
        <v>-4.4555699999999997E-2</v>
      </c>
      <c r="AH21" s="22">
        <v>177.523</v>
      </c>
      <c r="AI21" s="22">
        <v>-1.5786700000000001E-2</v>
      </c>
      <c r="AJ21" s="22">
        <v>11</v>
      </c>
      <c r="AK21" s="22">
        <v>-4.48975E-2</v>
      </c>
      <c r="AL21">
        <f t="shared" si="6"/>
        <v>15.786700000000002</v>
      </c>
      <c r="AM21">
        <f t="shared" si="7"/>
        <v>-0.70338746919000006</v>
      </c>
      <c r="AP21" s="9"/>
      <c r="AQ21" s="22">
        <v>1.74454</v>
      </c>
      <c r="AR21" s="22">
        <v>226.96899999999999</v>
      </c>
      <c r="AS21" s="22">
        <v>4.1784700000000001E-3</v>
      </c>
      <c r="AT21" s="22">
        <v>11</v>
      </c>
      <c r="AU21" s="22">
        <v>1.74377</v>
      </c>
      <c r="AV21">
        <f t="shared" si="8"/>
        <v>-4.1784699999999999</v>
      </c>
      <c r="AW21">
        <f t="shared" si="9"/>
        <v>-7.2895080537999997</v>
      </c>
      <c r="AX21" s="9"/>
      <c r="AY21" s="22">
        <v>-4.4555699999999997E-2</v>
      </c>
      <c r="AZ21" s="22">
        <v>261.30900000000003</v>
      </c>
      <c r="BA21" s="22">
        <v>-1.5756200000000001E-2</v>
      </c>
      <c r="BB21" s="22">
        <v>11</v>
      </c>
      <c r="BC21" s="22">
        <v>-4.4882199999999997E-2</v>
      </c>
      <c r="BD21">
        <f t="shared" si="10"/>
        <v>15.756200000000002</v>
      </c>
      <c r="BE21">
        <f t="shared" si="11"/>
        <v>-0.70202852033999996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49.176000000000002</v>
      </c>
      <c r="I22" s="22">
        <v>3.8067600000000002E-3</v>
      </c>
      <c r="J22" s="22">
        <v>12</v>
      </c>
      <c r="K22" s="22">
        <v>1.73889</v>
      </c>
      <c r="L22">
        <f t="shared" si="0"/>
        <v>-3.8067600000000001</v>
      </c>
      <c r="M22">
        <f t="shared" si="1"/>
        <v>-6.6218590200000005</v>
      </c>
      <c r="N22" s="9"/>
      <c r="O22" s="22">
        <v>-3.9520300000000001E-2</v>
      </c>
      <c r="P22" s="22">
        <v>98.602400000000003</v>
      </c>
      <c r="Q22" s="22">
        <v>-1.5862999999999999E-2</v>
      </c>
      <c r="R22" s="22">
        <v>12</v>
      </c>
      <c r="S22" s="22">
        <v>-3.9849900000000001E-2</v>
      </c>
      <c r="T22">
        <f t="shared" si="2"/>
        <v>15.862999999999998</v>
      </c>
      <c r="U22">
        <f t="shared" si="3"/>
        <v>-0.62691051889999994</v>
      </c>
      <c r="V22" s="23"/>
      <c r="W22" s="24"/>
      <c r="X22" s="9"/>
      <c r="Y22" s="22">
        <v>1.7395</v>
      </c>
      <c r="Z22" s="22">
        <v>128.059</v>
      </c>
      <c r="AA22" s="22">
        <v>3.4100300000000001E-3</v>
      </c>
      <c r="AB22" s="22">
        <v>12</v>
      </c>
      <c r="AC22" s="22">
        <v>1.73828</v>
      </c>
      <c r="AD22">
        <f t="shared" si="4"/>
        <v>-3.4100299999999999</v>
      </c>
      <c r="AE22">
        <f t="shared" si="5"/>
        <v>-5.9317471849999999</v>
      </c>
      <c r="AF22" s="9"/>
      <c r="AG22" s="22">
        <v>-3.9520300000000001E-2</v>
      </c>
      <c r="AH22" s="22">
        <v>177.53299999999999</v>
      </c>
      <c r="AI22" s="22">
        <v>-1.5783700000000001E-2</v>
      </c>
      <c r="AJ22" s="22">
        <v>12</v>
      </c>
      <c r="AK22" s="22">
        <v>-3.9837600000000001E-2</v>
      </c>
      <c r="AL22">
        <f t="shared" si="6"/>
        <v>15.783700000000001</v>
      </c>
      <c r="AM22">
        <f t="shared" si="7"/>
        <v>-0.62377655911000007</v>
      </c>
      <c r="AP22" s="9"/>
      <c r="AQ22" s="22">
        <v>1.7395</v>
      </c>
      <c r="AR22" s="22">
        <v>226.97900000000001</v>
      </c>
      <c r="AS22" s="22">
        <v>3.35907E-3</v>
      </c>
      <c r="AT22" s="22">
        <v>12</v>
      </c>
      <c r="AU22" s="22">
        <v>1.73828</v>
      </c>
      <c r="AV22">
        <f t="shared" si="8"/>
        <v>-3.35907</v>
      </c>
      <c r="AW22">
        <f t="shared" si="9"/>
        <v>-5.8431022649999997</v>
      </c>
      <c r="AX22" s="9"/>
      <c r="AY22" s="22">
        <v>-3.9520300000000001E-2</v>
      </c>
      <c r="AZ22" s="22">
        <v>261.31900000000002</v>
      </c>
      <c r="BA22" s="22">
        <v>-1.5753199999999998E-2</v>
      </c>
      <c r="BB22" s="22">
        <v>12</v>
      </c>
      <c r="BC22" s="22">
        <v>-3.9865100000000001E-2</v>
      </c>
      <c r="BD22">
        <f t="shared" si="10"/>
        <v>15.753199999999998</v>
      </c>
      <c r="BE22">
        <f t="shared" si="11"/>
        <v>-0.62257118995999994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49.186100000000003</v>
      </c>
      <c r="I23" s="22">
        <v>3.0441299999999999E-3</v>
      </c>
      <c r="J23" s="22">
        <v>13</v>
      </c>
      <c r="K23" s="22">
        <v>1.7337</v>
      </c>
      <c r="L23">
        <f t="shared" si="0"/>
        <v>-3.04413</v>
      </c>
      <c r="M23">
        <f t="shared" si="1"/>
        <v>-5.2799521610999998</v>
      </c>
      <c r="N23" s="9"/>
      <c r="O23" s="22">
        <v>-3.4484899999999999E-2</v>
      </c>
      <c r="P23" s="22">
        <v>98.612499999999997</v>
      </c>
      <c r="Q23" s="22">
        <v>-1.5859999999999999E-2</v>
      </c>
      <c r="R23" s="22">
        <v>13</v>
      </c>
      <c r="S23" s="22">
        <v>-3.47931E-2</v>
      </c>
      <c r="T23">
        <f t="shared" si="2"/>
        <v>15.86</v>
      </c>
      <c r="U23">
        <f t="shared" si="3"/>
        <v>-0.54693051399999992</v>
      </c>
      <c r="V23" s="23"/>
      <c r="W23" s="24"/>
      <c r="X23" s="9"/>
      <c r="Y23" s="22">
        <v>1.73447</v>
      </c>
      <c r="Z23" s="22">
        <v>128.07</v>
      </c>
      <c r="AA23" s="22">
        <v>2.6306200000000002E-3</v>
      </c>
      <c r="AB23" s="22">
        <v>13</v>
      </c>
      <c r="AC23" s="22">
        <v>1.7334000000000001</v>
      </c>
      <c r="AD23">
        <f t="shared" si="4"/>
        <v>-2.6306200000000004</v>
      </c>
      <c r="AE23">
        <f t="shared" si="5"/>
        <v>-4.5627314714000002</v>
      </c>
      <c r="AF23" s="9"/>
      <c r="AG23" s="22">
        <v>-3.4484899999999999E-2</v>
      </c>
      <c r="AH23" s="22">
        <v>177.54300000000001</v>
      </c>
      <c r="AI23" s="22">
        <v>-1.5786700000000001E-2</v>
      </c>
      <c r="AJ23" s="22">
        <v>13</v>
      </c>
      <c r="AK23" s="22">
        <v>-3.4790000000000001E-2</v>
      </c>
      <c r="AL23">
        <f t="shared" si="6"/>
        <v>15.786700000000002</v>
      </c>
      <c r="AM23">
        <f t="shared" si="7"/>
        <v>-0.54440277082999999</v>
      </c>
      <c r="AP23" s="9"/>
      <c r="AQ23" s="22">
        <v>1.73447</v>
      </c>
      <c r="AR23" s="22">
        <v>226.989</v>
      </c>
      <c r="AS23" s="22">
        <v>2.5592000000000002E-3</v>
      </c>
      <c r="AT23" s="22">
        <v>13</v>
      </c>
      <c r="AU23" s="22">
        <v>1.7340100000000001</v>
      </c>
      <c r="AV23">
        <f t="shared" si="8"/>
        <v>-2.5592000000000001</v>
      </c>
      <c r="AW23">
        <f t="shared" si="9"/>
        <v>-4.4388556240000003</v>
      </c>
      <c r="AX23" s="9"/>
      <c r="AY23" s="22">
        <v>-3.4484899999999999E-2</v>
      </c>
      <c r="AZ23" s="22">
        <v>261.33</v>
      </c>
      <c r="BA23" s="22">
        <v>-1.5753199999999998E-2</v>
      </c>
      <c r="BB23" s="22">
        <v>13</v>
      </c>
      <c r="BC23" s="22">
        <v>-3.4695400000000001E-2</v>
      </c>
      <c r="BD23">
        <f t="shared" si="10"/>
        <v>15.753199999999998</v>
      </c>
      <c r="BE23">
        <f t="shared" si="11"/>
        <v>-0.54324752667999987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49.196100000000001</v>
      </c>
      <c r="I24" s="22">
        <v>2.3049899999999998E-3</v>
      </c>
      <c r="J24" s="22">
        <v>14</v>
      </c>
      <c r="K24" s="22">
        <v>1.7291300000000001</v>
      </c>
      <c r="L24">
        <f t="shared" si="0"/>
        <v>-2.3049899999999997</v>
      </c>
      <c r="M24">
        <f t="shared" si="1"/>
        <v>-3.9863188556999996</v>
      </c>
      <c r="N24" s="9"/>
      <c r="O24" s="22">
        <v>-2.94495E-2</v>
      </c>
      <c r="P24" s="22">
        <v>98.622600000000006</v>
      </c>
      <c r="Q24" s="22">
        <v>-1.5853900000000001E-2</v>
      </c>
      <c r="R24" s="22">
        <v>14</v>
      </c>
      <c r="S24" s="22">
        <v>-2.98187E-2</v>
      </c>
      <c r="T24">
        <f t="shared" si="2"/>
        <v>15.853900000000001</v>
      </c>
      <c r="U24">
        <f t="shared" si="3"/>
        <v>-0.46688942805000005</v>
      </c>
      <c r="V24" s="23"/>
      <c r="W24" s="24"/>
      <c r="X24" s="9"/>
      <c r="Y24" s="22">
        <v>1.72943</v>
      </c>
      <c r="Z24" s="22">
        <v>128.08000000000001</v>
      </c>
      <c r="AA24" s="22">
        <v>1.87378E-3</v>
      </c>
      <c r="AB24" s="22">
        <v>14</v>
      </c>
      <c r="AC24" s="22">
        <v>1.7285200000000001</v>
      </c>
      <c r="AD24">
        <f t="shared" si="4"/>
        <v>-1.87378</v>
      </c>
      <c r="AE24">
        <f t="shared" si="5"/>
        <v>-3.2405713454000002</v>
      </c>
      <c r="AF24" s="9"/>
      <c r="AG24" s="22">
        <v>-2.94495E-2</v>
      </c>
      <c r="AH24" s="22">
        <v>177.553</v>
      </c>
      <c r="AI24" s="22">
        <v>-1.5783700000000001E-2</v>
      </c>
      <c r="AJ24" s="22">
        <v>14</v>
      </c>
      <c r="AK24" s="22">
        <v>-2.96692E-2</v>
      </c>
      <c r="AL24">
        <f t="shared" si="6"/>
        <v>15.783700000000001</v>
      </c>
      <c r="AM24">
        <f t="shared" si="7"/>
        <v>-0.46482207315000001</v>
      </c>
      <c r="AP24" s="9"/>
      <c r="AQ24" s="22">
        <v>1.72943</v>
      </c>
      <c r="AR24" s="22">
        <v>226.999</v>
      </c>
      <c r="AS24" s="22">
        <v>1.7983999999999999E-3</v>
      </c>
      <c r="AT24" s="22">
        <v>14</v>
      </c>
      <c r="AU24" s="22">
        <v>1.7285200000000001</v>
      </c>
      <c r="AV24">
        <f t="shared" si="8"/>
        <v>-1.7984</v>
      </c>
      <c r="AW24">
        <f t="shared" si="9"/>
        <v>-3.1102069120000002</v>
      </c>
      <c r="AX24" s="9"/>
      <c r="AY24" s="22">
        <v>-2.94495E-2</v>
      </c>
      <c r="AZ24" s="22">
        <v>261.33999999999997</v>
      </c>
      <c r="BA24" s="22">
        <v>-1.5753199999999998E-2</v>
      </c>
      <c r="BB24" s="22">
        <v>14</v>
      </c>
      <c r="BC24" s="22">
        <v>-2.97211E-2</v>
      </c>
      <c r="BD24">
        <f t="shared" si="10"/>
        <v>15.753199999999998</v>
      </c>
      <c r="BE24">
        <f t="shared" si="11"/>
        <v>-0.46392386339999991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49.206200000000003</v>
      </c>
      <c r="I25" s="22">
        <v>1.5762300000000001E-3</v>
      </c>
      <c r="J25" s="22">
        <v>15</v>
      </c>
      <c r="K25" s="22">
        <v>1.72394</v>
      </c>
      <c r="L25">
        <f t="shared" si="0"/>
        <v>-1.57623</v>
      </c>
      <c r="M25">
        <f t="shared" si="1"/>
        <v>-2.7180510120000001</v>
      </c>
      <c r="N25" s="9"/>
      <c r="O25" s="22">
        <v>-2.4414100000000001E-2</v>
      </c>
      <c r="P25" s="22">
        <v>98.632599999999996</v>
      </c>
      <c r="Q25" s="22">
        <v>-1.5850800000000002E-2</v>
      </c>
      <c r="R25" s="22">
        <v>15</v>
      </c>
      <c r="S25" s="22">
        <v>-2.4752799999999998E-2</v>
      </c>
      <c r="T25">
        <f t="shared" si="2"/>
        <v>15.850800000000001</v>
      </c>
      <c r="U25">
        <f t="shared" si="3"/>
        <v>-0.38698301628000004</v>
      </c>
      <c r="V25" s="23"/>
      <c r="W25" s="24"/>
      <c r="X25" s="9"/>
      <c r="Y25" s="22">
        <v>1.7243999999999999</v>
      </c>
      <c r="Z25" s="22">
        <v>128.09</v>
      </c>
      <c r="AA25" s="22">
        <v>1.1379999999999999E-3</v>
      </c>
      <c r="AB25" s="22">
        <v>15</v>
      </c>
      <c r="AC25" s="22">
        <v>1.72333</v>
      </c>
      <c r="AD25">
        <f t="shared" si="4"/>
        <v>-1.1379999999999999</v>
      </c>
      <c r="AE25">
        <f t="shared" si="5"/>
        <v>-1.9623671999999996</v>
      </c>
      <c r="AF25" s="9"/>
      <c r="AG25" s="22">
        <v>-2.4414100000000001E-2</v>
      </c>
      <c r="AH25" s="22">
        <v>177.56299999999999</v>
      </c>
      <c r="AI25" s="22">
        <v>-1.5783700000000001E-2</v>
      </c>
      <c r="AJ25" s="22">
        <v>15</v>
      </c>
      <c r="AK25" s="22">
        <v>-2.46918E-2</v>
      </c>
      <c r="AL25">
        <f t="shared" si="6"/>
        <v>15.783700000000001</v>
      </c>
      <c r="AM25">
        <f t="shared" si="7"/>
        <v>-0.38534483017000004</v>
      </c>
      <c r="AP25" s="9"/>
      <c r="AQ25" s="22">
        <v>1.7243999999999999</v>
      </c>
      <c r="AR25" s="22">
        <v>227.01</v>
      </c>
      <c r="AS25" s="22">
        <v>1.05682E-3</v>
      </c>
      <c r="AT25" s="22">
        <v>15</v>
      </c>
      <c r="AU25" s="22">
        <v>1.72333</v>
      </c>
      <c r="AV25">
        <f t="shared" si="8"/>
        <v>-1.0568200000000001</v>
      </c>
      <c r="AW25">
        <f t="shared" si="9"/>
        <v>-1.8223804080000001</v>
      </c>
      <c r="AX25" s="9"/>
      <c r="AY25" s="22">
        <v>-2.4414100000000001E-2</v>
      </c>
      <c r="AZ25" s="22">
        <v>261.35000000000002</v>
      </c>
      <c r="BA25" s="22">
        <v>-1.5753199999999998E-2</v>
      </c>
      <c r="BB25" s="22">
        <v>15</v>
      </c>
      <c r="BC25" s="22">
        <v>-2.4649000000000001E-2</v>
      </c>
      <c r="BD25">
        <f t="shared" si="10"/>
        <v>15.753199999999998</v>
      </c>
      <c r="BE25">
        <f t="shared" si="11"/>
        <v>-0.38460020011999996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49.216299999999997</v>
      </c>
      <c r="I26" s="22">
        <v>8.8134800000000001E-4</v>
      </c>
      <c r="J26" s="22">
        <v>16</v>
      </c>
      <c r="K26" s="22">
        <v>1.71844</v>
      </c>
      <c r="L26">
        <f t="shared" si="0"/>
        <v>-0.88134800000000002</v>
      </c>
      <c r="M26">
        <f t="shared" si="1"/>
        <v>-1.5153544972799999</v>
      </c>
      <c r="N26" s="9"/>
      <c r="O26" s="22">
        <v>-1.9378699999999999E-2</v>
      </c>
      <c r="P26" s="22">
        <v>98.642700000000005</v>
      </c>
      <c r="Q26" s="22">
        <v>-1.5847799999999999E-2</v>
      </c>
      <c r="R26" s="22">
        <v>16</v>
      </c>
      <c r="S26" s="22">
        <v>-1.96869E-2</v>
      </c>
      <c r="T26">
        <f t="shared" si="2"/>
        <v>15.847799999999999</v>
      </c>
      <c r="U26">
        <f t="shared" si="3"/>
        <v>-0.30710976185999994</v>
      </c>
      <c r="V26" s="23"/>
      <c r="W26" s="24"/>
      <c r="X26" s="9"/>
      <c r="Y26" s="22">
        <v>1.71936</v>
      </c>
      <c r="Z26" s="22">
        <v>128.1</v>
      </c>
      <c r="AA26" s="22">
        <v>4.2715500000000003E-4</v>
      </c>
      <c r="AB26" s="22">
        <v>16</v>
      </c>
      <c r="AC26" s="22">
        <v>1.71906</v>
      </c>
      <c r="AD26">
        <f t="shared" si="4"/>
        <v>-0.42715500000000001</v>
      </c>
      <c r="AE26">
        <f t="shared" si="5"/>
        <v>-0.73443322080000006</v>
      </c>
      <c r="AF26" s="9"/>
      <c r="AG26" s="22">
        <v>-1.9378699999999999E-2</v>
      </c>
      <c r="AH26" s="22">
        <v>177.57300000000001</v>
      </c>
      <c r="AI26" s="22">
        <v>-1.5783700000000001E-2</v>
      </c>
      <c r="AJ26" s="22">
        <v>16</v>
      </c>
      <c r="AK26" s="22">
        <v>-1.9644200000000001E-2</v>
      </c>
      <c r="AL26">
        <f t="shared" si="6"/>
        <v>15.783700000000001</v>
      </c>
      <c r="AM26">
        <f t="shared" si="7"/>
        <v>-0.30586758719000001</v>
      </c>
      <c r="AP26" s="9"/>
      <c r="AQ26" s="22">
        <v>1.71936</v>
      </c>
      <c r="AR26" s="22">
        <v>227.02</v>
      </c>
      <c r="AS26" s="22">
        <v>3.4146099999999999E-4</v>
      </c>
      <c r="AT26" s="22">
        <v>16</v>
      </c>
      <c r="AU26" s="22">
        <v>1.71936</v>
      </c>
      <c r="AV26">
        <f t="shared" si="8"/>
        <v>-0.34146100000000001</v>
      </c>
      <c r="AW26">
        <f t="shared" si="9"/>
        <v>-0.58709438495999999</v>
      </c>
      <c r="AX26" s="9"/>
      <c r="AY26" s="22">
        <v>-1.9378699999999999E-2</v>
      </c>
      <c r="AZ26" s="22">
        <v>261.36</v>
      </c>
      <c r="BA26" s="22">
        <v>-1.57593E-2</v>
      </c>
      <c r="BB26" s="22">
        <v>16</v>
      </c>
      <c r="BC26" s="22">
        <v>-1.96869E-2</v>
      </c>
      <c r="BD26">
        <f t="shared" si="10"/>
        <v>15.7593</v>
      </c>
      <c r="BE26">
        <f t="shared" si="11"/>
        <v>-0.30539474690999996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49.226300000000002</v>
      </c>
      <c r="I27" s="22">
        <v>1.96472E-4</v>
      </c>
      <c r="J27" s="22">
        <v>17</v>
      </c>
      <c r="K27" s="22">
        <v>1.71356</v>
      </c>
      <c r="L27">
        <f t="shared" si="0"/>
        <v>-0.19647200000000001</v>
      </c>
      <c r="M27">
        <f t="shared" si="1"/>
        <v>-0.33681587904000004</v>
      </c>
      <c r="N27" s="9"/>
      <c r="O27" s="22">
        <v>-1.43433E-2</v>
      </c>
      <c r="P27" s="22">
        <v>98.652799999999999</v>
      </c>
      <c r="Q27" s="22">
        <v>-1.5847799999999999E-2</v>
      </c>
      <c r="R27" s="22">
        <v>17</v>
      </c>
      <c r="S27" s="22">
        <v>-1.46362E-2</v>
      </c>
      <c r="T27">
        <f t="shared" si="2"/>
        <v>15.847799999999999</v>
      </c>
      <c r="U27">
        <f t="shared" si="3"/>
        <v>-0.22730974973999998</v>
      </c>
      <c r="X27" s="9"/>
      <c r="Y27" s="22">
        <v>1.7143200000000001</v>
      </c>
      <c r="Z27" s="22">
        <v>128.11000000000001</v>
      </c>
      <c r="AA27" s="22">
        <v>-2.7185099999999998E-4</v>
      </c>
      <c r="AB27" s="22">
        <v>17</v>
      </c>
      <c r="AC27" s="22">
        <v>1.71417</v>
      </c>
      <c r="AD27">
        <f t="shared" si="4"/>
        <v>0.27185100000000001</v>
      </c>
      <c r="AE27">
        <f t="shared" si="5"/>
        <v>0.46603960632000002</v>
      </c>
      <c r="AF27" s="9"/>
      <c r="AG27" s="22">
        <v>-1.43433E-2</v>
      </c>
      <c r="AH27" s="22">
        <v>177.583</v>
      </c>
      <c r="AI27" s="22">
        <v>-1.5783700000000001E-2</v>
      </c>
      <c r="AJ27" s="22">
        <v>17</v>
      </c>
      <c r="AK27" s="22">
        <v>-1.4559900000000001E-2</v>
      </c>
      <c r="AL27">
        <f t="shared" si="6"/>
        <v>15.783700000000001</v>
      </c>
      <c r="AM27">
        <f t="shared" si="7"/>
        <v>-0.22639034421000001</v>
      </c>
      <c r="AP27" s="9"/>
      <c r="AQ27" s="22">
        <v>1.7143200000000001</v>
      </c>
      <c r="AR27" s="22">
        <v>227.03</v>
      </c>
      <c r="AS27" s="22">
        <v>-3.5952800000000002E-4</v>
      </c>
      <c r="AT27" s="22">
        <v>17</v>
      </c>
      <c r="AU27" s="22">
        <v>1.71326</v>
      </c>
      <c r="AV27">
        <f t="shared" si="8"/>
        <v>0.35952800000000001</v>
      </c>
      <c r="AW27">
        <f t="shared" si="9"/>
        <v>0.61634604096000001</v>
      </c>
      <c r="AX27" s="9"/>
      <c r="AY27" s="22">
        <v>-1.43433E-2</v>
      </c>
      <c r="AZ27" s="22">
        <v>261.37</v>
      </c>
      <c r="BA27" s="22">
        <v>-1.57623E-2</v>
      </c>
      <c r="BB27" s="22">
        <v>17</v>
      </c>
      <c r="BC27" s="22">
        <v>-1.4672899999999999E-2</v>
      </c>
      <c r="BD27">
        <f t="shared" si="10"/>
        <v>15.7623</v>
      </c>
      <c r="BE27">
        <f t="shared" si="11"/>
        <v>-0.22608339758999998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49.236400000000003</v>
      </c>
      <c r="I28" s="22">
        <v>-4.7232099999999999E-4</v>
      </c>
      <c r="J28" s="22">
        <v>18</v>
      </c>
      <c r="K28" s="22">
        <v>1.7083699999999999</v>
      </c>
      <c r="L28">
        <f t="shared" si="0"/>
        <v>0.47232099999999999</v>
      </c>
      <c r="M28">
        <f t="shared" si="1"/>
        <v>0.80733356208999996</v>
      </c>
      <c r="N28" s="9"/>
      <c r="O28" s="22">
        <v>-9.3078599999999994E-3</v>
      </c>
      <c r="P28" s="22">
        <v>98.662800000000004</v>
      </c>
      <c r="Q28" s="22">
        <v>-1.58417E-2</v>
      </c>
      <c r="R28" s="22">
        <v>18</v>
      </c>
      <c r="S28" s="22">
        <v>-9.5642100000000001E-3</v>
      </c>
      <c r="T28">
        <f t="shared" si="2"/>
        <v>15.841699999999999</v>
      </c>
      <c r="U28">
        <f t="shared" si="3"/>
        <v>-0.14745232576199999</v>
      </c>
      <c r="X28" s="9"/>
      <c r="Y28" s="22">
        <v>1.70929</v>
      </c>
      <c r="Z28" s="22">
        <v>128.12</v>
      </c>
      <c r="AA28" s="22">
        <v>-9.3322800000000003E-4</v>
      </c>
      <c r="AB28" s="22">
        <v>18</v>
      </c>
      <c r="AC28" s="22">
        <v>1.70868</v>
      </c>
      <c r="AD28">
        <f t="shared" si="4"/>
        <v>0.93322800000000006</v>
      </c>
      <c r="AE28">
        <f t="shared" si="5"/>
        <v>1.59515728812</v>
      </c>
      <c r="AF28" s="9"/>
      <c r="AG28" s="22">
        <v>-9.3078599999999994E-3</v>
      </c>
      <c r="AH28" s="22">
        <v>177.59299999999999</v>
      </c>
      <c r="AI28" s="22">
        <v>-1.5780599999999999E-2</v>
      </c>
      <c r="AJ28" s="22">
        <v>18</v>
      </c>
      <c r="AK28" s="22">
        <v>-9.5642100000000001E-3</v>
      </c>
      <c r="AL28">
        <f t="shared" si="6"/>
        <v>15.780599999999998</v>
      </c>
      <c r="AM28">
        <f t="shared" si="7"/>
        <v>-0.14688361551599996</v>
      </c>
      <c r="AP28" s="9"/>
      <c r="AQ28" s="22">
        <v>1.70929</v>
      </c>
      <c r="AR28" s="22">
        <v>227.04</v>
      </c>
      <c r="AS28" s="22">
        <v>-1.02081E-3</v>
      </c>
      <c r="AT28" s="22">
        <v>18</v>
      </c>
      <c r="AU28" s="22">
        <v>1.70868</v>
      </c>
      <c r="AV28">
        <f t="shared" si="8"/>
        <v>1.02081</v>
      </c>
      <c r="AW28">
        <f t="shared" si="9"/>
        <v>1.7448603248999999</v>
      </c>
      <c r="AX28" s="9"/>
      <c r="AY28" s="22">
        <v>-9.3078599999999994E-3</v>
      </c>
      <c r="AZ28" s="22">
        <v>261.38</v>
      </c>
      <c r="BA28" s="22">
        <v>-1.57623E-2</v>
      </c>
      <c r="BB28" s="22">
        <v>18</v>
      </c>
      <c r="BC28" s="22">
        <v>-9.5367400000000001E-3</v>
      </c>
      <c r="BD28">
        <f t="shared" si="10"/>
        <v>15.7623</v>
      </c>
      <c r="BE28">
        <f t="shared" si="11"/>
        <v>-0.14671328167799999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49.246499999999997</v>
      </c>
      <c r="I29" s="22">
        <v>-1.1285399999999999E-3</v>
      </c>
      <c r="J29" s="22">
        <v>19</v>
      </c>
      <c r="K29" s="22">
        <v>1.7034899999999999</v>
      </c>
      <c r="L29">
        <f t="shared" si="0"/>
        <v>1.1285399999999999</v>
      </c>
      <c r="M29">
        <f t="shared" si="1"/>
        <v>1.9233142949999997</v>
      </c>
      <c r="N29" s="9"/>
      <c r="O29" s="22">
        <v>-4.2724599999999996E-3</v>
      </c>
      <c r="P29" s="22">
        <v>98.672899999999998</v>
      </c>
      <c r="Q29" s="22">
        <v>-1.5838600000000001E-2</v>
      </c>
      <c r="R29" s="22">
        <v>19</v>
      </c>
      <c r="S29" s="22">
        <v>-4.5410199999999998E-3</v>
      </c>
      <c r="T29">
        <f t="shared" si="2"/>
        <v>15.838600000000001</v>
      </c>
      <c r="U29">
        <f t="shared" si="3"/>
        <v>-6.7669784955999998E-2</v>
      </c>
      <c r="X29" s="9"/>
      <c r="Y29" s="22">
        <v>1.70425</v>
      </c>
      <c r="Z29" s="22">
        <v>128.13</v>
      </c>
      <c r="AA29" s="22">
        <v>-1.56982E-3</v>
      </c>
      <c r="AB29" s="22">
        <v>19</v>
      </c>
      <c r="AC29" s="22">
        <v>1.7034899999999999</v>
      </c>
      <c r="AD29">
        <f t="shared" si="4"/>
        <v>1.56982</v>
      </c>
      <c r="AE29">
        <f t="shared" si="5"/>
        <v>2.6753657350000002</v>
      </c>
      <c r="AF29" s="9"/>
      <c r="AG29" s="22">
        <v>-4.2724599999999996E-3</v>
      </c>
      <c r="AH29" s="22">
        <v>177.60300000000001</v>
      </c>
      <c r="AI29" s="22">
        <v>-1.5777599999999999E-2</v>
      </c>
      <c r="AJ29" s="22">
        <v>19</v>
      </c>
      <c r="AK29" s="22">
        <v>-4.4982900000000003E-3</v>
      </c>
      <c r="AL29">
        <f t="shared" si="6"/>
        <v>15.7776</v>
      </c>
      <c r="AM29">
        <f t="shared" si="7"/>
        <v>-6.740916489599999E-2</v>
      </c>
      <c r="AP29" s="9"/>
      <c r="AQ29" s="22">
        <v>1.70425</v>
      </c>
      <c r="AR29" s="22">
        <v>227.05</v>
      </c>
      <c r="AS29" s="22">
        <v>-1.66077E-3</v>
      </c>
      <c r="AT29" s="22">
        <v>19</v>
      </c>
      <c r="AU29" s="22">
        <v>1.70319</v>
      </c>
      <c r="AV29">
        <f t="shared" si="8"/>
        <v>1.6607700000000001</v>
      </c>
      <c r="AW29">
        <f t="shared" si="9"/>
        <v>2.8303672725000002</v>
      </c>
      <c r="AX29" s="9"/>
      <c r="AY29" s="22">
        <v>-4.2724599999999996E-3</v>
      </c>
      <c r="AZ29" s="22">
        <v>261.39</v>
      </c>
      <c r="BA29" s="22">
        <v>-1.5756200000000001E-2</v>
      </c>
      <c r="BB29" s="22">
        <v>19</v>
      </c>
      <c r="BC29" s="22">
        <v>-4.5989999999999998E-3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49.256599999999999</v>
      </c>
      <c r="I30" s="22">
        <v>-1.7404199999999999E-3</v>
      </c>
      <c r="J30" s="22">
        <v>20</v>
      </c>
      <c r="K30" s="22">
        <v>1.6989099999999999</v>
      </c>
      <c r="L30">
        <f t="shared" si="0"/>
        <v>1.7404199999999999</v>
      </c>
      <c r="M30">
        <f t="shared" si="1"/>
        <v>2.9573564723999999</v>
      </c>
      <c r="N30" s="9"/>
      <c r="O30" s="22">
        <v>7.6293900000000002E-4</v>
      </c>
      <c r="P30" s="22">
        <v>98.683000000000007</v>
      </c>
      <c r="Q30" s="22">
        <v>-1.58417E-2</v>
      </c>
      <c r="R30" s="22">
        <v>20</v>
      </c>
      <c r="S30" s="22">
        <v>5.7067900000000004E-4</v>
      </c>
      <c r="T30">
        <f t="shared" si="2"/>
        <v>15.841699999999999</v>
      </c>
      <c r="U30">
        <f t="shared" si="3"/>
        <v>1.20862507563E-2</v>
      </c>
      <c r="X30" s="9"/>
      <c r="Y30" s="22">
        <v>1.69922</v>
      </c>
      <c r="Z30" s="22">
        <v>128.13999999999999</v>
      </c>
      <c r="AA30" s="22">
        <v>-2.1945200000000002E-3</v>
      </c>
      <c r="AB30" s="22">
        <v>20</v>
      </c>
      <c r="AC30" s="22">
        <v>1.69922</v>
      </c>
      <c r="AD30">
        <f t="shared" si="4"/>
        <v>2.1945200000000002</v>
      </c>
      <c r="AE30">
        <f t="shared" si="5"/>
        <v>3.7289722744000002</v>
      </c>
      <c r="AF30" s="9"/>
      <c r="AG30" s="22">
        <v>7.6293900000000002E-4</v>
      </c>
      <c r="AH30" s="22">
        <v>177.613</v>
      </c>
      <c r="AI30" s="22">
        <v>-1.57745E-2</v>
      </c>
      <c r="AJ30" s="22">
        <v>20</v>
      </c>
      <c r="AK30" s="22">
        <v>5.8593700000000002E-4</v>
      </c>
      <c r="AL30">
        <f t="shared" si="6"/>
        <v>15.7745</v>
      </c>
      <c r="AM30">
        <f t="shared" si="7"/>
        <v>1.20349812555E-2</v>
      </c>
      <c r="AP30" s="9"/>
      <c r="AQ30" s="22">
        <v>1.69922</v>
      </c>
      <c r="AR30" s="22">
        <v>227.06</v>
      </c>
      <c r="AS30" s="22">
        <v>-2.2607399999999998E-3</v>
      </c>
      <c r="AT30" s="22">
        <v>20</v>
      </c>
      <c r="AU30" s="22">
        <v>1.6989099999999999</v>
      </c>
      <c r="AV30">
        <f t="shared" si="8"/>
        <v>2.2607399999999997</v>
      </c>
      <c r="AW30">
        <f t="shared" si="9"/>
        <v>3.8414946227999995</v>
      </c>
      <c r="AX30" s="9"/>
      <c r="AY30" s="22">
        <v>7.6293900000000002E-4</v>
      </c>
      <c r="AZ30" s="22">
        <v>261.39999999999998</v>
      </c>
      <c r="BA30" s="22">
        <v>-1.57501E-2</v>
      </c>
      <c r="BB30" s="22">
        <v>20</v>
      </c>
      <c r="BC30" s="22">
        <v>5.7678199999999997E-4</v>
      </c>
      <c r="BD30">
        <f t="shared" si="10"/>
        <v>15.7501</v>
      </c>
      <c r="BE30">
        <f t="shared" si="11"/>
        <v>1.2016365543900001E-2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49.266599999999997</v>
      </c>
      <c r="I31" s="22">
        <v>-2.3373399999999998E-3</v>
      </c>
      <c r="J31" s="22">
        <v>21</v>
      </c>
      <c r="K31" s="22">
        <v>1.6934199999999999</v>
      </c>
      <c r="L31">
        <f t="shared" si="0"/>
        <v>2.3373399999999998</v>
      </c>
      <c r="M31">
        <f t="shared" si="1"/>
        <v>3.9598746811999996</v>
      </c>
      <c r="N31" s="9"/>
      <c r="O31" s="22">
        <v>5.7983399999999999E-3</v>
      </c>
      <c r="P31" s="22">
        <v>98.693100000000001</v>
      </c>
      <c r="Q31" s="22">
        <v>-1.58447E-2</v>
      </c>
      <c r="R31" s="22">
        <v>21</v>
      </c>
      <c r="S31" s="22">
        <v>5.5725100000000001E-3</v>
      </c>
      <c r="T31">
        <f t="shared" si="2"/>
        <v>15.8447</v>
      </c>
      <c r="U31">
        <f t="shared" si="3"/>
        <v>9.1872957797999991E-2</v>
      </c>
      <c r="X31" s="9"/>
      <c r="Y31" s="22">
        <v>1.69418</v>
      </c>
      <c r="Z31" s="22">
        <v>128.15</v>
      </c>
      <c r="AA31" s="22">
        <v>-2.7789300000000002E-3</v>
      </c>
      <c r="AB31" s="22">
        <v>21</v>
      </c>
      <c r="AC31" s="22">
        <v>1.6934199999999999</v>
      </c>
      <c r="AD31">
        <f t="shared" si="4"/>
        <v>2.7789300000000003</v>
      </c>
      <c r="AE31">
        <f t="shared" si="5"/>
        <v>4.7080076274000007</v>
      </c>
      <c r="AF31" s="9"/>
      <c r="AG31" s="22">
        <v>5.7983399999999999E-3</v>
      </c>
      <c r="AH31" s="22">
        <v>177.624</v>
      </c>
      <c r="AI31" s="22">
        <v>-1.5771500000000001E-2</v>
      </c>
      <c r="AJ31" s="22">
        <v>21</v>
      </c>
      <c r="AK31" s="22">
        <v>5.6121799999999996E-3</v>
      </c>
      <c r="AL31">
        <f t="shared" si="6"/>
        <v>15.771500000000001</v>
      </c>
      <c r="AM31">
        <f t="shared" si="7"/>
        <v>9.1448519310000004E-2</v>
      </c>
      <c r="AP31" s="9"/>
      <c r="AQ31" s="22">
        <v>1.69418</v>
      </c>
      <c r="AR31" s="22">
        <v>227.07</v>
      </c>
      <c r="AS31" s="22">
        <v>-2.8381299999999999E-3</v>
      </c>
      <c r="AT31" s="22">
        <v>21</v>
      </c>
      <c r="AU31" s="22">
        <v>1.6934199999999999</v>
      </c>
      <c r="AV31">
        <f t="shared" si="8"/>
        <v>2.83813</v>
      </c>
      <c r="AW31">
        <f t="shared" si="9"/>
        <v>4.8083030834000002</v>
      </c>
      <c r="AX31" s="9"/>
      <c r="AY31" s="22">
        <v>5.7983399999999999E-3</v>
      </c>
      <c r="AZ31" s="22">
        <v>261.41000000000003</v>
      </c>
      <c r="BA31" s="22">
        <v>-1.5744000000000001E-2</v>
      </c>
      <c r="BB31" s="22">
        <v>21</v>
      </c>
      <c r="BC31" s="22">
        <v>5.5847199999999996E-3</v>
      </c>
      <c r="BD31">
        <f t="shared" si="10"/>
        <v>15.744000000000002</v>
      </c>
      <c r="BE31">
        <f t="shared" si="11"/>
        <v>9.1289064960000013E-2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49.276699999999998</v>
      </c>
      <c r="I32" s="22">
        <v>-2.9141200000000001E-3</v>
      </c>
      <c r="J32" s="22">
        <v>22</v>
      </c>
      <c r="K32" s="22">
        <v>1.6879299999999999</v>
      </c>
      <c r="L32">
        <f t="shared" si="0"/>
        <v>2.91412</v>
      </c>
      <c r="M32">
        <f t="shared" si="1"/>
        <v>4.9223857979999996</v>
      </c>
      <c r="N32" s="9"/>
      <c r="O32" s="22">
        <v>1.08337E-2</v>
      </c>
      <c r="P32" s="22">
        <v>98.703100000000006</v>
      </c>
      <c r="Q32" s="22">
        <v>-1.5847799999999999E-2</v>
      </c>
      <c r="R32" s="22">
        <v>22</v>
      </c>
      <c r="S32" s="22">
        <v>1.06079E-2</v>
      </c>
      <c r="T32">
        <f t="shared" si="2"/>
        <v>15.847799999999999</v>
      </c>
      <c r="U32">
        <f t="shared" si="3"/>
        <v>0.17169031086</v>
      </c>
      <c r="X32" s="9"/>
      <c r="Y32" s="22">
        <v>1.6891499999999999</v>
      </c>
      <c r="Z32" s="22">
        <v>128.16</v>
      </c>
      <c r="AA32" s="22">
        <v>-3.34045E-3</v>
      </c>
      <c r="AB32" s="22">
        <v>22</v>
      </c>
      <c r="AC32" s="22">
        <v>1.6885399999999999</v>
      </c>
      <c r="AD32">
        <f t="shared" si="4"/>
        <v>3.3404500000000001</v>
      </c>
      <c r="AE32">
        <f t="shared" si="5"/>
        <v>5.6425211175000003</v>
      </c>
      <c r="AF32" s="9"/>
      <c r="AG32" s="22">
        <v>1.08337E-2</v>
      </c>
      <c r="AH32" s="22">
        <v>177.63399999999999</v>
      </c>
      <c r="AI32" s="22">
        <v>-1.57745E-2</v>
      </c>
      <c r="AJ32" s="22">
        <v>22</v>
      </c>
      <c r="AK32" s="22">
        <v>1.06903E-2</v>
      </c>
      <c r="AL32">
        <f t="shared" si="6"/>
        <v>15.7745</v>
      </c>
      <c r="AM32">
        <f t="shared" si="7"/>
        <v>0.17089620065</v>
      </c>
      <c r="AP32" s="9"/>
      <c r="AQ32" s="22">
        <v>1.6891499999999999</v>
      </c>
      <c r="AR32" s="22">
        <v>227.08</v>
      </c>
      <c r="AS32" s="22">
        <v>-3.39355E-3</v>
      </c>
      <c r="AT32" s="22">
        <v>22</v>
      </c>
      <c r="AU32" s="22">
        <v>1.6885399999999999</v>
      </c>
      <c r="AV32">
        <f t="shared" si="8"/>
        <v>3.3935499999999998</v>
      </c>
      <c r="AW32">
        <f t="shared" si="9"/>
        <v>5.7322149824999995</v>
      </c>
      <c r="AX32" s="9"/>
      <c r="AY32" s="22">
        <v>1.08337E-2</v>
      </c>
      <c r="AZ32" s="22">
        <v>261.42</v>
      </c>
      <c r="BA32" s="22">
        <v>-1.57349E-2</v>
      </c>
      <c r="BB32" s="22">
        <v>22</v>
      </c>
      <c r="BC32" s="22">
        <v>1.06567E-2</v>
      </c>
      <c r="BD32">
        <f t="shared" si="10"/>
        <v>15.7349</v>
      </c>
      <c r="BE32">
        <f t="shared" si="11"/>
        <v>0.17046718613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49.286799999999999</v>
      </c>
      <c r="I33" s="22">
        <v>-3.46649E-3</v>
      </c>
      <c r="J33" s="22">
        <v>23</v>
      </c>
      <c r="K33" s="22">
        <v>1.6833499999999999</v>
      </c>
      <c r="L33">
        <f t="shared" si="0"/>
        <v>3.4664899999999998</v>
      </c>
      <c r="M33">
        <f t="shared" si="1"/>
        <v>5.8379504738999994</v>
      </c>
      <c r="N33" s="9"/>
      <c r="O33" s="22">
        <v>1.5869100000000001E-2</v>
      </c>
      <c r="P33" s="22">
        <v>98.713200000000001</v>
      </c>
      <c r="Q33" s="22">
        <v>-1.5847799999999999E-2</v>
      </c>
      <c r="R33" s="22">
        <v>23</v>
      </c>
      <c r="S33" s="22">
        <v>1.57593E-2</v>
      </c>
      <c r="T33">
        <f t="shared" si="2"/>
        <v>15.847799999999999</v>
      </c>
      <c r="U33">
        <f t="shared" si="3"/>
        <v>0.25149032298000001</v>
      </c>
      <c r="X33" s="9"/>
      <c r="Y33" s="22">
        <v>1.68411</v>
      </c>
      <c r="Z33" s="22">
        <v>128.16999999999999</v>
      </c>
      <c r="AA33" s="22">
        <v>-3.8702400000000001E-3</v>
      </c>
      <c r="AB33" s="22">
        <v>23</v>
      </c>
      <c r="AC33" s="22">
        <v>1.6833499999999999</v>
      </c>
      <c r="AD33">
        <f t="shared" si="4"/>
        <v>3.8702399999999999</v>
      </c>
      <c r="AE33">
        <f t="shared" si="5"/>
        <v>6.5179098864</v>
      </c>
      <c r="AF33" s="9"/>
      <c r="AG33" s="22">
        <v>1.5869100000000001E-2</v>
      </c>
      <c r="AH33" s="22">
        <v>177.64400000000001</v>
      </c>
      <c r="AI33" s="22">
        <v>-1.5783700000000001E-2</v>
      </c>
      <c r="AJ33" s="22">
        <v>23</v>
      </c>
      <c r="AK33" s="22">
        <v>1.5741000000000002E-2</v>
      </c>
      <c r="AL33">
        <f t="shared" si="6"/>
        <v>15.783700000000001</v>
      </c>
      <c r="AM33">
        <f t="shared" si="7"/>
        <v>0.25047311367000002</v>
      </c>
      <c r="AP33" s="9"/>
      <c r="AQ33" s="22">
        <v>1.68411</v>
      </c>
      <c r="AR33" s="22">
        <v>227.09</v>
      </c>
      <c r="AS33" s="22">
        <v>-3.9151000000000004E-3</v>
      </c>
      <c r="AT33" s="22">
        <v>23</v>
      </c>
      <c r="AU33" s="22">
        <v>1.6830400000000001</v>
      </c>
      <c r="AV33">
        <f t="shared" si="8"/>
        <v>3.9151000000000002</v>
      </c>
      <c r="AW33">
        <f t="shared" si="9"/>
        <v>6.5934590610000008</v>
      </c>
      <c r="AX33" s="9"/>
      <c r="AY33" s="22">
        <v>1.5869100000000001E-2</v>
      </c>
      <c r="AZ33" s="22">
        <v>261.43</v>
      </c>
      <c r="BA33" s="22">
        <v>-1.5728800000000001E-2</v>
      </c>
      <c r="BB33" s="22">
        <v>23</v>
      </c>
      <c r="BC33" s="22">
        <v>1.5716600000000001E-2</v>
      </c>
      <c r="BD33">
        <f t="shared" si="10"/>
        <v>15.728800000000001</v>
      </c>
      <c r="BE33">
        <f t="shared" si="11"/>
        <v>0.24960190008000002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49.296799999999998</v>
      </c>
      <c r="I34" s="22">
        <v>-3.9968900000000003E-3</v>
      </c>
      <c r="J34" s="22">
        <v>24</v>
      </c>
      <c r="K34" s="22">
        <v>1.6784699999999999</v>
      </c>
      <c r="L34">
        <f t="shared" si="0"/>
        <v>3.9968900000000005</v>
      </c>
      <c r="M34">
        <f t="shared" si="1"/>
        <v>6.7110980612000004</v>
      </c>
      <c r="N34" s="9"/>
      <c r="O34" s="22">
        <v>2.0904499999999999E-2</v>
      </c>
      <c r="P34" s="22">
        <v>98.723299999999995</v>
      </c>
      <c r="Q34" s="22">
        <v>-1.5847799999999999E-2</v>
      </c>
      <c r="R34" s="22">
        <v>24</v>
      </c>
      <c r="S34" s="22">
        <v>2.0834399999999999E-2</v>
      </c>
      <c r="T34">
        <f t="shared" si="2"/>
        <v>15.847799999999999</v>
      </c>
      <c r="U34">
        <f t="shared" si="3"/>
        <v>0.3312903351</v>
      </c>
      <c r="X34" s="9"/>
      <c r="Y34" s="22">
        <v>1.6790799999999999</v>
      </c>
      <c r="Z34" s="22">
        <v>128.18</v>
      </c>
      <c r="AA34" s="22">
        <v>-4.3817099999999996E-3</v>
      </c>
      <c r="AB34" s="22">
        <v>24</v>
      </c>
      <c r="AC34" s="22">
        <v>1.6781600000000001</v>
      </c>
      <c r="AD34">
        <f t="shared" si="4"/>
        <v>4.38171</v>
      </c>
      <c r="AE34">
        <f t="shared" si="5"/>
        <v>7.3572416267999996</v>
      </c>
      <c r="AF34" s="9"/>
      <c r="AG34" s="22">
        <v>2.0904499999999999E-2</v>
      </c>
      <c r="AH34" s="22">
        <v>177.654</v>
      </c>
      <c r="AI34" s="22">
        <v>-1.5777599999999999E-2</v>
      </c>
      <c r="AJ34" s="22">
        <v>24</v>
      </c>
      <c r="AK34" s="22">
        <v>2.07397E-2</v>
      </c>
      <c r="AL34">
        <f t="shared" si="6"/>
        <v>15.7776</v>
      </c>
      <c r="AM34">
        <f t="shared" si="7"/>
        <v>0.3298228392</v>
      </c>
      <c r="AP34" s="9"/>
      <c r="AQ34" s="22">
        <v>1.6790799999999999</v>
      </c>
      <c r="AR34" s="22">
        <v>227.1</v>
      </c>
      <c r="AS34" s="22">
        <v>-4.4198600000000003E-3</v>
      </c>
      <c r="AT34" s="22">
        <v>24</v>
      </c>
      <c r="AU34" s="22">
        <v>1.6787700000000001</v>
      </c>
      <c r="AV34">
        <f t="shared" si="8"/>
        <v>4.4198599999999999</v>
      </c>
      <c r="AW34">
        <f t="shared" si="9"/>
        <v>7.4212985287999995</v>
      </c>
      <c r="AX34" s="9"/>
      <c r="AY34" s="22">
        <v>2.0904499999999999E-2</v>
      </c>
      <c r="AZ34" s="22">
        <v>261.44</v>
      </c>
      <c r="BA34" s="22">
        <v>-1.57349E-2</v>
      </c>
      <c r="BB34" s="22">
        <v>24</v>
      </c>
      <c r="BC34" s="22">
        <v>2.0773300000000001E-2</v>
      </c>
      <c r="BD34">
        <f t="shared" si="10"/>
        <v>15.7349</v>
      </c>
      <c r="BE34">
        <f t="shared" si="11"/>
        <v>0.32893021704999997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49.306899999999999</v>
      </c>
      <c r="I35" s="22">
        <v>-4.5037799999999998E-3</v>
      </c>
      <c r="J35" s="22">
        <v>25</v>
      </c>
      <c r="K35" s="22">
        <v>1.6732800000000001</v>
      </c>
      <c r="L35">
        <f t="shared" si="0"/>
        <v>4.5037799999999999</v>
      </c>
      <c r="M35">
        <f t="shared" si="1"/>
        <v>7.5395078711999997</v>
      </c>
      <c r="N35" s="9"/>
      <c r="O35" s="22">
        <v>2.5939899999999998E-2</v>
      </c>
      <c r="P35" s="22">
        <v>98.7333</v>
      </c>
      <c r="Q35" s="22">
        <v>-1.5847799999999999E-2</v>
      </c>
      <c r="R35" s="22">
        <v>25</v>
      </c>
      <c r="S35" s="22">
        <v>2.5787399999999999E-2</v>
      </c>
      <c r="T35">
        <f t="shared" si="2"/>
        <v>15.847799999999999</v>
      </c>
      <c r="U35">
        <f t="shared" si="3"/>
        <v>0.41109034721999999</v>
      </c>
      <c r="X35" s="9"/>
      <c r="Y35" s="22">
        <v>1.67404</v>
      </c>
      <c r="Z35" s="22">
        <v>128.19</v>
      </c>
      <c r="AA35" s="22">
        <v>-4.8669400000000002E-3</v>
      </c>
      <c r="AB35" s="22">
        <v>25</v>
      </c>
      <c r="AC35" s="22">
        <v>1.6732800000000001</v>
      </c>
      <c r="AD35">
        <f t="shared" si="4"/>
        <v>4.8669400000000005</v>
      </c>
      <c r="AE35">
        <f t="shared" si="5"/>
        <v>8.1474522376000014</v>
      </c>
      <c r="AF35" s="9"/>
      <c r="AG35" s="22">
        <v>2.5939899999999998E-2</v>
      </c>
      <c r="AH35" s="22">
        <v>177.66399999999999</v>
      </c>
      <c r="AI35" s="22">
        <v>-1.57745E-2</v>
      </c>
      <c r="AJ35" s="22">
        <v>25</v>
      </c>
      <c r="AK35" s="22">
        <v>2.57568E-2</v>
      </c>
      <c r="AL35">
        <f t="shared" si="6"/>
        <v>15.7745</v>
      </c>
      <c r="AM35">
        <f t="shared" si="7"/>
        <v>0.40918895254999998</v>
      </c>
      <c r="AP35" s="9"/>
      <c r="AQ35" s="22">
        <v>1.67404</v>
      </c>
      <c r="AR35" s="22">
        <v>227.11</v>
      </c>
      <c r="AS35" s="22">
        <v>-4.8925799999999997E-3</v>
      </c>
      <c r="AT35" s="22">
        <v>25</v>
      </c>
      <c r="AU35" s="22">
        <v>1.6729700000000001</v>
      </c>
      <c r="AV35">
        <f t="shared" si="8"/>
        <v>4.8925799999999997</v>
      </c>
      <c r="AW35">
        <f t="shared" si="9"/>
        <v>8.1903746231999985</v>
      </c>
      <c r="AX35" s="9"/>
      <c r="AY35" s="22">
        <v>2.5939899999999998E-2</v>
      </c>
      <c r="AZ35" s="22">
        <v>261.45</v>
      </c>
      <c r="BA35" s="22">
        <v>-1.5741000000000002E-2</v>
      </c>
      <c r="BB35" s="22">
        <v>25</v>
      </c>
      <c r="BC35" s="22">
        <v>2.57935E-2</v>
      </c>
      <c r="BD35">
        <f t="shared" si="10"/>
        <v>15.741000000000001</v>
      </c>
      <c r="BE35">
        <f t="shared" si="11"/>
        <v>0.40831996590000003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49.317</v>
      </c>
      <c r="I36" s="22">
        <v>-4.9816900000000004E-3</v>
      </c>
      <c r="J36" s="22">
        <v>26</v>
      </c>
      <c r="K36" s="22">
        <v>1.6684000000000001</v>
      </c>
      <c r="L36">
        <f t="shared" si="0"/>
        <v>4.9816900000000004</v>
      </c>
      <c r="M36">
        <f t="shared" si="1"/>
        <v>8.3144904269000008</v>
      </c>
      <c r="N36" s="9"/>
      <c r="O36" s="22">
        <v>3.0975300000000001E-2</v>
      </c>
      <c r="P36" s="22">
        <v>98.743399999999994</v>
      </c>
      <c r="Q36" s="22">
        <v>-1.58447E-2</v>
      </c>
      <c r="R36" s="22">
        <v>26</v>
      </c>
      <c r="S36" s="22">
        <v>3.0847200000000002E-2</v>
      </c>
      <c r="T36">
        <f t="shared" si="2"/>
        <v>15.8447</v>
      </c>
      <c r="U36">
        <f t="shared" si="3"/>
        <v>0.49079433590999999</v>
      </c>
      <c r="X36" s="9"/>
      <c r="Y36" s="22">
        <v>1.6690100000000001</v>
      </c>
      <c r="Z36" s="22">
        <v>128.19999999999999</v>
      </c>
      <c r="AA36" s="22">
        <v>-5.3192100000000004E-3</v>
      </c>
      <c r="AB36" s="22">
        <v>26</v>
      </c>
      <c r="AC36" s="22">
        <v>1.6677900000000001</v>
      </c>
      <c r="AD36">
        <f t="shared" si="4"/>
        <v>5.31921</v>
      </c>
      <c r="AE36">
        <f t="shared" si="5"/>
        <v>8.8778146821000004</v>
      </c>
      <c r="AF36" s="9"/>
      <c r="AG36" s="22">
        <v>3.0975300000000001E-2</v>
      </c>
      <c r="AH36" s="22">
        <v>177.67400000000001</v>
      </c>
      <c r="AI36" s="22">
        <v>-1.5768399999999998E-2</v>
      </c>
      <c r="AJ36" s="22">
        <v>26</v>
      </c>
      <c r="AK36" s="22">
        <v>3.0862400000000002E-2</v>
      </c>
      <c r="AL36">
        <f t="shared" si="6"/>
        <v>15.768399999999998</v>
      </c>
      <c r="AM36">
        <f t="shared" si="7"/>
        <v>0.48843092051999992</v>
      </c>
      <c r="AP36" s="9"/>
      <c r="AQ36" s="22">
        <v>1.6690100000000001</v>
      </c>
      <c r="AR36" s="22">
        <v>227.12</v>
      </c>
      <c r="AS36" s="22">
        <v>-5.33447E-3</v>
      </c>
      <c r="AT36" s="22">
        <v>26</v>
      </c>
      <c r="AU36" s="22">
        <v>1.6684000000000001</v>
      </c>
      <c r="AV36">
        <f t="shared" si="8"/>
        <v>5.3344699999999996</v>
      </c>
      <c r="AW36">
        <f t="shared" si="9"/>
        <v>8.9032837747000002</v>
      </c>
      <c r="AX36" s="9"/>
      <c r="AY36" s="22">
        <v>3.0975300000000001E-2</v>
      </c>
      <c r="AZ36" s="22">
        <v>261.45999999999998</v>
      </c>
      <c r="BA36" s="22">
        <v>-1.5741000000000002E-2</v>
      </c>
      <c r="BB36" s="22">
        <v>26</v>
      </c>
      <c r="BC36" s="22">
        <v>3.0831899999999999E-2</v>
      </c>
      <c r="BD36">
        <f t="shared" si="10"/>
        <v>15.741000000000001</v>
      </c>
      <c r="BE36">
        <f t="shared" si="11"/>
        <v>0.48758219730000008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49.327100000000002</v>
      </c>
      <c r="I37" s="22">
        <v>-5.4321300000000003E-3</v>
      </c>
      <c r="J37" s="22">
        <v>27</v>
      </c>
      <c r="K37" s="22">
        <v>1.6629</v>
      </c>
      <c r="L37">
        <f t="shared" si="0"/>
        <v>5.4321299999999999</v>
      </c>
      <c r="M37">
        <f t="shared" si="1"/>
        <v>9.0389013561000002</v>
      </c>
      <c r="N37" s="9"/>
      <c r="O37" s="22">
        <v>3.60107E-2</v>
      </c>
      <c r="P37" s="22">
        <v>98.753500000000003</v>
      </c>
      <c r="Q37" s="22">
        <v>-1.5847799999999999E-2</v>
      </c>
      <c r="R37" s="22">
        <v>27</v>
      </c>
      <c r="S37" s="22">
        <v>3.59528E-2</v>
      </c>
      <c r="T37">
        <f t="shared" si="2"/>
        <v>15.847799999999999</v>
      </c>
      <c r="U37">
        <f t="shared" si="3"/>
        <v>0.57069037146000001</v>
      </c>
      <c r="X37" s="9"/>
      <c r="Y37" s="22">
        <v>1.6639699999999999</v>
      </c>
      <c r="Z37" s="22">
        <v>128.21100000000001</v>
      </c>
      <c r="AA37" s="22">
        <v>-5.7464600000000001E-3</v>
      </c>
      <c r="AB37" s="22">
        <v>27</v>
      </c>
      <c r="AC37" s="22">
        <v>1.6632100000000001</v>
      </c>
      <c r="AD37">
        <f t="shared" si="4"/>
        <v>5.7464599999999999</v>
      </c>
      <c r="AE37">
        <f t="shared" si="5"/>
        <v>9.5619370461999988</v>
      </c>
      <c r="AF37" s="9"/>
      <c r="AG37" s="22">
        <v>3.60107E-2</v>
      </c>
      <c r="AH37" s="22">
        <v>177.684</v>
      </c>
      <c r="AI37" s="22">
        <v>-1.57623E-2</v>
      </c>
      <c r="AJ37" s="22">
        <v>27</v>
      </c>
      <c r="AK37" s="22">
        <v>3.5897800000000001E-2</v>
      </c>
      <c r="AL37">
        <f t="shared" si="6"/>
        <v>15.7623</v>
      </c>
      <c r="AM37">
        <f t="shared" si="7"/>
        <v>0.56761145661000001</v>
      </c>
      <c r="AP37" s="9"/>
      <c r="AQ37" s="22">
        <v>1.6639699999999999</v>
      </c>
      <c r="AR37" s="22">
        <v>227.13</v>
      </c>
      <c r="AS37" s="22">
        <v>-5.7495100000000002E-3</v>
      </c>
      <c r="AT37" s="22">
        <v>27</v>
      </c>
      <c r="AU37" s="22">
        <v>1.6632100000000001</v>
      </c>
      <c r="AV37">
        <f t="shared" si="8"/>
        <v>5.7495099999999999</v>
      </c>
      <c r="AW37">
        <f t="shared" si="9"/>
        <v>9.5670121546999987</v>
      </c>
      <c r="AX37" s="9"/>
      <c r="AY37" s="22">
        <v>3.60107E-2</v>
      </c>
      <c r="AZ37" s="22">
        <v>261.471</v>
      </c>
      <c r="BA37" s="22">
        <v>-1.5741000000000002E-2</v>
      </c>
      <c r="BB37" s="22">
        <v>27</v>
      </c>
      <c r="BC37" s="22">
        <v>3.5848999999999999E-2</v>
      </c>
      <c r="BD37">
        <f t="shared" si="10"/>
        <v>15.741000000000001</v>
      </c>
      <c r="BE37">
        <f t="shared" si="11"/>
        <v>0.56684442870000007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49.3371</v>
      </c>
      <c r="I38" s="22">
        <v>-5.85938E-3</v>
      </c>
      <c r="J38" s="22">
        <v>28</v>
      </c>
      <c r="K38" s="22">
        <v>1.65802</v>
      </c>
      <c r="L38">
        <f t="shared" si="0"/>
        <v>5.8593799999999998</v>
      </c>
      <c r="M38">
        <f t="shared" si="1"/>
        <v>9.7203598572000001</v>
      </c>
      <c r="N38" s="9"/>
      <c r="O38" s="22">
        <v>4.1046100000000002E-2</v>
      </c>
      <c r="P38" s="22">
        <v>98.763499999999993</v>
      </c>
      <c r="Q38" s="22">
        <v>-1.5850800000000002E-2</v>
      </c>
      <c r="R38" s="22">
        <v>28</v>
      </c>
      <c r="S38" s="22">
        <v>4.0914899999999997E-2</v>
      </c>
      <c r="T38">
        <f t="shared" si="2"/>
        <v>15.850800000000001</v>
      </c>
      <c r="U38">
        <f t="shared" si="3"/>
        <v>0.6506135218800001</v>
      </c>
      <c r="X38" s="9"/>
      <c r="Y38" s="22">
        <v>1.6589400000000001</v>
      </c>
      <c r="Z38" s="22">
        <v>128.221</v>
      </c>
      <c r="AA38" s="22">
        <v>-6.1462399999999999E-3</v>
      </c>
      <c r="AB38" s="22">
        <v>28</v>
      </c>
      <c r="AC38" s="22">
        <v>1.65771</v>
      </c>
      <c r="AD38">
        <f t="shared" si="4"/>
        <v>6.1462399999999997</v>
      </c>
      <c r="AE38">
        <f t="shared" si="5"/>
        <v>10.196243385600001</v>
      </c>
      <c r="AF38" s="9"/>
      <c r="AG38" s="22">
        <v>4.1046100000000002E-2</v>
      </c>
      <c r="AH38" s="22">
        <v>177.69399999999999</v>
      </c>
      <c r="AI38" s="22">
        <v>-1.57623E-2</v>
      </c>
      <c r="AJ38" s="22">
        <v>28</v>
      </c>
      <c r="AK38" s="22">
        <v>4.09729E-2</v>
      </c>
      <c r="AL38">
        <f t="shared" si="6"/>
        <v>15.7623</v>
      </c>
      <c r="AM38">
        <f t="shared" si="7"/>
        <v>0.64698094203000001</v>
      </c>
      <c r="AP38" s="9"/>
      <c r="AQ38" s="22">
        <v>1.6589400000000001</v>
      </c>
      <c r="AR38" s="22">
        <v>227.14</v>
      </c>
      <c r="AS38" s="22">
        <v>-6.1462399999999999E-3</v>
      </c>
      <c r="AT38" s="22">
        <v>28</v>
      </c>
      <c r="AU38" s="22">
        <v>1.65863</v>
      </c>
      <c r="AV38">
        <f t="shared" si="8"/>
        <v>6.1462399999999997</v>
      </c>
      <c r="AW38">
        <f t="shared" si="9"/>
        <v>10.196243385600001</v>
      </c>
      <c r="AX38" s="9"/>
      <c r="AY38" s="22">
        <v>4.1046100000000002E-2</v>
      </c>
      <c r="AZ38" s="22">
        <v>261.48099999999999</v>
      </c>
      <c r="BA38" s="22">
        <v>-1.5728800000000001E-2</v>
      </c>
      <c r="BB38" s="22">
        <v>28</v>
      </c>
      <c r="BC38" s="22">
        <v>4.0939299999999998E-2</v>
      </c>
      <c r="BD38">
        <f t="shared" si="10"/>
        <v>15.728800000000001</v>
      </c>
      <c r="BE38">
        <f t="shared" si="11"/>
        <v>0.6456058976800001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49.347200000000001</v>
      </c>
      <c r="I39" s="22">
        <v>-6.2622099999999998E-3</v>
      </c>
      <c r="J39" s="22">
        <v>29</v>
      </c>
      <c r="K39" s="22">
        <v>1.65344</v>
      </c>
      <c r="L39">
        <f t="shared" si="0"/>
        <v>6.2622099999999996</v>
      </c>
      <c r="M39">
        <f t="shared" si="1"/>
        <v>10.357069118999998</v>
      </c>
      <c r="N39" s="9"/>
      <c r="O39" s="22">
        <v>4.6081499999999997E-2</v>
      </c>
      <c r="P39" s="22">
        <v>98.773600000000002</v>
      </c>
      <c r="Q39" s="22">
        <v>-1.5853900000000001E-2</v>
      </c>
      <c r="R39" s="22">
        <v>29</v>
      </c>
      <c r="S39" s="22">
        <v>4.5956400000000001E-2</v>
      </c>
      <c r="T39">
        <f t="shared" si="2"/>
        <v>15.853900000000001</v>
      </c>
      <c r="U39">
        <f t="shared" si="3"/>
        <v>0.73057149285</v>
      </c>
      <c r="X39" s="9"/>
      <c r="Y39" s="22">
        <v>1.6538999999999999</v>
      </c>
      <c r="Z39" s="22">
        <v>128.23099999999999</v>
      </c>
      <c r="AA39" s="22">
        <v>-6.5277099999999999E-3</v>
      </c>
      <c r="AB39" s="22">
        <v>29</v>
      </c>
      <c r="AC39" s="22">
        <v>1.65283</v>
      </c>
      <c r="AD39">
        <f t="shared" si="4"/>
        <v>6.5277099999999999</v>
      </c>
      <c r="AE39">
        <f t="shared" si="5"/>
        <v>10.796179569</v>
      </c>
      <c r="AF39" s="9"/>
      <c r="AG39" s="22">
        <v>4.6081499999999997E-2</v>
      </c>
      <c r="AH39" s="22">
        <v>177.70400000000001</v>
      </c>
      <c r="AI39" s="22">
        <v>-1.5753199999999998E-2</v>
      </c>
      <c r="AJ39" s="22">
        <v>29</v>
      </c>
      <c r="AK39" s="22">
        <v>4.5947300000000003E-2</v>
      </c>
      <c r="AL39">
        <f t="shared" si="6"/>
        <v>15.753199999999998</v>
      </c>
      <c r="AM39">
        <f t="shared" si="7"/>
        <v>0.72593108579999988</v>
      </c>
      <c r="AP39" s="9"/>
      <c r="AQ39" s="22">
        <v>1.6538999999999999</v>
      </c>
      <c r="AR39" s="22">
        <v>227.15100000000001</v>
      </c>
      <c r="AS39" s="22">
        <v>-6.5216099999999997E-3</v>
      </c>
      <c r="AT39" s="22">
        <v>29</v>
      </c>
      <c r="AU39" s="22">
        <v>1.65283</v>
      </c>
      <c r="AV39">
        <f t="shared" si="8"/>
        <v>6.5216099999999999</v>
      </c>
      <c r="AW39">
        <f t="shared" si="9"/>
        <v>10.786090779</v>
      </c>
      <c r="AX39" s="9"/>
      <c r="AY39" s="22">
        <v>4.6081499999999997E-2</v>
      </c>
      <c r="AZ39" s="22">
        <v>261.49099999999999</v>
      </c>
      <c r="BA39" s="22">
        <v>-1.5731800000000001E-2</v>
      </c>
      <c r="BB39" s="22">
        <v>29</v>
      </c>
      <c r="BC39" s="22">
        <v>4.5910600000000003E-2</v>
      </c>
      <c r="BD39">
        <f t="shared" si="10"/>
        <v>15.7318</v>
      </c>
      <c r="BE39">
        <f t="shared" si="11"/>
        <v>0.7249449416999999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49.357300000000002</v>
      </c>
      <c r="I40" s="22">
        <v>-6.6528300000000002E-3</v>
      </c>
      <c r="J40" s="22">
        <v>30</v>
      </c>
      <c r="K40" s="22">
        <v>1.64825</v>
      </c>
      <c r="L40">
        <f t="shared" si="0"/>
        <v>6.6528299999999998</v>
      </c>
      <c r="M40">
        <f t="shared" si="1"/>
        <v>10.9695852738</v>
      </c>
      <c r="N40" s="9"/>
      <c r="O40" s="22">
        <v>5.11169E-2</v>
      </c>
      <c r="P40" s="22">
        <v>98.783699999999996</v>
      </c>
      <c r="Q40" s="22">
        <v>-1.5850800000000002E-2</v>
      </c>
      <c r="R40" s="22">
        <v>30</v>
      </c>
      <c r="S40" s="22">
        <v>5.1040599999999998E-2</v>
      </c>
      <c r="T40">
        <f t="shared" si="2"/>
        <v>15.850800000000001</v>
      </c>
      <c r="U40">
        <f t="shared" si="3"/>
        <v>0.81024375852000008</v>
      </c>
      <c r="X40" s="9"/>
      <c r="Y40" s="22">
        <v>1.64886</v>
      </c>
      <c r="Z40" s="22">
        <v>128.24100000000001</v>
      </c>
      <c r="AA40" s="22">
        <v>-6.8969699999999997E-3</v>
      </c>
      <c r="AB40" s="22">
        <v>30</v>
      </c>
      <c r="AC40" s="22">
        <v>1.64795</v>
      </c>
      <c r="AD40">
        <f t="shared" si="4"/>
        <v>6.8969699999999996</v>
      </c>
      <c r="AE40">
        <f t="shared" si="5"/>
        <v>11.372137954199999</v>
      </c>
      <c r="AF40" s="9"/>
      <c r="AG40" s="22">
        <v>5.11169E-2</v>
      </c>
      <c r="AH40" s="22">
        <v>177.714</v>
      </c>
      <c r="AI40" s="22">
        <v>-1.5753199999999998E-2</v>
      </c>
      <c r="AJ40" s="22">
        <v>30</v>
      </c>
      <c r="AK40" s="22">
        <v>5.0988800000000001E-2</v>
      </c>
      <c r="AL40">
        <f t="shared" si="6"/>
        <v>15.753199999999998</v>
      </c>
      <c r="AM40">
        <f t="shared" si="7"/>
        <v>0.80525474907999994</v>
      </c>
      <c r="AP40" s="9"/>
      <c r="AQ40" s="22">
        <v>1.64886</v>
      </c>
      <c r="AR40" s="22">
        <v>227.161</v>
      </c>
      <c r="AS40" s="22">
        <v>-6.8817100000000001E-3</v>
      </c>
      <c r="AT40" s="22">
        <v>30</v>
      </c>
      <c r="AU40" s="22">
        <v>1.64825</v>
      </c>
      <c r="AV40">
        <f t="shared" si="8"/>
        <v>6.88171</v>
      </c>
      <c r="AW40">
        <f t="shared" si="9"/>
        <v>11.3469763506</v>
      </c>
      <c r="AX40" s="9"/>
      <c r="AY40" s="22">
        <v>5.11169E-2</v>
      </c>
      <c r="AZ40" s="22">
        <v>261.50099999999998</v>
      </c>
      <c r="BA40" s="22">
        <v>-1.5725699999999999E-2</v>
      </c>
      <c r="BB40" s="22">
        <v>30</v>
      </c>
      <c r="BC40" s="22">
        <v>5.0994900000000003E-2</v>
      </c>
      <c r="BD40">
        <f t="shared" si="10"/>
        <v>15.725699999999998</v>
      </c>
      <c r="BE40">
        <f t="shared" si="11"/>
        <v>0.80384903432999988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49.3673</v>
      </c>
      <c r="I41" s="22">
        <v>-7.02515E-3</v>
      </c>
      <c r="J41" s="22">
        <v>31</v>
      </c>
      <c r="K41" s="22">
        <v>1.64337</v>
      </c>
      <c r="L41">
        <f t="shared" si="0"/>
        <v>7.02515</v>
      </c>
      <c r="M41">
        <f t="shared" si="1"/>
        <v>11.5481523245</v>
      </c>
      <c r="N41" s="9"/>
      <c r="O41" s="22">
        <v>5.6152300000000002E-2</v>
      </c>
      <c r="P41" s="22">
        <v>98.793800000000005</v>
      </c>
      <c r="Q41" s="22">
        <v>-1.5847799999999999E-2</v>
      </c>
      <c r="R41" s="22">
        <v>31</v>
      </c>
      <c r="S41" s="22">
        <v>5.5633500000000002E-2</v>
      </c>
      <c r="T41">
        <f t="shared" si="2"/>
        <v>15.847799999999999</v>
      </c>
      <c r="U41">
        <f t="shared" si="3"/>
        <v>0.88989041993999995</v>
      </c>
      <c r="X41" s="9"/>
      <c r="Y41" s="22">
        <v>1.6438299999999999</v>
      </c>
      <c r="Z41" s="22">
        <v>128.251</v>
      </c>
      <c r="AA41" s="22">
        <v>-7.2418200000000004E-3</v>
      </c>
      <c r="AB41" s="22">
        <v>31</v>
      </c>
      <c r="AC41" s="22">
        <v>1.64307</v>
      </c>
      <c r="AD41">
        <f t="shared" si="4"/>
        <v>7.2418200000000006</v>
      </c>
      <c r="AE41">
        <f t="shared" si="5"/>
        <v>11.904320970600001</v>
      </c>
      <c r="AF41" s="9"/>
      <c r="AG41" s="22">
        <v>5.6152300000000002E-2</v>
      </c>
      <c r="AH41" s="22">
        <v>177.72399999999999</v>
      </c>
      <c r="AI41" s="22">
        <v>-1.57471E-2</v>
      </c>
      <c r="AJ41" s="22">
        <v>31</v>
      </c>
      <c r="AK41" s="22">
        <v>5.5664100000000001E-2</v>
      </c>
      <c r="AL41">
        <f t="shared" si="6"/>
        <v>15.7471</v>
      </c>
      <c r="AM41">
        <f t="shared" si="7"/>
        <v>0.88423588333000003</v>
      </c>
      <c r="AP41" s="9"/>
      <c r="AQ41" s="22">
        <v>1.6438299999999999</v>
      </c>
      <c r="AR41" s="22">
        <v>227.17099999999999</v>
      </c>
      <c r="AS41" s="22">
        <v>-7.2143600000000004E-3</v>
      </c>
      <c r="AT41" s="22">
        <v>31</v>
      </c>
      <c r="AU41" s="22">
        <v>1.64307</v>
      </c>
      <c r="AV41">
        <f t="shared" si="8"/>
        <v>7.2143600000000001</v>
      </c>
      <c r="AW41">
        <f t="shared" si="9"/>
        <v>11.859181398799999</v>
      </c>
      <c r="AX41" s="9"/>
      <c r="AY41" s="22">
        <v>5.6152300000000002E-2</v>
      </c>
      <c r="AZ41" s="22">
        <v>261.51100000000002</v>
      </c>
      <c r="BA41" s="22">
        <v>-1.5725699999999999E-2</v>
      </c>
      <c r="BB41" s="22">
        <v>31</v>
      </c>
      <c r="BC41" s="22">
        <v>5.5572499999999997E-2</v>
      </c>
      <c r="BD41">
        <f t="shared" si="10"/>
        <v>15.725699999999998</v>
      </c>
      <c r="BE41">
        <f t="shared" si="11"/>
        <v>0.88303422410999988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49.377400000000002</v>
      </c>
      <c r="I42" s="22">
        <v>-7.3791500000000001E-3</v>
      </c>
      <c r="J42" s="22">
        <v>32</v>
      </c>
      <c r="K42" s="22">
        <v>1.63788</v>
      </c>
      <c r="L42">
        <f t="shared" si="0"/>
        <v>7.3791500000000001</v>
      </c>
      <c r="M42">
        <f t="shared" si="1"/>
        <v>12.092877228500001</v>
      </c>
      <c r="N42" s="9"/>
      <c r="O42" s="22">
        <v>6.1187699999999998E-2</v>
      </c>
      <c r="P42" s="22">
        <v>98.803799999999995</v>
      </c>
      <c r="Q42" s="22">
        <v>-1.5838600000000001E-2</v>
      </c>
      <c r="R42" s="22">
        <v>32</v>
      </c>
      <c r="S42" s="22">
        <v>6.0577400000000003E-2</v>
      </c>
      <c r="T42">
        <f t="shared" si="2"/>
        <v>15.838600000000001</v>
      </c>
      <c r="U42">
        <f t="shared" si="3"/>
        <v>0.96912750522000002</v>
      </c>
      <c r="X42" s="9"/>
      <c r="Y42" s="22">
        <v>1.63879</v>
      </c>
      <c r="Z42" s="22">
        <v>128.261</v>
      </c>
      <c r="AA42" s="22">
        <v>-7.57751E-3</v>
      </c>
      <c r="AB42" s="22">
        <v>32</v>
      </c>
      <c r="AC42" s="22">
        <v>1.63788</v>
      </c>
      <c r="AD42">
        <f t="shared" si="4"/>
        <v>7.5775100000000002</v>
      </c>
      <c r="AE42">
        <f t="shared" si="5"/>
        <v>12.417947612900001</v>
      </c>
      <c r="AF42" s="9"/>
      <c r="AG42" s="22">
        <v>6.1187699999999998E-2</v>
      </c>
      <c r="AH42" s="22">
        <v>177.73400000000001</v>
      </c>
      <c r="AI42" s="22">
        <v>-1.5744000000000001E-2</v>
      </c>
      <c r="AJ42" s="22">
        <v>32</v>
      </c>
      <c r="AK42" s="22">
        <v>6.0668899999999998E-2</v>
      </c>
      <c r="AL42">
        <f t="shared" si="6"/>
        <v>15.744000000000002</v>
      </c>
      <c r="AM42">
        <f t="shared" si="7"/>
        <v>0.96333914880000004</v>
      </c>
      <c r="AP42" s="9"/>
      <c r="AQ42" s="22">
        <v>1.63879</v>
      </c>
      <c r="AR42" s="22">
        <v>227.18100000000001</v>
      </c>
      <c r="AS42" s="22">
        <v>-7.55005E-3</v>
      </c>
      <c r="AT42" s="22">
        <v>32</v>
      </c>
      <c r="AU42" s="22">
        <v>1.63788</v>
      </c>
      <c r="AV42">
        <f t="shared" si="8"/>
        <v>7.5500499999999997</v>
      </c>
      <c r="AW42">
        <f t="shared" si="9"/>
        <v>12.3729464395</v>
      </c>
      <c r="AX42" s="9"/>
      <c r="AY42" s="22">
        <v>6.1187699999999998E-2</v>
      </c>
      <c r="AZ42" s="22">
        <v>261.52100000000002</v>
      </c>
      <c r="BA42" s="22">
        <v>-1.5722699999999999E-2</v>
      </c>
      <c r="BB42" s="22">
        <v>32</v>
      </c>
      <c r="BC42" s="22">
        <v>6.0668899999999998E-2</v>
      </c>
      <c r="BD42">
        <f t="shared" si="10"/>
        <v>15.7227</v>
      </c>
      <c r="BE42">
        <f t="shared" si="11"/>
        <v>0.96203585078999998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49.387500000000003</v>
      </c>
      <c r="I43" s="22">
        <v>-7.7178999999999998E-3</v>
      </c>
      <c r="J43" s="22">
        <v>33</v>
      </c>
      <c r="K43" s="22">
        <v>1.633</v>
      </c>
      <c r="L43">
        <f t="shared" si="0"/>
        <v>7.7179000000000002</v>
      </c>
      <c r="M43">
        <f t="shared" si="1"/>
        <v>12.609196304000001</v>
      </c>
      <c r="N43" s="9"/>
      <c r="O43" s="22">
        <v>6.6223099999999993E-2</v>
      </c>
      <c r="P43" s="22">
        <v>98.813900000000004</v>
      </c>
      <c r="Q43" s="22">
        <v>-1.5835599999999998E-2</v>
      </c>
      <c r="R43" s="22">
        <v>33</v>
      </c>
      <c r="S43" s="22">
        <v>6.5643300000000002E-2</v>
      </c>
      <c r="T43">
        <f t="shared" si="2"/>
        <v>15.835599999999998</v>
      </c>
      <c r="U43">
        <f t="shared" si="3"/>
        <v>1.0486825223599998</v>
      </c>
      <c r="X43" s="9"/>
      <c r="Y43" s="22">
        <v>1.6337600000000001</v>
      </c>
      <c r="Z43" s="22">
        <v>128.27099999999999</v>
      </c>
      <c r="AA43" s="22">
        <v>-7.901E-3</v>
      </c>
      <c r="AB43" s="22">
        <v>33</v>
      </c>
      <c r="AC43" s="22">
        <v>1.6333</v>
      </c>
      <c r="AD43">
        <f t="shared" si="4"/>
        <v>7.9009999999999998</v>
      </c>
      <c r="AE43">
        <f t="shared" si="5"/>
        <v>12.90833776</v>
      </c>
      <c r="AF43" s="9"/>
      <c r="AG43" s="22">
        <v>6.6223099999999993E-2</v>
      </c>
      <c r="AH43" s="22">
        <v>177.744</v>
      </c>
      <c r="AI43" s="22">
        <v>-1.5737899999999999E-2</v>
      </c>
      <c r="AJ43" s="22">
        <v>33</v>
      </c>
      <c r="AK43" s="22">
        <v>6.5551799999999993E-2</v>
      </c>
      <c r="AL43">
        <f t="shared" si="6"/>
        <v>15.7379</v>
      </c>
      <c r="AM43">
        <f t="shared" si="7"/>
        <v>1.0422125254899999</v>
      </c>
      <c r="AP43" s="9"/>
      <c r="AQ43" s="22">
        <v>1.6337600000000001</v>
      </c>
      <c r="AR43" s="22">
        <v>227.191</v>
      </c>
      <c r="AS43" s="22">
        <v>-7.8582800000000005E-3</v>
      </c>
      <c r="AT43" s="22">
        <v>33</v>
      </c>
      <c r="AU43" s="22">
        <v>1.6333</v>
      </c>
      <c r="AV43">
        <f t="shared" si="8"/>
        <v>7.8582800000000006</v>
      </c>
      <c r="AW43">
        <f t="shared" si="9"/>
        <v>12.838543532800001</v>
      </c>
      <c r="AX43" s="9"/>
      <c r="AY43" s="22">
        <v>6.6223099999999993E-2</v>
      </c>
      <c r="AZ43" s="22">
        <v>261.53100000000001</v>
      </c>
      <c r="BA43" s="22">
        <v>-1.5716600000000001E-2</v>
      </c>
      <c r="BB43" s="22">
        <v>33</v>
      </c>
      <c r="BC43" s="22">
        <v>6.5673800000000004E-2</v>
      </c>
      <c r="BD43">
        <f t="shared" si="10"/>
        <v>15.716600000000001</v>
      </c>
      <c r="BE43">
        <f t="shared" si="11"/>
        <v>1.04080197346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49.397599999999997</v>
      </c>
      <c r="I44" s="22">
        <v>-8.04443E-3</v>
      </c>
      <c r="J44" s="22">
        <v>34</v>
      </c>
      <c r="K44" s="22">
        <v>1.6287199999999999</v>
      </c>
      <c r="L44">
        <f t="shared" si="0"/>
        <v>8.0444300000000002</v>
      </c>
      <c r="M44">
        <f t="shared" si="1"/>
        <v>13.102124029600001</v>
      </c>
      <c r="N44" s="9"/>
      <c r="O44" s="22">
        <v>7.1258500000000002E-2</v>
      </c>
      <c r="P44" s="22">
        <v>98.823999999999998</v>
      </c>
      <c r="Q44" s="22">
        <v>-1.5832499999999999E-2</v>
      </c>
      <c r="R44" s="22">
        <v>34</v>
      </c>
      <c r="S44" s="22">
        <v>7.07092E-2</v>
      </c>
      <c r="T44">
        <f t="shared" si="2"/>
        <v>15.8325</v>
      </c>
      <c r="U44">
        <f t="shared" si="3"/>
        <v>1.1282002012500001</v>
      </c>
      <c r="X44" s="9"/>
      <c r="Y44" s="22">
        <v>1.6287199999999999</v>
      </c>
      <c r="Z44" s="22">
        <v>128.28100000000001</v>
      </c>
      <c r="AA44" s="22">
        <v>-8.2092299999999997E-3</v>
      </c>
      <c r="AB44" s="22">
        <v>34</v>
      </c>
      <c r="AC44" s="22">
        <v>1.6287199999999999</v>
      </c>
      <c r="AD44">
        <f t="shared" si="4"/>
        <v>8.2092299999999998</v>
      </c>
      <c r="AE44">
        <f t="shared" si="5"/>
        <v>13.370537085599999</v>
      </c>
      <c r="AF44" s="9"/>
      <c r="AG44" s="22">
        <v>7.1258500000000002E-2</v>
      </c>
      <c r="AH44" s="22">
        <v>177.75399999999999</v>
      </c>
      <c r="AI44" s="22">
        <v>-1.57349E-2</v>
      </c>
      <c r="AJ44" s="22">
        <v>34</v>
      </c>
      <c r="AK44" s="22">
        <v>7.0678699999999997E-2</v>
      </c>
      <c r="AL44">
        <f t="shared" si="6"/>
        <v>15.7349</v>
      </c>
      <c r="AM44">
        <f t="shared" si="7"/>
        <v>1.1212453716499999</v>
      </c>
      <c r="AP44" s="9"/>
      <c r="AQ44" s="22">
        <v>1.6287199999999999</v>
      </c>
      <c r="AR44" s="22">
        <v>227.20099999999999</v>
      </c>
      <c r="AS44" s="22">
        <v>-8.1603999999999999E-3</v>
      </c>
      <c r="AT44" s="22">
        <v>34</v>
      </c>
      <c r="AU44" s="22">
        <v>1.6281099999999999</v>
      </c>
      <c r="AV44">
        <f t="shared" si="8"/>
        <v>8.1603999999999992</v>
      </c>
      <c r="AW44">
        <f t="shared" si="9"/>
        <v>13.291006687999998</v>
      </c>
      <c r="AX44" s="9"/>
      <c r="AY44" s="22">
        <v>7.1258500000000002E-2</v>
      </c>
      <c r="AZ44" s="22">
        <v>261.541</v>
      </c>
      <c r="BA44" s="22">
        <v>-1.5713499999999998E-2</v>
      </c>
      <c r="BB44" s="22">
        <v>34</v>
      </c>
      <c r="BC44" s="22">
        <v>7.0739700000000003E-2</v>
      </c>
      <c r="BD44">
        <f t="shared" si="10"/>
        <v>15.713499999999998</v>
      </c>
      <c r="BE44">
        <f t="shared" si="11"/>
        <v>1.1197204397499998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49.407600000000002</v>
      </c>
      <c r="I45" s="22">
        <v>-8.3526599999999996E-3</v>
      </c>
      <c r="J45" s="22">
        <v>35</v>
      </c>
      <c r="K45" s="22">
        <v>1.6229199999999999</v>
      </c>
      <c r="L45">
        <f t="shared" si="0"/>
        <v>8.3526600000000002</v>
      </c>
      <c r="M45">
        <f t="shared" si="1"/>
        <v>13.562130515400002</v>
      </c>
      <c r="N45" s="9"/>
      <c r="O45" s="22">
        <v>7.6293899999999998E-2</v>
      </c>
      <c r="P45" s="22">
        <v>98.834000000000003</v>
      </c>
      <c r="Q45" s="22">
        <v>-1.5823400000000001E-2</v>
      </c>
      <c r="R45" s="22">
        <v>35</v>
      </c>
      <c r="S45" s="22">
        <v>7.5714100000000006E-2</v>
      </c>
      <c r="T45">
        <f t="shared" si="2"/>
        <v>15.823400000000001</v>
      </c>
      <c r="U45">
        <f t="shared" si="3"/>
        <v>1.20722889726</v>
      </c>
      <c r="X45" s="9"/>
      <c r="Y45" s="22">
        <v>1.6236900000000001</v>
      </c>
      <c r="Z45" s="22">
        <v>128.291</v>
      </c>
      <c r="AA45" s="22">
        <v>-8.4960899999999995E-3</v>
      </c>
      <c r="AB45" s="22">
        <v>35</v>
      </c>
      <c r="AC45" s="22">
        <v>1.6229199999999999</v>
      </c>
      <c r="AD45">
        <f t="shared" si="4"/>
        <v>8.4960899999999988</v>
      </c>
      <c r="AE45">
        <f t="shared" si="5"/>
        <v>13.795016372099999</v>
      </c>
      <c r="AF45" s="9"/>
      <c r="AG45" s="22">
        <v>7.6293899999999998E-2</v>
      </c>
      <c r="AH45" s="22">
        <v>177.76499999999999</v>
      </c>
      <c r="AI45" s="22">
        <v>-1.5728800000000001E-2</v>
      </c>
      <c r="AJ45" s="22">
        <v>35</v>
      </c>
      <c r="AK45" s="22">
        <v>7.5775099999999998E-2</v>
      </c>
      <c r="AL45">
        <f t="shared" si="6"/>
        <v>15.728800000000001</v>
      </c>
      <c r="AM45">
        <f t="shared" si="7"/>
        <v>1.20001149432</v>
      </c>
      <c r="AP45" s="9"/>
      <c r="AQ45" s="22">
        <v>1.6236900000000001</v>
      </c>
      <c r="AR45" s="22">
        <v>227.21100000000001</v>
      </c>
      <c r="AS45" s="22">
        <v>-8.4411599999999996E-3</v>
      </c>
      <c r="AT45" s="22">
        <v>35</v>
      </c>
      <c r="AU45" s="22">
        <v>1.6229199999999999</v>
      </c>
      <c r="AV45">
        <f t="shared" si="8"/>
        <v>8.44116</v>
      </c>
      <c r="AW45">
        <f t="shared" si="9"/>
        <v>13.705827080400001</v>
      </c>
      <c r="AX45" s="9"/>
      <c r="AY45" s="22">
        <v>7.6293899999999998E-2</v>
      </c>
      <c r="AZ45" s="22">
        <v>261.55099999999999</v>
      </c>
      <c r="BA45" s="22">
        <v>-1.57074E-2</v>
      </c>
      <c r="BB45" s="22">
        <v>35</v>
      </c>
      <c r="BC45" s="22">
        <v>7.5744599999999995E-2</v>
      </c>
      <c r="BD45">
        <f t="shared" si="10"/>
        <v>15.7074</v>
      </c>
      <c r="BE45">
        <f t="shared" si="11"/>
        <v>1.1983788048599999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49.417700000000004</v>
      </c>
      <c r="I46" s="22">
        <v>-8.6456299999999996E-3</v>
      </c>
      <c r="J46" s="22">
        <v>36</v>
      </c>
      <c r="K46" s="22">
        <v>1.6180399999999999</v>
      </c>
      <c r="L46">
        <f t="shared" si="0"/>
        <v>8.6456299999999988</v>
      </c>
      <c r="M46">
        <f t="shared" si="1"/>
        <v>13.994248999499998</v>
      </c>
      <c r="N46" s="9"/>
      <c r="O46" s="22">
        <v>8.1329299999999993E-2</v>
      </c>
      <c r="P46" s="22">
        <v>98.844099999999997</v>
      </c>
      <c r="Q46" s="22">
        <v>-1.5820299999999999E-2</v>
      </c>
      <c r="R46" s="22">
        <v>36</v>
      </c>
      <c r="S46" s="22">
        <v>8.0932599999999993E-2</v>
      </c>
      <c r="T46">
        <f t="shared" si="2"/>
        <v>15.8203</v>
      </c>
      <c r="U46">
        <f t="shared" si="3"/>
        <v>1.28665392479</v>
      </c>
      <c r="X46" s="9"/>
      <c r="Y46" s="22">
        <v>1.6186499999999999</v>
      </c>
      <c r="Z46" s="22">
        <v>128.30099999999999</v>
      </c>
      <c r="AA46" s="22">
        <v>-8.7676999999999998E-3</v>
      </c>
      <c r="AB46" s="22">
        <v>36</v>
      </c>
      <c r="AC46" s="22">
        <v>1.6180399999999999</v>
      </c>
      <c r="AD46">
        <f t="shared" si="4"/>
        <v>8.7676999999999996</v>
      </c>
      <c r="AE46">
        <f t="shared" si="5"/>
        <v>14.191837604999998</v>
      </c>
      <c r="AF46" s="9"/>
      <c r="AG46" s="22">
        <v>8.1329299999999993E-2</v>
      </c>
      <c r="AH46" s="22">
        <v>177.77500000000001</v>
      </c>
      <c r="AI46" s="22">
        <v>-1.5725699999999999E-2</v>
      </c>
      <c r="AJ46" s="22">
        <v>36</v>
      </c>
      <c r="AK46" s="22">
        <v>8.0810499999999993E-2</v>
      </c>
      <c r="AL46">
        <f t="shared" si="6"/>
        <v>15.725699999999998</v>
      </c>
      <c r="AM46">
        <f t="shared" si="7"/>
        <v>1.2789601730099998</v>
      </c>
      <c r="AP46" s="9"/>
      <c r="AQ46" s="22">
        <v>1.6186499999999999</v>
      </c>
      <c r="AR46" s="22">
        <v>227.221</v>
      </c>
      <c r="AS46" s="22">
        <v>-8.7066699999999997E-3</v>
      </c>
      <c r="AT46" s="22">
        <v>36</v>
      </c>
      <c r="AU46" s="22">
        <v>1.6180399999999999</v>
      </c>
      <c r="AV46">
        <f t="shared" si="8"/>
        <v>8.706669999999999</v>
      </c>
      <c r="AW46">
        <f t="shared" si="9"/>
        <v>14.093051395499998</v>
      </c>
      <c r="AX46" s="9"/>
      <c r="AY46" s="22">
        <v>8.1329299999999993E-2</v>
      </c>
      <c r="AZ46" s="22">
        <v>261.56099999999998</v>
      </c>
      <c r="BA46" s="22">
        <v>-1.5704300000000001E-2</v>
      </c>
      <c r="BB46" s="22">
        <v>36</v>
      </c>
      <c r="BC46" s="22">
        <v>8.0780000000000005E-2</v>
      </c>
      <c r="BD46">
        <f t="shared" si="10"/>
        <v>15.704300000000002</v>
      </c>
      <c r="BE46">
        <f t="shared" si="11"/>
        <v>1.27721972599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49.427799999999998</v>
      </c>
      <c r="I47" s="22">
        <v>-8.9172399999999999E-3</v>
      </c>
      <c r="J47" s="22">
        <v>37</v>
      </c>
      <c r="K47" s="22">
        <v>1.6128499999999999</v>
      </c>
      <c r="L47">
        <f t="shared" si="0"/>
        <v>8.9172399999999996</v>
      </c>
      <c r="M47">
        <f t="shared" si="1"/>
        <v>14.3890368088</v>
      </c>
      <c r="N47" s="9"/>
      <c r="O47" s="22">
        <v>8.6364700000000003E-2</v>
      </c>
      <c r="P47" s="22">
        <v>98.854200000000006</v>
      </c>
      <c r="Q47" s="22">
        <v>-1.58142E-2</v>
      </c>
      <c r="R47" s="22">
        <v>37</v>
      </c>
      <c r="S47" s="22">
        <v>8.5754399999999995E-2</v>
      </c>
      <c r="T47">
        <f t="shared" si="2"/>
        <v>15.8142</v>
      </c>
      <c r="U47">
        <f t="shared" si="3"/>
        <v>1.36578863874</v>
      </c>
      <c r="X47" s="9"/>
      <c r="Y47" s="22">
        <v>1.6136200000000001</v>
      </c>
      <c r="Z47" s="22">
        <v>128.31100000000001</v>
      </c>
      <c r="AA47" s="22">
        <v>-9.0362499999999991E-3</v>
      </c>
      <c r="AB47" s="22">
        <v>37</v>
      </c>
      <c r="AC47" s="22">
        <v>1.6128499999999999</v>
      </c>
      <c r="AD47">
        <f t="shared" si="4"/>
        <v>9.036249999999999</v>
      </c>
      <c r="AE47">
        <f t="shared" si="5"/>
        <v>14.581073725</v>
      </c>
      <c r="AF47" s="9"/>
      <c r="AG47" s="22">
        <v>8.6364700000000003E-2</v>
      </c>
      <c r="AH47" s="22">
        <v>177.785</v>
      </c>
      <c r="AI47" s="22">
        <v>-1.5725699999999999E-2</v>
      </c>
      <c r="AJ47" s="22">
        <v>37</v>
      </c>
      <c r="AK47" s="22">
        <v>8.58154E-2</v>
      </c>
      <c r="AL47">
        <f t="shared" si="6"/>
        <v>15.725699999999998</v>
      </c>
      <c r="AM47">
        <f t="shared" si="7"/>
        <v>1.35814536279</v>
      </c>
      <c r="AP47" s="9"/>
      <c r="AQ47" s="22">
        <v>1.6136200000000001</v>
      </c>
      <c r="AR47" s="22">
        <v>227.23099999999999</v>
      </c>
      <c r="AS47" s="22">
        <v>-8.9599599999999995E-3</v>
      </c>
      <c r="AT47" s="22">
        <v>37</v>
      </c>
      <c r="AU47" s="22">
        <v>1.6128499999999999</v>
      </c>
      <c r="AV47">
        <f t="shared" si="8"/>
        <v>8.9599599999999988</v>
      </c>
      <c r="AW47">
        <f t="shared" si="9"/>
        <v>14.457970655199999</v>
      </c>
      <c r="AX47" s="9"/>
      <c r="AY47" s="22">
        <v>8.6364700000000003E-2</v>
      </c>
      <c r="AZ47" s="22">
        <v>261.57100000000003</v>
      </c>
      <c r="BA47" s="22">
        <v>-1.5695199999999999E-2</v>
      </c>
      <c r="BB47" s="22">
        <v>37</v>
      </c>
      <c r="BC47" s="22">
        <v>8.58154E-2</v>
      </c>
      <c r="BD47">
        <f t="shared" si="10"/>
        <v>15.6952</v>
      </c>
      <c r="BE47">
        <f t="shared" si="11"/>
        <v>1.35551123944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49.437800000000003</v>
      </c>
      <c r="I48" s="22">
        <v>-9.1857899999999992E-3</v>
      </c>
      <c r="J48" s="22">
        <v>38</v>
      </c>
      <c r="K48" s="22">
        <v>1.6070599999999999</v>
      </c>
      <c r="L48">
        <f t="shared" si="0"/>
        <v>9.185789999999999</v>
      </c>
      <c r="M48">
        <f t="shared" si="1"/>
        <v>14.776078078199998</v>
      </c>
      <c r="N48" s="9"/>
      <c r="O48" s="22">
        <v>9.1400099999999998E-2</v>
      </c>
      <c r="P48" s="22">
        <v>98.8643</v>
      </c>
      <c r="Q48" s="22">
        <v>-1.5811200000000001E-2</v>
      </c>
      <c r="R48" s="22">
        <v>38</v>
      </c>
      <c r="S48" s="22">
        <v>9.0820300000000007E-2</v>
      </c>
      <c r="T48">
        <f t="shared" si="2"/>
        <v>15.811200000000001</v>
      </c>
      <c r="U48">
        <f t="shared" si="3"/>
        <v>1.4451452611200002</v>
      </c>
      <c r="X48" s="9"/>
      <c r="Y48" s="22">
        <v>1.6085799999999999</v>
      </c>
      <c r="Z48" s="22">
        <v>128.321</v>
      </c>
      <c r="AA48" s="22">
        <v>-9.2834500000000004E-3</v>
      </c>
      <c r="AB48" s="22">
        <v>38</v>
      </c>
      <c r="AC48" s="22">
        <v>1.6082799999999999</v>
      </c>
      <c r="AD48">
        <f t="shared" si="4"/>
        <v>9.2834500000000002</v>
      </c>
      <c r="AE48">
        <f t="shared" si="5"/>
        <v>14.933172000999999</v>
      </c>
      <c r="AF48" s="9"/>
      <c r="AG48" s="22">
        <v>9.1400099999999998E-2</v>
      </c>
      <c r="AH48" s="22">
        <v>177.79499999999999</v>
      </c>
      <c r="AI48" s="22">
        <v>-1.5728800000000001E-2</v>
      </c>
      <c r="AJ48" s="22">
        <v>38</v>
      </c>
      <c r="AK48" s="22">
        <v>9.0820300000000007E-2</v>
      </c>
      <c r="AL48">
        <f t="shared" si="6"/>
        <v>15.728800000000001</v>
      </c>
      <c r="AM48">
        <f t="shared" si="7"/>
        <v>1.4376138928800002</v>
      </c>
      <c r="AP48" s="9"/>
      <c r="AQ48" s="22">
        <v>1.6085799999999999</v>
      </c>
      <c r="AR48" s="22">
        <v>227.24100000000001</v>
      </c>
      <c r="AS48" s="22">
        <v>-9.2071500000000008E-3</v>
      </c>
      <c r="AT48" s="22">
        <v>38</v>
      </c>
      <c r="AU48" s="22">
        <v>1.6076699999999999</v>
      </c>
      <c r="AV48">
        <f t="shared" si="8"/>
        <v>9.2071500000000004</v>
      </c>
      <c r="AW48">
        <f t="shared" si="9"/>
        <v>14.810437346999999</v>
      </c>
      <c r="AX48" s="9"/>
      <c r="AY48" s="22">
        <v>9.1400099999999998E-2</v>
      </c>
      <c r="AZ48" s="22">
        <v>261.58100000000002</v>
      </c>
      <c r="BA48" s="22">
        <v>-1.5685999999999999E-2</v>
      </c>
      <c r="BB48" s="22">
        <v>38</v>
      </c>
      <c r="BC48" s="22">
        <v>9.0820300000000007E-2</v>
      </c>
      <c r="BD48">
        <f t="shared" si="10"/>
        <v>15.685999999999998</v>
      </c>
      <c r="BE48">
        <f t="shared" si="11"/>
        <v>1.4337019685999999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49.447899999999997</v>
      </c>
      <c r="I49" s="22">
        <v>-9.4421399999999999E-3</v>
      </c>
      <c r="J49" s="22">
        <v>39</v>
      </c>
      <c r="K49" s="22">
        <v>1.6024799999999999</v>
      </c>
      <c r="L49">
        <f t="shared" si="0"/>
        <v>9.4421400000000002</v>
      </c>
      <c r="M49">
        <f t="shared" si="1"/>
        <v>15.140943597000001</v>
      </c>
      <c r="N49" s="9"/>
      <c r="O49" s="22">
        <v>9.6435499999999993E-2</v>
      </c>
      <c r="P49" s="22">
        <v>98.874300000000005</v>
      </c>
      <c r="Q49" s="22">
        <v>-1.5805099999999999E-2</v>
      </c>
      <c r="R49" s="22">
        <v>39</v>
      </c>
      <c r="S49" s="22">
        <v>9.5886200000000005E-2</v>
      </c>
      <c r="T49">
        <f t="shared" si="2"/>
        <v>15.805099999999999</v>
      </c>
      <c r="U49">
        <f t="shared" si="3"/>
        <v>1.5241727210499998</v>
      </c>
      <c r="X49" s="9"/>
      <c r="Y49" s="22">
        <v>1.60355</v>
      </c>
      <c r="Z49" s="22">
        <v>128.33099999999999</v>
      </c>
      <c r="AA49" s="22">
        <v>-9.5245399999999997E-3</v>
      </c>
      <c r="AB49" s="22">
        <v>39</v>
      </c>
      <c r="AC49" s="22">
        <v>1.6027800000000001</v>
      </c>
      <c r="AD49">
        <f t="shared" si="4"/>
        <v>9.52454</v>
      </c>
      <c r="AE49">
        <f t="shared" si="5"/>
        <v>15.273076117</v>
      </c>
      <c r="AF49" s="9"/>
      <c r="AG49" s="22">
        <v>9.6435499999999993E-2</v>
      </c>
      <c r="AH49" s="22">
        <v>177.80500000000001</v>
      </c>
      <c r="AI49" s="22">
        <v>-1.5725699999999999E-2</v>
      </c>
      <c r="AJ49" s="22">
        <v>39</v>
      </c>
      <c r="AK49" s="22">
        <v>9.5794699999999997E-2</v>
      </c>
      <c r="AL49">
        <f t="shared" si="6"/>
        <v>15.725699999999998</v>
      </c>
      <c r="AM49">
        <f t="shared" si="7"/>
        <v>1.5165157423499998</v>
      </c>
      <c r="AP49" s="9"/>
      <c r="AQ49" s="22">
        <v>1.60355</v>
      </c>
      <c r="AR49" s="22">
        <v>227.251</v>
      </c>
      <c r="AS49" s="22">
        <v>-9.4451899999999991E-3</v>
      </c>
      <c r="AT49" s="22">
        <v>39</v>
      </c>
      <c r="AU49" s="22">
        <v>1.6030899999999999</v>
      </c>
      <c r="AV49">
        <f t="shared" si="8"/>
        <v>9.4451899999999984</v>
      </c>
      <c r="AW49">
        <f t="shared" si="9"/>
        <v>15.145834424499999</v>
      </c>
      <c r="AX49" s="9"/>
      <c r="AY49" s="22">
        <v>9.6435499999999993E-2</v>
      </c>
      <c r="AZ49" s="22">
        <v>261.59100000000001</v>
      </c>
      <c r="BA49" s="22">
        <v>-1.5676900000000001E-2</v>
      </c>
      <c r="BB49" s="22">
        <v>39</v>
      </c>
      <c r="BC49" s="22">
        <v>9.5947299999999999E-2</v>
      </c>
      <c r="BD49">
        <f t="shared" si="10"/>
        <v>15.6769</v>
      </c>
      <c r="BE49">
        <f t="shared" si="11"/>
        <v>1.51180968995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49.457999999999998</v>
      </c>
      <c r="I50" s="22">
        <v>-9.6893299999999995E-3</v>
      </c>
      <c r="J50" s="22">
        <v>40</v>
      </c>
      <c r="K50" s="22">
        <v>1.5975999999999999</v>
      </c>
      <c r="L50">
        <f t="shared" si="0"/>
        <v>9.68933</v>
      </c>
      <c r="M50">
        <f t="shared" si="1"/>
        <v>15.4884908983</v>
      </c>
      <c r="N50" s="9"/>
      <c r="O50" s="22">
        <v>0.10147100000000001</v>
      </c>
      <c r="P50" s="22">
        <v>98.884399999999999</v>
      </c>
      <c r="Q50" s="22">
        <v>-1.5802E-2</v>
      </c>
      <c r="R50" s="22">
        <v>40</v>
      </c>
      <c r="S50" s="22">
        <v>0.10086100000000001</v>
      </c>
      <c r="T50">
        <f t="shared" si="2"/>
        <v>15.802</v>
      </c>
      <c r="U50">
        <f t="shared" si="3"/>
        <v>1.603444742</v>
      </c>
      <c r="X50" s="9"/>
      <c r="Y50" s="22">
        <v>1.5985100000000001</v>
      </c>
      <c r="Z50" s="22">
        <v>128.34100000000001</v>
      </c>
      <c r="AA50" s="22">
        <v>-9.7564699999999997E-3</v>
      </c>
      <c r="AB50" s="22">
        <v>40</v>
      </c>
      <c r="AC50" s="22">
        <v>1.5979000000000001</v>
      </c>
      <c r="AD50">
        <f t="shared" si="4"/>
        <v>9.7564700000000002</v>
      </c>
      <c r="AE50">
        <f t="shared" si="5"/>
        <v>15.595814859700001</v>
      </c>
      <c r="AF50" s="9"/>
      <c r="AG50" s="22">
        <v>0.10147100000000001</v>
      </c>
      <c r="AH50" s="22">
        <v>177.815</v>
      </c>
      <c r="AI50" s="22">
        <v>-1.5722699999999999E-2</v>
      </c>
      <c r="AJ50" s="22">
        <v>40</v>
      </c>
      <c r="AK50" s="22">
        <v>0.100952</v>
      </c>
      <c r="AL50">
        <f t="shared" si="6"/>
        <v>15.7227</v>
      </c>
      <c r="AM50">
        <f t="shared" si="7"/>
        <v>1.5953980917000001</v>
      </c>
      <c r="AP50" s="9"/>
      <c r="AQ50" s="22">
        <v>1.5985100000000001</v>
      </c>
      <c r="AR50" s="22">
        <v>227.261</v>
      </c>
      <c r="AS50" s="22">
        <v>-9.6649200000000005E-3</v>
      </c>
      <c r="AT50" s="22">
        <v>40</v>
      </c>
      <c r="AU50" s="22">
        <v>1.5982099999999999</v>
      </c>
      <c r="AV50">
        <f t="shared" si="8"/>
        <v>9.6649200000000004</v>
      </c>
      <c r="AW50">
        <f t="shared" si="9"/>
        <v>15.449471269200002</v>
      </c>
      <c r="AX50" s="9"/>
      <c r="AY50" s="22">
        <v>0.10147100000000001</v>
      </c>
      <c r="AZ50" s="22">
        <v>261.601</v>
      </c>
      <c r="BA50" s="22">
        <v>-1.56799E-2</v>
      </c>
      <c r="BB50" s="22">
        <v>40</v>
      </c>
      <c r="BC50" s="22">
        <v>0.100922</v>
      </c>
      <c r="BD50">
        <f t="shared" si="10"/>
        <v>15.6799</v>
      </c>
      <c r="BE50">
        <f t="shared" si="11"/>
        <v>1.5910551329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49.468000000000004</v>
      </c>
      <c r="I51" s="22">
        <v>-9.91211E-3</v>
      </c>
      <c r="J51" s="22">
        <v>41</v>
      </c>
      <c r="K51" s="22">
        <v>1.5930200000000001</v>
      </c>
      <c r="L51">
        <f t="shared" si="0"/>
        <v>9.9121100000000002</v>
      </c>
      <c r="M51">
        <f t="shared" si="1"/>
        <v>15.794749042800001</v>
      </c>
      <c r="N51" s="9"/>
      <c r="O51" s="22">
        <v>0.106506</v>
      </c>
      <c r="P51" s="22">
        <v>98.894499999999994</v>
      </c>
      <c r="Q51" s="22">
        <v>-1.5808099999999999E-2</v>
      </c>
      <c r="R51" s="22">
        <v>41</v>
      </c>
      <c r="S51" s="22">
        <v>0.105896</v>
      </c>
      <c r="T51">
        <f t="shared" si="2"/>
        <v>15.808099999999998</v>
      </c>
      <c r="U51">
        <f t="shared" si="3"/>
        <v>1.6836574985999999</v>
      </c>
      <c r="X51" s="9"/>
      <c r="Y51" s="22">
        <v>1.59348</v>
      </c>
      <c r="Z51" s="22">
        <v>128.352</v>
      </c>
      <c r="AA51" s="22">
        <v>-9.9731400000000001E-3</v>
      </c>
      <c r="AB51" s="22">
        <v>41</v>
      </c>
      <c r="AC51" s="22">
        <v>1.5927100000000001</v>
      </c>
      <c r="AD51">
        <f t="shared" si="4"/>
        <v>9.9731400000000008</v>
      </c>
      <c r="AE51">
        <f t="shared" si="5"/>
        <v>15.891999127200002</v>
      </c>
      <c r="AF51" s="9"/>
      <c r="AG51" s="22">
        <v>0.106506</v>
      </c>
      <c r="AH51" s="22">
        <v>177.82499999999999</v>
      </c>
      <c r="AI51" s="22">
        <v>-1.5716600000000001E-2</v>
      </c>
      <c r="AJ51" s="22">
        <v>41</v>
      </c>
      <c r="AK51" s="22">
        <v>0.10592699999999999</v>
      </c>
      <c r="AL51">
        <f t="shared" si="6"/>
        <v>15.716600000000001</v>
      </c>
      <c r="AM51">
        <f t="shared" si="7"/>
        <v>1.6739121996000002</v>
      </c>
      <c r="AP51" s="9"/>
      <c r="AQ51" s="22">
        <v>1.59348</v>
      </c>
      <c r="AR51" s="22">
        <v>227.27099999999999</v>
      </c>
      <c r="AS51" s="22">
        <v>-9.8754900000000007E-3</v>
      </c>
      <c r="AT51" s="22">
        <v>41</v>
      </c>
      <c r="AU51" s="22">
        <v>1.5927100000000001</v>
      </c>
      <c r="AV51">
        <f t="shared" si="8"/>
        <v>9.875490000000001</v>
      </c>
      <c r="AW51">
        <f t="shared" si="9"/>
        <v>15.736395805200001</v>
      </c>
      <c r="AX51" s="9"/>
      <c r="AY51" s="22">
        <v>0.106506</v>
      </c>
      <c r="AZ51" s="22">
        <v>261.61200000000002</v>
      </c>
      <c r="BA51" s="22">
        <v>-1.5676900000000001E-2</v>
      </c>
      <c r="BB51" s="22">
        <v>41</v>
      </c>
      <c r="BC51" s="22">
        <v>0.105865</v>
      </c>
      <c r="BD51">
        <f t="shared" si="10"/>
        <v>15.6769</v>
      </c>
      <c r="BE51">
        <f t="shared" si="11"/>
        <v>1.6696839113999999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49.478099999999998</v>
      </c>
      <c r="I52" s="22">
        <v>-1.01227E-2</v>
      </c>
      <c r="J52" s="22">
        <v>42</v>
      </c>
      <c r="K52" s="22">
        <v>1.5872200000000001</v>
      </c>
      <c r="L52">
        <f t="shared" si="0"/>
        <v>10.1227</v>
      </c>
      <c r="M52">
        <f t="shared" si="1"/>
        <v>16.079301588</v>
      </c>
      <c r="N52" s="9"/>
      <c r="O52" s="22">
        <v>0.111542</v>
      </c>
      <c r="P52" s="22">
        <v>98.904499999999999</v>
      </c>
      <c r="Q52" s="22">
        <v>-1.58142E-2</v>
      </c>
      <c r="R52" s="22">
        <v>42</v>
      </c>
      <c r="S52" s="22">
        <v>0.11096200000000001</v>
      </c>
      <c r="T52">
        <f t="shared" si="2"/>
        <v>15.8142</v>
      </c>
      <c r="U52">
        <f t="shared" si="3"/>
        <v>1.7639474963999999</v>
      </c>
      <c r="X52" s="9"/>
      <c r="Y52" s="22">
        <v>1.5884400000000001</v>
      </c>
      <c r="Z52" s="22">
        <v>128.36199999999999</v>
      </c>
      <c r="AA52" s="22">
        <v>-1.0180700000000001E-2</v>
      </c>
      <c r="AB52" s="22">
        <v>42</v>
      </c>
      <c r="AC52" s="22">
        <v>1.58691</v>
      </c>
      <c r="AD52">
        <f t="shared" si="4"/>
        <v>10.180700000000002</v>
      </c>
      <c r="AE52">
        <f t="shared" si="5"/>
        <v>16.171431108000004</v>
      </c>
      <c r="AF52" s="9"/>
      <c r="AG52" s="22">
        <v>0.111542</v>
      </c>
      <c r="AH52" s="22">
        <v>177.83500000000001</v>
      </c>
      <c r="AI52" s="22">
        <v>-1.5713499999999998E-2</v>
      </c>
      <c r="AJ52" s="22">
        <v>42</v>
      </c>
      <c r="AK52" s="22">
        <v>0.110901</v>
      </c>
      <c r="AL52">
        <f t="shared" si="6"/>
        <v>15.713499999999998</v>
      </c>
      <c r="AM52">
        <f t="shared" si="7"/>
        <v>1.7527152169999998</v>
      </c>
      <c r="AP52" s="9"/>
      <c r="AQ52" s="22">
        <v>1.5884400000000001</v>
      </c>
      <c r="AR52" s="22">
        <v>227.28100000000001</v>
      </c>
      <c r="AS52" s="22">
        <v>-1.00739E-2</v>
      </c>
      <c r="AT52" s="22">
        <v>42</v>
      </c>
      <c r="AU52" s="22">
        <v>1.5878300000000001</v>
      </c>
      <c r="AV52">
        <f t="shared" si="8"/>
        <v>10.0739</v>
      </c>
      <c r="AW52">
        <f t="shared" si="9"/>
        <v>16.001785716000001</v>
      </c>
      <c r="AX52" s="9"/>
      <c r="AY52" s="22">
        <v>0.111542</v>
      </c>
      <c r="AZ52" s="22">
        <v>261.62200000000001</v>
      </c>
      <c r="BA52" s="22">
        <v>-1.5682999999999999E-2</v>
      </c>
      <c r="BB52" s="22">
        <v>42</v>
      </c>
      <c r="BC52" s="22">
        <v>0.11099199999999999</v>
      </c>
      <c r="BD52">
        <f t="shared" si="10"/>
        <v>15.683</v>
      </c>
      <c r="BE52">
        <f t="shared" si="11"/>
        <v>1.749313186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49.488199999999999</v>
      </c>
      <c r="I53" s="22">
        <v>-1.0330199999999999E-2</v>
      </c>
      <c r="J53" s="22">
        <v>43</v>
      </c>
      <c r="K53" s="22">
        <v>1.58203</v>
      </c>
      <c r="L53">
        <f t="shared" si="0"/>
        <v>10.3302</v>
      </c>
      <c r="M53">
        <f t="shared" si="1"/>
        <v>16.356838679999999</v>
      </c>
      <c r="N53" s="9"/>
      <c r="O53" s="22">
        <v>0.116577</v>
      </c>
      <c r="P53" s="22">
        <v>98.914599999999993</v>
      </c>
      <c r="Q53" s="22">
        <v>-1.5823400000000001E-2</v>
      </c>
      <c r="R53" s="22">
        <v>43</v>
      </c>
      <c r="S53" s="22">
        <v>0.115967</v>
      </c>
      <c r="T53">
        <f t="shared" si="2"/>
        <v>15.823400000000001</v>
      </c>
      <c r="U53">
        <f t="shared" si="3"/>
        <v>1.8446445018000002</v>
      </c>
      <c r="X53" s="9"/>
      <c r="Y53" s="22">
        <v>1.5833999999999999</v>
      </c>
      <c r="Z53" s="22">
        <v>128.37200000000001</v>
      </c>
      <c r="AA53" s="22">
        <v>-1.0372899999999999E-2</v>
      </c>
      <c r="AB53" s="22">
        <v>43</v>
      </c>
      <c r="AC53" s="22">
        <v>1.5823400000000001</v>
      </c>
      <c r="AD53">
        <f t="shared" si="4"/>
        <v>10.3729</v>
      </c>
      <c r="AE53">
        <f t="shared" si="5"/>
        <v>16.424449859999999</v>
      </c>
      <c r="AF53" s="9"/>
      <c r="AG53" s="22">
        <v>0.116577</v>
      </c>
      <c r="AH53" s="22">
        <v>177.845</v>
      </c>
      <c r="AI53" s="22">
        <v>-1.57074E-2</v>
      </c>
      <c r="AJ53" s="22">
        <v>43</v>
      </c>
      <c r="AK53" s="22">
        <v>0.115997</v>
      </c>
      <c r="AL53">
        <f t="shared" si="6"/>
        <v>15.7074</v>
      </c>
      <c r="AM53">
        <f t="shared" si="7"/>
        <v>1.8311215698000001</v>
      </c>
      <c r="AP53" s="9"/>
      <c r="AQ53" s="22">
        <v>1.5833999999999999</v>
      </c>
      <c r="AR53" s="22">
        <v>227.292</v>
      </c>
      <c r="AS53" s="22">
        <v>-1.02539E-2</v>
      </c>
      <c r="AT53" s="22">
        <v>43</v>
      </c>
      <c r="AU53" s="22">
        <v>1.58264</v>
      </c>
      <c r="AV53">
        <f t="shared" si="8"/>
        <v>10.2539</v>
      </c>
      <c r="AW53">
        <f t="shared" si="9"/>
        <v>16.236025259999998</v>
      </c>
      <c r="AX53" s="9"/>
      <c r="AY53" s="22">
        <v>0.116577</v>
      </c>
      <c r="AZ53" s="22">
        <v>261.63200000000001</v>
      </c>
      <c r="BA53" s="22">
        <v>-1.56921E-2</v>
      </c>
      <c r="BB53" s="22">
        <v>43</v>
      </c>
      <c r="BC53" s="22">
        <v>0.115997</v>
      </c>
      <c r="BD53">
        <f t="shared" si="10"/>
        <v>15.6921</v>
      </c>
      <c r="BE53">
        <f t="shared" si="11"/>
        <v>1.8293379417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49.4983</v>
      </c>
      <c r="I54" s="22">
        <v>-1.0528600000000001E-2</v>
      </c>
      <c r="J54" s="22">
        <v>44</v>
      </c>
      <c r="K54" s="22">
        <v>1.5777600000000001</v>
      </c>
      <c r="L54">
        <f t="shared" si="0"/>
        <v>10.528600000000001</v>
      </c>
      <c r="M54">
        <f t="shared" si="1"/>
        <v>16.618026382000004</v>
      </c>
      <c r="N54" s="9"/>
      <c r="O54" s="22">
        <v>0.121613</v>
      </c>
      <c r="P54" s="22">
        <v>98.924700000000001</v>
      </c>
      <c r="Q54" s="22">
        <v>-1.5820299999999999E-2</v>
      </c>
      <c r="R54" s="22">
        <v>44</v>
      </c>
      <c r="S54" s="22">
        <v>0.121063</v>
      </c>
      <c r="T54">
        <f t="shared" si="2"/>
        <v>15.8203</v>
      </c>
      <c r="U54">
        <f t="shared" si="3"/>
        <v>1.9239541438999999</v>
      </c>
      <c r="X54" s="9"/>
      <c r="Y54" s="22">
        <v>1.5783700000000001</v>
      </c>
      <c r="Z54" s="22">
        <v>128.38200000000001</v>
      </c>
      <c r="AA54" s="22">
        <v>-1.0553E-2</v>
      </c>
      <c r="AB54" s="22">
        <v>44</v>
      </c>
      <c r="AC54" s="22">
        <v>1.57745</v>
      </c>
      <c r="AD54">
        <f t="shared" si="4"/>
        <v>10.552999999999999</v>
      </c>
      <c r="AE54">
        <f t="shared" si="5"/>
        <v>16.656538609999998</v>
      </c>
      <c r="AF54" s="9"/>
      <c r="AG54" s="22">
        <v>0.121613</v>
      </c>
      <c r="AH54" s="22">
        <v>177.85499999999999</v>
      </c>
      <c r="AI54" s="22">
        <v>-1.5701300000000001E-2</v>
      </c>
      <c r="AJ54" s="22">
        <v>44</v>
      </c>
      <c r="AK54" s="22">
        <v>0.121155</v>
      </c>
      <c r="AL54">
        <f t="shared" si="6"/>
        <v>15.701300000000002</v>
      </c>
      <c r="AM54">
        <f t="shared" si="7"/>
        <v>1.9094821969000002</v>
      </c>
      <c r="AP54" s="9"/>
      <c r="AQ54" s="22">
        <v>1.5783700000000001</v>
      </c>
      <c r="AR54" s="22">
        <v>227.30199999999999</v>
      </c>
      <c r="AS54" s="22">
        <v>-1.0434000000000001E-2</v>
      </c>
      <c r="AT54" s="22">
        <v>44</v>
      </c>
      <c r="AU54" s="22">
        <v>1.5777600000000001</v>
      </c>
      <c r="AV54">
        <f t="shared" si="8"/>
        <v>10.434000000000001</v>
      </c>
      <c r="AW54">
        <f t="shared" si="9"/>
        <v>16.468712580000002</v>
      </c>
      <c r="AX54" s="9"/>
      <c r="AY54" s="22">
        <v>0.121613</v>
      </c>
      <c r="AZ54" s="22">
        <v>261.642</v>
      </c>
      <c r="BA54" s="22">
        <v>-1.56921E-2</v>
      </c>
      <c r="BB54" s="22">
        <v>44</v>
      </c>
      <c r="BC54" s="22">
        <v>0.121124</v>
      </c>
      <c r="BD54">
        <f t="shared" si="10"/>
        <v>15.6921</v>
      </c>
      <c r="BE54">
        <f t="shared" si="11"/>
        <v>1.9083633573000001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49.508299999999998</v>
      </c>
      <c r="I55" s="22">
        <v>-1.07239E-2</v>
      </c>
      <c r="J55" s="22">
        <v>45</v>
      </c>
      <c r="K55" s="22">
        <v>1.57257</v>
      </c>
      <c r="L55">
        <f t="shared" si="0"/>
        <v>10.7239</v>
      </c>
      <c r="M55">
        <f t="shared" si="1"/>
        <v>16.872233587</v>
      </c>
      <c r="N55" s="9"/>
      <c r="O55" s="22">
        <v>0.12664800000000001</v>
      </c>
      <c r="P55" s="22">
        <v>98.934799999999996</v>
      </c>
      <c r="Q55" s="22">
        <v>-1.5817299999999999E-2</v>
      </c>
      <c r="R55" s="22">
        <v>45</v>
      </c>
      <c r="S55" s="22">
        <v>0.12603800000000001</v>
      </c>
      <c r="T55">
        <f t="shared" si="2"/>
        <v>15.817299999999999</v>
      </c>
      <c r="U55">
        <f t="shared" si="3"/>
        <v>2.0032294103999999</v>
      </c>
      <c r="X55" s="9"/>
      <c r="Y55" s="22">
        <v>1.5733299999999999</v>
      </c>
      <c r="Z55" s="22">
        <v>128.392</v>
      </c>
      <c r="AA55" s="22">
        <v>-1.073E-2</v>
      </c>
      <c r="AB55" s="22">
        <v>45</v>
      </c>
      <c r="AC55" s="22">
        <v>1.57257</v>
      </c>
      <c r="AD55">
        <f t="shared" si="4"/>
        <v>10.73</v>
      </c>
      <c r="AE55">
        <f t="shared" si="5"/>
        <v>16.881830900000001</v>
      </c>
      <c r="AF55" s="9"/>
      <c r="AG55" s="22">
        <v>0.12664800000000001</v>
      </c>
      <c r="AH55" s="22">
        <v>177.86500000000001</v>
      </c>
      <c r="AI55" s="22">
        <v>-1.5701300000000001E-2</v>
      </c>
      <c r="AJ55" s="22">
        <v>45</v>
      </c>
      <c r="AK55" s="22">
        <v>0.12606800000000001</v>
      </c>
      <c r="AL55">
        <f t="shared" si="6"/>
        <v>15.701300000000002</v>
      </c>
      <c r="AM55">
        <f t="shared" si="7"/>
        <v>1.9885382424000004</v>
      </c>
      <c r="AP55" s="9"/>
      <c r="AQ55" s="22">
        <v>1.5733299999999999</v>
      </c>
      <c r="AR55" s="22">
        <v>227.31200000000001</v>
      </c>
      <c r="AS55" s="22">
        <v>-1.06201E-2</v>
      </c>
      <c r="AT55" s="22">
        <v>45</v>
      </c>
      <c r="AU55" s="22">
        <v>1.5722700000000001</v>
      </c>
      <c r="AV55">
        <f t="shared" si="8"/>
        <v>10.620100000000001</v>
      </c>
      <c r="AW55">
        <f t="shared" si="9"/>
        <v>16.708921932999999</v>
      </c>
      <c r="AX55" s="9"/>
      <c r="AY55" s="22">
        <v>0.12664800000000001</v>
      </c>
      <c r="AZ55" s="22">
        <v>261.65199999999999</v>
      </c>
      <c r="BA55" s="22">
        <v>-1.56921E-2</v>
      </c>
      <c r="BB55" s="22">
        <v>45</v>
      </c>
      <c r="BC55" s="22">
        <v>0.12609899999999999</v>
      </c>
      <c r="BD55">
        <f t="shared" si="10"/>
        <v>15.6921</v>
      </c>
      <c r="BE55">
        <f t="shared" si="11"/>
        <v>1.9873730808000001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49.5184</v>
      </c>
      <c r="I56" s="22">
        <v>-1.091E-2</v>
      </c>
      <c r="J56" s="22">
        <v>46</v>
      </c>
      <c r="K56" s="22">
        <v>1.56738</v>
      </c>
      <c r="L56">
        <f t="shared" si="0"/>
        <v>10.91</v>
      </c>
      <c r="M56">
        <f t="shared" si="1"/>
        <v>17.110153</v>
      </c>
      <c r="N56" s="9"/>
      <c r="O56" s="22">
        <v>0.13168299999999999</v>
      </c>
      <c r="P56" s="22">
        <v>98.944800000000001</v>
      </c>
      <c r="Q56" s="22">
        <v>-1.5820299999999999E-2</v>
      </c>
      <c r="R56" s="22">
        <v>46</v>
      </c>
      <c r="S56" s="22">
        <v>0.13119500000000001</v>
      </c>
      <c r="T56">
        <f t="shared" si="2"/>
        <v>15.8203</v>
      </c>
      <c r="U56">
        <f t="shared" si="3"/>
        <v>2.0832645648999999</v>
      </c>
      <c r="X56" s="9"/>
      <c r="Y56" s="22">
        <v>1.5683</v>
      </c>
      <c r="Z56" s="22">
        <v>128.40199999999999</v>
      </c>
      <c r="AA56" s="22">
        <v>-1.0907E-2</v>
      </c>
      <c r="AB56" s="22">
        <v>46</v>
      </c>
      <c r="AC56" s="22">
        <v>1.56738</v>
      </c>
      <c r="AD56">
        <f t="shared" si="4"/>
        <v>10.907</v>
      </c>
      <c r="AE56">
        <f t="shared" si="5"/>
        <v>17.1054481</v>
      </c>
      <c r="AF56" s="9"/>
      <c r="AG56" s="22">
        <v>0.13168299999999999</v>
      </c>
      <c r="AH56" s="22">
        <v>177.875</v>
      </c>
      <c r="AI56" s="22">
        <v>-1.57074E-2</v>
      </c>
      <c r="AJ56" s="22">
        <v>46</v>
      </c>
      <c r="AK56" s="22">
        <v>0.131104</v>
      </c>
      <c r="AL56">
        <f t="shared" si="6"/>
        <v>15.7074</v>
      </c>
      <c r="AM56">
        <f t="shared" si="7"/>
        <v>2.0683975541999997</v>
      </c>
      <c r="AP56" s="9"/>
      <c r="AQ56" s="22">
        <v>1.5683</v>
      </c>
      <c r="AR56" s="22">
        <v>227.322</v>
      </c>
      <c r="AS56" s="22">
        <v>-1.07971E-2</v>
      </c>
      <c r="AT56" s="22">
        <v>46</v>
      </c>
      <c r="AU56" s="22">
        <v>1.56769</v>
      </c>
      <c r="AV56">
        <f t="shared" si="8"/>
        <v>10.7971</v>
      </c>
      <c r="AW56">
        <f t="shared" si="9"/>
        <v>16.93309193</v>
      </c>
      <c r="AX56" s="9"/>
      <c r="AY56" s="22">
        <v>0.13168299999999999</v>
      </c>
      <c r="AZ56" s="22">
        <v>261.66199999999998</v>
      </c>
      <c r="BA56" s="22">
        <v>-1.56921E-2</v>
      </c>
      <c r="BB56" s="22">
        <v>46</v>
      </c>
      <c r="BC56" s="22">
        <v>0.131104</v>
      </c>
      <c r="BD56">
        <f t="shared" si="10"/>
        <v>15.6921</v>
      </c>
      <c r="BE56">
        <f t="shared" si="11"/>
        <v>2.0663828042999999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49.528500000000001</v>
      </c>
      <c r="I57" s="22">
        <v>-1.10901E-2</v>
      </c>
      <c r="J57" s="22">
        <v>47</v>
      </c>
      <c r="K57" s="22">
        <v>1.5625</v>
      </c>
      <c r="L57">
        <f t="shared" si="0"/>
        <v>11.0901</v>
      </c>
      <c r="M57">
        <f t="shared" si="1"/>
        <v>17.336709725999999</v>
      </c>
      <c r="N57" s="9"/>
      <c r="O57" s="22">
        <v>0.13671900000000001</v>
      </c>
      <c r="P57" s="22">
        <v>98.954899999999995</v>
      </c>
      <c r="Q57" s="22">
        <v>-1.5826400000000001E-2</v>
      </c>
      <c r="R57" s="22">
        <v>47</v>
      </c>
      <c r="S57" s="22">
        <v>0.13613900000000001</v>
      </c>
      <c r="T57">
        <f t="shared" si="2"/>
        <v>15.826400000000001</v>
      </c>
      <c r="U57">
        <f t="shared" si="3"/>
        <v>2.1637695816000004</v>
      </c>
      <c r="X57" s="9"/>
      <c r="Y57" s="22">
        <v>1.5632600000000001</v>
      </c>
      <c r="Z57" s="22">
        <v>128.41200000000001</v>
      </c>
      <c r="AA57" s="22">
        <v>-1.10718E-2</v>
      </c>
      <c r="AB57" s="22">
        <v>47</v>
      </c>
      <c r="AC57" s="22">
        <v>1.5625</v>
      </c>
      <c r="AD57">
        <f t="shared" si="4"/>
        <v>11.0718</v>
      </c>
      <c r="AE57">
        <f t="shared" si="5"/>
        <v>17.308102068</v>
      </c>
      <c r="AF57" s="9"/>
      <c r="AG57" s="22">
        <v>0.13671900000000001</v>
      </c>
      <c r="AH57" s="22">
        <v>177.88499999999999</v>
      </c>
      <c r="AI57" s="22">
        <v>-1.5713499999999998E-2</v>
      </c>
      <c r="AJ57" s="22">
        <v>47</v>
      </c>
      <c r="AK57" s="22">
        <v>0.13616900000000001</v>
      </c>
      <c r="AL57">
        <f t="shared" si="6"/>
        <v>15.713499999999998</v>
      </c>
      <c r="AM57">
        <f t="shared" si="7"/>
        <v>2.1483340064999998</v>
      </c>
      <c r="AP57" s="9"/>
      <c r="AQ57" s="22">
        <v>1.5632600000000001</v>
      </c>
      <c r="AR57" s="22">
        <v>227.33199999999999</v>
      </c>
      <c r="AS57" s="22">
        <v>-1.09619E-2</v>
      </c>
      <c r="AT57" s="22">
        <v>47</v>
      </c>
      <c r="AU57" s="22">
        <v>1.56219</v>
      </c>
      <c r="AV57">
        <f t="shared" si="8"/>
        <v>10.9619</v>
      </c>
      <c r="AW57">
        <f t="shared" si="9"/>
        <v>17.136299793999999</v>
      </c>
      <c r="AX57" s="9"/>
      <c r="AY57" s="22">
        <v>0.13671900000000001</v>
      </c>
      <c r="AZ57" s="22">
        <v>261.67200000000003</v>
      </c>
      <c r="BA57" s="22">
        <v>-1.5685999999999999E-2</v>
      </c>
      <c r="BB57" s="22">
        <v>47</v>
      </c>
      <c r="BC57" s="22">
        <v>0.13613900000000001</v>
      </c>
      <c r="BD57">
        <f t="shared" si="10"/>
        <v>15.685999999999998</v>
      </c>
      <c r="BE57">
        <f t="shared" si="11"/>
        <v>2.1445742339999998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49.538499999999999</v>
      </c>
      <c r="I58" s="22">
        <v>-1.1261E-2</v>
      </c>
      <c r="J58" s="22">
        <v>48</v>
      </c>
      <c r="K58" s="22">
        <v>1.55792</v>
      </c>
      <c r="L58">
        <f t="shared" si="0"/>
        <v>11.261000000000001</v>
      </c>
      <c r="M58">
        <f t="shared" si="1"/>
        <v>17.547228030000003</v>
      </c>
      <c r="N58" s="9"/>
      <c r="O58" s="22">
        <v>0.14175399999999999</v>
      </c>
      <c r="P58" s="22">
        <v>98.965000000000003</v>
      </c>
      <c r="Q58" s="22">
        <v>-1.5826400000000001E-2</v>
      </c>
      <c r="R58" s="22">
        <v>48</v>
      </c>
      <c r="S58" s="22">
        <v>0.14111299999999999</v>
      </c>
      <c r="T58">
        <f t="shared" si="2"/>
        <v>15.826400000000001</v>
      </c>
      <c r="U58">
        <f t="shared" si="3"/>
        <v>2.2434555056000001</v>
      </c>
      <c r="X58" s="9"/>
      <c r="Y58" s="22">
        <v>1.55823</v>
      </c>
      <c r="Z58" s="22">
        <v>128.422</v>
      </c>
      <c r="AA58" s="22">
        <v>-1.12335E-2</v>
      </c>
      <c r="AB58" s="22">
        <v>48</v>
      </c>
      <c r="AC58" s="22">
        <v>1.55731</v>
      </c>
      <c r="AD58">
        <f t="shared" si="4"/>
        <v>11.233500000000001</v>
      </c>
      <c r="AE58">
        <f t="shared" si="5"/>
        <v>17.504376705000002</v>
      </c>
      <c r="AF58" s="9"/>
      <c r="AG58" s="22">
        <v>0.14175399999999999</v>
      </c>
      <c r="AH58" s="22">
        <v>177.89500000000001</v>
      </c>
      <c r="AI58" s="22">
        <v>-1.5722699999999999E-2</v>
      </c>
      <c r="AJ58" s="22">
        <v>48</v>
      </c>
      <c r="AK58" s="22">
        <v>0.14114399999999999</v>
      </c>
      <c r="AL58">
        <f t="shared" si="6"/>
        <v>15.7227</v>
      </c>
      <c r="AM58">
        <f t="shared" si="7"/>
        <v>2.2287556157999999</v>
      </c>
      <c r="AP58" s="9"/>
      <c r="AQ58" s="22">
        <v>1.55823</v>
      </c>
      <c r="AR58" s="22">
        <v>227.34200000000001</v>
      </c>
      <c r="AS58" s="22">
        <v>-1.11176E-2</v>
      </c>
      <c r="AT58" s="22">
        <v>48</v>
      </c>
      <c r="AU58" s="22">
        <v>1.55823</v>
      </c>
      <c r="AV58">
        <f t="shared" si="8"/>
        <v>11.117599999999999</v>
      </c>
      <c r="AW58">
        <f t="shared" si="9"/>
        <v>17.323777847999999</v>
      </c>
      <c r="AX58" s="9"/>
      <c r="AY58" s="22">
        <v>0.14175399999999999</v>
      </c>
      <c r="AZ58" s="22">
        <v>261.68200000000002</v>
      </c>
      <c r="BA58" s="22">
        <v>-1.5682999999999999E-2</v>
      </c>
      <c r="BB58" s="22">
        <v>48</v>
      </c>
      <c r="BC58" s="22">
        <v>0.141266</v>
      </c>
      <c r="BD58">
        <f t="shared" si="10"/>
        <v>15.683</v>
      </c>
      <c r="BE58">
        <f t="shared" si="11"/>
        <v>2.2231279819999998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49.5486</v>
      </c>
      <c r="I59" s="22">
        <v>-1.1413599999999999E-2</v>
      </c>
      <c r="J59" s="22">
        <v>49</v>
      </c>
      <c r="K59" s="22">
        <v>1.5527299999999999</v>
      </c>
      <c r="L59">
        <f t="shared" si="0"/>
        <v>11.413599999999999</v>
      </c>
      <c r="M59">
        <f t="shared" si="1"/>
        <v>17.727489383999998</v>
      </c>
      <c r="N59" s="9"/>
      <c r="O59" s="22">
        <v>0.14679</v>
      </c>
      <c r="P59" s="22">
        <v>98.974999999999994</v>
      </c>
      <c r="Q59" s="22">
        <v>-1.5826400000000001E-2</v>
      </c>
      <c r="R59" s="22">
        <v>49</v>
      </c>
      <c r="S59" s="22">
        <v>0.14624000000000001</v>
      </c>
      <c r="T59">
        <f t="shared" si="2"/>
        <v>15.826400000000001</v>
      </c>
      <c r="U59">
        <f t="shared" si="3"/>
        <v>2.3231572560000004</v>
      </c>
      <c r="X59" s="9"/>
      <c r="Y59" s="22">
        <v>1.5531900000000001</v>
      </c>
      <c r="Z59" s="22">
        <v>128.43199999999999</v>
      </c>
      <c r="AA59" s="22">
        <v>-1.13922E-2</v>
      </c>
      <c r="AB59" s="22">
        <v>49</v>
      </c>
      <c r="AC59" s="22">
        <v>1.55243</v>
      </c>
      <c r="AD59">
        <f t="shared" si="4"/>
        <v>11.392200000000001</v>
      </c>
      <c r="AE59">
        <f t="shared" si="5"/>
        <v>17.694251118</v>
      </c>
      <c r="AF59" s="9"/>
      <c r="AG59" s="22">
        <v>0.14679</v>
      </c>
      <c r="AH59" s="22">
        <v>177.90600000000001</v>
      </c>
      <c r="AI59" s="22">
        <v>-1.5728800000000001E-2</v>
      </c>
      <c r="AJ59" s="22">
        <v>49</v>
      </c>
      <c r="AK59" s="22">
        <v>0.14621000000000001</v>
      </c>
      <c r="AL59">
        <f t="shared" si="6"/>
        <v>15.728800000000001</v>
      </c>
      <c r="AM59">
        <f t="shared" si="7"/>
        <v>2.3088305520000003</v>
      </c>
      <c r="AP59" s="9"/>
      <c r="AQ59" s="22">
        <v>1.5531900000000001</v>
      </c>
      <c r="AR59" s="22">
        <v>227.352</v>
      </c>
      <c r="AS59" s="22">
        <v>-1.12671E-2</v>
      </c>
      <c r="AT59" s="22">
        <v>49</v>
      </c>
      <c r="AU59" s="22">
        <v>1.55243</v>
      </c>
      <c r="AV59">
        <f t="shared" si="8"/>
        <v>11.267100000000001</v>
      </c>
      <c r="AW59">
        <f t="shared" si="9"/>
        <v>17.499947049000003</v>
      </c>
      <c r="AX59" s="9"/>
      <c r="AY59" s="22">
        <v>0.14679</v>
      </c>
      <c r="AZ59" s="22">
        <v>261.69200000000001</v>
      </c>
      <c r="BA59" s="22">
        <v>-1.5685999999999999E-2</v>
      </c>
      <c r="BB59" s="22">
        <v>49</v>
      </c>
      <c r="BC59" s="22">
        <v>0.14630099999999999</v>
      </c>
      <c r="BD59">
        <f t="shared" si="10"/>
        <v>15.685999999999998</v>
      </c>
      <c r="BE59">
        <f t="shared" si="11"/>
        <v>2.3025479399999997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49.558700000000002</v>
      </c>
      <c r="I60" s="22">
        <v>-1.1550899999999999E-2</v>
      </c>
      <c r="J60" s="22">
        <v>50</v>
      </c>
      <c r="K60" s="22">
        <v>1.5478499999999999</v>
      </c>
      <c r="L60">
        <f t="shared" si="0"/>
        <v>11.550899999999999</v>
      </c>
      <c r="M60">
        <f t="shared" si="1"/>
        <v>17.882641343999996</v>
      </c>
      <c r="N60" s="9"/>
      <c r="O60" s="22">
        <v>0.15182499999999999</v>
      </c>
      <c r="P60" s="22">
        <v>98.985100000000003</v>
      </c>
      <c r="Q60" s="22">
        <v>-1.5823400000000001E-2</v>
      </c>
      <c r="R60" s="22">
        <v>50</v>
      </c>
      <c r="S60" s="22">
        <v>0.15115400000000001</v>
      </c>
      <c r="T60">
        <f t="shared" si="2"/>
        <v>15.823400000000001</v>
      </c>
      <c r="U60">
        <f t="shared" si="3"/>
        <v>2.4023877050000002</v>
      </c>
      <c r="X60" s="9"/>
      <c r="Y60" s="22">
        <v>1.54816</v>
      </c>
      <c r="Z60" s="22">
        <v>128.44200000000001</v>
      </c>
      <c r="AA60" s="22">
        <v>-1.1544799999999999E-2</v>
      </c>
      <c r="AB60" s="22">
        <v>50</v>
      </c>
      <c r="AC60" s="22">
        <v>1.54694</v>
      </c>
      <c r="AD60">
        <f t="shared" si="4"/>
        <v>11.544799999999999</v>
      </c>
      <c r="AE60">
        <f t="shared" si="5"/>
        <v>17.873197567999998</v>
      </c>
      <c r="AF60" s="9"/>
      <c r="AG60" s="22">
        <v>0.15182499999999999</v>
      </c>
      <c r="AH60" s="22">
        <v>177.916</v>
      </c>
      <c r="AI60" s="22">
        <v>-1.5725699999999999E-2</v>
      </c>
      <c r="AJ60" s="22">
        <v>50</v>
      </c>
      <c r="AK60" s="22">
        <v>0.15124499999999999</v>
      </c>
      <c r="AL60">
        <f t="shared" si="6"/>
        <v>15.725699999999998</v>
      </c>
      <c r="AM60">
        <f t="shared" si="7"/>
        <v>2.3875544024999993</v>
      </c>
      <c r="AP60" s="9"/>
      <c r="AQ60" s="22">
        <v>1.54816</v>
      </c>
      <c r="AR60" s="22">
        <v>227.36199999999999</v>
      </c>
      <c r="AS60" s="22">
        <v>-1.1410500000000001E-2</v>
      </c>
      <c r="AT60" s="22">
        <v>50</v>
      </c>
      <c r="AU60" s="22">
        <v>1.5472399999999999</v>
      </c>
      <c r="AV60">
        <f t="shared" si="8"/>
        <v>11.410500000000001</v>
      </c>
      <c r="AW60">
        <f t="shared" si="9"/>
        <v>17.665279680000001</v>
      </c>
      <c r="AX60" s="9"/>
      <c r="AY60" s="22">
        <v>0.15182499999999999</v>
      </c>
      <c r="AZ60" s="22">
        <v>261.702</v>
      </c>
      <c r="BA60" s="22">
        <v>-1.5682999999999999E-2</v>
      </c>
      <c r="BB60" s="22">
        <v>50</v>
      </c>
      <c r="BC60" s="22">
        <v>0.151306</v>
      </c>
      <c r="BD60">
        <f t="shared" si="10"/>
        <v>15.683</v>
      </c>
      <c r="BE60">
        <f t="shared" si="11"/>
        <v>2.3810714749999997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49.568800000000003</v>
      </c>
      <c r="I61" s="22">
        <v>-1.16913E-2</v>
      </c>
      <c r="J61" s="22">
        <v>51</v>
      </c>
      <c r="K61" s="22">
        <v>1.54236</v>
      </c>
      <c r="L61">
        <f t="shared" si="0"/>
        <v>11.6913</v>
      </c>
      <c r="M61">
        <f t="shared" si="1"/>
        <v>18.041078856000002</v>
      </c>
      <c r="N61" s="9"/>
      <c r="O61" s="22">
        <v>0.15686</v>
      </c>
      <c r="P61" s="22">
        <v>98.995199999999997</v>
      </c>
      <c r="Q61" s="22">
        <v>-1.58142E-2</v>
      </c>
      <c r="R61" s="22">
        <v>51</v>
      </c>
      <c r="S61" s="22">
        <v>0.15625</v>
      </c>
      <c r="T61">
        <f t="shared" si="2"/>
        <v>15.8142</v>
      </c>
      <c r="U61">
        <f t="shared" si="3"/>
        <v>2.4806154120000001</v>
      </c>
      <c r="X61" s="9"/>
      <c r="Y61" s="22">
        <v>1.54312</v>
      </c>
      <c r="Z61" s="22">
        <v>128.452</v>
      </c>
      <c r="AA61" s="22">
        <v>-1.16974E-2</v>
      </c>
      <c r="AB61" s="22">
        <v>51</v>
      </c>
      <c r="AC61" s="22">
        <v>1.5420499999999999</v>
      </c>
      <c r="AD61">
        <f t="shared" si="4"/>
        <v>11.6974</v>
      </c>
      <c r="AE61">
        <f t="shared" si="5"/>
        <v>18.050491888</v>
      </c>
      <c r="AF61" s="9"/>
      <c r="AG61" s="22">
        <v>0.15686</v>
      </c>
      <c r="AH61" s="22">
        <v>177.92599999999999</v>
      </c>
      <c r="AI61" s="22">
        <v>-1.5722699999999999E-2</v>
      </c>
      <c r="AJ61" s="22">
        <v>51</v>
      </c>
      <c r="AK61" s="22">
        <v>0.15631100000000001</v>
      </c>
      <c r="AL61">
        <f t="shared" si="6"/>
        <v>15.7227</v>
      </c>
      <c r="AM61">
        <f t="shared" si="7"/>
        <v>2.4662627219999997</v>
      </c>
      <c r="AP61" s="9"/>
      <c r="AQ61" s="22">
        <v>1.54312</v>
      </c>
      <c r="AR61" s="22">
        <v>227.37200000000001</v>
      </c>
      <c r="AS61" s="22">
        <v>-1.1544799999999999E-2</v>
      </c>
      <c r="AT61" s="22">
        <v>51</v>
      </c>
      <c r="AU61" s="22">
        <v>1.54236</v>
      </c>
      <c r="AV61">
        <f t="shared" si="8"/>
        <v>11.544799999999999</v>
      </c>
      <c r="AW61">
        <f t="shared" si="9"/>
        <v>17.815011775999999</v>
      </c>
      <c r="AX61" s="9"/>
      <c r="AY61" s="22">
        <v>0.15686</v>
      </c>
      <c r="AZ61" s="22">
        <v>261.71199999999999</v>
      </c>
      <c r="BA61" s="22">
        <v>-1.5685999999999999E-2</v>
      </c>
      <c r="BB61" s="22">
        <v>51</v>
      </c>
      <c r="BC61" s="22">
        <v>0.15625</v>
      </c>
      <c r="BD61">
        <f t="shared" si="10"/>
        <v>15.685999999999998</v>
      </c>
      <c r="BE61">
        <f t="shared" si="11"/>
        <v>2.4605059599999999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49.578800000000001</v>
      </c>
      <c r="I62" s="22">
        <v>-1.18286E-2</v>
      </c>
      <c r="J62" s="22">
        <v>52</v>
      </c>
      <c r="K62" s="22">
        <v>1.5377799999999999</v>
      </c>
      <c r="L62">
        <f t="shared" si="0"/>
        <v>11.8286</v>
      </c>
      <c r="M62">
        <f t="shared" si="1"/>
        <v>18.193451373999999</v>
      </c>
      <c r="N62" s="9"/>
      <c r="O62" s="22">
        <v>0.16189600000000001</v>
      </c>
      <c r="P62" s="22">
        <v>99.005300000000005</v>
      </c>
      <c r="Q62" s="22">
        <v>-1.5811200000000001E-2</v>
      </c>
      <c r="R62" s="22">
        <v>52</v>
      </c>
      <c r="S62" s="22">
        <v>0.16140699999999999</v>
      </c>
      <c r="T62">
        <f t="shared" si="2"/>
        <v>15.811200000000001</v>
      </c>
      <c r="U62">
        <f t="shared" si="3"/>
        <v>2.5597700352000006</v>
      </c>
      <c r="X62" s="9"/>
      <c r="Y62" s="22">
        <v>1.53809</v>
      </c>
      <c r="Z62" s="22">
        <v>128.46199999999999</v>
      </c>
      <c r="AA62" s="22">
        <v>-1.18286E-2</v>
      </c>
      <c r="AB62" s="22">
        <v>52</v>
      </c>
      <c r="AC62" s="22">
        <v>1.5371699999999999</v>
      </c>
      <c r="AD62">
        <f t="shared" si="4"/>
        <v>11.8286</v>
      </c>
      <c r="AE62">
        <f t="shared" si="5"/>
        <v>18.193451373999999</v>
      </c>
      <c r="AF62" s="9"/>
      <c r="AG62" s="22">
        <v>0.16189600000000001</v>
      </c>
      <c r="AH62" s="22">
        <v>177.93600000000001</v>
      </c>
      <c r="AI62" s="22">
        <v>-1.5722699999999999E-2</v>
      </c>
      <c r="AJ62" s="22">
        <v>52</v>
      </c>
      <c r="AK62" s="22">
        <v>0.16125500000000001</v>
      </c>
      <c r="AL62">
        <f t="shared" si="6"/>
        <v>15.7227</v>
      </c>
      <c r="AM62">
        <f t="shared" si="7"/>
        <v>2.5454422392000002</v>
      </c>
      <c r="AP62" s="9"/>
      <c r="AQ62" s="22">
        <v>1.53809</v>
      </c>
      <c r="AR62" s="22">
        <v>227.38200000000001</v>
      </c>
      <c r="AS62" s="22">
        <v>-1.16791E-2</v>
      </c>
      <c r="AT62" s="22">
        <v>52</v>
      </c>
      <c r="AU62" s="22">
        <v>1.5371699999999999</v>
      </c>
      <c r="AV62">
        <f t="shared" si="8"/>
        <v>11.6791</v>
      </c>
      <c r="AW62">
        <f t="shared" si="9"/>
        <v>17.963506919</v>
      </c>
      <c r="AX62" s="9"/>
      <c r="AY62" s="22">
        <v>0.16189600000000001</v>
      </c>
      <c r="AZ62" s="22">
        <v>261.72199999999998</v>
      </c>
      <c r="BA62" s="22">
        <v>-1.5685999999999999E-2</v>
      </c>
      <c r="BB62" s="22">
        <v>52</v>
      </c>
      <c r="BC62" s="22">
        <v>0.16131599999999999</v>
      </c>
      <c r="BD62">
        <f t="shared" si="10"/>
        <v>15.685999999999998</v>
      </c>
      <c r="BE62">
        <f t="shared" si="11"/>
        <v>2.539500656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49.588900000000002</v>
      </c>
      <c r="I63" s="22">
        <v>-1.19629E-2</v>
      </c>
      <c r="J63" s="22">
        <v>53</v>
      </c>
      <c r="K63" s="22">
        <v>1.5328999999999999</v>
      </c>
      <c r="L63">
        <f t="shared" si="0"/>
        <v>11.962899999999999</v>
      </c>
      <c r="M63">
        <f t="shared" si="1"/>
        <v>18.339723844999998</v>
      </c>
      <c r="N63" s="9"/>
      <c r="O63" s="22">
        <v>0.166931</v>
      </c>
      <c r="P63" s="22">
        <v>99.015299999999996</v>
      </c>
      <c r="Q63" s="22">
        <v>-1.5811200000000001E-2</v>
      </c>
      <c r="R63" s="22">
        <v>53</v>
      </c>
      <c r="S63" s="22">
        <v>0.166382</v>
      </c>
      <c r="T63">
        <f t="shared" si="2"/>
        <v>15.811200000000001</v>
      </c>
      <c r="U63">
        <f t="shared" si="3"/>
        <v>2.6393794272000002</v>
      </c>
      <c r="X63" s="9"/>
      <c r="Y63" s="22">
        <v>1.53305</v>
      </c>
      <c r="Z63" s="22">
        <v>128.47200000000001</v>
      </c>
      <c r="AA63" s="22">
        <v>-1.1953699999999999E-2</v>
      </c>
      <c r="AB63" s="22">
        <v>53</v>
      </c>
      <c r="AC63" s="22">
        <v>1.5328999999999999</v>
      </c>
      <c r="AD63">
        <f t="shared" si="4"/>
        <v>11.9537</v>
      </c>
      <c r="AE63">
        <f t="shared" si="5"/>
        <v>18.325619785000001</v>
      </c>
      <c r="AF63" s="9"/>
      <c r="AG63" s="22">
        <v>0.166931</v>
      </c>
      <c r="AH63" s="22">
        <v>177.946</v>
      </c>
      <c r="AI63" s="22">
        <v>-1.57196E-2</v>
      </c>
      <c r="AJ63" s="22">
        <v>53</v>
      </c>
      <c r="AK63" s="22">
        <v>0.166351</v>
      </c>
      <c r="AL63">
        <f t="shared" si="6"/>
        <v>15.7196</v>
      </c>
      <c r="AM63">
        <f t="shared" si="7"/>
        <v>2.6240885476</v>
      </c>
      <c r="AP63" s="9"/>
      <c r="AQ63" s="22">
        <v>1.53305</v>
      </c>
      <c r="AR63" s="22">
        <v>227.392</v>
      </c>
      <c r="AS63" s="22">
        <v>-1.1810299999999999E-2</v>
      </c>
      <c r="AT63" s="22">
        <v>53</v>
      </c>
      <c r="AU63" s="22">
        <v>1.5322899999999999</v>
      </c>
      <c r="AV63">
        <f t="shared" si="8"/>
        <v>11.8103</v>
      </c>
      <c r="AW63">
        <f t="shared" si="9"/>
        <v>18.105780415000002</v>
      </c>
      <c r="AX63" s="9"/>
      <c r="AY63" s="22">
        <v>0.166931</v>
      </c>
      <c r="AZ63" s="22">
        <v>261.73200000000003</v>
      </c>
      <c r="BA63" s="22">
        <v>-1.5682999999999999E-2</v>
      </c>
      <c r="BB63" s="22">
        <v>53</v>
      </c>
      <c r="BC63" s="22">
        <v>0.166351</v>
      </c>
      <c r="BD63">
        <f t="shared" si="10"/>
        <v>15.683</v>
      </c>
      <c r="BE63">
        <f t="shared" si="11"/>
        <v>2.6179788729999998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49.598999999999997</v>
      </c>
      <c r="I64" s="22">
        <v>-1.21002E-2</v>
      </c>
      <c r="J64" s="22">
        <v>54</v>
      </c>
      <c r="K64" s="22">
        <v>1.5274000000000001</v>
      </c>
      <c r="L64">
        <f t="shared" si="0"/>
        <v>12.100200000000001</v>
      </c>
      <c r="M64">
        <f t="shared" si="1"/>
        <v>18.489347604000002</v>
      </c>
      <c r="N64" s="9"/>
      <c r="O64" s="22">
        <v>0.17196700000000001</v>
      </c>
      <c r="P64" s="22">
        <v>99.025400000000005</v>
      </c>
      <c r="Q64" s="22">
        <v>-1.58142E-2</v>
      </c>
      <c r="R64" s="22">
        <v>54</v>
      </c>
      <c r="S64" s="22">
        <v>0.17132600000000001</v>
      </c>
      <c r="T64">
        <f t="shared" si="2"/>
        <v>15.8142</v>
      </c>
      <c r="U64">
        <f t="shared" si="3"/>
        <v>2.7195205314000002</v>
      </c>
      <c r="X64" s="9"/>
      <c r="Y64" s="22">
        <v>1.5280199999999999</v>
      </c>
      <c r="Z64" s="22">
        <v>128.482</v>
      </c>
      <c r="AA64" s="22">
        <v>-1.20728E-2</v>
      </c>
      <c r="AB64" s="22">
        <v>54</v>
      </c>
      <c r="AC64" s="22">
        <v>1.5270999999999999</v>
      </c>
      <c r="AD64">
        <f t="shared" si="4"/>
        <v>12.072799999999999</v>
      </c>
      <c r="AE64">
        <f t="shared" si="5"/>
        <v>18.447479855999998</v>
      </c>
      <c r="AF64" s="9"/>
      <c r="AG64" s="22">
        <v>0.17196700000000001</v>
      </c>
      <c r="AH64" s="22">
        <v>177.95599999999999</v>
      </c>
      <c r="AI64" s="22">
        <v>-1.5710399999999999E-2</v>
      </c>
      <c r="AJ64" s="22">
        <v>54</v>
      </c>
      <c r="AK64" s="22">
        <v>0.17144799999999999</v>
      </c>
      <c r="AL64">
        <f t="shared" si="6"/>
        <v>15.7104</v>
      </c>
      <c r="AM64">
        <f t="shared" si="7"/>
        <v>2.7016703568000002</v>
      </c>
      <c r="AP64" s="9"/>
      <c r="AQ64" s="22">
        <v>1.5280199999999999</v>
      </c>
      <c r="AR64" s="22">
        <v>227.40199999999999</v>
      </c>
      <c r="AS64" s="22">
        <v>-1.1935400000000001E-2</v>
      </c>
      <c r="AT64" s="22">
        <v>54</v>
      </c>
      <c r="AU64" s="22">
        <v>1.5270999999999999</v>
      </c>
      <c r="AV64">
        <f t="shared" si="8"/>
        <v>11.935400000000001</v>
      </c>
      <c r="AW64">
        <f t="shared" si="9"/>
        <v>18.237529908000003</v>
      </c>
      <c r="AX64" s="9"/>
      <c r="AY64" s="22">
        <v>0.17196700000000001</v>
      </c>
      <c r="AZ64" s="22">
        <v>261.74200000000002</v>
      </c>
      <c r="BA64" s="22">
        <v>-1.56799E-2</v>
      </c>
      <c r="BB64" s="22">
        <v>54</v>
      </c>
      <c r="BC64" s="22">
        <v>0.17141700000000001</v>
      </c>
      <c r="BD64">
        <f t="shared" si="10"/>
        <v>15.6799</v>
      </c>
      <c r="BE64">
        <f t="shared" si="11"/>
        <v>2.6964253632999999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49.609000000000002</v>
      </c>
      <c r="I65" s="22">
        <v>-1.22314E-2</v>
      </c>
      <c r="J65" s="22">
        <v>55</v>
      </c>
      <c r="K65" s="22">
        <v>1.5222199999999999</v>
      </c>
      <c r="L65">
        <f t="shared" si="0"/>
        <v>12.231400000000001</v>
      </c>
      <c r="M65">
        <f t="shared" si="1"/>
        <v>18.628177572000002</v>
      </c>
      <c r="N65" s="9"/>
      <c r="O65" s="22">
        <v>0.17700199999999999</v>
      </c>
      <c r="P65" s="22">
        <v>99.035499999999999</v>
      </c>
      <c r="Q65" s="22">
        <v>-1.5817299999999999E-2</v>
      </c>
      <c r="R65" s="22">
        <v>55</v>
      </c>
      <c r="S65" s="22">
        <v>0.17636099999999999</v>
      </c>
      <c r="T65">
        <f t="shared" si="2"/>
        <v>15.817299999999999</v>
      </c>
      <c r="U65">
        <f t="shared" si="3"/>
        <v>2.7996937345999999</v>
      </c>
      <c r="X65" s="9"/>
      <c r="Y65" s="22">
        <v>1.52298</v>
      </c>
      <c r="Z65" s="22">
        <v>128.49299999999999</v>
      </c>
      <c r="AA65" s="22">
        <v>-1.21948E-2</v>
      </c>
      <c r="AB65" s="22">
        <v>55</v>
      </c>
      <c r="AC65" s="22">
        <v>1.5225200000000001</v>
      </c>
      <c r="AD65">
        <f t="shared" si="4"/>
        <v>12.194800000000001</v>
      </c>
      <c r="AE65">
        <f t="shared" si="5"/>
        <v>18.572436504000002</v>
      </c>
      <c r="AF65" s="9"/>
      <c r="AG65" s="22">
        <v>0.17700199999999999</v>
      </c>
      <c r="AH65" s="22">
        <v>177.96600000000001</v>
      </c>
      <c r="AI65" s="22">
        <v>-1.57074E-2</v>
      </c>
      <c r="AJ65" s="22">
        <v>55</v>
      </c>
      <c r="AK65" s="22">
        <v>0.176483</v>
      </c>
      <c r="AL65">
        <f t="shared" si="6"/>
        <v>15.7074</v>
      </c>
      <c r="AM65">
        <f t="shared" si="7"/>
        <v>2.7802412147999997</v>
      </c>
      <c r="AP65" s="9"/>
      <c r="AQ65" s="22">
        <v>1.52298</v>
      </c>
      <c r="AR65" s="22">
        <v>227.41200000000001</v>
      </c>
      <c r="AS65" s="22">
        <v>-1.2042199999999999E-2</v>
      </c>
      <c r="AT65" s="22">
        <v>55</v>
      </c>
      <c r="AU65" s="22">
        <v>1.5219100000000001</v>
      </c>
      <c r="AV65">
        <f t="shared" si="8"/>
        <v>12.042199999999999</v>
      </c>
      <c r="AW65">
        <f t="shared" si="9"/>
        <v>18.340029756</v>
      </c>
      <c r="AX65" s="9"/>
      <c r="AY65" s="22">
        <v>0.17700199999999999</v>
      </c>
      <c r="AZ65" s="22">
        <v>261.75299999999999</v>
      </c>
      <c r="BA65" s="22">
        <v>-1.5676900000000001E-2</v>
      </c>
      <c r="BB65" s="22">
        <v>55</v>
      </c>
      <c r="BC65" s="22">
        <v>0.17639199999999999</v>
      </c>
      <c r="BD65">
        <f t="shared" si="10"/>
        <v>15.6769</v>
      </c>
      <c r="BE65">
        <f t="shared" si="11"/>
        <v>2.7748426537999999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49.619100000000003</v>
      </c>
      <c r="I66" s="22">
        <v>-1.2356600000000001E-2</v>
      </c>
      <c r="J66" s="22">
        <v>56</v>
      </c>
      <c r="K66" s="22">
        <v>1.5170300000000001</v>
      </c>
      <c r="L66">
        <f t="shared" si="0"/>
        <v>12.3566</v>
      </c>
      <c r="M66">
        <f t="shared" si="1"/>
        <v>18.756577404000002</v>
      </c>
      <c r="N66" s="9"/>
      <c r="O66" s="22">
        <v>0.182037</v>
      </c>
      <c r="P66" s="22">
        <v>99.045500000000004</v>
      </c>
      <c r="Q66" s="22">
        <v>-1.5811200000000001E-2</v>
      </c>
      <c r="R66" s="22">
        <v>56</v>
      </c>
      <c r="S66" s="22">
        <v>0.18145800000000001</v>
      </c>
      <c r="T66">
        <f t="shared" si="2"/>
        <v>15.811200000000001</v>
      </c>
      <c r="U66">
        <f t="shared" si="3"/>
        <v>2.8782234144000003</v>
      </c>
      <c r="X66" s="9"/>
      <c r="Y66" s="22">
        <v>1.5179400000000001</v>
      </c>
      <c r="Z66" s="22">
        <v>128.50299999999999</v>
      </c>
      <c r="AA66" s="22">
        <v>-1.23138E-2</v>
      </c>
      <c r="AB66" s="22">
        <v>56</v>
      </c>
      <c r="AC66" s="22">
        <v>1.5170300000000001</v>
      </c>
      <c r="AD66">
        <f t="shared" si="4"/>
        <v>12.313800000000001</v>
      </c>
      <c r="AE66">
        <f t="shared" si="5"/>
        <v>18.691609572000001</v>
      </c>
      <c r="AF66" s="9"/>
      <c r="AG66" s="22">
        <v>0.182037</v>
      </c>
      <c r="AH66" s="22">
        <v>177.976</v>
      </c>
      <c r="AI66" s="22">
        <v>-1.5704300000000001E-2</v>
      </c>
      <c r="AJ66" s="22">
        <v>56</v>
      </c>
      <c r="AK66" s="22">
        <v>0.18145800000000001</v>
      </c>
      <c r="AL66">
        <f t="shared" si="6"/>
        <v>15.704300000000002</v>
      </c>
      <c r="AM66">
        <f t="shared" si="7"/>
        <v>2.8587636591000005</v>
      </c>
      <c r="AP66" s="9"/>
      <c r="AQ66" s="22">
        <v>1.5179400000000001</v>
      </c>
      <c r="AR66" s="22">
        <v>227.422</v>
      </c>
      <c r="AS66" s="22">
        <v>-1.21399E-2</v>
      </c>
      <c r="AT66" s="22">
        <v>56</v>
      </c>
      <c r="AU66" s="22">
        <v>1.5179400000000001</v>
      </c>
      <c r="AV66">
        <f t="shared" si="8"/>
        <v>12.139900000000001</v>
      </c>
      <c r="AW66">
        <f t="shared" si="9"/>
        <v>18.427639806000002</v>
      </c>
      <c r="AX66" s="9"/>
      <c r="AY66" s="22">
        <v>0.182037</v>
      </c>
      <c r="AZ66" s="22">
        <v>261.76299999999998</v>
      </c>
      <c r="BA66" s="22">
        <v>-1.56677E-2</v>
      </c>
      <c r="BB66" s="22">
        <v>56</v>
      </c>
      <c r="BC66" s="22">
        <v>0.181427</v>
      </c>
      <c r="BD66">
        <f t="shared" si="10"/>
        <v>15.6677</v>
      </c>
      <c r="BE66">
        <f t="shared" si="11"/>
        <v>2.8521011049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49.629199999999997</v>
      </c>
      <c r="I67" s="22">
        <v>-1.2472499999999999E-2</v>
      </c>
      <c r="J67" s="22">
        <v>57</v>
      </c>
      <c r="K67" s="22">
        <v>1.5121500000000001</v>
      </c>
      <c r="L67">
        <f t="shared" si="0"/>
        <v>12.472499999999998</v>
      </c>
      <c r="M67">
        <f t="shared" si="1"/>
        <v>18.869769974999997</v>
      </c>
      <c r="N67" s="9"/>
      <c r="O67" s="22">
        <v>0.18707299999999999</v>
      </c>
      <c r="P67" s="22">
        <v>99.055599999999998</v>
      </c>
      <c r="Q67" s="22">
        <v>-1.5805099999999999E-2</v>
      </c>
      <c r="R67" s="22">
        <v>57</v>
      </c>
      <c r="S67" s="22">
        <v>0.186554</v>
      </c>
      <c r="T67">
        <f t="shared" si="2"/>
        <v>15.805099999999999</v>
      </c>
      <c r="U67">
        <f t="shared" si="3"/>
        <v>2.9567074722999998</v>
      </c>
      <c r="X67" s="9"/>
      <c r="Y67" s="22">
        <v>1.51291</v>
      </c>
      <c r="Z67" s="22">
        <v>128.51300000000001</v>
      </c>
      <c r="AA67" s="22">
        <v>-1.2423699999999999E-2</v>
      </c>
      <c r="AB67" s="22">
        <v>57</v>
      </c>
      <c r="AC67" s="22">
        <v>1.5121500000000001</v>
      </c>
      <c r="AD67">
        <f t="shared" si="4"/>
        <v>12.4237</v>
      </c>
      <c r="AE67">
        <f t="shared" si="5"/>
        <v>18.795939966999999</v>
      </c>
      <c r="AF67" s="9"/>
      <c r="AG67" s="22">
        <v>0.18707299999999999</v>
      </c>
      <c r="AH67" s="22">
        <v>177.98599999999999</v>
      </c>
      <c r="AI67" s="22">
        <v>-1.5695199999999999E-2</v>
      </c>
      <c r="AJ67" s="22">
        <v>57</v>
      </c>
      <c r="AK67" s="22">
        <v>0.18646199999999999</v>
      </c>
      <c r="AL67">
        <f t="shared" si="6"/>
        <v>15.6952</v>
      </c>
      <c r="AM67">
        <f t="shared" si="7"/>
        <v>2.9361481495999997</v>
      </c>
      <c r="AP67" s="9"/>
      <c r="AQ67" s="22">
        <v>1.51291</v>
      </c>
      <c r="AR67" s="22">
        <v>227.43299999999999</v>
      </c>
      <c r="AS67" s="22">
        <v>-1.22375E-2</v>
      </c>
      <c r="AT67" s="22">
        <v>57</v>
      </c>
      <c r="AU67" s="22">
        <v>1.5127600000000001</v>
      </c>
      <c r="AV67">
        <f t="shared" si="8"/>
        <v>12.237500000000001</v>
      </c>
      <c r="AW67">
        <f t="shared" si="9"/>
        <v>18.514236125</v>
      </c>
      <c r="AX67" s="9"/>
      <c r="AY67" s="22">
        <v>0.18707299999999999</v>
      </c>
      <c r="AZ67" s="22">
        <v>261.77300000000002</v>
      </c>
      <c r="BA67" s="22">
        <v>-1.56647E-2</v>
      </c>
      <c r="BB67" s="22">
        <v>57</v>
      </c>
      <c r="BC67" s="22">
        <v>0.186554</v>
      </c>
      <c r="BD67">
        <f t="shared" si="10"/>
        <v>15.6647</v>
      </c>
      <c r="BE67">
        <f t="shared" si="11"/>
        <v>2.9304424230999997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49.639299999999999</v>
      </c>
      <c r="I68" s="22">
        <v>-1.2594599999999999E-2</v>
      </c>
      <c r="J68" s="22">
        <v>58</v>
      </c>
      <c r="K68" s="22">
        <v>1.50726</v>
      </c>
      <c r="L68">
        <f t="shared" si="0"/>
        <v>12.5946</v>
      </c>
      <c r="M68">
        <f t="shared" si="1"/>
        <v>18.991019502</v>
      </c>
      <c r="N68" s="9"/>
      <c r="O68" s="22">
        <v>0.192108</v>
      </c>
      <c r="P68" s="22">
        <v>99.065700000000007</v>
      </c>
      <c r="Q68" s="22">
        <v>-1.5802E-2</v>
      </c>
      <c r="R68" s="22">
        <v>58</v>
      </c>
      <c r="S68" s="22">
        <v>0.19140599999999999</v>
      </c>
      <c r="T68">
        <f t="shared" si="2"/>
        <v>15.802</v>
      </c>
      <c r="U68">
        <f t="shared" si="3"/>
        <v>3.0356906160000001</v>
      </c>
      <c r="X68" s="9"/>
      <c r="Y68" s="22">
        <v>1.50787</v>
      </c>
      <c r="Z68" s="22">
        <v>128.523</v>
      </c>
      <c r="AA68" s="22">
        <v>-1.2533600000000001E-2</v>
      </c>
      <c r="AB68" s="22">
        <v>58</v>
      </c>
      <c r="AC68" s="22">
        <v>1.50665</v>
      </c>
      <c r="AD68">
        <f t="shared" si="4"/>
        <v>12.5336</v>
      </c>
      <c r="AE68">
        <f t="shared" si="5"/>
        <v>18.899039431999999</v>
      </c>
      <c r="AF68" s="9"/>
      <c r="AG68" s="22">
        <v>0.192108</v>
      </c>
      <c r="AH68" s="22">
        <v>177.99600000000001</v>
      </c>
      <c r="AI68" s="22">
        <v>-1.5682999999999999E-2</v>
      </c>
      <c r="AJ68" s="22">
        <v>58</v>
      </c>
      <c r="AK68" s="22">
        <v>0.191498</v>
      </c>
      <c r="AL68">
        <f t="shared" si="6"/>
        <v>15.683</v>
      </c>
      <c r="AM68">
        <f t="shared" si="7"/>
        <v>3.0128297640000001</v>
      </c>
      <c r="AP68" s="9"/>
      <c r="AQ68" s="22">
        <v>1.50787</v>
      </c>
      <c r="AR68" s="22">
        <v>227.44300000000001</v>
      </c>
      <c r="AS68" s="22">
        <v>-1.23383E-2</v>
      </c>
      <c r="AT68" s="22">
        <v>58</v>
      </c>
      <c r="AU68" s="22">
        <v>1.50726</v>
      </c>
      <c r="AV68">
        <f t="shared" si="8"/>
        <v>12.3383</v>
      </c>
      <c r="AW68">
        <f t="shared" si="9"/>
        <v>18.604552421000001</v>
      </c>
      <c r="AX68" s="9"/>
      <c r="AY68" s="22">
        <v>0.192108</v>
      </c>
      <c r="AZ68" s="22">
        <v>261.78300000000002</v>
      </c>
      <c r="BA68" s="22">
        <v>-1.5661600000000001E-2</v>
      </c>
      <c r="BB68" s="22">
        <v>58</v>
      </c>
      <c r="BC68" s="22">
        <v>0.191498</v>
      </c>
      <c r="BD68">
        <f t="shared" si="10"/>
        <v>15.661600000000002</v>
      </c>
      <c r="BE68">
        <f t="shared" si="11"/>
        <v>3.0087186528000003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49.649299999999997</v>
      </c>
      <c r="I69" s="22">
        <v>-1.26953E-2</v>
      </c>
      <c r="J69" s="22">
        <v>59</v>
      </c>
      <c r="K69" s="22">
        <v>1.50238</v>
      </c>
      <c r="L69">
        <f t="shared" si="0"/>
        <v>12.6953</v>
      </c>
      <c r="M69">
        <f t="shared" si="1"/>
        <v>19.079004651999998</v>
      </c>
      <c r="N69" s="9"/>
      <c r="O69" s="22">
        <v>0.19714400000000001</v>
      </c>
      <c r="P69" s="22">
        <v>99.075699999999998</v>
      </c>
      <c r="Q69" s="22">
        <v>-1.5802E-2</v>
      </c>
      <c r="R69" s="22">
        <v>59</v>
      </c>
      <c r="S69" s="22">
        <v>0.19656399999999999</v>
      </c>
      <c r="T69">
        <f t="shared" si="2"/>
        <v>15.802</v>
      </c>
      <c r="U69">
        <f t="shared" si="3"/>
        <v>3.115269488</v>
      </c>
      <c r="X69" s="9"/>
      <c r="Y69" s="22">
        <v>1.50284</v>
      </c>
      <c r="Z69" s="22">
        <v>128.53299999999999</v>
      </c>
      <c r="AA69" s="22">
        <v>-1.26312E-2</v>
      </c>
      <c r="AB69" s="22">
        <v>59</v>
      </c>
      <c r="AC69" s="22">
        <v>1.50238</v>
      </c>
      <c r="AD69">
        <f t="shared" si="4"/>
        <v>12.6312</v>
      </c>
      <c r="AE69">
        <f t="shared" si="5"/>
        <v>18.982672607999998</v>
      </c>
      <c r="AF69" s="9"/>
      <c r="AG69" s="22">
        <v>0.19714400000000001</v>
      </c>
      <c r="AH69" s="22">
        <v>178.006</v>
      </c>
      <c r="AI69" s="22">
        <v>-1.56799E-2</v>
      </c>
      <c r="AJ69" s="22">
        <v>59</v>
      </c>
      <c r="AK69" s="22">
        <v>0.19656399999999999</v>
      </c>
      <c r="AL69">
        <f t="shared" si="6"/>
        <v>15.6799</v>
      </c>
      <c r="AM69">
        <f t="shared" si="7"/>
        <v>3.0911982056</v>
      </c>
      <c r="AP69" s="9"/>
      <c r="AQ69" s="22">
        <v>1.50284</v>
      </c>
      <c r="AR69" s="22">
        <v>227.453</v>
      </c>
      <c r="AS69" s="22">
        <v>-1.24329E-2</v>
      </c>
      <c r="AT69" s="22">
        <v>59</v>
      </c>
      <c r="AU69" s="22">
        <v>1.50238</v>
      </c>
      <c r="AV69">
        <f t="shared" si="8"/>
        <v>12.4329</v>
      </c>
      <c r="AW69">
        <f t="shared" si="9"/>
        <v>18.684659436</v>
      </c>
      <c r="AX69" s="9"/>
      <c r="AY69" s="22">
        <v>0.19714400000000001</v>
      </c>
      <c r="AZ69" s="22">
        <v>261.79300000000001</v>
      </c>
      <c r="BA69" s="22">
        <v>-1.5655499999999999E-2</v>
      </c>
      <c r="BB69" s="22">
        <v>59</v>
      </c>
      <c r="BC69" s="22">
        <v>0.19659399999999999</v>
      </c>
      <c r="BD69">
        <f t="shared" si="10"/>
        <v>15.6555</v>
      </c>
      <c r="BE69">
        <f t="shared" si="11"/>
        <v>3.0863878920000003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49.659399999999998</v>
      </c>
      <c r="I70" s="22">
        <v>-1.27899E-2</v>
      </c>
      <c r="J70" s="22">
        <v>60</v>
      </c>
      <c r="K70" s="22">
        <v>1.4968900000000001</v>
      </c>
      <c r="L70">
        <f t="shared" si="0"/>
        <v>12.789899999999999</v>
      </c>
      <c r="M70">
        <f t="shared" si="1"/>
        <v>19.156712219999999</v>
      </c>
      <c r="N70" s="9"/>
      <c r="O70" s="22">
        <v>0.202179</v>
      </c>
      <c r="P70" s="22">
        <v>99.085800000000006</v>
      </c>
      <c r="Q70" s="22">
        <v>-1.5795900000000002E-2</v>
      </c>
      <c r="R70" s="22">
        <v>60</v>
      </c>
      <c r="S70" s="22">
        <v>0.20153799999999999</v>
      </c>
      <c r="T70">
        <f t="shared" si="2"/>
        <v>15.795900000000001</v>
      </c>
      <c r="U70">
        <f t="shared" si="3"/>
        <v>3.1935992661000001</v>
      </c>
      <c r="X70" s="9"/>
      <c r="Y70" s="22">
        <v>1.4978</v>
      </c>
      <c r="Z70" s="22">
        <v>128.54300000000001</v>
      </c>
      <c r="AA70" s="22">
        <v>-1.2722799999999999E-2</v>
      </c>
      <c r="AB70" s="22">
        <v>60</v>
      </c>
      <c r="AC70" s="22">
        <v>1.4962800000000001</v>
      </c>
      <c r="AD70">
        <f t="shared" si="4"/>
        <v>12.722799999999999</v>
      </c>
      <c r="AE70">
        <f t="shared" si="5"/>
        <v>19.056209840000001</v>
      </c>
      <c r="AF70" s="9"/>
      <c r="AG70" s="22">
        <v>0.202179</v>
      </c>
      <c r="AH70" s="22">
        <v>178.01599999999999</v>
      </c>
      <c r="AI70" s="22">
        <v>-1.56799E-2</v>
      </c>
      <c r="AJ70" s="22">
        <v>60</v>
      </c>
      <c r="AK70" s="22">
        <v>0.201569</v>
      </c>
      <c r="AL70">
        <f t="shared" si="6"/>
        <v>15.6799</v>
      </c>
      <c r="AM70">
        <f t="shared" si="7"/>
        <v>3.1701465021000002</v>
      </c>
      <c r="AP70" s="9"/>
      <c r="AQ70" s="22">
        <v>1.4978</v>
      </c>
      <c r="AR70" s="22">
        <v>227.46299999999999</v>
      </c>
      <c r="AS70" s="22">
        <v>-1.25244E-2</v>
      </c>
      <c r="AT70" s="22">
        <v>60</v>
      </c>
      <c r="AU70" s="22">
        <v>1.4975000000000001</v>
      </c>
      <c r="AV70">
        <f t="shared" si="8"/>
        <v>12.5244</v>
      </c>
      <c r="AW70">
        <f t="shared" si="9"/>
        <v>18.759046319999999</v>
      </c>
      <c r="AX70" s="9"/>
      <c r="AY70" s="22">
        <v>0.202179</v>
      </c>
      <c r="AZ70" s="22">
        <v>261.803</v>
      </c>
      <c r="BA70" s="22">
        <v>-1.56525E-2</v>
      </c>
      <c r="BB70" s="22">
        <v>60</v>
      </c>
      <c r="BC70" s="22">
        <v>0.20163</v>
      </c>
      <c r="BD70">
        <f t="shared" si="10"/>
        <v>15.6525</v>
      </c>
      <c r="BE70">
        <f t="shared" si="11"/>
        <v>3.1646067974999998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49.669499999999999</v>
      </c>
      <c r="I71" s="22">
        <v>-1.28845E-2</v>
      </c>
      <c r="J71" s="22">
        <v>61</v>
      </c>
      <c r="K71" s="22">
        <v>1.49231</v>
      </c>
      <c r="L71">
        <f t="shared" si="0"/>
        <v>12.884500000000001</v>
      </c>
      <c r="M71">
        <f t="shared" si="1"/>
        <v>19.233595064999999</v>
      </c>
      <c r="N71" s="9"/>
      <c r="O71" s="22">
        <v>0.20721400000000001</v>
      </c>
      <c r="P71" s="22">
        <v>99.0959</v>
      </c>
      <c r="Q71" s="22">
        <v>-1.57898E-2</v>
      </c>
      <c r="R71" s="22">
        <v>61</v>
      </c>
      <c r="S71" s="22">
        <v>0.20657300000000001</v>
      </c>
      <c r="T71">
        <f t="shared" si="2"/>
        <v>15.7898</v>
      </c>
      <c r="U71">
        <f t="shared" si="3"/>
        <v>3.2718676171999999</v>
      </c>
      <c r="X71" s="9"/>
      <c r="Y71" s="22">
        <v>1.4927699999999999</v>
      </c>
      <c r="Z71" s="22">
        <v>128.553</v>
      </c>
      <c r="AA71" s="22">
        <v>-1.2814300000000001E-2</v>
      </c>
      <c r="AB71" s="22">
        <v>61</v>
      </c>
      <c r="AC71" s="22">
        <v>1.492</v>
      </c>
      <c r="AD71">
        <f t="shared" si="4"/>
        <v>12.814300000000001</v>
      </c>
      <c r="AE71">
        <f t="shared" si="5"/>
        <v>19.128802611000001</v>
      </c>
      <c r="AF71" s="9"/>
      <c r="AG71" s="22">
        <v>0.20721400000000001</v>
      </c>
      <c r="AH71" s="22">
        <v>178.02600000000001</v>
      </c>
      <c r="AI71" s="22">
        <v>-1.5682999999999999E-2</v>
      </c>
      <c r="AJ71" s="22">
        <v>61</v>
      </c>
      <c r="AK71" s="22">
        <v>0.20663500000000001</v>
      </c>
      <c r="AL71">
        <f t="shared" si="6"/>
        <v>15.683</v>
      </c>
      <c r="AM71">
        <f t="shared" si="7"/>
        <v>3.2497371620000002</v>
      </c>
      <c r="AP71" s="9"/>
      <c r="AQ71" s="22">
        <v>1.4927699999999999</v>
      </c>
      <c r="AR71" s="22">
        <v>227.47300000000001</v>
      </c>
      <c r="AS71" s="22">
        <v>-1.26129E-2</v>
      </c>
      <c r="AT71" s="22">
        <v>61</v>
      </c>
      <c r="AU71" s="22">
        <v>1.49261</v>
      </c>
      <c r="AV71">
        <f t="shared" si="8"/>
        <v>12.6129</v>
      </c>
      <c r="AW71">
        <f t="shared" si="9"/>
        <v>18.828158732999999</v>
      </c>
      <c r="AX71" s="9"/>
      <c r="AY71" s="22">
        <v>0.20721400000000001</v>
      </c>
      <c r="AZ71" s="22">
        <v>261.81299999999999</v>
      </c>
      <c r="BA71" s="22">
        <v>-1.5646400000000001E-2</v>
      </c>
      <c r="BB71" s="22">
        <v>61</v>
      </c>
      <c r="BC71" s="22">
        <v>0.20663500000000001</v>
      </c>
      <c r="BD71">
        <f t="shared" si="10"/>
        <v>15.646400000000002</v>
      </c>
      <c r="BE71">
        <f t="shared" si="11"/>
        <v>3.2421531296000006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49.679499999999997</v>
      </c>
      <c r="I72" s="22">
        <v>-1.2970000000000001E-2</v>
      </c>
      <c r="J72" s="22">
        <v>62</v>
      </c>
      <c r="K72" s="22">
        <v>1.48712</v>
      </c>
      <c r="L72">
        <f t="shared" si="0"/>
        <v>12.97</v>
      </c>
      <c r="M72">
        <f t="shared" si="1"/>
        <v>19.2958581</v>
      </c>
      <c r="N72" s="9"/>
      <c r="O72" s="22">
        <v>0.21224999999999999</v>
      </c>
      <c r="P72" s="22">
        <v>99.105999999999995</v>
      </c>
      <c r="Q72" s="22">
        <v>-1.5786700000000001E-2</v>
      </c>
      <c r="R72" s="22">
        <v>62</v>
      </c>
      <c r="S72" s="22">
        <v>0.211761</v>
      </c>
      <c r="T72">
        <f t="shared" si="2"/>
        <v>15.786700000000002</v>
      </c>
      <c r="U72">
        <f t="shared" si="3"/>
        <v>3.3507270750000004</v>
      </c>
      <c r="X72" s="9"/>
      <c r="Y72" s="22">
        <v>1.48773</v>
      </c>
      <c r="Z72" s="22">
        <v>128.56299999999999</v>
      </c>
      <c r="AA72" s="22">
        <v>-1.2893699999999999E-2</v>
      </c>
      <c r="AB72" s="22">
        <v>62</v>
      </c>
      <c r="AC72" s="22">
        <v>1.48743</v>
      </c>
      <c r="AD72">
        <f t="shared" si="4"/>
        <v>12.893699999999999</v>
      </c>
      <c r="AE72">
        <f t="shared" si="5"/>
        <v>19.182344300999997</v>
      </c>
      <c r="AF72" s="9"/>
      <c r="AG72" s="22">
        <v>0.21224999999999999</v>
      </c>
      <c r="AH72" s="22">
        <v>178.036</v>
      </c>
      <c r="AI72" s="22">
        <v>-1.5685999999999999E-2</v>
      </c>
      <c r="AJ72" s="22">
        <v>62</v>
      </c>
      <c r="AK72" s="22">
        <v>0.2117</v>
      </c>
      <c r="AL72">
        <f t="shared" si="6"/>
        <v>15.685999999999998</v>
      </c>
      <c r="AM72">
        <f t="shared" si="7"/>
        <v>3.3293534999999994</v>
      </c>
      <c r="AP72" s="9"/>
      <c r="AQ72" s="22">
        <v>1.48773</v>
      </c>
      <c r="AR72" s="22">
        <v>227.483</v>
      </c>
      <c r="AS72" s="22">
        <v>-1.26953E-2</v>
      </c>
      <c r="AT72" s="22">
        <v>62</v>
      </c>
      <c r="AU72" s="22">
        <v>1.48773</v>
      </c>
      <c r="AV72">
        <f t="shared" si="8"/>
        <v>12.6953</v>
      </c>
      <c r="AW72">
        <f t="shared" si="9"/>
        <v>18.887178669000001</v>
      </c>
      <c r="AX72" s="9"/>
      <c r="AY72" s="22">
        <v>0.21224999999999999</v>
      </c>
      <c r="AZ72" s="22">
        <v>261.82299999999998</v>
      </c>
      <c r="BA72" s="22">
        <v>-1.5646400000000001E-2</v>
      </c>
      <c r="BB72" s="22">
        <v>62</v>
      </c>
      <c r="BC72" s="22">
        <v>0.21160899999999999</v>
      </c>
      <c r="BD72">
        <f t="shared" si="10"/>
        <v>15.646400000000002</v>
      </c>
      <c r="BE72">
        <f t="shared" si="11"/>
        <v>3.3209484000000002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49.689599999999999</v>
      </c>
      <c r="I73" s="22">
        <v>-1.3064600000000001E-2</v>
      </c>
      <c r="J73" s="22">
        <v>63</v>
      </c>
      <c r="K73" s="22">
        <v>1.48224</v>
      </c>
      <c r="L73">
        <f t="shared" si="0"/>
        <v>13.0646</v>
      </c>
      <c r="M73">
        <f t="shared" si="1"/>
        <v>19.370882420000001</v>
      </c>
      <c r="N73" s="9"/>
      <c r="O73" s="22">
        <v>0.21728500000000001</v>
      </c>
      <c r="P73" s="22">
        <v>99.116</v>
      </c>
      <c r="Q73" s="22">
        <v>-1.5783700000000001E-2</v>
      </c>
      <c r="R73" s="22">
        <v>63</v>
      </c>
      <c r="S73" s="22">
        <v>0.21679699999999999</v>
      </c>
      <c r="T73">
        <f t="shared" si="2"/>
        <v>15.783700000000001</v>
      </c>
      <c r="U73">
        <f t="shared" si="3"/>
        <v>3.4295612545000003</v>
      </c>
      <c r="X73" s="9"/>
      <c r="Y73" s="22">
        <v>1.4826999999999999</v>
      </c>
      <c r="Z73" s="22">
        <v>128.57300000000001</v>
      </c>
      <c r="AA73" s="22">
        <v>-1.29639E-2</v>
      </c>
      <c r="AB73" s="22">
        <v>63</v>
      </c>
      <c r="AC73" s="22">
        <v>1.48163</v>
      </c>
      <c r="AD73">
        <f t="shared" si="4"/>
        <v>12.963900000000001</v>
      </c>
      <c r="AE73">
        <f t="shared" si="5"/>
        <v>19.221574529999998</v>
      </c>
      <c r="AF73" s="9"/>
      <c r="AG73" s="22">
        <v>0.21728500000000001</v>
      </c>
      <c r="AH73" s="22">
        <v>178.047</v>
      </c>
      <c r="AI73" s="22">
        <v>-1.5682999999999999E-2</v>
      </c>
      <c r="AJ73" s="22">
        <v>63</v>
      </c>
      <c r="AK73" s="22">
        <v>0.21667500000000001</v>
      </c>
      <c r="AL73">
        <f t="shared" si="6"/>
        <v>15.683</v>
      </c>
      <c r="AM73">
        <f t="shared" si="7"/>
        <v>3.4076806550000001</v>
      </c>
      <c r="AP73" s="9"/>
      <c r="AQ73" s="22">
        <v>1.4826999999999999</v>
      </c>
      <c r="AR73" s="22">
        <v>227.49299999999999</v>
      </c>
      <c r="AS73" s="22">
        <v>-1.27808E-2</v>
      </c>
      <c r="AT73" s="22">
        <v>63</v>
      </c>
      <c r="AU73" s="22">
        <v>1.48163</v>
      </c>
      <c r="AV73">
        <f t="shared" si="8"/>
        <v>12.780799999999999</v>
      </c>
      <c r="AW73">
        <f t="shared" si="9"/>
        <v>18.950092159999997</v>
      </c>
      <c r="AX73" s="9"/>
      <c r="AY73" s="22">
        <v>0.21728500000000001</v>
      </c>
      <c r="AZ73" s="22">
        <v>261.83300000000003</v>
      </c>
      <c r="BA73" s="22">
        <v>-1.5646400000000001E-2</v>
      </c>
      <c r="BB73" s="22">
        <v>63</v>
      </c>
      <c r="BC73" s="22">
        <v>0.216644</v>
      </c>
      <c r="BD73">
        <f t="shared" si="10"/>
        <v>15.646400000000002</v>
      </c>
      <c r="BE73">
        <f t="shared" si="11"/>
        <v>3.3997280240000003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49.6997</v>
      </c>
      <c r="I74" s="22">
        <v>-1.3159199999999999E-2</v>
      </c>
      <c r="J74" s="22">
        <v>64</v>
      </c>
      <c r="K74" s="22">
        <v>1.47705</v>
      </c>
      <c r="L74">
        <f t="shared" si="0"/>
        <v>13.1592</v>
      </c>
      <c r="M74">
        <f t="shared" si="1"/>
        <v>19.444823471999999</v>
      </c>
      <c r="N74" s="9"/>
      <c r="O74" s="22">
        <v>0.22232099999999999</v>
      </c>
      <c r="P74" s="22">
        <v>99.126099999999994</v>
      </c>
      <c r="Q74" s="22">
        <v>-1.5786700000000001E-2</v>
      </c>
      <c r="R74" s="22">
        <v>64</v>
      </c>
      <c r="S74" s="22">
        <v>0.22161900000000001</v>
      </c>
      <c r="T74">
        <f t="shared" si="2"/>
        <v>15.786700000000002</v>
      </c>
      <c r="U74">
        <f t="shared" si="3"/>
        <v>3.5097149307000004</v>
      </c>
      <c r="X74" s="9"/>
      <c r="Y74" s="22">
        <v>1.47766</v>
      </c>
      <c r="Z74" s="22">
        <v>128.583</v>
      </c>
      <c r="AA74" s="22">
        <v>-1.30463E-2</v>
      </c>
      <c r="AB74" s="22">
        <v>64</v>
      </c>
      <c r="AC74" s="22">
        <v>1.47705</v>
      </c>
      <c r="AD74">
        <f t="shared" si="4"/>
        <v>13.0463</v>
      </c>
      <c r="AE74">
        <f t="shared" si="5"/>
        <v>19.277995658000002</v>
      </c>
      <c r="AF74" s="9"/>
      <c r="AG74" s="22">
        <v>0.22232099999999999</v>
      </c>
      <c r="AH74" s="22">
        <v>178.05699999999999</v>
      </c>
      <c r="AI74" s="22">
        <v>-1.5682999999999999E-2</v>
      </c>
      <c r="AJ74" s="22">
        <v>64</v>
      </c>
      <c r="AK74" s="22">
        <v>0.22174099999999999</v>
      </c>
      <c r="AL74">
        <f t="shared" si="6"/>
        <v>15.683</v>
      </c>
      <c r="AM74">
        <f t="shared" si="7"/>
        <v>3.4866602429999998</v>
      </c>
      <c r="AP74" s="9"/>
      <c r="AQ74" s="22">
        <v>1.47766</v>
      </c>
      <c r="AR74" s="22">
        <v>227.50299999999999</v>
      </c>
      <c r="AS74" s="22">
        <v>-1.2860099999999999E-2</v>
      </c>
      <c r="AT74" s="22">
        <v>64</v>
      </c>
      <c r="AU74" s="22">
        <v>1.47705</v>
      </c>
      <c r="AV74">
        <f t="shared" si="8"/>
        <v>12.860099999999999</v>
      </c>
      <c r="AW74">
        <f t="shared" si="9"/>
        <v>19.002855365999999</v>
      </c>
      <c r="AX74" s="9"/>
      <c r="AY74" s="22">
        <v>0.22232099999999999</v>
      </c>
      <c r="AZ74" s="22">
        <v>261.84300000000002</v>
      </c>
      <c r="BA74" s="22">
        <v>-1.5649400000000001E-2</v>
      </c>
      <c r="BB74" s="22">
        <v>64</v>
      </c>
      <c r="BC74" s="22">
        <v>0.22167999999999999</v>
      </c>
      <c r="BD74">
        <f t="shared" si="10"/>
        <v>15.6494</v>
      </c>
      <c r="BE74">
        <f t="shared" si="11"/>
        <v>3.4791902574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49.709800000000001</v>
      </c>
      <c r="I75" s="22">
        <v>-1.32385E-2</v>
      </c>
      <c r="J75" s="22">
        <v>65</v>
      </c>
      <c r="K75" s="22">
        <v>1.4718599999999999</v>
      </c>
      <c r="L75">
        <f t="shared" si="0"/>
        <v>13.2385</v>
      </c>
      <c r="M75">
        <f t="shared" si="1"/>
        <v>19.495412255000002</v>
      </c>
      <c r="N75" s="9"/>
      <c r="O75" s="22">
        <v>0.227356</v>
      </c>
      <c r="P75" s="22">
        <v>99.136200000000002</v>
      </c>
      <c r="Q75" s="22">
        <v>-1.57898E-2</v>
      </c>
      <c r="R75" s="22">
        <v>65</v>
      </c>
      <c r="S75" s="22">
        <v>0.22677600000000001</v>
      </c>
      <c r="T75">
        <f t="shared" si="2"/>
        <v>15.7898</v>
      </c>
      <c r="U75">
        <f t="shared" si="3"/>
        <v>3.5899057688</v>
      </c>
      <c r="X75" s="9"/>
      <c r="Y75" s="22">
        <v>1.4726300000000001</v>
      </c>
      <c r="Z75" s="22">
        <v>128.59299999999999</v>
      </c>
      <c r="AA75" s="22">
        <v>-1.31226E-2</v>
      </c>
      <c r="AB75" s="22">
        <v>65</v>
      </c>
      <c r="AC75" s="22">
        <v>1.4718599999999999</v>
      </c>
      <c r="AD75">
        <f t="shared" si="4"/>
        <v>13.1226</v>
      </c>
      <c r="AE75">
        <f t="shared" si="5"/>
        <v>19.324734438</v>
      </c>
      <c r="AF75" s="9"/>
      <c r="AG75" s="22">
        <v>0.227356</v>
      </c>
      <c r="AH75" s="22">
        <v>178.06700000000001</v>
      </c>
      <c r="AI75" s="22">
        <v>-1.56799E-2</v>
      </c>
      <c r="AJ75" s="22">
        <v>65</v>
      </c>
      <c r="AK75" s="22">
        <v>0.226715</v>
      </c>
      <c r="AL75">
        <f t="shared" si="6"/>
        <v>15.6799</v>
      </c>
      <c r="AM75">
        <f t="shared" si="7"/>
        <v>3.5649193444000002</v>
      </c>
      <c r="AP75" s="9"/>
      <c r="AQ75" s="22">
        <v>1.4726300000000001</v>
      </c>
      <c r="AR75" s="22">
        <v>227.51300000000001</v>
      </c>
      <c r="AS75" s="22">
        <v>-1.29333E-2</v>
      </c>
      <c r="AT75" s="22">
        <v>65</v>
      </c>
      <c r="AU75" s="22">
        <v>1.4718599999999999</v>
      </c>
      <c r="AV75">
        <f t="shared" si="8"/>
        <v>12.933299999999999</v>
      </c>
      <c r="AW75">
        <f t="shared" si="9"/>
        <v>19.045965579000001</v>
      </c>
      <c r="AX75" s="9"/>
      <c r="AY75" s="22">
        <v>0.227356</v>
      </c>
      <c r="AZ75" s="22">
        <v>261.85300000000001</v>
      </c>
      <c r="BA75" s="22">
        <v>-1.5643299999999999E-2</v>
      </c>
      <c r="BB75" s="22">
        <v>65</v>
      </c>
      <c r="BC75" s="22">
        <v>0.22689799999999999</v>
      </c>
      <c r="BD75">
        <f t="shared" si="10"/>
        <v>15.643299999999998</v>
      </c>
      <c r="BE75">
        <f t="shared" si="11"/>
        <v>3.5565981147999994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49.719799999999999</v>
      </c>
      <c r="I76" s="22">
        <v>-1.3317900000000001E-2</v>
      </c>
      <c r="J76" s="22">
        <v>66</v>
      </c>
      <c r="K76" s="22">
        <v>1.46698</v>
      </c>
      <c r="L76">
        <f t="shared" ref="L76:L139" si="12">-I76/$F$2*1000</f>
        <v>13.3179</v>
      </c>
      <c r="M76">
        <f t="shared" ref="M76:M139" si="13">L76*G76</f>
        <v>19.545216861</v>
      </c>
      <c r="N76" s="9"/>
      <c r="O76" s="22">
        <v>0.23239099999999999</v>
      </c>
      <c r="P76" s="22">
        <v>99.146199999999993</v>
      </c>
      <c r="Q76" s="22">
        <v>-1.57898E-2</v>
      </c>
      <c r="R76" s="22">
        <v>66</v>
      </c>
      <c r="S76" s="22">
        <v>0.23181199999999999</v>
      </c>
      <c r="T76">
        <f t="shared" ref="T76:T139" si="14">-Q76/$F$2*1000</f>
        <v>15.7898</v>
      </c>
      <c r="U76">
        <f t="shared" ref="U76:U139" si="15">T76*O76</f>
        <v>3.6694074117999995</v>
      </c>
      <c r="X76" s="9"/>
      <c r="Y76" s="22">
        <v>1.46759</v>
      </c>
      <c r="Z76" s="22">
        <v>128.60300000000001</v>
      </c>
      <c r="AA76" s="22">
        <v>-1.31989E-2</v>
      </c>
      <c r="AB76" s="22">
        <v>66</v>
      </c>
      <c r="AC76" s="22">
        <v>1.46698</v>
      </c>
      <c r="AD76">
        <f t="shared" ref="AD76:AD139" si="16">-AA76/$F$2*1000</f>
        <v>13.1989</v>
      </c>
      <c r="AE76">
        <f t="shared" ref="AE76:AE139" si="17">AD76*Y76</f>
        <v>19.370573651000001</v>
      </c>
      <c r="AF76" s="9"/>
      <c r="AG76" s="22">
        <v>0.23239099999999999</v>
      </c>
      <c r="AH76" s="22">
        <v>178.077</v>
      </c>
      <c r="AI76" s="22">
        <v>-1.5676900000000001E-2</v>
      </c>
      <c r="AJ76" s="22">
        <v>66</v>
      </c>
      <c r="AK76" s="22">
        <v>0.231873</v>
      </c>
      <c r="AL76">
        <f t="shared" ref="AL76:AL139" si="18">-AI76/$F$2*1000</f>
        <v>15.6769</v>
      </c>
      <c r="AM76">
        <f t="shared" ref="AM76:AM139" si="19">AL76*AG76</f>
        <v>3.6431704678999997</v>
      </c>
      <c r="AP76" s="9"/>
      <c r="AQ76" s="22">
        <v>1.46759</v>
      </c>
      <c r="AR76" s="22">
        <v>227.523</v>
      </c>
      <c r="AS76" s="22">
        <v>-1.2997399999999999E-2</v>
      </c>
      <c r="AT76" s="22">
        <v>66</v>
      </c>
      <c r="AU76" s="22">
        <v>1.46759</v>
      </c>
      <c r="AV76">
        <f t="shared" ref="AV76:AV139" si="20">-AS76/$F$2*1000</f>
        <v>12.997399999999999</v>
      </c>
      <c r="AW76">
        <f t="shared" ref="AW76:AW139" si="21">AV76*AQ76</f>
        <v>19.074854265999999</v>
      </c>
      <c r="AX76" s="9"/>
      <c r="AY76" s="22">
        <v>0.23239099999999999</v>
      </c>
      <c r="AZ76" s="22">
        <v>261.863</v>
      </c>
      <c r="BA76" s="22">
        <v>-1.5640299999999999E-2</v>
      </c>
      <c r="BB76" s="22">
        <v>66</v>
      </c>
      <c r="BC76" s="22">
        <v>0.231628</v>
      </c>
      <c r="BD76">
        <f t="shared" ref="BD76:BD139" si="22">-BA76/$F$2*1000</f>
        <v>15.6403</v>
      </c>
      <c r="BE76">
        <f t="shared" ref="BE76:BE139" si="23">BD76*AY76</f>
        <v>3.6346649572999996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49.729900000000001</v>
      </c>
      <c r="I77" s="22">
        <v>-1.33942E-2</v>
      </c>
      <c r="J77" s="22">
        <v>67</v>
      </c>
      <c r="K77" s="22">
        <v>1.4621</v>
      </c>
      <c r="L77">
        <f t="shared" si="12"/>
        <v>13.3942</v>
      </c>
      <c r="M77">
        <f t="shared" si="13"/>
        <v>19.589687210000001</v>
      </c>
      <c r="N77" s="9"/>
      <c r="O77" s="22">
        <v>0.237427</v>
      </c>
      <c r="P77" s="22">
        <v>99.156300000000002</v>
      </c>
      <c r="Q77" s="22">
        <v>-1.5786700000000001E-2</v>
      </c>
      <c r="R77" s="22">
        <v>67</v>
      </c>
      <c r="S77" s="22">
        <v>0.236877</v>
      </c>
      <c r="T77">
        <f t="shared" si="14"/>
        <v>15.786700000000002</v>
      </c>
      <c r="U77">
        <f t="shared" si="15"/>
        <v>3.7481888209000003</v>
      </c>
      <c r="X77" s="9"/>
      <c r="Y77" s="22">
        <v>1.46255</v>
      </c>
      <c r="Z77" s="22">
        <v>128.613</v>
      </c>
      <c r="AA77" s="22">
        <v>-1.32751E-2</v>
      </c>
      <c r="AB77" s="22">
        <v>67</v>
      </c>
      <c r="AC77" s="22">
        <v>1.4617899999999999</v>
      </c>
      <c r="AD77">
        <f t="shared" si="16"/>
        <v>13.2751</v>
      </c>
      <c r="AE77">
        <f t="shared" si="17"/>
        <v>19.415497505000001</v>
      </c>
      <c r="AF77" s="9"/>
      <c r="AG77" s="22">
        <v>0.237427</v>
      </c>
      <c r="AH77" s="22">
        <v>178.08699999999999</v>
      </c>
      <c r="AI77" s="22">
        <v>-1.5670799999999999E-2</v>
      </c>
      <c r="AJ77" s="22">
        <v>67</v>
      </c>
      <c r="AK77" s="22">
        <v>0.236786</v>
      </c>
      <c r="AL77">
        <f t="shared" si="18"/>
        <v>15.670799999999998</v>
      </c>
      <c r="AM77">
        <f t="shared" si="19"/>
        <v>3.7206710315999993</v>
      </c>
      <c r="AP77" s="9"/>
      <c r="AQ77" s="22">
        <v>1.46255</v>
      </c>
      <c r="AR77" s="22">
        <v>227.53299999999999</v>
      </c>
      <c r="AS77" s="22">
        <v>-1.30676E-2</v>
      </c>
      <c r="AT77" s="22">
        <v>67</v>
      </c>
      <c r="AU77" s="22">
        <v>1.4623999999999999</v>
      </c>
      <c r="AV77">
        <f t="shared" si="20"/>
        <v>13.067600000000001</v>
      </c>
      <c r="AW77">
        <f t="shared" si="21"/>
        <v>19.112018380000002</v>
      </c>
      <c r="AX77" s="9"/>
      <c r="AY77" s="22">
        <v>0.237427</v>
      </c>
      <c r="AZ77" s="22">
        <v>261.87299999999999</v>
      </c>
      <c r="BA77" s="22">
        <v>-1.56372E-2</v>
      </c>
      <c r="BB77" s="22">
        <v>67</v>
      </c>
      <c r="BC77" s="22">
        <v>0.236847</v>
      </c>
      <c r="BD77">
        <f t="shared" si="22"/>
        <v>15.6372</v>
      </c>
      <c r="BE77">
        <f t="shared" si="23"/>
        <v>3.7126934843999999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49.74</v>
      </c>
      <c r="I78" s="22">
        <v>-1.3473499999999999E-2</v>
      </c>
      <c r="J78" s="22">
        <v>68</v>
      </c>
      <c r="K78" s="22">
        <v>1.4572099999999999</v>
      </c>
      <c r="L78">
        <f t="shared" si="12"/>
        <v>13.4735</v>
      </c>
      <c r="M78">
        <f t="shared" si="13"/>
        <v>19.637895719999999</v>
      </c>
      <c r="N78" s="9"/>
      <c r="O78" s="22">
        <v>0.24246200000000001</v>
      </c>
      <c r="P78" s="22">
        <v>99.166399999999996</v>
      </c>
      <c r="Q78" s="22">
        <v>-1.5780599999999999E-2</v>
      </c>
      <c r="R78" s="22">
        <v>68</v>
      </c>
      <c r="S78" s="22">
        <v>0.24182100000000001</v>
      </c>
      <c r="T78">
        <f t="shared" si="14"/>
        <v>15.780599999999998</v>
      </c>
      <c r="U78">
        <f t="shared" si="15"/>
        <v>3.8261958371999998</v>
      </c>
      <c r="X78" s="9"/>
      <c r="Y78" s="22">
        <v>1.4575199999999999</v>
      </c>
      <c r="Z78" s="22">
        <v>128.62299999999999</v>
      </c>
      <c r="AA78" s="22">
        <v>-1.33484E-2</v>
      </c>
      <c r="AB78" s="22">
        <v>68</v>
      </c>
      <c r="AC78" s="22">
        <v>1.4569099999999999</v>
      </c>
      <c r="AD78">
        <f t="shared" si="16"/>
        <v>13.3484</v>
      </c>
      <c r="AE78">
        <f t="shared" si="17"/>
        <v>19.455559967999999</v>
      </c>
      <c r="AF78" s="9"/>
      <c r="AG78" s="22">
        <v>0.24246200000000001</v>
      </c>
      <c r="AH78" s="22">
        <v>178.09700000000001</v>
      </c>
      <c r="AI78" s="22">
        <v>-1.56647E-2</v>
      </c>
      <c r="AJ78" s="22">
        <v>68</v>
      </c>
      <c r="AK78" s="22">
        <v>0.24185200000000001</v>
      </c>
      <c r="AL78">
        <f t="shared" si="18"/>
        <v>15.6647</v>
      </c>
      <c r="AM78">
        <f t="shared" si="19"/>
        <v>3.7980944914000001</v>
      </c>
      <c r="AP78" s="9"/>
      <c r="AQ78" s="22">
        <v>1.4575199999999999</v>
      </c>
      <c r="AR78" s="22">
        <v>227.54300000000001</v>
      </c>
      <c r="AS78" s="22">
        <v>-1.31317E-2</v>
      </c>
      <c r="AT78" s="22">
        <v>68</v>
      </c>
      <c r="AU78" s="22">
        <v>1.4569099999999999</v>
      </c>
      <c r="AV78">
        <f t="shared" si="20"/>
        <v>13.1317</v>
      </c>
      <c r="AW78">
        <f t="shared" si="21"/>
        <v>19.139715383999999</v>
      </c>
      <c r="AX78" s="9"/>
      <c r="AY78" s="22">
        <v>0.24246200000000001</v>
      </c>
      <c r="AZ78" s="22">
        <v>261.88299999999998</v>
      </c>
      <c r="BA78" s="22">
        <v>-1.56372E-2</v>
      </c>
      <c r="BB78" s="22">
        <v>68</v>
      </c>
      <c r="BC78" s="22">
        <v>0.24191299999999999</v>
      </c>
      <c r="BD78">
        <f t="shared" si="22"/>
        <v>15.6372</v>
      </c>
      <c r="BE78">
        <f t="shared" si="23"/>
        <v>3.7914267864000002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49.75</v>
      </c>
      <c r="I79" s="22">
        <v>-1.3543700000000001E-2</v>
      </c>
      <c r="J79" s="22">
        <v>69</v>
      </c>
      <c r="K79" s="22">
        <v>1.4511099999999999</v>
      </c>
      <c r="L79">
        <f t="shared" si="12"/>
        <v>13.543700000000001</v>
      </c>
      <c r="M79">
        <f t="shared" si="13"/>
        <v>19.671953376000001</v>
      </c>
      <c r="N79" s="9"/>
      <c r="O79" s="22">
        <v>0.247498</v>
      </c>
      <c r="P79" s="22">
        <v>99.176500000000004</v>
      </c>
      <c r="Q79" s="22">
        <v>-1.5771500000000001E-2</v>
      </c>
      <c r="R79" s="22">
        <v>69</v>
      </c>
      <c r="S79" s="22">
        <v>0.24685699999999999</v>
      </c>
      <c r="T79">
        <f t="shared" si="14"/>
        <v>15.771500000000001</v>
      </c>
      <c r="U79">
        <f t="shared" si="15"/>
        <v>3.9034147070000005</v>
      </c>
      <c r="X79" s="9"/>
      <c r="Y79" s="22">
        <v>1.45248</v>
      </c>
      <c r="Z79" s="22">
        <v>128.63399999999999</v>
      </c>
      <c r="AA79" s="22">
        <v>-1.34155E-2</v>
      </c>
      <c r="AB79" s="22">
        <v>69</v>
      </c>
      <c r="AC79" s="22">
        <v>1.4517199999999999</v>
      </c>
      <c r="AD79">
        <f t="shared" si="16"/>
        <v>13.4155</v>
      </c>
      <c r="AE79">
        <f t="shared" si="17"/>
        <v>19.485745439999999</v>
      </c>
      <c r="AF79" s="9"/>
      <c r="AG79" s="22">
        <v>0.247498</v>
      </c>
      <c r="AH79" s="22">
        <v>178.107</v>
      </c>
      <c r="AI79" s="22">
        <v>-1.5661600000000001E-2</v>
      </c>
      <c r="AJ79" s="22">
        <v>69</v>
      </c>
      <c r="AK79" s="22">
        <v>0.246979</v>
      </c>
      <c r="AL79">
        <f t="shared" si="18"/>
        <v>15.661600000000002</v>
      </c>
      <c r="AM79">
        <f t="shared" si="19"/>
        <v>3.8762146768000005</v>
      </c>
      <c r="AP79" s="9"/>
      <c r="AQ79" s="22">
        <v>1.45248</v>
      </c>
      <c r="AR79" s="22">
        <v>227.553</v>
      </c>
      <c r="AS79" s="22">
        <v>-1.3201900000000001E-2</v>
      </c>
      <c r="AT79" s="22">
        <v>69</v>
      </c>
      <c r="AU79" s="22">
        <v>1.4523299999999999</v>
      </c>
      <c r="AV79">
        <f t="shared" si="20"/>
        <v>13.2019</v>
      </c>
      <c r="AW79">
        <f t="shared" si="21"/>
        <v>19.175495712</v>
      </c>
      <c r="AX79" s="9"/>
      <c r="AY79" s="22">
        <v>0.247498</v>
      </c>
      <c r="AZ79" s="22">
        <v>261.89400000000001</v>
      </c>
      <c r="BA79" s="22">
        <v>-1.5634200000000001E-2</v>
      </c>
      <c r="BB79" s="22">
        <v>69</v>
      </c>
      <c r="BC79" s="22">
        <v>0.246918</v>
      </c>
      <c r="BD79">
        <f t="shared" si="22"/>
        <v>15.634200000000002</v>
      </c>
      <c r="BE79">
        <f t="shared" si="23"/>
        <v>3.8694332316000004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49.760100000000001</v>
      </c>
      <c r="I80" s="22">
        <v>-1.36139E-2</v>
      </c>
      <c r="J80" s="22">
        <v>70</v>
      </c>
      <c r="K80" s="22">
        <v>1.4465300000000001</v>
      </c>
      <c r="L80">
        <f t="shared" si="12"/>
        <v>13.613899999999999</v>
      </c>
      <c r="M80">
        <f t="shared" si="13"/>
        <v>19.705439554999998</v>
      </c>
      <c r="N80" s="9"/>
      <c r="O80" s="22">
        <v>0.25253300000000001</v>
      </c>
      <c r="P80" s="22">
        <v>99.186499999999995</v>
      </c>
      <c r="Q80" s="22">
        <v>-1.5768399999999998E-2</v>
      </c>
      <c r="R80" s="22">
        <v>70</v>
      </c>
      <c r="S80" s="22">
        <v>0.25192300000000001</v>
      </c>
      <c r="T80">
        <f t="shared" si="14"/>
        <v>15.768399999999998</v>
      </c>
      <c r="U80">
        <f t="shared" si="15"/>
        <v>3.9820413571999995</v>
      </c>
      <c r="X80" s="9"/>
      <c r="Y80" s="22">
        <v>1.4474499999999999</v>
      </c>
      <c r="Z80" s="22">
        <v>128.64400000000001</v>
      </c>
      <c r="AA80" s="22">
        <v>-1.34827E-2</v>
      </c>
      <c r="AB80" s="22">
        <v>70</v>
      </c>
      <c r="AC80" s="22">
        <v>1.4465300000000001</v>
      </c>
      <c r="AD80">
        <f t="shared" si="16"/>
        <v>13.482699999999999</v>
      </c>
      <c r="AE80">
        <f t="shared" si="17"/>
        <v>19.515534114999998</v>
      </c>
      <c r="AF80" s="9"/>
      <c r="AG80" s="22">
        <v>0.25253300000000001</v>
      </c>
      <c r="AH80" s="22">
        <v>178.11699999999999</v>
      </c>
      <c r="AI80" s="22">
        <v>-1.56677E-2</v>
      </c>
      <c r="AJ80" s="22">
        <v>70</v>
      </c>
      <c r="AK80" s="22">
        <v>0.251892</v>
      </c>
      <c r="AL80">
        <f t="shared" si="18"/>
        <v>15.6677</v>
      </c>
      <c r="AM80">
        <f t="shared" si="19"/>
        <v>3.9566112841000001</v>
      </c>
      <c r="AP80" s="9"/>
      <c r="AQ80" s="22">
        <v>1.4474499999999999</v>
      </c>
      <c r="AR80" s="22">
        <v>227.56299999999999</v>
      </c>
      <c r="AS80" s="22">
        <v>-1.32599E-2</v>
      </c>
      <c r="AT80" s="22">
        <v>70</v>
      </c>
      <c r="AU80" s="22">
        <v>1.4468399999999999</v>
      </c>
      <c r="AV80">
        <f t="shared" si="20"/>
        <v>13.2599</v>
      </c>
      <c r="AW80">
        <f t="shared" si="21"/>
        <v>19.193042254999998</v>
      </c>
      <c r="AX80" s="9"/>
      <c r="AY80" s="22">
        <v>0.25253300000000001</v>
      </c>
      <c r="AZ80" s="22">
        <v>261.904</v>
      </c>
      <c r="BA80" s="22">
        <v>-1.5634200000000001E-2</v>
      </c>
      <c r="BB80" s="22">
        <v>70</v>
      </c>
      <c r="BC80" s="22">
        <v>0.25183100000000003</v>
      </c>
      <c r="BD80">
        <f t="shared" si="22"/>
        <v>15.634200000000002</v>
      </c>
      <c r="BE80">
        <f t="shared" si="23"/>
        <v>3.9481514286000006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49.770200000000003</v>
      </c>
      <c r="I81" s="22">
        <v>-1.3671900000000001E-2</v>
      </c>
      <c r="J81" s="22">
        <v>71</v>
      </c>
      <c r="K81" s="22">
        <v>1.4413499999999999</v>
      </c>
      <c r="L81">
        <f t="shared" si="12"/>
        <v>13.671900000000001</v>
      </c>
      <c r="M81">
        <f t="shared" si="13"/>
        <v>19.720485279000002</v>
      </c>
      <c r="N81" s="9"/>
      <c r="O81" s="22">
        <v>0.25756800000000002</v>
      </c>
      <c r="P81" s="22">
        <v>99.196600000000004</v>
      </c>
      <c r="Q81" s="22">
        <v>-1.5765399999999999E-2</v>
      </c>
      <c r="R81" s="22">
        <v>71</v>
      </c>
      <c r="S81" s="22">
        <v>0.25692700000000002</v>
      </c>
      <c r="T81">
        <f t="shared" si="14"/>
        <v>15.7654</v>
      </c>
      <c r="U81">
        <f t="shared" si="15"/>
        <v>4.0606625472000006</v>
      </c>
      <c r="X81" s="9"/>
      <c r="Y81" s="22">
        <v>1.44241</v>
      </c>
      <c r="Z81" s="22">
        <v>128.654</v>
      </c>
      <c r="AA81" s="22">
        <v>-1.3543700000000001E-2</v>
      </c>
      <c r="AB81" s="22">
        <v>71</v>
      </c>
      <c r="AC81" s="22">
        <v>1.4413499999999999</v>
      </c>
      <c r="AD81">
        <f t="shared" si="16"/>
        <v>13.543700000000001</v>
      </c>
      <c r="AE81">
        <f t="shared" si="17"/>
        <v>19.535568317000003</v>
      </c>
      <c r="AF81" s="9"/>
      <c r="AG81" s="22">
        <v>0.25756800000000002</v>
      </c>
      <c r="AH81" s="22">
        <v>178.12700000000001</v>
      </c>
      <c r="AI81" s="22">
        <v>-1.5658600000000002E-2</v>
      </c>
      <c r="AJ81" s="22">
        <v>71</v>
      </c>
      <c r="AK81" s="22">
        <v>0.25705</v>
      </c>
      <c r="AL81">
        <f t="shared" si="18"/>
        <v>15.658600000000002</v>
      </c>
      <c r="AM81">
        <f t="shared" si="19"/>
        <v>4.033154284800001</v>
      </c>
      <c r="AP81" s="9"/>
      <c r="AQ81" s="22">
        <v>1.44241</v>
      </c>
      <c r="AR81" s="22">
        <v>227.57300000000001</v>
      </c>
      <c r="AS81" s="22">
        <v>-1.33209E-2</v>
      </c>
      <c r="AT81" s="22">
        <v>71</v>
      </c>
      <c r="AU81" s="22">
        <v>1.4413499999999999</v>
      </c>
      <c r="AV81">
        <f t="shared" si="20"/>
        <v>13.3209</v>
      </c>
      <c r="AW81">
        <f t="shared" si="21"/>
        <v>19.214199368999999</v>
      </c>
      <c r="AX81" s="9"/>
      <c r="AY81" s="22">
        <v>0.25756800000000002</v>
      </c>
      <c r="AZ81" s="22">
        <v>261.91399999999999</v>
      </c>
      <c r="BA81" s="22">
        <v>-1.5631099999999998E-2</v>
      </c>
      <c r="BB81" s="22">
        <v>71</v>
      </c>
      <c r="BC81" s="22">
        <v>0.25692700000000002</v>
      </c>
      <c r="BD81">
        <f t="shared" si="22"/>
        <v>15.631099999999998</v>
      </c>
      <c r="BE81">
        <f t="shared" si="23"/>
        <v>4.0260711648000003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49.780200000000001</v>
      </c>
      <c r="I82" s="22">
        <v>-1.3726800000000001E-2</v>
      </c>
      <c r="J82" s="22">
        <v>72</v>
      </c>
      <c r="K82" s="22">
        <v>1.4370700000000001</v>
      </c>
      <c r="L82">
        <f t="shared" si="12"/>
        <v>13.726800000000001</v>
      </c>
      <c r="M82">
        <f t="shared" si="13"/>
        <v>19.730627784000003</v>
      </c>
      <c r="N82" s="9"/>
      <c r="O82" s="22">
        <v>0.262604</v>
      </c>
      <c r="P82" s="22">
        <v>99.206699999999998</v>
      </c>
      <c r="Q82" s="22">
        <v>-1.57623E-2</v>
      </c>
      <c r="R82" s="22">
        <v>72</v>
      </c>
      <c r="S82" s="22">
        <v>0.261963</v>
      </c>
      <c r="T82">
        <f t="shared" si="14"/>
        <v>15.7623</v>
      </c>
      <c r="U82">
        <f t="shared" si="15"/>
        <v>4.1392430292000002</v>
      </c>
      <c r="X82" s="9"/>
      <c r="Y82" s="22">
        <v>1.4373800000000001</v>
      </c>
      <c r="Z82" s="22">
        <v>128.66399999999999</v>
      </c>
      <c r="AA82" s="22">
        <v>-1.3595599999999999E-2</v>
      </c>
      <c r="AB82" s="22">
        <v>72</v>
      </c>
      <c r="AC82" s="22">
        <v>1.4364600000000001</v>
      </c>
      <c r="AD82">
        <f t="shared" si="16"/>
        <v>13.595599999999999</v>
      </c>
      <c r="AE82">
        <f t="shared" si="17"/>
        <v>19.542043528000001</v>
      </c>
      <c r="AF82" s="9"/>
      <c r="AG82" s="22">
        <v>0.262604</v>
      </c>
      <c r="AH82" s="22">
        <v>178.137</v>
      </c>
      <c r="AI82" s="22">
        <v>-1.56525E-2</v>
      </c>
      <c r="AJ82" s="22">
        <v>72</v>
      </c>
      <c r="AK82" s="22">
        <v>0.26199299999999998</v>
      </c>
      <c r="AL82">
        <f t="shared" si="18"/>
        <v>15.6525</v>
      </c>
      <c r="AM82">
        <f t="shared" si="19"/>
        <v>4.11040911</v>
      </c>
      <c r="AP82" s="9"/>
      <c r="AQ82" s="22">
        <v>1.4373800000000001</v>
      </c>
      <c r="AR82" s="22">
        <v>227.584</v>
      </c>
      <c r="AS82" s="22">
        <v>-1.3372800000000001E-2</v>
      </c>
      <c r="AT82" s="22">
        <v>72</v>
      </c>
      <c r="AU82" s="22">
        <v>1.4367700000000001</v>
      </c>
      <c r="AV82">
        <f t="shared" si="20"/>
        <v>13.3728</v>
      </c>
      <c r="AW82">
        <f t="shared" si="21"/>
        <v>19.221795264000001</v>
      </c>
      <c r="AX82" s="9"/>
      <c r="AY82" s="22">
        <v>0.262604</v>
      </c>
      <c r="AZ82" s="22">
        <v>261.92399999999998</v>
      </c>
      <c r="BA82" s="22">
        <v>-1.5628099999999999E-2</v>
      </c>
      <c r="BB82" s="22">
        <v>72</v>
      </c>
      <c r="BC82" s="22">
        <v>0.261963</v>
      </c>
      <c r="BD82">
        <f t="shared" si="22"/>
        <v>15.628099999999998</v>
      </c>
      <c r="BE82">
        <f t="shared" si="23"/>
        <v>4.1040015723999996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49.790300000000002</v>
      </c>
      <c r="I83" s="22">
        <v>-1.3787799999999999E-2</v>
      </c>
      <c r="J83" s="22">
        <v>73</v>
      </c>
      <c r="K83" s="22">
        <v>1.43127</v>
      </c>
      <c r="L83">
        <f t="shared" si="12"/>
        <v>13.787799999999999</v>
      </c>
      <c r="M83">
        <f t="shared" si="13"/>
        <v>19.748817451999997</v>
      </c>
      <c r="N83" s="9"/>
      <c r="O83" s="22">
        <v>0.26763900000000002</v>
      </c>
      <c r="P83" s="22">
        <v>99.216700000000003</v>
      </c>
      <c r="Q83" s="22">
        <v>-1.57593E-2</v>
      </c>
      <c r="R83" s="22">
        <v>73</v>
      </c>
      <c r="S83" s="22">
        <v>0.26696799999999998</v>
      </c>
      <c r="T83">
        <f t="shared" si="14"/>
        <v>15.7593</v>
      </c>
      <c r="U83">
        <f t="shared" si="15"/>
        <v>4.2178032927000002</v>
      </c>
      <c r="X83" s="9"/>
      <c r="Y83" s="22">
        <v>1.4323399999999999</v>
      </c>
      <c r="Z83" s="22">
        <v>128.67400000000001</v>
      </c>
      <c r="AA83" s="22">
        <v>-1.3644399999999999E-2</v>
      </c>
      <c r="AB83" s="22">
        <v>73</v>
      </c>
      <c r="AC83" s="22">
        <v>1.4315800000000001</v>
      </c>
      <c r="AD83">
        <f t="shared" si="16"/>
        <v>13.644399999999999</v>
      </c>
      <c r="AE83">
        <f t="shared" si="17"/>
        <v>19.543419896</v>
      </c>
      <c r="AF83" s="9"/>
      <c r="AG83" s="22">
        <v>0.26763900000000002</v>
      </c>
      <c r="AH83" s="22">
        <v>178.14699999999999</v>
      </c>
      <c r="AI83" s="22">
        <v>-1.56525E-2</v>
      </c>
      <c r="AJ83" s="22">
        <v>73</v>
      </c>
      <c r="AK83" s="22">
        <v>0.26696799999999998</v>
      </c>
      <c r="AL83">
        <f t="shared" si="18"/>
        <v>15.6525</v>
      </c>
      <c r="AM83">
        <f t="shared" si="19"/>
        <v>4.1892194475000002</v>
      </c>
      <c r="AP83" s="9"/>
      <c r="AQ83" s="22">
        <v>1.4323399999999999</v>
      </c>
      <c r="AR83" s="22">
        <v>227.59399999999999</v>
      </c>
      <c r="AS83" s="22">
        <v>-1.3427700000000001E-2</v>
      </c>
      <c r="AT83" s="22">
        <v>73</v>
      </c>
      <c r="AU83" s="22">
        <v>1.4315800000000001</v>
      </c>
      <c r="AV83">
        <f t="shared" si="20"/>
        <v>13.427700000000002</v>
      </c>
      <c r="AW83">
        <f t="shared" si="21"/>
        <v>19.233031818000001</v>
      </c>
      <c r="AX83" s="9"/>
      <c r="AY83" s="22">
        <v>0.26763900000000002</v>
      </c>
      <c r="AZ83" s="22">
        <v>261.93400000000003</v>
      </c>
      <c r="BA83" s="22">
        <v>-1.5631099999999998E-2</v>
      </c>
      <c r="BB83" s="22">
        <v>73</v>
      </c>
      <c r="BC83" s="22">
        <v>0.26702900000000002</v>
      </c>
      <c r="BD83">
        <f t="shared" si="22"/>
        <v>15.631099999999998</v>
      </c>
      <c r="BE83">
        <f t="shared" si="23"/>
        <v>4.1834919728999997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49.800400000000003</v>
      </c>
      <c r="I84" s="22">
        <v>-1.38519E-2</v>
      </c>
      <c r="J84" s="22">
        <v>74</v>
      </c>
      <c r="K84" s="22">
        <v>1.42639</v>
      </c>
      <c r="L84">
        <f t="shared" si="12"/>
        <v>13.851900000000001</v>
      </c>
      <c r="M84">
        <f t="shared" si="13"/>
        <v>19.770955389000001</v>
      </c>
      <c r="N84" s="9"/>
      <c r="O84" s="22">
        <v>0.272675</v>
      </c>
      <c r="P84" s="22">
        <v>99.226799999999997</v>
      </c>
      <c r="Q84" s="22">
        <v>-1.57593E-2</v>
      </c>
      <c r="R84" s="22">
        <v>74</v>
      </c>
      <c r="S84" s="22">
        <v>0.27206399999999997</v>
      </c>
      <c r="T84">
        <f t="shared" si="14"/>
        <v>15.7593</v>
      </c>
      <c r="U84">
        <f t="shared" si="15"/>
        <v>4.2971671274999999</v>
      </c>
      <c r="X84" s="9"/>
      <c r="Y84" s="22">
        <v>1.4273100000000001</v>
      </c>
      <c r="Z84" s="22">
        <v>128.684</v>
      </c>
      <c r="AA84" s="22">
        <v>-1.3693200000000001E-2</v>
      </c>
      <c r="AB84" s="22">
        <v>74</v>
      </c>
      <c r="AC84" s="22">
        <v>1.42639</v>
      </c>
      <c r="AD84">
        <f t="shared" si="16"/>
        <v>13.693200000000001</v>
      </c>
      <c r="AE84">
        <f t="shared" si="17"/>
        <v>19.544441292000002</v>
      </c>
      <c r="AF84" s="9"/>
      <c r="AG84" s="22">
        <v>0.272675</v>
      </c>
      <c r="AH84" s="22">
        <v>178.15700000000001</v>
      </c>
      <c r="AI84" s="22">
        <v>-1.5655499999999999E-2</v>
      </c>
      <c r="AJ84" s="22">
        <v>74</v>
      </c>
      <c r="AK84" s="22">
        <v>0.272034</v>
      </c>
      <c r="AL84">
        <f t="shared" si="18"/>
        <v>15.6555</v>
      </c>
      <c r="AM84">
        <f t="shared" si="19"/>
        <v>4.2688634624999997</v>
      </c>
      <c r="AP84" s="9"/>
      <c r="AQ84" s="22">
        <v>1.4273100000000001</v>
      </c>
      <c r="AR84" s="22">
        <v>227.60400000000001</v>
      </c>
      <c r="AS84" s="22">
        <v>-1.34827E-2</v>
      </c>
      <c r="AT84" s="22">
        <v>74</v>
      </c>
      <c r="AU84" s="22">
        <v>1.4267000000000001</v>
      </c>
      <c r="AV84">
        <f t="shared" si="20"/>
        <v>13.482699999999999</v>
      </c>
      <c r="AW84">
        <f t="shared" si="21"/>
        <v>19.243992537</v>
      </c>
      <c r="AX84" s="9"/>
      <c r="AY84" s="22">
        <v>0.272675</v>
      </c>
      <c r="AZ84" s="22">
        <v>261.94400000000002</v>
      </c>
      <c r="BA84" s="22">
        <v>-1.5621899999999999E-2</v>
      </c>
      <c r="BB84" s="22">
        <v>74</v>
      </c>
      <c r="BC84" s="22">
        <v>0.27209499999999998</v>
      </c>
      <c r="BD84">
        <f t="shared" si="22"/>
        <v>15.6219</v>
      </c>
      <c r="BE84">
        <f t="shared" si="23"/>
        <v>4.2597015825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49.810499999999998</v>
      </c>
      <c r="I85" s="22">
        <v>-1.39069E-2</v>
      </c>
      <c r="J85" s="22">
        <v>75</v>
      </c>
      <c r="K85" s="22">
        <v>1.4212</v>
      </c>
      <c r="L85">
        <f t="shared" si="12"/>
        <v>13.9069</v>
      </c>
      <c r="M85">
        <f t="shared" si="13"/>
        <v>19.779366662999998</v>
      </c>
      <c r="N85" s="9"/>
      <c r="O85" s="22">
        <v>0.27771000000000001</v>
      </c>
      <c r="P85" s="22">
        <v>99.236900000000006</v>
      </c>
      <c r="Q85" s="22">
        <v>-1.5756200000000001E-2</v>
      </c>
      <c r="R85" s="22">
        <v>75</v>
      </c>
      <c r="S85" s="22">
        <v>0.27712999999999999</v>
      </c>
      <c r="T85">
        <f t="shared" si="14"/>
        <v>15.756200000000002</v>
      </c>
      <c r="U85">
        <f t="shared" si="15"/>
        <v>4.3756543020000009</v>
      </c>
      <c r="X85" s="9"/>
      <c r="Y85" s="22">
        <v>1.4222699999999999</v>
      </c>
      <c r="Z85" s="22">
        <v>128.69399999999999</v>
      </c>
      <c r="AA85" s="22">
        <v>-1.37482E-2</v>
      </c>
      <c r="AB85" s="22">
        <v>75</v>
      </c>
      <c r="AC85" s="22">
        <v>1.4212</v>
      </c>
      <c r="AD85">
        <f t="shared" si="16"/>
        <v>13.748200000000001</v>
      </c>
      <c r="AE85">
        <f t="shared" si="17"/>
        <v>19.553652413999998</v>
      </c>
      <c r="AF85" s="9"/>
      <c r="AG85" s="22">
        <v>0.27771000000000001</v>
      </c>
      <c r="AH85" s="22">
        <v>178.167</v>
      </c>
      <c r="AI85" s="22">
        <v>-1.5655499999999999E-2</v>
      </c>
      <c r="AJ85" s="22">
        <v>75</v>
      </c>
      <c r="AK85" s="22">
        <v>0.27710000000000001</v>
      </c>
      <c r="AL85">
        <f t="shared" si="18"/>
        <v>15.6555</v>
      </c>
      <c r="AM85">
        <f t="shared" si="19"/>
        <v>4.347688905</v>
      </c>
      <c r="AP85" s="9"/>
      <c r="AQ85" s="22">
        <v>1.4222699999999999</v>
      </c>
      <c r="AR85" s="22">
        <v>227.614</v>
      </c>
      <c r="AS85" s="22">
        <v>-1.3543700000000001E-2</v>
      </c>
      <c r="AT85" s="22">
        <v>75</v>
      </c>
      <c r="AU85" s="22">
        <v>1.4215100000000001</v>
      </c>
      <c r="AV85">
        <f t="shared" si="20"/>
        <v>13.543700000000001</v>
      </c>
      <c r="AW85">
        <f t="shared" si="21"/>
        <v>19.262798199000002</v>
      </c>
      <c r="AX85" s="9"/>
      <c r="AY85" s="22">
        <v>0.27771000000000001</v>
      </c>
      <c r="AZ85" s="22">
        <v>261.95400000000001</v>
      </c>
      <c r="BA85" s="22">
        <v>-1.56189E-2</v>
      </c>
      <c r="BB85" s="22">
        <v>75</v>
      </c>
      <c r="BC85" s="22">
        <v>0.27710000000000001</v>
      </c>
      <c r="BD85">
        <f t="shared" si="22"/>
        <v>15.6189</v>
      </c>
      <c r="BE85">
        <f t="shared" si="23"/>
        <v>4.3375247190000001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49.820500000000003</v>
      </c>
      <c r="I86" s="22">
        <v>-1.3952600000000001E-2</v>
      </c>
      <c r="J86" s="22">
        <v>76</v>
      </c>
      <c r="K86" s="22">
        <v>1.41693</v>
      </c>
      <c r="L86">
        <f t="shared" si="12"/>
        <v>13.9526</v>
      </c>
      <c r="M86">
        <f t="shared" si="13"/>
        <v>19.774182824</v>
      </c>
      <c r="N86" s="9"/>
      <c r="O86" s="22">
        <v>0.28274500000000002</v>
      </c>
      <c r="P86" s="22">
        <v>99.247</v>
      </c>
      <c r="Q86" s="22">
        <v>-1.5756200000000001E-2</v>
      </c>
      <c r="R86" s="22">
        <v>76</v>
      </c>
      <c r="S86" s="22">
        <v>0.28207399999999999</v>
      </c>
      <c r="T86">
        <f t="shared" si="14"/>
        <v>15.756200000000002</v>
      </c>
      <c r="U86">
        <f t="shared" si="15"/>
        <v>4.4549867690000005</v>
      </c>
      <c r="X86" s="9"/>
      <c r="Y86" s="22">
        <v>1.4172400000000001</v>
      </c>
      <c r="Z86" s="22">
        <v>128.70400000000001</v>
      </c>
      <c r="AA86" s="22">
        <v>-1.37939E-2</v>
      </c>
      <c r="AB86" s="22">
        <v>76</v>
      </c>
      <c r="AC86" s="22">
        <v>1.41632</v>
      </c>
      <c r="AD86">
        <f t="shared" si="16"/>
        <v>13.793899999999999</v>
      </c>
      <c r="AE86">
        <f t="shared" si="17"/>
        <v>19.549266836000001</v>
      </c>
      <c r="AF86" s="9"/>
      <c r="AG86" s="22">
        <v>0.28274500000000002</v>
      </c>
      <c r="AH86" s="22">
        <v>178.17699999999999</v>
      </c>
      <c r="AI86" s="22">
        <v>-1.5658600000000002E-2</v>
      </c>
      <c r="AJ86" s="22">
        <v>76</v>
      </c>
      <c r="AK86" s="22">
        <v>0.28210400000000002</v>
      </c>
      <c r="AL86">
        <f t="shared" si="18"/>
        <v>15.658600000000002</v>
      </c>
      <c r="AM86">
        <f t="shared" si="19"/>
        <v>4.4273908570000007</v>
      </c>
      <c r="AP86" s="9"/>
      <c r="AQ86" s="22">
        <v>1.4172400000000001</v>
      </c>
      <c r="AR86" s="22">
        <v>227.624</v>
      </c>
      <c r="AS86" s="22">
        <v>-1.3604700000000001E-2</v>
      </c>
      <c r="AT86" s="22">
        <v>76</v>
      </c>
      <c r="AU86" s="22">
        <v>1.4166300000000001</v>
      </c>
      <c r="AV86">
        <f t="shared" si="20"/>
        <v>13.604700000000001</v>
      </c>
      <c r="AW86">
        <f t="shared" si="21"/>
        <v>19.281125028000002</v>
      </c>
      <c r="AX86" s="9"/>
      <c r="AY86" s="22">
        <v>0.28274500000000002</v>
      </c>
      <c r="AZ86" s="22">
        <v>261.964</v>
      </c>
      <c r="BA86" s="22">
        <v>-1.56189E-2</v>
      </c>
      <c r="BB86" s="22">
        <v>76</v>
      </c>
      <c r="BC86" s="22">
        <v>0.28210400000000002</v>
      </c>
      <c r="BD86">
        <f t="shared" si="22"/>
        <v>15.6189</v>
      </c>
      <c r="BE86">
        <f t="shared" si="23"/>
        <v>4.4161658805000004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49.830599999999997</v>
      </c>
      <c r="I87" s="22">
        <v>-1.40106E-2</v>
      </c>
      <c r="J87" s="22">
        <v>77</v>
      </c>
      <c r="K87" s="22">
        <v>1.41144</v>
      </c>
      <c r="L87">
        <f t="shared" si="12"/>
        <v>14.0106</v>
      </c>
      <c r="M87">
        <f t="shared" si="13"/>
        <v>19.78576932</v>
      </c>
      <c r="N87" s="9"/>
      <c r="O87" s="22">
        <v>0.28778100000000001</v>
      </c>
      <c r="P87" s="22">
        <v>99.257000000000005</v>
      </c>
      <c r="Q87" s="22">
        <v>-1.57471E-2</v>
      </c>
      <c r="R87" s="22">
        <v>77</v>
      </c>
      <c r="S87" s="22">
        <v>0.28729199999999999</v>
      </c>
      <c r="T87">
        <f t="shared" si="14"/>
        <v>15.7471</v>
      </c>
      <c r="U87">
        <f t="shared" si="15"/>
        <v>4.5317161850999996</v>
      </c>
      <c r="X87" s="9"/>
      <c r="Y87" s="22">
        <v>1.4121999999999999</v>
      </c>
      <c r="Z87" s="22">
        <v>128.714</v>
      </c>
      <c r="AA87" s="22">
        <v>-1.3848900000000001E-2</v>
      </c>
      <c r="AB87" s="22">
        <v>77</v>
      </c>
      <c r="AC87" s="22">
        <v>1.41113</v>
      </c>
      <c r="AD87">
        <f t="shared" si="16"/>
        <v>13.8489</v>
      </c>
      <c r="AE87">
        <f t="shared" si="17"/>
        <v>19.557416579999998</v>
      </c>
      <c r="AF87" s="9"/>
      <c r="AG87" s="22">
        <v>0.28778100000000001</v>
      </c>
      <c r="AH87" s="22">
        <v>178.18799999999999</v>
      </c>
      <c r="AI87" s="22">
        <v>-1.56525E-2</v>
      </c>
      <c r="AJ87" s="22">
        <v>77</v>
      </c>
      <c r="AK87" s="22">
        <v>0.28726200000000002</v>
      </c>
      <c r="AL87">
        <f t="shared" si="18"/>
        <v>15.6525</v>
      </c>
      <c r="AM87">
        <f t="shared" si="19"/>
        <v>4.5044921025000004</v>
      </c>
      <c r="AP87" s="9"/>
      <c r="AQ87" s="22">
        <v>1.4121999999999999</v>
      </c>
      <c r="AR87" s="22">
        <v>227.63399999999999</v>
      </c>
      <c r="AS87" s="22">
        <v>-1.36536E-2</v>
      </c>
      <c r="AT87" s="22">
        <v>77</v>
      </c>
      <c r="AU87" s="22">
        <v>1.41174</v>
      </c>
      <c r="AV87">
        <f t="shared" si="20"/>
        <v>13.653600000000001</v>
      </c>
      <c r="AW87">
        <f t="shared" si="21"/>
        <v>19.281613919999998</v>
      </c>
      <c r="AX87" s="9"/>
      <c r="AY87" s="22">
        <v>0.28778100000000001</v>
      </c>
      <c r="AZ87" s="22">
        <v>261.97399999999999</v>
      </c>
      <c r="BA87" s="22">
        <v>-1.5621899999999999E-2</v>
      </c>
      <c r="BB87" s="22">
        <v>77</v>
      </c>
      <c r="BC87" s="22">
        <v>0.28720099999999998</v>
      </c>
      <c r="BD87">
        <f t="shared" si="22"/>
        <v>15.6219</v>
      </c>
      <c r="BE87">
        <f t="shared" si="23"/>
        <v>4.4956860039000004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49.840699999999998</v>
      </c>
      <c r="I88" s="22">
        <v>-1.40564E-2</v>
      </c>
      <c r="J88" s="22">
        <v>78</v>
      </c>
      <c r="K88" s="22">
        <v>1.40625</v>
      </c>
      <c r="L88">
        <f t="shared" si="12"/>
        <v>14.0564</v>
      </c>
      <c r="M88">
        <f t="shared" si="13"/>
        <v>19.779744388000001</v>
      </c>
      <c r="N88" s="9"/>
      <c r="O88" s="22">
        <v>0.29281600000000002</v>
      </c>
      <c r="P88" s="22">
        <v>99.267099999999999</v>
      </c>
      <c r="Q88" s="22">
        <v>-1.5737899999999999E-2</v>
      </c>
      <c r="R88" s="22">
        <v>78</v>
      </c>
      <c r="S88" s="22">
        <v>0.29211399999999998</v>
      </c>
      <c r="T88">
        <f t="shared" si="14"/>
        <v>15.7379</v>
      </c>
      <c r="U88">
        <f t="shared" si="15"/>
        <v>4.6083089264000003</v>
      </c>
      <c r="X88" s="9"/>
      <c r="Y88" s="22">
        <v>1.40717</v>
      </c>
      <c r="Z88" s="22">
        <v>128.72399999999999</v>
      </c>
      <c r="AA88" s="22">
        <v>-1.3894699999999999E-2</v>
      </c>
      <c r="AB88" s="22">
        <v>78</v>
      </c>
      <c r="AC88" s="22">
        <v>1.40656</v>
      </c>
      <c r="AD88">
        <f t="shared" si="16"/>
        <v>13.8947</v>
      </c>
      <c r="AE88">
        <f t="shared" si="17"/>
        <v>19.552204999000001</v>
      </c>
      <c r="AF88" s="9"/>
      <c r="AG88" s="22">
        <v>0.29281600000000002</v>
      </c>
      <c r="AH88" s="22">
        <v>178.19800000000001</v>
      </c>
      <c r="AI88" s="22">
        <v>-1.5646400000000001E-2</v>
      </c>
      <c r="AJ88" s="22">
        <v>78</v>
      </c>
      <c r="AK88" s="22">
        <v>0.29211399999999998</v>
      </c>
      <c r="AL88">
        <f t="shared" si="18"/>
        <v>15.646400000000002</v>
      </c>
      <c r="AM88">
        <f t="shared" si="19"/>
        <v>4.581516262400001</v>
      </c>
      <c r="AP88" s="9"/>
      <c r="AQ88" s="22">
        <v>1.40717</v>
      </c>
      <c r="AR88" s="22">
        <v>227.64400000000001</v>
      </c>
      <c r="AS88" s="22">
        <v>-1.37054E-2</v>
      </c>
      <c r="AT88" s="22">
        <v>78</v>
      </c>
      <c r="AU88" s="22">
        <v>1.40594</v>
      </c>
      <c r="AV88">
        <f t="shared" si="20"/>
        <v>13.705399999999999</v>
      </c>
      <c r="AW88">
        <f t="shared" si="21"/>
        <v>19.285827718</v>
      </c>
      <c r="AX88" s="9"/>
      <c r="AY88" s="22">
        <v>0.29281600000000002</v>
      </c>
      <c r="AZ88" s="22">
        <v>261.98399999999998</v>
      </c>
      <c r="BA88" s="22">
        <v>-1.56189E-2</v>
      </c>
      <c r="BB88" s="22">
        <v>78</v>
      </c>
      <c r="BC88" s="22">
        <v>0.29217500000000002</v>
      </c>
      <c r="BD88">
        <f t="shared" si="22"/>
        <v>15.6189</v>
      </c>
      <c r="BE88">
        <f t="shared" si="23"/>
        <v>4.5734638223999999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49.850700000000003</v>
      </c>
      <c r="I89" s="22">
        <v>-1.41052E-2</v>
      </c>
      <c r="J89" s="22">
        <v>79</v>
      </c>
      <c r="K89" s="22">
        <v>1.40167</v>
      </c>
      <c r="L89">
        <f t="shared" si="12"/>
        <v>14.1052</v>
      </c>
      <c r="M89">
        <f t="shared" si="13"/>
        <v>19.777324076000003</v>
      </c>
      <c r="N89" s="9"/>
      <c r="O89" s="22">
        <v>0.29785200000000001</v>
      </c>
      <c r="P89" s="22">
        <v>99.277199999999993</v>
      </c>
      <c r="Q89" s="22">
        <v>-1.5741000000000002E-2</v>
      </c>
      <c r="R89" s="22">
        <v>79</v>
      </c>
      <c r="S89" s="22">
        <v>0.29718</v>
      </c>
      <c r="T89">
        <f t="shared" si="14"/>
        <v>15.741000000000001</v>
      </c>
      <c r="U89">
        <f t="shared" si="15"/>
        <v>4.6884883320000004</v>
      </c>
      <c r="X89" s="9"/>
      <c r="Y89" s="22">
        <v>1.4021300000000001</v>
      </c>
      <c r="Z89" s="22">
        <v>128.73400000000001</v>
      </c>
      <c r="AA89" s="22">
        <v>-1.39282E-2</v>
      </c>
      <c r="AB89" s="22">
        <v>79</v>
      </c>
      <c r="AC89" s="22">
        <v>1.40137</v>
      </c>
      <c r="AD89">
        <f t="shared" si="16"/>
        <v>13.9282</v>
      </c>
      <c r="AE89">
        <f t="shared" si="17"/>
        <v>19.529147066</v>
      </c>
      <c r="AF89" s="9"/>
      <c r="AG89" s="22">
        <v>0.29785200000000001</v>
      </c>
      <c r="AH89" s="22">
        <v>178.208</v>
      </c>
      <c r="AI89" s="22">
        <v>-1.5646400000000001E-2</v>
      </c>
      <c r="AJ89" s="22">
        <v>79</v>
      </c>
      <c r="AK89" s="22">
        <v>0.29718</v>
      </c>
      <c r="AL89">
        <f t="shared" si="18"/>
        <v>15.646400000000002</v>
      </c>
      <c r="AM89">
        <f t="shared" si="19"/>
        <v>4.6603115328000007</v>
      </c>
      <c r="AP89" s="9"/>
      <c r="AQ89" s="22">
        <v>1.4021300000000001</v>
      </c>
      <c r="AR89" s="22">
        <v>227.654</v>
      </c>
      <c r="AS89" s="22">
        <v>-1.37512E-2</v>
      </c>
      <c r="AT89" s="22">
        <v>79</v>
      </c>
      <c r="AU89" s="22">
        <v>1.40137</v>
      </c>
      <c r="AV89">
        <f t="shared" si="20"/>
        <v>13.751200000000001</v>
      </c>
      <c r="AW89">
        <f t="shared" si="21"/>
        <v>19.280970056000001</v>
      </c>
      <c r="AX89" s="9"/>
      <c r="AY89" s="22">
        <v>0.29785200000000001</v>
      </c>
      <c r="AZ89" s="22">
        <v>261.99400000000003</v>
      </c>
      <c r="BA89" s="22">
        <v>-1.5609700000000001E-2</v>
      </c>
      <c r="BB89" s="22">
        <v>79</v>
      </c>
      <c r="BC89" s="22">
        <v>0.29718</v>
      </c>
      <c r="BD89">
        <f t="shared" si="22"/>
        <v>15.6097</v>
      </c>
      <c r="BE89">
        <f t="shared" si="23"/>
        <v>4.6493803643999998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49.860799999999998</v>
      </c>
      <c r="I90" s="22">
        <v>-1.4151E-2</v>
      </c>
      <c r="J90" s="22">
        <v>80</v>
      </c>
      <c r="K90" s="22">
        <v>1.3958699999999999</v>
      </c>
      <c r="L90">
        <f t="shared" si="12"/>
        <v>14.151</v>
      </c>
      <c r="M90">
        <f t="shared" si="13"/>
        <v>19.770220589999997</v>
      </c>
      <c r="N90" s="9"/>
      <c r="O90" s="22">
        <v>0.30288700000000002</v>
      </c>
      <c r="P90" s="22">
        <v>99.287199999999999</v>
      </c>
      <c r="Q90" s="22">
        <v>-1.5744000000000001E-2</v>
      </c>
      <c r="R90" s="22">
        <v>80</v>
      </c>
      <c r="S90" s="22">
        <v>0.30224600000000001</v>
      </c>
      <c r="T90">
        <f t="shared" si="14"/>
        <v>15.744000000000002</v>
      </c>
      <c r="U90">
        <f t="shared" si="15"/>
        <v>4.7686529280000007</v>
      </c>
      <c r="X90" s="9"/>
      <c r="Y90" s="22">
        <v>1.3970899999999999</v>
      </c>
      <c r="Z90" s="22">
        <v>128.744</v>
      </c>
      <c r="AA90" s="22">
        <v>-1.3964799999999999E-2</v>
      </c>
      <c r="AB90" s="22">
        <v>80</v>
      </c>
      <c r="AC90" s="22">
        <v>1.39679</v>
      </c>
      <c r="AD90">
        <f t="shared" si="16"/>
        <v>13.9648</v>
      </c>
      <c r="AE90">
        <f t="shared" si="17"/>
        <v>19.510082432000001</v>
      </c>
      <c r="AF90" s="9"/>
      <c r="AG90" s="22">
        <v>0.30288700000000002</v>
      </c>
      <c r="AH90" s="22">
        <v>178.21799999999999</v>
      </c>
      <c r="AI90" s="22">
        <v>-1.5649400000000001E-2</v>
      </c>
      <c r="AJ90" s="22">
        <v>80</v>
      </c>
      <c r="AK90" s="22">
        <v>0.30224600000000001</v>
      </c>
      <c r="AL90">
        <f t="shared" si="18"/>
        <v>15.6494</v>
      </c>
      <c r="AM90">
        <f t="shared" si="19"/>
        <v>4.7399998178000002</v>
      </c>
      <c r="AP90" s="9"/>
      <c r="AQ90" s="22">
        <v>1.3970899999999999</v>
      </c>
      <c r="AR90" s="22">
        <v>227.66399999999999</v>
      </c>
      <c r="AS90" s="22">
        <v>-1.3787799999999999E-2</v>
      </c>
      <c r="AT90" s="22">
        <v>80</v>
      </c>
      <c r="AU90" s="22">
        <v>1.3964799999999999</v>
      </c>
      <c r="AV90">
        <f t="shared" si="20"/>
        <v>13.787799999999999</v>
      </c>
      <c r="AW90">
        <f t="shared" si="21"/>
        <v>19.262797501999998</v>
      </c>
      <c r="AX90" s="9"/>
      <c r="AY90" s="22">
        <v>0.30288700000000002</v>
      </c>
      <c r="AZ90" s="22">
        <v>262.00400000000002</v>
      </c>
      <c r="BA90" s="22">
        <v>-1.55975E-2</v>
      </c>
      <c r="BB90" s="22">
        <v>80</v>
      </c>
      <c r="BC90" s="22">
        <v>0.30227700000000002</v>
      </c>
      <c r="BD90">
        <f t="shared" si="22"/>
        <v>15.5975</v>
      </c>
      <c r="BE90">
        <f t="shared" si="23"/>
        <v>4.7242799825000006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49.870899999999999</v>
      </c>
      <c r="I91" s="22">
        <v>-1.4190700000000001E-2</v>
      </c>
      <c r="J91" s="22">
        <v>81</v>
      </c>
      <c r="K91" s="22">
        <v>1.39069</v>
      </c>
      <c r="L91">
        <f t="shared" si="12"/>
        <v>14.1907</v>
      </c>
      <c r="M91">
        <f t="shared" si="13"/>
        <v>19.754305842000001</v>
      </c>
      <c r="N91" s="9"/>
      <c r="O91" s="22">
        <v>0.30792199999999997</v>
      </c>
      <c r="P91" s="22">
        <v>99.297300000000007</v>
      </c>
      <c r="Q91" s="22">
        <v>-1.5741000000000002E-2</v>
      </c>
      <c r="R91" s="22">
        <v>81</v>
      </c>
      <c r="S91" s="22">
        <v>0.30728100000000003</v>
      </c>
      <c r="T91">
        <f t="shared" si="14"/>
        <v>15.741000000000001</v>
      </c>
      <c r="U91">
        <f t="shared" si="15"/>
        <v>4.8470002020000003</v>
      </c>
      <c r="X91" s="9"/>
      <c r="Y91" s="22">
        <v>1.3920600000000001</v>
      </c>
      <c r="Z91" s="22">
        <v>128.75399999999999</v>
      </c>
      <c r="AA91" s="22">
        <v>-1.40015E-2</v>
      </c>
      <c r="AB91" s="22">
        <v>81</v>
      </c>
      <c r="AC91" s="22">
        <v>1.3913</v>
      </c>
      <c r="AD91">
        <f t="shared" si="16"/>
        <v>14.0015</v>
      </c>
      <c r="AE91">
        <f t="shared" si="17"/>
        <v>19.490928090000001</v>
      </c>
      <c r="AF91" s="9"/>
      <c r="AG91" s="22">
        <v>0.30792199999999997</v>
      </c>
      <c r="AH91" s="22">
        <v>178.22800000000001</v>
      </c>
      <c r="AI91" s="22">
        <v>-1.5649400000000001E-2</v>
      </c>
      <c r="AJ91" s="22">
        <v>81</v>
      </c>
      <c r="AK91" s="22">
        <v>0.30731199999999997</v>
      </c>
      <c r="AL91">
        <f t="shared" si="18"/>
        <v>15.6494</v>
      </c>
      <c r="AM91">
        <f t="shared" si="19"/>
        <v>4.8187945467999995</v>
      </c>
      <c r="AP91" s="9"/>
      <c r="AQ91" s="22">
        <v>1.3920600000000001</v>
      </c>
      <c r="AR91" s="22">
        <v>227.67400000000001</v>
      </c>
      <c r="AS91" s="22">
        <v>-1.38245E-2</v>
      </c>
      <c r="AT91" s="22">
        <v>81</v>
      </c>
      <c r="AU91" s="22">
        <v>1.3913</v>
      </c>
      <c r="AV91">
        <f t="shared" si="20"/>
        <v>13.8245</v>
      </c>
      <c r="AW91">
        <f t="shared" si="21"/>
        <v>19.24453347</v>
      </c>
      <c r="AX91" s="9"/>
      <c r="AY91" s="22">
        <v>0.30792199999999997</v>
      </c>
      <c r="AZ91" s="22">
        <v>262.01400000000001</v>
      </c>
      <c r="BA91" s="22">
        <v>-1.55853E-2</v>
      </c>
      <c r="BB91" s="22">
        <v>81</v>
      </c>
      <c r="BC91" s="22">
        <v>0.30728100000000003</v>
      </c>
      <c r="BD91">
        <f t="shared" si="22"/>
        <v>15.5853</v>
      </c>
      <c r="BE91">
        <f t="shared" si="23"/>
        <v>4.7990567465999998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49.881</v>
      </c>
      <c r="I92" s="22">
        <v>-1.42334E-2</v>
      </c>
      <c r="J92" s="22">
        <v>82</v>
      </c>
      <c r="K92" s="22">
        <v>1.38611</v>
      </c>
      <c r="L92">
        <f t="shared" si="12"/>
        <v>14.2334</v>
      </c>
      <c r="M92">
        <f t="shared" si="13"/>
        <v>19.742010467999997</v>
      </c>
      <c r="N92" s="9"/>
      <c r="O92" s="22">
        <v>0.31295800000000001</v>
      </c>
      <c r="P92" s="22">
        <v>99.307400000000001</v>
      </c>
      <c r="Q92" s="22">
        <v>-1.5737899999999999E-2</v>
      </c>
      <c r="R92" s="22">
        <v>82</v>
      </c>
      <c r="S92" s="22">
        <v>0.31234699999999999</v>
      </c>
      <c r="T92">
        <f t="shared" si="14"/>
        <v>15.7379</v>
      </c>
      <c r="U92">
        <f t="shared" si="15"/>
        <v>4.9253017082000001</v>
      </c>
      <c r="X92" s="9"/>
      <c r="Y92" s="22">
        <v>1.3870199999999999</v>
      </c>
      <c r="Z92" s="22">
        <v>128.76400000000001</v>
      </c>
      <c r="AA92" s="22">
        <v>-1.4035000000000001E-2</v>
      </c>
      <c r="AB92" s="22">
        <v>82</v>
      </c>
      <c r="AC92" s="22">
        <v>1.3857999999999999</v>
      </c>
      <c r="AD92">
        <f t="shared" si="16"/>
        <v>14.035</v>
      </c>
      <c r="AE92">
        <f t="shared" si="17"/>
        <v>19.466825699999998</v>
      </c>
      <c r="AF92" s="9"/>
      <c r="AG92" s="22">
        <v>0.31295800000000001</v>
      </c>
      <c r="AH92" s="22">
        <v>178.238</v>
      </c>
      <c r="AI92" s="22">
        <v>-1.5649400000000001E-2</v>
      </c>
      <c r="AJ92" s="22">
        <v>82</v>
      </c>
      <c r="AK92" s="22">
        <v>0.31228600000000001</v>
      </c>
      <c r="AL92">
        <f t="shared" si="18"/>
        <v>15.6494</v>
      </c>
      <c r="AM92">
        <f t="shared" si="19"/>
        <v>4.8976049252000005</v>
      </c>
      <c r="AP92" s="9"/>
      <c r="AQ92" s="22">
        <v>1.3870199999999999</v>
      </c>
      <c r="AR92" s="22">
        <v>227.684</v>
      </c>
      <c r="AS92" s="22">
        <v>-1.3858000000000001E-2</v>
      </c>
      <c r="AT92" s="22">
        <v>82</v>
      </c>
      <c r="AU92" s="22">
        <v>1.3864099999999999</v>
      </c>
      <c r="AV92">
        <f t="shared" si="20"/>
        <v>13.858000000000001</v>
      </c>
      <c r="AW92">
        <f t="shared" si="21"/>
        <v>19.221323160000001</v>
      </c>
      <c r="AX92" s="9"/>
      <c r="AY92" s="22">
        <v>0.31295800000000001</v>
      </c>
      <c r="AZ92" s="22">
        <v>262.024</v>
      </c>
      <c r="BA92" s="22">
        <v>-1.55792E-2</v>
      </c>
      <c r="BB92" s="22">
        <v>82</v>
      </c>
      <c r="BC92" s="22">
        <v>0.31240800000000002</v>
      </c>
      <c r="BD92">
        <f t="shared" si="22"/>
        <v>15.5792</v>
      </c>
      <c r="BE92">
        <f t="shared" si="23"/>
        <v>4.8756352736000004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49.890999999999998</v>
      </c>
      <c r="I93" s="22">
        <v>-1.42609E-2</v>
      </c>
      <c r="J93" s="22">
        <v>83</v>
      </c>
      <c r="K93" s="22">
        <v>1.3815299999999999</v>
      </c>
      <c r="L93">
        <f t="shared" si="12"/>
        <v>14.260899999999999</v>
      </c>
      <c r="M93">
        <f t="shared" si="13"/>
        <v>19.708421190999999</v>
      </c>
      <c r="N93" s="9"/>
      <c r="O93" s="22">
        <v>0.31799300000000003</v>
      </c>
      <c r="P93" s="22">
        <v>99.317499999999995</v>
      </c>
      <c r="Q93" s="22">
        <v>-1.5737899999999999E-2</v>
      </c>
      <c r="R93" s="22">
        <v>83</v>
      </c>
      <c r="S93" s="22">
        <v>0.317413</v>
      </c>
      <c r="T93">
        <f t="shared" si="14"/>
        <v>15.7379</v>
      </c>
      <c r="U93">
        <f t="shared" si="15"/>
        <v>5.0045420347</v>
      </c>
      <c r="X93" s="9"/>
      <c r="Y93" s="22">
        <v>1.3819900000000001</v>
      </c>
      <c r="Z93" s="22">
        <v>128.774</v>
      </c>
      <c r="AA93" s="22">
        <v>-1.40625E-2</v>
      </c>
      <c r="AB93" s="22">
        <v>83</v>
      </c>
      <c r="AC93" s="22">
        <v>1.3809199999999999</v>
      </c>
      <c r="AD93">
        <f t="shared" si="16"/>
        <v>14.0625</v>
      </c>
      <c r="AE93">
        <f t="shared" si="17"/>
        <v>19.434234374999999</v>
      </c>
      <c r="AF93" s="9"/>
      <c r="AG93" s="22">
        <v>0.31799300000000003</v>
      </c>
      <c r="AH93" s="22">
        <v>178.24799999999999</v>
      </c>
      <c r="AI93" s="22">
        <v>-1.5646400000000001E-2</v>
      </c>
      <c r="AJ93" s="22">
        <v>83</v>
      </c>
      <c r="AK93" s="22">
        <v>0.31735200000000002</v>
      </c>
      <c r="AL93">
        <f t="shared" si="18"/>
        <v>15.646400000000002</v>
      </c>
      <c r="AM93">
        <f t="shared" si="19"/>
        <v>4.9754456752000014</v>
      </c>
      <c r="AP93" s="9"/>
      <c r="AQ93" s="22">
        <v>1.3819900000000001</v>
      </c>
      <c r="AR93" s="22">
        <v>227.69399999999999</v>
      </c>
      <c r="AS93" s="22">
        <v>-1.3894699999999999E-2</v>
      </c>
      <c r="AT93" s="22">
        <v>83</v>
      </c>
      <c r="AU93" s="22">
        <v>1.38123</v>
      </c>
      <c r="AV93">
        <f t="shared" si="20"/>
        <v>13.8947</v>
      </c>
      <c r="AW93">
        <f t="shared" si="21"/>
        <v>19.202336453000001</v>
      </c>
      <c r="AX93" s="9"/>
      <c r="AY93" s="22">
        <v>0.31799300000000003</v>
      </c>
      <c r="AZ93" s="22">
        <v>262.03500000000003</v>
      </c>
      <c r="BA93" s="22">
        <v>-1.55762E-2</v>
      </c>
      <c r="BB93" s="22">
        <v>83</v>
      </c>
      <c r="BC93" s="22">
        <v>0.31738300000000003</v>
      </c>
      <c r="BD93">
        <f t="shared" si="22"/>
        <v>15.5762</v>
      </c>
      <c r="BE93">
        <f t="shared" si="23"/>
        <v>4.9531225666000003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49.9011</v>
      </c>
      <c r="I94" s="22">
        <v>-1.4294400000000001E-2</v>
      </c>
      <c r="J94" s="22">
        <v>84</v>
      </c>
      <c r="K94" s="22">
        <v>1.3763399999999999</v>
      </c>
      <c r="L94">
        <f t="shared" si="12"/>
        <v>14.294400000000001</v>
      </c>
      <c r="M94">
        <f t="shared" si="13"/>
        <v>19.682674080000002</v>
      </c>
      <c r="N94" s="9"/>
      <c r="O94" s="22">
        <v>0.32302900000000001</v>
      </c>
      <c r="P94" s="22">
        <v>99.327500000000001</v>
      </c>
      <c r="Q94" s="22">
        <v>-1.5737899999999999E-2</v>
      </c>
      <c r="R94" s="22">
        <v>84</v>
      </c>
      <c r="S94" s="22">
        <v>0.32232699999999997</v>
      </c>
      <c r="T94">
        <f t="shared" si="14"/>
        <v>15.7379</v>
      </c>
      <c r="U94">
        <f t="shared" si="15"/>
        <v>5.0837980991</v>
      </c>
      <c r="X94" s="9"/>
      <c r="Y94" s="22">
        <v>1.3769499999999999</v>
      </c>
      <c r="Z94" s="22">
        <v>128.785</v>
      </c>
      <c r="AA94" s="22">
        <v>-1.409E-2</v>
      </c>
      <c r="AB94" s="22">
        <v>84</v>
      </c>
      <c r="AC94" s="22">
        <v>1.3763399999999999</v>
      </c>
      <c r="AD94">
        <f t="shared" si="16"/>
        <v>14.09</v>
      </c>
      <c r="AE94">
        <f t="shared" si="17"/>
        <v>19.401225499999999</v>
      </c>
      <c r="AF94" s="9"/>
      <c r="AG94" s="22">
        <v>0.32302900000000001</v>
      </c>
      <c r="AH94" s="22">
        <v>178.25800000000001</v>
      </c>
      <c r="AI94" s="22">
        <v>-1.5640299999999999E-2</v>
      </c>
      <c r="AJ94" s="22">
        <v>84</v>
      </c>
      <c r="AK94" s="22">
        <v>0.32232699999999997</v>
      </c>
      <c r="AL94">
        <f t="shared" si="18"/>
        <v>15.6403</v>
      </c>
      <c r="AM94">
        <f t="shared" si="19"/>
        <v>5.0522704686999997</v>
      </c>
      <c r="AP94" s="9"/>
      <c r="AQ94" s="22">
        <v>1.3769499999999999</v>
      </c>
      <c r="AR94" s="22">
        <v>227.70400000000001</v>
      </c>
      <c r="AS94" s="22">
        <v>-1.39343E-2</v>
      </c>
      <c r="AT94" s="22">
        <v>84</v>
      </c>
      <c r="AU94" s="22">
        <v>1.3760399999999999</v>
      </c>
      <c r="AV94">
        <f t="shared" si="20"/>
        <v>13.9343</v>
      </c>
      <c r="AW94">
        <f t="shared" si="21"/>
        <v>19.186834384999997</v>
      </c>
      <c r="AX94" s="9"/>
      <c r="AY94" s="22">
        <v>0.32302900000000001</v>
      </c>
      <c r="AZ94" s="22">
        <v>262.04500000000002</v>
      </c>
      <c r="BA94" s="22">
        <v>-1.55701E-2</v>
      </c>
      <c r="BB94" s="22">
        <v>84</v>
      </c>
      <c r="BC94" s="22">
        <v>0.322357</v>
      </c>
      <c r="BD94">
        <f t="shared" si="22"/>
        <v>15.5701</v>
      </c>
      <c r="BE94">
        <f t="shared" si="23"/>
        <v>5.0295938328999998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49.911200000000001</v>
      </c>
      <c r="I95" s="22">
        <v>-1.4331099999999999E-2</v>
      </c>
      <c r="J95" s="22">
        <v>85</v>
      </c>
      <c r="K95" s="22">
        <v>1.3708499999999999</v>
      </c>
      <c r="L95">
        <f t="shared" si="12"/>
        <v>14.331099999999999</v>
      </c>
      <c r="M95">
        <f t="shared" si="13"/>
        <v>19.661122712000001</v>
      </c>
      <c r="N95" s="9"/>
      <c r="O95" s="22">
        <v>0.32806400000000002</v>
      </c>
      <c r="P95" s="22">
        <v>99.337599999999995</v>
      </c>
      <c r="Q95" s="22">
        <v>-1.5728800000000001E-2</v>
      </c>
      <c r="R95" s="22">
        <v>85</v>
      </c>
      <c r="S95" s="22">
        <v>0.32733200000000001</v>
      </c>
      <c r="T95">
        <f t="shared" si="14"/>
        <v>15.728800000000001</v>
      </c>
      <c r="U95">
        <f t="shared" si="15"/>
        <v>5.1600530432000005</v>
      </c>
      <c r="X95" s="9"/>
      <c r="Y95" s="22">
        <v>1.37192</v>
      </c>
      <c r="Z95" s="22">
        <v>128.79499999999999</v>
      </c>
      <c r="AA95" s="22">
        <v>-1.4129600000000001E-2</v>
      </c>
      <c r="AB95" s="22">
        <v>85</v>
      </c>
      <c r="AC95" s="22">
        <v>1.3708499999999999</v>
      </c>
      <c r="AD95">
        <f t="shared" si="16"/>
        <v>14.129600000000002</v>
      </c>
      <c r="AE95">
        <f t="shared" si="17"/>
        <v>19.384680832000004</v>
      </c>
      <c r="AF95" s="9"/>
      <c r="AG95" s="22">
        <v>0.32806400000000002</v>
      </c>
      <c r="AH95" s="22">
        <v>178.268</v>
      </c>
      <c r="AI95" s="22">
        <v>-1.5634200000000001E-2</v>
      </c>
      <c r="AJ95" s="22">
        <v>85</v>
      </c>
      <c r="AK95" s="22">
        <v>0.32739299999999999</v>
      </c>
      <c r="AL95">
        <f t="shared" si="18"/>
        <v>15.634200000000002</v>
      </c>
      <c r="AM95">
        <f t="shared" si="19"/>
        <v>5.1290181888000008</v>
      </c>
      <c r="AP95" s="9"/>
      <c r="AQ95" s="22">
        <v>1.37192</v>
      </c>
      <c r="AR95" s="22">
        <v>227.714</v>
      </c>
      <c r="AS95" s="22">
        <v>-1.3974E-2</v>
      </c>
      <c r="AT95" s="22">
        <v>85</v>
      </c>
      <c r="AU95" s="22">
        <v>1.3711500000000001</v>
      </c>
      <c r="AV95">
        <f t="shared" si="20"/>
        <v>13.974</v>
      </c>
      <c r="AW95">
        <f t="shared" si="21"/>
        <v>19.171210080000002</v>
      </c>
      <c r="AX95" s="9"/>
      <c r="AY95" s="22">
        <v>0.32806400000000002</v>
      </c>
      <c r="AZ95" s="22">
        <v>262.05500000000001</v>
      </c>
      <c r="BA95" s="22">
        <v>-1.55701E-2</v>
      </c>
      <c r="BB95" s="22">
        <v>85</v>
      </c>
      <c r="BC95" s="22">
        <v>0.32742300000000002</v>
      </c>
      <c r="BD95">
        <f t="shared" si="22"/>
        <v>15.5701</v>
      </c>
      <c r="BE95">
        <f t="shared" si="23"/>
        <v>5.1079892864000005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49.921199999999999</v>
      </c>
      <c r="I96" s="22">
        <v>-1.43646E-2</v>
      </c>
      <c r="J96" s="22">
        <v>86</v>
      </c>
      <c r="K96" s="22">
        <v>1.3653599999999999</v>
      </c>
      <c r="L96">
        <f t="shared" si="12"/>
        <v>14.364599999999999</v>
      </c>
      <c r="M96">
        <f t="shared" si="13"/>
        <v>19.634684448000002</v>
      </c>
      <c r="N96" s="9"/>
      <c r="O96" s="22">
        <v>0.33309899999999998</v>
      </c>
      <c r="P96" s="22">
        <v>99.347700000000003</v>
      </c>
      <c r="Q96" s="22">
        <v>-1.5722699999999999E-2</v>
      </c>
      <c r="R96" s="22">
        <v>86</v>
      </c>
      <c r="S96" s="22">
        <v>0.33245799999999998</v>
      </c>
      <c r="T96">
        <f t="shared" si="14"/>
        <v>15.7227</v>
      </c>
      <c r="U96">
        <f t="shared" si="15"/>
        <v>5.2372156472999993</v>
      </c>
      <c r="X96" s="9"/>
      <c r="Y96" s="22">
        <v>1.3668800000000001</v>
      </c>
      <c r="Z96" s="22">
        <v>128.80500000000001</v>
      </c>
      <c r="AA96" s="22">
        <v>-1.4175399999999999E-2</v>
      </c>
      <c r="AB96" s="22">
        <v>86</v>
      </c>
      <c r="AC96" s="22">
        <v>1.3662700000000001</v>
      </c>
      <c r="AD96">
        <f t="shared" si="16"/>
        <v>14.1754</v>
      </c>
      <c r="AE96">
        <f t="shared" si="17"/>
        <v>19.376070752</v>
      </c>
      <c r="AF96" s="9"/>
      <c r="AG96" s="22">
        <v>0.33309899999999998</v>
      </c>
      <c r="AH96" s="22">
        <v>178.27799999999999</v>
      </c>
      <c r="AI96" s="22">
        <v>-1.5628099999999999E-2</v>
      </c>
      <c r="AJ96" s="22">
        <v>86</v>
      </c>
      <c r="AK96" s="22">
        <v>0.332428</v>
      </c>
      <c r="AL96">
        <f t="shared" si="18"/>
        <v>15.628099999999998</v>
      </c>
      <c r="AM96">
        <f t="shared" si="19"/>
        <v>5.2057044818999989</v>
      </c>
      <c r="AP96" s="9"/>
      <c r="AQ96" s="22">
        <v>1.3668800000000001</v>
      </c>
      <c r="AR96" s="22">
        <v>227.72499999999999</v>
      </c>
      <c r="AS96" s="22">
        <v>-1.40106E-2</v>
      </c>
      <c r="AT96" s="22">
        <v>86</v>
      </c>
      <c r="AU96" s="22">
        <v>1.3662700000000001</v>
      </c>
      <c r="AV96">
        <f t="shared" si="20"/>
        <v>14.0106</v>
      </c>
      <c r="AW96">
        <f t="shared" si="21"/>
        <v>19.150808928</v>
      </c>
      <c r="AX96" s="9"/>
      <c r="AY96" s="22">
        <v>0.33309899999999998</v>
      </c>
      <c r="AZ96" s="22">
        <v>262.065</v>
      </c>
      <c r="BA96" s="22">
        <v>-1.55701E-2</v>
      </c>
      <c r="BB96" s="22">
        <v>86</v>
      </c>
      <c r="BC96" s="22">
        <v>0.33251999999999998</v>
      </c>
      <c r="BD96">
        <f t="shared" si="22"/>
        <v>15.5701</v>
      </c>
      <c r="BE96">
        <f t="shared" si="23"/>
        <v>5.1863847398999994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49.9313</v>
      </c>
      <c r="I97" s="22">
        <v>-1.44073E-2</v>
      </c>
      <c r="J97" s="22">
        <v>87</v>
      </c>
      <c r="K97" s="22">
        <v>1.3607800000000001</v>
      </c>
      <c r="L97">
        <f t="shared" si="12"/>
        <v>14.407299999999999</v>
      </c>
      <c r="M97">
        <f t="shared" si="13"/>
        <v>19.620581505000001</v>
      </c>
      <c r="N97" s="9"/>
      <c r="O97" s="22">
        <v>0.33813500000000002</v>
      </c>
      <c r="P97" s="22">
        <v>99.357699999999994</v>
      </c>
      <c r="Q97" s="22">
        <v>-1.5722699999999999E-2</v>
      </c>
      <c r="R97" s="22">
        <v>87</v>
      </c>
      <c r="S97" s="22">
        <v>0.33743299999999998</v>
      </c>
      <c r="T97">
        <f t="shared" si="14"/>
        <v>15.7227</v>
      </c>
      <c r="U97">
        <f t="shared" si="15"/>
        <v>5.3163951645000003</v>
      </c>
      <c r="X97" s="9"/>
      <c r="Y97" s="22">
        <v>1.36185</v>
      </c>
      <c r="Z97" s="22">
        <v>128.815</v>
      </c>
      <c r="AA97" s="22">
        <v>-1.4218099999999999E-2</v>
      </c>
      <c r="AB97" s="22">
        <v>87</v>
      </c>
      <c r="AC97" s="22">
        <v>1.3610800000000001</v>
      </c>
      <c r="AD97">
        <f t="shared" si="16"/>
        <v>14.2181</v>
      </c>
      <c r="AE97">
        <f t="shared" si="17"/>
        <v>19.362919484999999</v>
      </c>
      <c r="AF97" s="9"/>
      <c r="AG97" s="22">
        <v>0.33813500000000002</v>
      </c>
      <c r="AH97" s="22">
        <v>178.28800000000001</v>
      </c>
      <c r="AI97" s="22">
        <v>-1.5625E-2</v>
      </c>
      <c r="AJ97" s="22">
        <v>87</v>
      </c>
      <c r="AK97" s="22">
        <v>0.33752399999999999</v>
      </c>
      <c r="AL97">
        <f t="shared" si="18"/>
        <v>15.625</v>
      </c>
      <c r="AM97">
        <f t="shared" si="19"/>
        <v>5.2833593749999999</v>
      </c>
      <c r="AP97" s="9"/>
      <c r="AQ97" s="22">
        <v>1.36185</v>
      </c>
      <c r="AR97" s="22">
        <v>227.73500000000001</v>
      </c>
      <c r="AS97" s="22">
        <v>-1.4041100000000001E-2</v>
      </c>
      <c r="AT97" s="22">
        <v>87</v>
      </c>
      <c r="AU97" s="22">
        <v>1.3604700000000001</v>
      </c>
      <c r="AV97">
        <f t="shared" si="20"/>
        <v>14.0411</v>
      </c>
      <c r="AW97">
        <f t="shared" si="21"/>
        <v>19.121872034999999</v>
      </c>
      <c r="AX97" s="9"/>
      <c r="AY97" s="22">
        <v>0.33813500000000002</v>
      </c>
      <c r="AZ97" s="22">
        <v>262.07499999999999</v>
      </c>
      <c r="BA97" s="22">
        <v>-1.5566999999999999E-2</v>
      </c>
      <c r="BB97" s="22">
        <v>87</v>
      </c>
      <c r="BC97" s="22">
        <v>0.33749400000000002</v>
      </c>
      <c r="BD97">
        <f t="shared" si="22"/>
        <v>15.566999999999998</v>
      </c>
      <c r="BE97">
        <f t="shared" si="23"/>
        <v>5.2637475450000002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49.941400000000002</v>
      </c>
      <c r="I98" s="22">
        <v>-1.44501E-2</v>
      </c>
      <c r="J98" s="22">
        <v>88</v>
      </c>
      <c r="K98" s="22">
        <v>1.3559000000000001</v>
      </c>
      <c r="L98">
        <f t="shared" si="12"/>
        <v>14.450100000000001</v>
      </c>
      <c r="M98">
        <f t="shared" si="13"/>
        <v>19.606040181000001</v>
      </c>
      <c r="N98" s="9"/>
      <c r="O98" s="22">
        <v>0.34316999999999998</v>
      </c>
      <c r="P98" s="22">
        <v>99.367800000000003</v>
      </c>
      <c r="Q98" s="22">
        <v>-1.57196E-2</v>
      </c>
      <c r="R98" s="22">
        <v>88</v>
      </c>
      <c r="S98" s="22">
        <v>0.342499</v>
      </c>
      <c r="T98">
        <f t="shared" si="14"/>
        <v>15.7196</v>
      </c>
      <c r="U98">
        <f t="shared" si="15"/>
        <v>5.3944951319999994</v>
      </c>
      <c r="X98" s="9"/>
      <c r="Y98" s="22">
        <v>1.3568100000000001</v>
      </c>
      <c r="Z98" s="22">
        <v>128.82499999999999</v>
      </c>
      <c r="AA98" s="22">
        <v>-1.4245600000000001E-2</v>
      </c>
      <c r="AB98" s="22">
        <v>88</v>
      </c>
      <c r="AC98" s="22">
        <v>1.3555900000000001</v>
      </c>
      <c r="AD98">
        <f t="shared" si="16"/>
        <v>14.245600000000001</v>
      </c>
      <c r="AE98">
        <f t="shared" si="17"/>
        <v>19.328572536000003</v>
      </c>
      <c r="AF98" s="9"/>
      <c r="AG98" s="22">
        <v>0.34316999999999998</v>
      </c>
      <c r="AH98" s="22">
        <v>178.298</v>
      </c>
      <c r="AI98" s="22">
        <v>-1.56189E-2</v>
      </c>
      <c r="AJ98" s="22">
        <v>88</v>
      </c>
      <c r="AK98" s="22">
        <v>0.34252899999999997</v>
      </c>
      <c r="AL98">
        <f t="shared" si="18"/>
        <v>15.6189</v>
      </c>
      <c r="AM98">
        <f t="shared" si="19"/>
        <v>5.3599379129999996</v>
      </c>
      <c r="AP98" s="9"/>
      <c r="AQ98" s="22">
        <v>1.3568100000000001</v>
      </c>
      <c r="AR98" s="22">
        <v>227.745</v>
      </c>
      <c r="AS98" s="22">
        <v>-1.4068600000000001E-2</v>
      </c>
      <c r="AT98" s="22">
        <v>88</v>
      </c>
      <c r="AU98" s="22">
        <v>1.3565100000000001</v>
      </c>
      <c r="AV98">
        <f t="shared" si="20"/>
        <v>14.0686</v>
      </c>
      <c r="AW98">
        <f t="shared" si="21"/>
        <v>19.088417165999999</v>
      </c>
      <c r="AX98" s="9"/>
      <c r="AY98" s="22">
        <v>0.34316999999999998</v>
      </c>
      <c r="AZ98" s="22">
        <v>262.08499999999998</v>
      </c>
      <c r="BA98" s="22">
        <v>-1.5566999999999999E-2</v>
      </c>
      <c r="BB98" s="22">
        <v>88</v>
      </c>
      <c r="BC98" s="22">
        <v>0.34255999999999998</v>
      </c>
      <c r="BD98">
        <f t="shared" si="22"/>
        <v>15.566999999999998</v>
      </c>
      <c r="BE98">
        <f t="shared" si="23"/>
        <v>5.342127389999999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49.951500000000003</v>
      </c>
      <c r="I99" s="22">
        <v>-1.44867E-2</v>
      </c>
      <c r="J99" s="22">
        <v>89</v>
      </c>
      <c r="K99" s="22">
        <v>1.35101</v>
      </c>
      <c r="L99">
        <f t="shared" si="12"/>
        <v>14.486700000000001</v>
      </c>
      <c r="M99">
        <f t="shared" si="13"/>
        <v>19.582831326000001</v>
      </c>
      <c r="N99" s="9"/>
      <c r="O99" s="22">
        <v>0.34820600000000002</v>
      </c>
      <c r="P99" s="22">
        <v>99.377899999999997</v>
      </c>
      <c r="Q99" s="22">
        <v>-1.57196E-2</v>
      </c>
      <c r="R99" s="22">
        <v>89</v>
      </c>
      <c r="S99" s="22">
        <v>0.34756500000000001</v>
      </c>
      <c r="T99">
        <f t="shared" si="14"/>
        <v>15.7196</v>
      </c>
      <c r="U99">
        <f t="shared" si="15"/>
        <v>5.4736590376000001</v>
      </c>
      <c r="X99" s="9"/>
      <c r="Y99" s="22">
        <v>1.35178</v>
      </c>
      <c r="Z99" s="22">
        <v>128.83500000000001</v>
      </c>
      <c r="AA99" s="22">
        <v>-1.4267E-2</v>
      </c>
      <c r="AB99" s="22">
        <v>89</v>
      </c>
      <c r="AC99" s="22">
        <v>1.3504</v>
      </c>
      <c r="AD99">
        <f t="shared" si="16"/>
        <v>14.266999999999999</v>
      </c>
      <c r="AE99">
        <f t="shared" si="17"/>
        <v>19.285845259999999</v>
      </c>
      <c r="AF99" s="9"/>
      <c r="AG99" s="22">
        <v>0.34820600000000002</v>
      </c>
      <c r="AH99" s="22">
        <v>178.30799999999999</v>
      </c>
      <c r="AI99" s="22">
        <v>-1.56128E-2</v>
      </c>
      <c r="AJ99" s="22">
        <v>89</v>
      </c>
      <c r="AK99" s="22">
        <v>0.34756500000000001</v>
      </c>
      <c r="AL99">
        <f t="shared" si="18"/>
        <v>15.6128</v>
      </c>
      <c r="AM99">
        <f t="shared" si="19"/>
        <v>5.4364706368000002</v>
      </c>
      <c r="AP99" s="9"/>
      <c r="AQ99" s="22">
        <v>1.35178</v>
      </c>
      <c r="AR99" s="22">
        <v>227.755</v>
      </c>
      <c r="AS99" s="22">
        <v>-1.41022E-2</v>
      </c>
      <c r="AT99" s="22">
        <v>89</v>
      </c>
      <c r="AU99" s="22">
        <v>1.35101</v>
      </c>
      <c r="AV99">
        <f t="shared" si="20"/>
        <v>14.1022</v>
      </c>
      <c r="AW99">
        <f t="shared" si="21"/>
        <v>19.063071915999998</v>
      </c>
      <c r="AX99" s="9"/>
      <c r="AY99" s="22">
        <v>0.34820600000000002</v>
      </c>
      <c r="AZ99" s="22">
        <v>262.09500000000003</v>
      </c>
      <c r="BA99" s="22">
        <v>-1.5560900000000001E-2</v>
      </c>
      <c r="BB99" s="22">
        <v>89</v>
      </c>
      <c r="BC99" s="22">
        <v>0.34747299999999998</v>
      </c>
      <c r="BD99">
        <f t="shared" si="22"/>
        <v>15.5609</v>
      </c>
      <c r="BE99">
        <f t="shared" si="23"/>
        <v>5.4183987454000002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49.961500000000001</v>
      </c>
      <c r="I100" s="22">
        <v>-1.4517199999999999E-2</v>
      </c>
      <c r="J100" s="22">
        <v>90</v>
      </c>
      <c r="K100" s="22">
        <v>1.34552</v>
      </c>
      <c r="L100">
        <f t="shared" si="12"/>
        <v>14.517199999999999</v>
      </c>
      <c r="M100">
        <f t="shared" si="13"/>
        <v>19.550893928000001</v>
      </c>
      <c r="N100" s="9"/>
      <c r="O100" s="22">
        <v>0.35324100000000003</v>
      </c>
      <c r="P100" s="22">
        <v>99.387900000000002</v>
      </c>
      <c r="Q100" s="22">
        <v>-1.5716600000000001E-2</v>
      </c>
      <c r="R100" s="22">
        <v>90</v>
      </c>
      <c r="S100" s="22">
        <v>0.35260000000000002</v>
      </c>
      <c r="T100">
        <f t="shared" si="14"/>
        <v>15.716600000000001</v>
      </c>
      <c r="U100">
        <f t="shared" si="15"/>
        <v>5.5517475006000012</v>
      </c>
      <c r="X100" s="9"/>
      <c r="Y100" s="22">
        <v>1.34674</v>
      </c>
      <c r="Z100" s="22">
        <v>128.845</v>
      </c>
      <c r="AA100" s="22">
        <v>-1.4300500000000001E-2</v>
      </c>
      <c r="AB100" s="22">
        <v>90</v>
      </c>
      <c r="AC100" s="22">
        <v>1.34613</v>
      </c>
      <c r="AD100">
        <f t="shared" si="16"/>
        <v>14.300500000000001</v>
      </c>
      <c r="AE100">
        <f t="shared" si="17"/>
        <v>19.259055370000002</v>
      </c>
      <c r="AF100" s="9"/>
      <c r="AG100" s="22">
        <v>0.35324100000000003</v>
      </c>
      <c r="AH100" s="22">
        <v>178.31800000000001</v>
      </c>
      <c r="AI100" s="22">
        <v>-1.5615800000000001E-2</v>
      </c>
      <c r="AJ100" s="22">
        <v>90</v>
      </c>
      <c r="AK100" s="22">
        <v>0.352661</v>
      </c>
      <c r="AL100">
        <f t="shared" si="18"/>
        <v>15.6158</v>
      </c>
      <c r="AM100">
        <f t="shared" si="19"/>
        <v>5.5161408078000003</v>
      </c>
      <c r="AP100" s="9"/>
      <c r="AQ100" s="22">
        <v>1.34674</v>
      </c>
      <c r="AR100" s="22">
        <v>227.76499999999999</v>
      </c>
      <c r="AS100" s="22">
        <v>-1.4129600000000001E-2</v>
      </c>
      <c r="AT100" s="22">
        <v>90</v>
      </c>
      <c r="AU100" s="22">
        <v>1.3464400000000001</v>
      </c>
      <c r="AV100">
        <f t="shared" si="20"/>
        <v>14.129600000000002</v>
      </c>
      <c r="AW100">
        <f t="shared" si="21"/>
        <v>19.028897504000003</v>
      </c>
      <c r="AX100" s="9"/>
      <c r="AY100" s="22">
        <v>0.35324100000000003</v>
      </c>
      <c r="AZ100" s="22">
        <v>262.10500000000002</v>
      </c>
      <c r="BA100" s="22">
        <v>-1.5560900000000001E-2</v>
      </c>
      <c r="BB100" s="22">
        <v>90</v>
      </c>
      <c r="BC100" s="22">
        <v>0.35256999999999999</v>
      </c>
      <c r="BD100">
        <f t="shared" si="22"/>
        <v>15.5609</v>
      </c>
      <c r="BE100">
        <f t="shared" si="23"/>
        <v>5.4967478769000007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49.971600000000002</v>
      </c>
      <c r="I101" s="22">
        <v>-1.45416E-2</v>
      </c>
      <c r="J101" s="22">
        <v>91</v>
      </c>
      <c r="K101" s="22">
        <v>1.3412500000000001</v>
      </c>
      <c r="L101">
        <f t="shared" si="12"/>
        <v>14.541600000000001</v>
      </c>
      <c r="M101">
        <f t="shared" si="13"/>
        <v>19.510610136</v>
      </c>
      <c r="N101" s="9"/>
      <c r="O101" s="22">
        <v>0.35827599999999998</v>
      </c>
      <c r="P101" s="22">
        <v>99.397999999999996</v>
      </c>
      <c r="Q101" s="22">
        <v>-1.5713499999999998E-2</v>
      </c>
      <c r="R101" s="22">
        <v>91</v>
      </c>
      <c r="S101" s="22">
        <v>0.357574</v>
      </c>
      <c r="T101">
        <f t="shared" si="14"/>
        <v>15.713499999999998</v>
      </c>
      <c r="U101">
        <f t="shared" si="15"/>
        <v>5.6297699259999989</v>
      </c>
      <c r="X101" s="9"/>
      <c r="Y101" s="22">
        <v>1.34171</v>
      </c>
      <c r="Z101" s="22">
        <v>128.85499999999999</v>
      </c>
      <c r="AA101" s="22">
        <v>-1.43372E-2</v>
      </c>
      <c r="AB101" s="22">
        <v>91</v>
      </c>
      <c r="AC101" s="22">
        <v>1.3406400000000001</v>
      </c>
      <c r="AD101">
        <f t="shared" si="16"/>
        <v>14.337199999999999</v>
      </c>
      <c r="AE101">
        <f t="shared" si="17"/>
        <v>19.236364611999999</v>
      </c>
      <c r="AF101" s="9"/>
      <c r="AG101" s="22">
        <v>0.35827599999999998</v>
      </c>
      <c r="AH101" s="22">
        <v>178.32900000000001</v>
      </c>
      <c r="AI101" s="22">
        <v>-1.5621899999999999E-2</v>
      </c>
      <c r="AJ101" s="22">
        <v>91</v>
      </c>
      <c r="AK101" s="22">
        <v>0.35766599999999998</v>
      </c>
      <c r="AL101">
        <f t="shared" si="18"/>
        <v>15.6219</v>
      </c>
      <c r="AM101">
        <f t="shared" si="19"/>
        <v>5.5969518443999995</v>
      </c>
      <c r="AP101" s="9"/>
      <c r="AQ101" s="22">
        <v>1.34171</v>
      </c>
      <c r="AR101" s="22">
        <v>227.77500000000001</v>
      </c>
      <c r="AS101" s="22">
        <v>-1.4151E-2</v>
      </c>
      <c r="AT101" s="22">
        <v>91</v>
      </c>
      <c r="AU101" s="22">
        <v>1.34033</v>
      </c>
      <c r="AV101">
        <f t="shared" si="20"/>
        <v>14.151</v>
      </c>
      <c r="AW101">
        <f t="shared" si="21"/>
        <v>18.986538209999999</v>
      </c>
      <c r="AX101" s="9"/>
      <c r="AY101" s="22">
        <v>0.35827599999999998</v>
      </c>
      <c r="AZ101" s="22">
        <v>262.11500000000001</v>
      </c>
      <c r="BA101" s="22">
        <v>-1.5554800000000001E-2</v>
      </c>
      <c r="BB101" s="22">
        <v>91</v>
      </c>
      <c r="BC101" s="22">
        <v>0.35760500000000001</v>
      </c>
      <c r="BD101">
        <f t="shared" si="22"/>
        <v>15.5548</v>
      </c>
      <c r="BE101">
        <f t="shared" si="23"/>
        <v>5.5729115247999994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49.981699999999996</v>
      </c>
      <c r="I102" s="22">
        <v>-1.45691E-2</v>
      </c>
      <c r="J102" s="22">
        <v>92</v>
      </c>
      <c r="K102" s="22">
        <v>1.33606</v>
      </c>
      <c r="L102">
        <f t="shared" si="12"/>
        <v>14.569100000000001</v>
      </c>
      <c r="M102">
        <f t="shared" si="13"/>
        <v>19.474078897000002</v>
      </c>
      <c r="N102" s="9"/>
      <c r="O102" s="22">
        <v>0.36331200000000002</v>
      </c>
      <c r="P102" s="22">
        <v>99.408100000000005</v>
      </c>
      <c r="Q102" s="22">
        <v>-1.5710399999999999E-2</v>
      </c>
      <c r="R102" s="22">
        <v>92</v>
      </c>
      <c r="S102" s="22">
        <v>0.36257899999999998</v>
      </c>
      <c r="T102">
        <f t="shared" si="14"/>
        <v>15.7104</v>
      </c>
      <c r="U102">
        <f t="shared" si="15"/>
        <v>5.7077768448000006</v>
      </c>
      <c r="X102" s="9"/>
      <c r="Y102" s="22">
        <v>1.33667</v>
      </c>
      <c r="Z102" s="22">
        <v>128.86500000000001</v>
      </c>
      <c r="AA102" s="22">
        <v>-1.43707E-2</v>
      </c>
      <c r="AB102" s="22">
        <v>92</v>
      </c>
      <c r="AC102" s="22">
        <v>1.33606</v>
      </c>
      <c r="AD102">
        <f t="shared" si="16"/>
        <v>14.370699999999999</v>
      </c>
      <c r="AE102">
        <f t="shared" si="17"/>
        <v>19.208883569000001</v>
      </c>
      <c r="AF102" s="9"/>
      <c r="AG102" s="22">
        <v>0.36331200000000002</v>
      </c>
      <c r="AH102" s="22">
        <v>178.339</v>
      </c>
      <c r="AI102" s="22">
        <v>-1.5621899999999999E-2</v>
      </c>
      <c r="AJ102" s="22">
        <v>92</v>
      </c>
      <c r="AK102" s="22">
        <v>0.362701</v>
      </c>
      <c r="AL102">
        <f t="shared" si="18"/>
        <v>15.6219</v>
      </c>
      <c r="AM102">
        <f t="shared" si="19"/>
        <v>5.6756237328000001</v>
      </c>
      <c r="AP102" s="9"/>
      <c r="AQ102" s="22">
        <v>1.33667</v>
      </c>
      <c r="AR102" s="22">
        <v>227.785</v>
      </c>
      <c r="AS102" s="22">
        <v>-1.41724E-2</v>
      </c>
      <c r="AT102" s="22">
        <v>92</v>
      </c>
      <c r="AU102" s="22">
        <v>1.33575</v>
      </c>
      <c r="AV102">
        <f t="shared" si="20"/>
        <v>14.1724</v>
      </c>
      <c r="AW102">
        <f t="shared" si="21"/>
        <v>18.943821908</v>
      </c>
      <c r="AX102" s="9"/>
      <c r="AY102" s="22">
        <v>0.36331200000000002</v>
      </c>
      <c r="AZ102" s="22">
        <v>262.125</v>
      </c>
      <c r="BA102" s="22">
        <v>-1.55426E-2</v>
      </c>
      <c r="BB102" s="22">
        <v>92</v>
      </c>
      <c r="BC102" s="22">
        <v>0.36267100000000002</v>
      </c>
      <c r="BD102">
        <f t="shared" si="22"/>
        <v>15.5426</v>
      </c>
      <c r="BE102">
        <f t="shared" si="23"/>
        <v>5.6468130912000003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49.991700000000002</v>
      </c>
      <c r="I103" s="22">
        <v>-1.4599600000000001E-2</v>
      </c>
      <c r="J103" s="22">
        <v>93</v>
      </c>
      <c r="K103" s="22">
        <v>1.33087</v>
      </c>
      <c r="L103">
        <f t="shared" si="12"/>
        <v>14.599600000000001</v>
      </c>
      <c r="M103">
        <f t="shared" si="13"/>
        <v>19.441265348000002</v>
      </c>
      <c r="N103" s="9"/>
      <c r="O103" s="22">
        <v>0.36834699999999998</v>
      </c>
      <c r="P103" s="22">
        <v>99.418199999999999</v>
      </c>
      <c r="Q103" s="22">
        <v>-1.57074E-2</v>
      </c>
      <c r="R103" s="22">
        <v>93</v>
      </c>
      <c r="S103" s="22">
        <v>0.36770599999999998</v>
      </c>
      <c r="T103">
        <f t="shared" si="14"/>
        <v>15.7074</v>
      </c>
      <c r="U103">
        <f t="shared" si="15"/>
        <v>5.7857736678</v>
      </c>
      <c r="X103" s="9"/>
      <c r="Y103" s="22">
        <v>1.3316300000000001</v>
      </c>
      <c r="Z103" s="22">
        <v>128.875</v>
      </c>
      <c r="AA103" s="22">
        <v>-1.4401199999999999E-2</v>
      </c>
      <c r="AB103" s="22">
        <v>93</v>
      </c>
      <c r="AC103" s="22">
        <v>1.33118</v>
      </c>
      <c r="AD103">
        <f t="shared" si="16"/>
        <v>14.401199999999999</v>
      </c>
      <c r="AE103">
        <f t="shared" si="17"/>
        <v>19.177069956</v>
      </c>
      <c r="AF103" s="9"/>
      <c r="AG103" s="22">
        <v>0.36834699999999998</v>
      </c>
      <c r="AH103" s="22">
        <v>178.34899999999999</v>
      </c>
      <c r="AI103" s="22">
        <v>-1.5621899999999999E-2</v>
      </c>
      <c r="AJ103" s="22">
        <v>93</v>
      </c>
      <c r="AK103" s="22">
        <v>0.36758400000000002</v>
      </c>
      <c r="AL103">
        <f t="shared" si="18"/>
        <v>15.6219</v>
      </c>
      <c r="AM103">
        <f t="shared" si="19"/>
        <v>5.7542799992999996</v>
      </c>
      <c r="AP103" s="9"/>
      <c r="AQ103" s="22">
        <v>1.3316300000000001</v>
      </c>
      <c r="AR103" s="22">
        <v>227.79499999999999</v>
      </c>
      <c r="AS103" s="22">
        <v>-1.4190700000000001E-2</v>
      </c>
      <c r="AT103" s="22">
        <v>93</v>
      </c>
      <c r="AU103" s="22">
        <v>1.33087</v>
      </c>
      <c r="AV103">
        <f t="shared" si="20"/>
        <v>14.1907</v>
      </c>
      <c r="AW103">
        <f t="shared" si="21"/>
        <v>18.896761841</v>
      </c>
      <c r="AX103" s="9"/>
      <c r="AY103" s="22">
        <v>0.36834699999999998</v>
      </c>
      <c r="AZ103" s="22">
        <v>262.13499999999999</v>
      </c>
      <c r="BA103" s="22">
        <v>-1.5539600000000001E-2</v>
      </c>
      <c r="BB103" s="22">
        <v>93</v>
      </c>
      <c r="BC103" s="22">
        <v>0.36770599999999998</v>
      </c>
      <c r="BD103">
        <f t="shared" si="22"/>
        <v>15.5396</v>
      </c>
      <c r="BE103">
        <f t="shared" si="23"/>
        <v>5.7239650411999996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50.001800000000003</v>
      </c>
      <c r="I104" s="22">
        <v>-1.4627100000000001E-2</v>
      </c>
      <c r="J104" s="22">
        <v>94</v>
      </c>
      <c r="K104" s="22">
        <v>1.32599</v>
      </c>
      <c r="L104">
        <f t="shared" si="12"/>
        <v>14.6271</v>
      </c>
      <c r="M104">
        <f t="shared" si="13"/>
        <v>19.404310859999999</v>
      </c>
      <c r="N104" s="9"/>
      <c r="O104" s="22">
        <v>0.37338300000000002</v>
      </c>
      <c r="P104" s="22">
        <v>99.428200000000004</v>
      </c>
      <c r="Q104" s="22">
        <v>-1.5713499999999998E-2</v>
      </c>
      <c r="R104" s="22">
        <v>94</v>
      </c>
      <c r="S104" s="22">
        <v>0.37274200000000002</v>
      </c>
      <c r="T104">
        <f t="shared" si="14"/>
        <v>15.713499999999998</v>
      </c>
      <c r="U104">
        <f t="shared" si="15"/>
        <v>5.8671537704999999</v>
      </c>
      <c r="X104" s="9"/>
      <c r="Y104" s="22">
        <v>1.3266</v>
      </c>
      <c r="Z104" s="22">
        <v>128.88499999999999</v>
      </c>
      <c r="AA104" s="22">
        <v>-1.44257E-2</v>
      </c>
      <c r="AB104" s="22">
        <v>94</v>
      </c>
      <c r="AC104" s="22">
        <v>1.32599</v>
      </c>
      <c r="AD104">
        <f t="shared" si="16"/>
        <v>14.425699999999999</v>
      </c>
      <c r="AE104">
        <f t="shared" si="17"/>
        <v>19.13713362</v>
      </c>
      <c r="AF104" s="9"/>
      <c r="AG104" s="22">
        <v>0.37338300000000002</v>
      </c>
      <c r="AH104" s="22">
        <v>178.35900000000001</v>
      </c>
      <c r="AI104" s="22">
        <v>-1.5625E-2</v>
      </c>
      <c r="AJ104" s="22">
        <v>94</v>
      </c>
      <c r="AK104" s="22">
        <v>0.37271100000000001</v>
      </c>
      <c r="AL104">
        <f t="shared" si="18"/>
        <v>15.625</v>
      </c>
      <c r="AM104">
        <f t="shared" si="19"/>
        <v>5.8341093750000006</v>
      </c>
      <c r="AP104" s="9"/>
      <c r="AQ104" s="22">
        <v>1.3266</v>
      </c>
      <c r="AR104" s="22">
        <v>227.80500000000001</v>
      </c>
      <c r="AS104" s="22">
        <v>-1.42273E-2</v>
      </c>
      <c r="AT104" s="22">
        <v>94</v>
      </c>
      <c r="AU104" s="22">
        <v>1.32629</v>
      </c>
      <c r="AV104">
        <f t="shared" si="20"/>
        <v>14.2273</v>
      </c>
      <c r="AW104">
        <f t="shared" si="21"/>
        <v>18.873936180000001</v>
      </c>
      <c r="AX104" s="9"/>
      <c r="AY104" s="22">
        <v>0.37338300000000002</v>
      </c>
      <c r="AZ104" s="22">
        <v>262.14499999999998</v>
      </c>
      <c r="BA104" s="22">
        <v>-1.5545700000000001E-2</v>
      </c>
      <c r="BB104" s="22">
        <v>94</v>
      </c>
      <c r="BC104" s="22">
        <v>0.372803</v>
      </c>
      <c r="BD104">
        <f t="shared" si="22"/>
        <v>15.5457</v>
      </c>
      <c r="BE104">
        <f t="shared" si="23"/>
        <v>5.8045001031000005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50.011899999999997</v>
      </c>
      <c r="I105" s="22">
        <v>-1.46515E-2</v>
      </c>
      <c r="J105" s="22">
        <v>95</v>
      </c>
      <c r="K105" s="22">
        <v>1.3208</v>
      </c>
      <c r="L105">
        <f t="shared" si="12"/>
        <v>14.6515</v>
      </c>
      <c r="M105">
        <f t="shared" si="13"/>
        <v>19.362836340000001</v>
      </c>
      <c r="N105" s="9"/>
      <c r="O105" s="22">
        <v>0.37841799999999998</v>
      </c>
      <c r="P105" s="22">
        <v>99.438299999999998</v>
      </c>
      <c r="Q105" s="22">
        <v>-1.5716600000000001E-2</v>
      </c>
      <c r="R105" s="22">
        <v>95</v>
      </c>
      <c r="S105" s="22">
        <v>0.37768600000000002</v>
      </c>
      <c r="T105">
        <f t="shared" si="14"/>
        <v>15.716600000000001</v>
      </c>
      <c r="U105">
        <f t="shared" si="15"/>
        <v>5.9474443388000005</v>
      </c>
      <c r="X105" s="9"/>
      <c r="Y105" s="22">
        <v>1.3215600000000001</v>
      </c>
      <c r="Z105" s="22">
        <v>128.89500000000001</v>
      </c>
      <c r="AA105" s="22">
        <v>-1.44531E-2</v>
      </c>
      <c r="AB105" s="22">
        <v>95</v>
      </c>
      <c r="AC105" s="22">
        <v>1.3208</v>
      </c>
      <c r="AD105">
        <f t="shared" si="16"/>
        <v>14.453099999999999</v>
      </c>
      <c r="AE105">
        <f t="shared" si="17"/>
        <v>19.100638835999998</v>
      </c>
      <c r="AF105" s="9"/>
      <c r="AG105" s="22">
        <v>0.37841799999999998</v>
      </c>
      <c r="AH105" s="22">
        <v>178.369</v>
      </c>
      <c r="AI105" s="22">
        <v>-1.5628099999999999E-2</v>
      </c>
      <c r="AJ105" s="22">
        <v>95</v>
      </c>
      <c r="AK105" s="22">
        <v>0.37786900000000001</v>
      </c>
      <c r="AL105">
        <f t="shared" si="18"/>
        <v>15.628099999999998</v>
      </c>
      <c r="AM105">
        <f t="shared" si="19"/>
        <v>5.9139543457999988</v>
      </c>
      <c r="AP105" s="9"/>
      <c r="AQ105" s="22">
        <v>1.3215600000000001</v>
      </c>
      <c r="AR105" s="22">
        <v>227.815</v>
      </c>
      <c r="AS105" s="22">
        <v>-1.4245600000000001E-2</v>
      </c>
      <c r="AT105" s="22">
        <v>95</v>
      </c>
      <c r="AU105" s="22">
        <v>1.3205</v>
      </c>
      <c r="AV105">
        <f t="shared" si="20"/>
        <v>14.245600000000001</v>
      </c>
      <c r="AW105">
        <f t="shared" si="21"/>
        <v>18.826415136000001</v>
      </c>
      <c r="AX105" s="9"/>
      <c r="AY105" s="22">
        <v>0.37841799999999998</v>
      </c>
      <c r="AZ105" s="22">
        <v>262.15499999999997</v>
      </c>
      <c r="BA105" s="22">
        <v>-1.5551799999999999E-2</v>
      </c>
      <c r="BB105" s="22">
        <v>95</v>
      </c>
      <c r="BC105" s="22">
        <v>0.37777699999999997</v>
      </c>
      <c r="BD105">
        <f t="shared" si="22"/>
        <v>15.5518</v>
      </c>
      <c r="BE105">
        <f t="shared" si="23"/>
        <v>5.8850810523999995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50.021999999999998</v>
      </c>
      <c r="I106" s="22">
        <v>-1.46667E-2</v>
      </c>
      <c r="J106" s="22">
        <v>96</v>
      </c>
      <c r="K106" s="22">
        <v>1.3156099999999999</v>
      </c>
      <c r="L106">
        <f t="shared" si="12"/>
        <v>14.666699999999999</v>
      </c>
      <c r="M106">
        <f t="shared" si="13"/>
        <v>19.309150550999998</v>
      </c>
      <c r="N106" s="9"/>
      <c r="O106" s="22">
        <v>0.38345299999999999</v>
      </c>
      <c r="P106" s="22">
        <v>99.448400000000007</v>
      </c>
      <c r="Q106" s="22">
        <v>-1.57196E-2</v>
      </c>
      <c r="R106" s="22">
        <v>96</v>
      </c>
      <c r="S106" s="22">
        <v>0.38281300000000001</v>
      </c>
      <c r="T106">
        <f t="shared" si="14"/>
        <v>15.7196</v>
      </c>
      <c r="U106">
        <f t="shared" si="15"/>
        <v>6.0277277788000001</v>
      </c>
      <c r="X106" s="9"/>
      <c r="Y106" s="22">
        <v>1.31653</v>
      </c>
      <c r="Z106" s="22">
        <v>128.905</v>
      </c>
      <c r="AA106" s="22">
        <v>-1.4477500000000001E-2</v>
      </c>
      <c r="AB106" s="22">
        <v>96</v>
      </c>
      <c r="AC106" s="22">
        <v>1.31592</v>
      </c>
      <c r="AD106">
        <f t="shared" si="16"/>
        <v>14.477500000000001</v>
      </c>
      <c r="AE106">
        <f t="shared" si="17"/>
        <v>19.060063075000002</v>
      </c>
      <c r="AF106" s="9"/>
      <c r="AG106" s="22">
        <v>0.38345299999999999</v>
      </c>
      <c r="AH106" s="22">
        <v>178.37899999999999</v>
      </c>
      <c r="AI106" s="22">
        <v>-1.5628099999999999E-2</v>
      </c>
      <c r="AJ106" s="22">
        <v>96</v>
      </c>
      <c r="AK106" s="22">
        <v>0.38281300000000001</v>
      </c>
      <c r="AL106">
        <f t="shared" si="18"/>
        <v>15.628099999999998</v>
      </c>
      <c r="AM106">
        <f t="shared" si="19"/>
        <v>5.9926418292999992</v>
      </c>
      <c r="AP106" s="9"/>
      <c r="AQ106" s="22">
        <v>1.31653</v>
      </c>
      <c r="AR106" s="22">
        <v>227.82499999999999</v>
      </c>
      <c r="AS106" s="22">
        <v>-1.4257799999999999E-2</v>
      </c>
      <c r="AT106" s="22">
        <v>96</v>
      </c>
      <c r="AU106" s="22">
        <v>1.31653</v>
      </c>
      <c r="AV106">
        <f t="shared" si="20"/>
        <v>14.2578</v>
      </c>
      <c r="AW106">
        <f t="shared" si="21"/>
        <v>18.770821433999998</v>
      </c>
      <c r="AX106" s="9"/>
      <c r="AY106" s="22">
        <v>0.38345299999999999</v>
      </c>
      <c r="AZ106" s="22">
        <v>262.16500000000002</v>
      </c>
      <c r="BA106" s="22">
        <v>-1.5554800000000001E-2</v>
      </c>
      <c r="BB106" s="22">
        <v>96</v>
      </c>
      <c r="BC106" s="22">
        <v>0.38290400000000002</v>
      </c>
      <c r="BD106">
        <f t="shared" si="22"/>
        <v>15.5548</v>
      </c>
      <c r="BE106">
        <f t="shared" si="23"/>
        <v>5.9645347244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50.031999999999996</v>
      </c>
      <c r="I107" s="22">
        <v>-1.46851E-2</v>
      </c>
      <c r="J107" s="22">
        <v>97</v>
      </c>
      <c r="K107" s="22">
        <v>1.31073</v>
      </c>
      <c r="L107">
        <f t="shared" si="12"/>
        <v>14.6851</v>
      </c>
      <c r="M107">
        <f t="shared" si="13"/>
        <v>19.259361799000001</v>
      </c>
      <c r="N107" s="9"/>
      <c r="O107" s="22">
        <v>0.38848899999999997</v>
      </c>
      <c r="P107" s="22">
        <v>99.458399999999997</v>
      </c>
      <c r="Q107" s="22">
        <v>-1.5713499999999998E-2</v>
      </c>
      <c r="R107" s="22">
        <v>97</v>
      </c>
      <c r="S107" s="22">
        <v>0.387878</v>
      </c>
      <c r="T107">
        <f t="shared" si="14"/>
        <v>15.713499999999998</v>
      </c>
      <c r="U107">
        <f t="shared" si="15"/>
        <v>6.1045219014999992</v>
      </c>
      <c r="X107" s="9"/>
      <c r="Y107" s="22">
        <v>1.31149</v>
      </c>
      <c r="Z107" s="22">
        <v>128.91499999999999</v>
      </c>
      <c r="AA107" s="22">
        <v>-1.4511100000000001E-2</v>
      </c>
      <c r="AB107" s="22">
        <v>97</v>
      </c>
      <c r="AC107" s="22">
        <v>1.31104</v>
      </c>
      <c r="AD107">
        <f t="shared" si="16"/>
        <v>14.511100000000001</v>
      </c>
      <c r="AE107">
        <f t="shared" si="17"/>
        <v>19.031162539</v>
      </c>
      <c r="AF107" s="9"/>
      <c r="AG107" s="22">
        <v>0.38848899999999997</v>
      </c>
      <c r="AH107" s="22">
        <v>178.38900000000001</v>
      </c>
      <c r="AI107" s="22">
        <v>-1.5628099999999999E-2</v>
      </c>
      <c r="AJ107" s="22">
        <v>97</v>
      </c>
      <c r="AK107" s="22">
        <v>0.387878</v>
      </c>
      <c r="AL107">
        <f t="shared" si="18"/>
        <v>15.628099999999998</v>
      </c>
      <c r="AM107">
        <f t="shared" si="19"/>
        <v>6.0713449408999987</v>
      </c>
      <c r="AP107" s="9"/>
      <c r="AQ107" s="22">
        <v>1.31149</v>
      </c>
      <c r="AR107" s="22">
        <v>227.83500000000001</v>
      </c>
      <c r="AS107" s="22">
        <v>-1.42822E-2</v>
      </c>
      <c r="AT107" s="22">
        <v>97</v>
      </c>
      <c r="AU107" s="22">
        <v>1.3104199999999999</v>
      </c>
      <c r="AV107">
        <f t="shared" si="20"/>
        <v>14.2822</v>
      </c>
      <c r="AW107">
        <f t="shared" si="21"/>
        <v>18.730962477999999</v>
      </c>
      <c r="AX107" s="9"/>
      <c r="AY107" s="22">
        <v>0.38848899999999997</v>
      </c>
      <c r="AZ107" s="22">
        <v>262.17599999999999</v>
      </c>
      <c r="BA107" s="22">
        <v>-1.5554800000000001E-2</v>
      </c>
      <c r="BB107" s="22">
        <v>97</v>
      </c>
      <c r="BC107" s="22">
        <v>0.387909</v>
      </c>
      <c r="BD107">
        <f t="shared" si="22"/>
        <v>15.5548</v>
      </c>
      <c r="BE107">
        <f t="shared" si="23"/>
        <v>6.0428686971999994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50.042099999999998</v>
      </c>
      <c r="I108" s="22">
        <v>-1.4715600000000001E-2</v>
      </c>
      <c r="J108" s="22">
        <v>98</v>
      </c>
      <c r="K108" s="22">
        <v>1.3055399999999999</v>
      </c>
      <c r="L108">
        <f t="shared" si="12"/>
        <v>14.7156</v>
      </c>
      <c r="M108">
        <f t="shared" si="13"/>
        <v>19.225342775999998</v>
      </c>
      <c r="N108" s="9"/>
      <c r="O108" s="22">
        <v>0.39352399999999998</v>
      </c>
      <c r="P108" s="22">
        <v>99.468500000000006</v>
      </c>
      <c r="Q108" s="22">
        <v>-1.5710399999999999E-2</v>
      </c>
      <c r="R108" s="22">
        <v>98</v>
      </c>
      <c r="S108" s="22">
        <v>0.392822</v>
      </c>
      <c r="T108">
        <f t="shared" si="14"/>
        <v>15.7104</v>
      </c>
      <c r="U108">
        <f t="shared" si="15"/>
        <v>6.1824194495999993</v>
      </c>
      <c r="X108" s="9"/>
      <c r="Y108" s="22">
        <v>1.30646</v>
      </c>
      <c r="Z108" s="22">
        <v>128.92599999999999</v>
      </c>
      <c r="AA108" s="22">
        <v>-1.45355E-2</v>
      </c>
      <c r="AB108" s="22">
        <v>98</v>
      </c>
      <c r="AC108" s="22">
        <v>1.3055399999999999</v>
      </c>
      <c r="AD108">
        <f t="shared" si="16"/>
        <v>14.535499999999999</v>
      </c>
      <c r="AE108">
        <f t="shared" si="17"/>
        <v>18.990049329999998</v>
      </c>
      <c r="AF108" s="9"/>
      <c r="AG108" s="22">
        <v>0.39352399999999998</v>
      </c>
      <c r="AH108" s="22">
        <v>178.399</v>
      </c>
      <c r="AI108" s="22">
        <v>-1.5621899999999999E-2</v>
      </c>
      <c r="AJ108" s="22">
        <v>98</v>
      </c>
      <c r="AK108" s="22">
        <v>0.39291399999999999</v>
      </c>
      <c r="AL108">
        <f t="shared" si="18"/>
        <v>15.6219</v>
      </c>
      <c r="AM108">
        <f t="shared" si="19"/>
        <v>6.1475925756000001</v>
      </c>
      <c r="AP108" s="9"/>
      <c r="AQ108" s="22">
        <v>1.30646</v>
      </c>
      <c r="AR108" s="22">
        <v>227.845</v>
      </c>
      <c r="AS108" s="22">
        <v>-1.4306599999999999E-2</v>
      </c>
      <c r="AT108" s="22">
        <v>98</v>
      </c>
      <c r="AU108" s="22">
        <v>1.30585</v>
      </c>
      <c r="AV108">
        <f t="shared" si="20"/>
        <v>14.3066</v>
      </c>
      <c r="AW108">
        <f t="shared" si="21"/>
        <v>18.691000635999998</v>
      </c>
      <c r="AX108" s="9"/>
      <c r="AY108" s="22">
        <v>0.39352399999999998</v>
      </c>
      <c r="AZ108" s="22">
        <v>262.18599999999998</v>
      </c>
      <c r="BA108" s="22">
        <v>-1.55579E-2</v>
      </c>
      <c r="BB108" s="22">
        <v>98</v>
      </c>
      <c r="BC108" s="22">
        <v>0.39285300000000001</v>
      </c>
      <c r="BD108">
        <f t="shared" si="22"/>
        <v>15.5579</v>
      </c>
      <c r="BE108">
        <f t="shared" si="23"/>
        <v>6.1224070395999997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50.052199999999999</v>
      </c>
      <c r="I109" s="22">
        <v>-1.4736900000000001E-2</v>
      </c>
      <c r="J109" s="22">
        <v>99</v>
      </c>
      <c r="K109" s="22">
        <v>1.3009599999999999</v>
      </c>
      <c r="L109">
        <f t="shared" si="12"/>
        <v>14.7369</v>
      </c>
      <c r="M109">
        <f t="shared" si="13"/>
        <v>19.178896397999999</v>
      </c>
      <c r="N109" s="9"/>
      <c r="O109" s="22">
        <v>0.39856000000000003</v>
      </c>
      <c r="P109" s="22">
        <v>99.4786</v>
      </c>
      <c r="Q109" s="22">
        <v>-1.5704300000000001E-2</v>
      </c>
      <c r="R109" s="22">
        <v>99</v>
      </c>
      <c r="S109" s="22">
        <v>0.397949</v>
      </c>
      <c r="T109">
        <f t="shared" si="14"/>
        <v>15.704300000000002</v>
      </c>
      <c r="U109">
        <f t="shared" si="15"/>
        <v>6.259105808000001</v>
      </c>
      <c r="X109" s="9"/>
      <c r="Y109" s="22">
        <v>1.30142</v>
      </c>
      <c r="Z109" s="22">
        <v>128.93600000000001</v>
      </c>
      <c r="AA109" s="22">
        <v>-1.45538E-2</v>
      </c>
      <c r="AB109" s="22">
        <v>99</v>
      </c>
      <c r="AC109" s="22">
        <v>1.3006599999999999</v>
      </c>
      <c r="AD109">
        <f t="shared" si="16"/>
        <v>14.553800000000001</v>
      </c>
      <c r="AE109">
        <f t="shared" si="17"/>
        <v>18.940606396</v>
      </c>
      <c r="AF109" s="9"/>
      <c r="AG109" s="22">
        <v>0.39856000000000003</v>
      </c>
      <c r="AH109" s="22">
        <v>178.40899999999999</v>
      </c>
      <c r="AI109" s="22">
        <v>-1.5625E-2</v>
      </c>
      <c r="AJ109" s="22">
        <v>99</v>
      </c>
      <c r="AK109" s="22">
        <v>0.39791900000000002</v>
      </c>
      <c r="AL109">
        <f t="shared" si="18"/>
        <v>15.625</v>
      </c>
      <c r="AM109">
        <f t="shared" si="19"/>
        <v>6.2275</v>
      </c>
      <c r="AP109" s="9"/>
      <c r="AQ109" s="22">
        <v>1.30142</v>
      </c>
      <c r="AR109" s="22">
        <v>227.85499999999999</v>
      </c>
      <c r="AS109" s="22">
        <v>-1.4328E-2</v>
      </c>
      <c r="AT109" s="22">
        <v>99</v>
      </c>
      <c r="AU109" s="22">
        <v>1.3009599999999999</v>
      </c>
      <c r="AV109">
        <f t="shared" si="20"/>
        <v>14.328000000000001</v>
      </c>
      <c r="AW109">
        <f t="shared" si="21"/>
        <v>18.646745760000002</v>
      </c>
      <c r="AX109" s="9"/>
      <c r="AY109" s="22">
        <v>0.39856000000000003</v>
      </c>
      <c r="AZ109" s="22">
        <v>262.19600000000003</v>
      </c>
      <c r="BA109" s="22">
        <v>-1.5554800000000001E-2</v>
      </c>
      <c r="BB109" s="22">
        <v>99</v>
      </c>
      <c r="BC109" s="22">
        <v>0.39791900000000002</v>
      </c>
      <c r="BD109">
        <f t="shared" si="22"/>
        <v>15.5548</v>
      </c>
      <c r="BE109">
        <f t="shared" si="23"/>
        <v>6.1995210880000009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50.062199999999997</v>
      </c>
      <c r="I110" s="22">
        <v>-1.47583E-2</v>
      </c>
      <c r="J110" s="22">
        <v>100</v>
      </c>
      <c r="K110" s="22">
        <v>1.2960799999999999</v>
      </c>
      <c r="L110">
        <f t="shared" si="12"/>
        <v>14.7583</v>
      </c>
      <c r="M110">
        <f t="shared" si="13"/>
        <v>19.132512537</v>
      </c>
      <c r="N110" s="9"/>
      <c r="O110" s="22">
        <v>0.40359499999999998</v>
      </c>
      <c r="P110" s="22">
        <v>99.488699999999994</v>
      </c>
      <c r="Q110" s="22">
        <v>-1.5701300000000001E-2</v>
      </c>
      <c r="R110" s="22">
        <v>100</v>
      </c>
      <c r="S110" s="22">
        <v>0.40295399999999998</v>
      </c>
      <c r="T110">
        <f t="shared" si="14"/>
        <v>15.701300000000002</v>
      </c>
      <c r="U110">
        <f t="shared" si="15"/>
        <v>6.3369661735000005</v>
      </c>
      <c r="X110" s="9"/>
      <c r="Y110" s="22">
        <v>1.2963899999999999</v>
      </c>
      <c r="Z110" s="22">
        <v>128.946</v>
      </c>
      <c r="AA110" s="22">
        <v>-1.45813E-2</v>
      </c>
      <c r="AB110" s="22">
        <v>100</v>
      </c>
      <c r="AC110" s="22">
        <v>1.2954699999999999</v>
      </c>
      <c r="AD110">
        <f t="shared" si="16"/>
        <v>14.581300000000001</v>
      </c>
      <c r="AE110">
        <f t="shared" si="17"/>
        <v>18.903051507000001</v>
      </c>
      <c r="AF110" s="9"/>
      <c r="AG110" s="22">
        <v>0.40359499999999998</v>
      </c>
      <c r="AH110" s="22">
        <v>178.41900000000001</v>
      </c>
      <c r="AI110" s="22">
        <v>-1.5625E-2</v>
      </c>
      <c r="AJ110" s="22">
        <v>100</v>
      </c>
      <c r="AK110" s="22">
        <v>0.40301500000000001</v>
      </c>
      <c r="AL110">
        <f t="shared" si="18"/>
        <v>15.625</v>
      </c>
      <c r="AM110">
        <f t="shared" si="19"/>
        <v>6.3061718749999995</v>
      </c>
      <c r="AP110" s="9"/>
      <c r="AQ110" s="22">
        <v>1.2963899999999999</v>
      </c>
      <c r="AR110" s="22">
        <v>227.86600000000001</v>
      </c>
      <c r="AS110" s="22">
        <v>-1.43524E-2</v>
      </c>
      <c r="AT110" s="22">
        <v>100</v>
      </c>
      <c r="AU110" s="22">
        <v>1.2960799999999999</v>
      </c>
      <c r="AV110">
        <f t="shared" si="20"/>
        <v>14.352399999999999</v>
      </c>
      <c r="AW110">
        <f t="shared" si="21"/>
        <v>18.606307835999999</v>
      </c>
      <c r="AX110" s="9"/>
      <c r="AY110" s="22">
        <v>0.40359499999999998</v>
      </c>
      <c r="AZ110" s="22">
        <v>262.20600000000002</v>
      </c>
      <c r="BA110" s="22">
        <v>-1.5551799999999999E-2</v>
      </c>
      <c r="BB110" s="22">
        <v>100</v>
      </c>
      <c r="BC110" s="22">
        <v>0.40295399999999998</v>
      </c>
      <c r="BD110">
        <f t="shared" si="22"/>
        <v>15.5518</v>
      </c>
      <c r="BE110">
        <f t="shared" si="23"/>
        <v>6.2766287209999998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50.072299999999998</v>
      </c>
      <c r="I111" s="22">
        <v>-1.47797E-2</v>
      </c>
      <c r="J111" s="22">
        <v>101</v>
      </c>
      <c r="K111" s="22">
        <v>1.2905899999999999</v>
      </c>
      <c r="L111">
        <f t="shared" si="12"/>
        <v>14.7797</v>
      </c>
      <c r="M111">
        <f t="shared" si="13"/>
        <v>19.085765595000002</v>
      </c>
      <c r="N111" s="9"/>
      <c r="O111" s="22">
        <v>0.40862999999999999</v>
      </c>
      <c r="P111" s="22">
        <v>99.498699999999999</v>
      </c>
      <c r="Q111" s="22">
        <v>-1.5695199999999999E-2</v>
      </c>
      <c r="R111" s="22">
        <v>101</v>
      </c>
      <c r="S111" s="22">
        <v>0.40786699999999998</v>
      </c>
      <c r="T111">
        <f t="shared" si="14"/>
        <v>15.6952</v>
      </c>
      <c r="U111">
        <f t="shared" si="15"/>
        <v>6.4135295760000002</v>
      </c>
      <c r="X111" s="9"/>
      <c r="Y111" s="22">
        <v>1.29135</v>
      </c>
      <c r="Z111" s="22">
        <v>128.95599999999999</v>
      </c>
      <c r="AA111" s="22">
        <v>-1.46027E-2</v>
      </c>
      <c r="AB111" s="22">
        <v>101</v>
      </c>
      <c r="AC111" s="22">
        <v>1.2905899999999999</v>
      </c>
      <c r="AD111">
        <f t="shared" si="16"/>
        <v>14.6027</v>
      </c>
      <c r="AE111">
        <f t="shared" si="17"/>
        <v>18.857196645000002</v>
      </c>
      <c r="AF111" s="9"/>
      <c r="AG111" s="22">
        <v>0.40862999999999999</v>
      </c>
      <c r="AH111" s="22">
        <v>178.429</v>
      </c>
      <c r="AI111" s="22">
        <v>-1.5625E-2</v>
      </c>
      <c r="AJ111" s="22">
        <v>101</v>
      </c>
      <c r="AK111" s="22">
        <v>0.40792800000000001</v>
      </c>
      <c r="AL111">
        <f t="shared" si="18"/>
        <v>15.625</v>
      </c>
      <c r="AM111">
        <f t="shared" si="19"/>
        <v>6.3848437499999999</v>
      </c>
      <c r="AP111" s="9"/>
      <c r="AQ111" s="22">
        <v>1.29135</v>
      </c>
      <c r="AR111" s="22">
        <v>227.876</v>
      </c>
      <c r="AS111" s="22">
        <v>-1.4373800000000001E-2</v>
      </c>
      <c r="AT111" s="22">
        <v>101</v>
      </c>
      <c r="AU111" s="22">
        <v>1.2905899999999999</v>
      </c>
      <c r="AV111">
        <f t="shared" si="20"/>
        <v>14.373800000000001</v>
      </c>
      <c r="AW111">
        <f t="shared" si="21"/>
        <v>18.56160663</v>
      </c>
      <c r="AX111" s="9"/>
      <c r="AY111" s="22">
        <v>0.40862999999999999</v>
      </c>
      <c r="AZ111" s="22">
        <v>262.21600000000001</v>
      </c>
      <c r="BA111" s="22">
        <v>-1.5551799999999999E-2</v>
      </c>
      <c r="BB111" s="22">
        <v>101</v>
      </c>
      <c r="BC111" s="22">
        <v>0.40799000000000002</v>
      </c>
      <c r="BD111">
        <f t="shared" si="22"/>
        <v>15.5518</v>
      </c>
      <c r="BE111">
        <f t="shared" si="23"/>
        <v>6.354932034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50.0824</v>
      </c>
      <c r="I112" s="22">
        <v>-1.48071E-2</v>
      </c>
      <c r="J112" s="22">
        <v>102</v>
      </c>
      <c r="K112" s="22">
        <v>1.2854000000000001</v>
      </c>
      <c r="L112">
        <f t="shared" si="12"/>
        <v>14.8071</v>
      </c>
      <c r="M112">
        <f t="shared" si="13"/>
        <v>19.046668871999998</v>
      </c>
      <c r="N112" s="9"/>
      <c r="O112" s="22">
        <v>0.41366599999999998</v>
      </c>
      <c r="P112" s="22">
        <v>99.508799999999994</v>
      </c>
      <c r="Q112" s="22">
        <v>-1.5685999999999999E-2</v>
      </c>
      <c r="R112" s="22">
        <v>102</v>
      </c>
      <c r="S112" s="22">
        <v>0.41302499999999998</v>
      </c>
      <c r="T112">
        <f t="shared" si="14"/>
        <v>15.685999999999998</v>
      </c>
      <c r="U112">
        <f t="shared" si="15"/>
        <v>6.4887648759999985</v>
      </c>
      <c r="X112" s="9"/>
      <c r="Y112" s="22">
        <v>1.2863199999999999</v>
      </c>
      <c r="Z112" s="22">
        <v>128.96600000000001</v>
      </c>
      <c r="AA112" s="22">
        <v>-1.4624E-2</v>
      </c>
      <c r="AB112" s="22">
        <v>102</v>
      </c>
      <c r="AC112" s="22">
        <v>1.2857099999999999</v>
      </c>
      <c r="AD112">
        <f t="shared" si="16"/>
        <v>14.624000000000001</v>
      </c>
      <c r="AE112">
        <f t="shared" si="17"/>
        <v>18.811143680000001</v>
      </c>
      <c r="AF112" s="9"/>
      <c r="AG112" s="22">
        <v>0.41366599999999998</v>
      </c>
      <c r="AH112" s="22">
        <v>178.43899999999999</v>
      </c>
      <c r="AI112" s="22">
        <v>-1.5625E-2</v>
      </c>
      <c r="AJ112" s="22">
        <v>102</v>
      </c>
      <c r="AK112" s="22">
        <v>0.41302499999999998</v>
      </c>
      <c r="AL112">
        <f t="shared" si="18"/>
        <v>15.625</v>
      </c>
      <c r="AM112">
        <f t="shared" si="19"/>
        <v>6.46353125</v>
      </c>
      <c r="AP112" s="9"/>
      <c r="AQ112" s="22">
        <v>1.2863199999999999</v>
      </c>
      <c r="AR112" s="22">
        <v>227.886</v>
      </c>
      <c r="AS112" s="22">
        <v>-1.4395099999999999E-2</v>
      </c>
      <c r="AT112" s="22">
        <v>102</v>
      </c>
      <c r="AU112" s="22">
        <v>1.2857099999999999</v>
      </c>
      <c r="AV112">
        <f t="shared" si="20"/>
        <v>14.395099999999999</v>
      </c>
      <c r="AW112">
        <f t="shared" si="21"/>
        <v>18.516705031999997</v>
      </c>
      <c r="AX112" s="9"/>
      <c r="AY112" s="22">
        <v>0.41366599999999998</v>
      </c>
      <c r="AZ112" s="22">
        <v>262.226</v>
      </c>
      <c r="BA112" s="22">
        <v>-1.5545700000000001E-2</v>
      </c>
      <c r="BB112" s="22">
        <v>102</v>
      </c>
      <c r="BC112" s="22">
        <v>0.41317700000000002</v>
      </c>
      <c r="BD112">
        <f t="shared" si="22"/>
        <v>15.5457</v>
      </c>
      <c r="BE112">
        <f t="shared" si="23"/>
        <v>6.4307275362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50.092399999999998</v>
      </c>
      <c r="I113" s="22">
        <v>-1.4825400000000001E-2</v>
      </c>
      <c r="J113" s="22">
        <v>103</v>
      </c>
      <c r="K113" s="22">
        <v>1.2802100000000001</v>
      </c>
      <c r="L113">
        <f t="shared" si="12"/>
        <v>14.8254</v>
      </c>
      <c r="M113">
        <f t="shared" si="13"/>
        <v>18.995488512000001</v>
      </c>
      <c r="N113" s="9"/>
      <c r="O113" s="22">
        <v>0.41870099999999999</v>
      </c>
      <c r="P113" s="22">
        <v>99.518900000000002</v>
      </c>
      <c r="Q113" s="22">
        <v>-1.5676900000000001E-2</v>
      </c>
      <c r="R113" s="22">
        <v>103</v>
      </c>
      <c r="S113" s="22">
        <v>0.41803000000000001</v>
      </c>
      <c r="T113">
        <f t="shared" si="14"/>
        <v>15.6769</v>
      </c>
      <c r="U113">
        <f t="shared" si="15"/>
        <v>6.5639337068999994</v>
      </c>
      <c r="X113" s="9"/>
      <c r="Y113" s="22">
        <v>1.28128</v>
      </c>
      <c r="Z113" s="22">
        <v>128.976</v>
      </c>
      <c r="AA113" s="22">
        <v>-1.46301E-2</v>
      </c>
      <c r="AB113" s="22">
        <v>103</v>
      </c>
      <c r="AC113" s="22">
        <v>1.2808200000000001</v>
      </c>
      <c r="AD113">
        <f t="shared" si="16"/>
        <v>14.630100000000001</v>
      </c>
      <c r="AE113">
        <f t="shared" si="17"/>
        <v>18.745254528</v>
      </c>
      <c r="AF113" s="9"/>
      <c r="AG113" s="22">
        <v>0.41870099999999999</v>
      </c>
      <c r="AH113" s="22">
        <v>178.44900000000001</v>
      </c>
      <c r="AI113" s="22">
        <v>-1.5621899999999999E-2</v>
      </c>
      <c r="AJ113" s="22">
        <v>103</v>
      </c>
      <c r="AK113" s="22">
        <v>0.41809099999999999</v>
      </c>
      <c r="AL113">
        <f t="shared" si="18"/>
        <v>15.6219</v>
      </c>
      <c r="AM113">
        <f t="shared" si="19"/>
        <v>6.5409051518999997</v>
      </c>
      <c r="AP113" s="9"/>
      <c r="AQ113" s="22">
        <v>1.28128</v>
      </c>
      <c r="AR113" s="22">
        <v>227.89599999999999</v>
      </c>
      <c r="AS113" s="22">
        <v>-1.44165E-2</v>
      </c>
      <c r="AT113" s="22">
        <v>103</v>
      </c>
      <c r="AU113" s="22">
        <v>1.2811300000000001</v>
      </c>
      <c r="AV113">
        <f t="shared" si="20"/>
        <v>14.416500000000001</v>
      </c>
      <c r="AW113">
        <f t="shared" si="21"/>
        <v>18.471573120000002</v>
      </c>
      <c r="AX113" s="9"/>
      <c r="AY113" s="22">
        <v>0.41870099999999999</v>
      </c>
      <c r="AZ113" s="22">
        <v>262.23599999999999</v>
      </c>
      <c r="BA113" s="22">
        <v>-1.5539600000000001E-2</v>
      </c>
      <c r="BB113" s="22">
        <v>103</v>
      </c>
      <c r="BC113" s="22">
        <v>0.41805999999999999</v>
      </c>
      <c r="BD113">
        <f t="shared" si="22"/>
        <v>15.5396</v>
      </c>
      <c r="BE113">
        <f t="shared" si="23"/>
        <v>6.5064460596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50.102499999999999</v>
      </c>
      <c r="I114" s="22">
        <v>-1.4831499999999999E-2</v>
      </c>
      <c r="J114" s="22">
        <v>104</v>
      </c>
      <c r="K114" s="22">
        <v>1.2759400000000001</v>
      </c>
      <c r="L114">
        <f t="shared" si="12"/>
        <v>14.831499999999998</v>
      </c>
      <c r="M114">
        <f t="shared" si="13"/>
        <v>18.928701874999998</v>
      </c>
      <c r="N114" s="9"/>
      <c r="O114" s="22">
        <v>0.42373699999999997</v>
      </c>
      <c r="P114" s="22">
        <v>99.528899999999993</v>
      </c>
      <c r="Q114" s="22">
        <v>-1.5661600000000001E-2</v>
      </c>
      <c r="R114" s="22">
        <v>104</v>
      </c>
      <c r="S114" s="22">
        <v>0.42303499999999999</v>
      </c>
      <c r="T114">
        <f t="shared" si="14"/>
        <v>15.661600000000002</v>
      </c>
      <c r="U114">
        <f t="shared" si="15"/>
        <v>6.6363993992000001</v>
      </c>
      <c r="X114" s="9"/>
      <c r="Y114" s="22">
        <v>1.2762500000000001</v>
      </c>
      <c r="Z114" s="22">
        <v>128.98599999999999</v>
      </c>
      <c r="AA114" s="22">
        <v>-1.46362E-2</v>
      </c>
      <c r="AB114" s="22">
        <v>104</v>
      </c>
      <c r="AC114" s="22">
        <v>1.27502</v>
      </c>
      <c r="AD114">
        <f t="shared" si="16"/>
        <v>14.636200000000001</v>
      </c>
      <c r="AE114">
        <f t="shared" si="17"/>
        <v>18.679450250000002</v>
      </c>
      <c r="AF114" s="9"/>
      <c r="AG114" s="22">
        <v>0.42373699999999997</v>
      </c>
      <c r="AH114" s="22">
        <v>178.459</v>
      </c>
      <c r="AI114" s="22">
        <v>-1.5628099999999999E-2</v>
      </c>
      <c r="AJ114" s="22">
        <v>104</v>
      </c>
      <c r="AK114" s="22">
        <v>0.423126</v>
      </c>
      <c r="AL114">
        <f t="shared" si="18"/>
        <v>15.628099999999998</v>
      </c>
      <c r="AM114">
        <f t="shared" si="19"/>
        <v>6.6222042096999987</v>
      </c>
      <c r="AP114" s="9"/>
      <c r="AQ114" s="22">
        <v>1.2762500000000001</v>
      </c>
      <c r="AR114" s="22">
        <v>227.90600000000001</v>
      </c>
      <c r="AS114" s="22">
        <v>-1.4434799999999999E-2</v>
      </c>
      <c r="AT114" s="22">
        <v>104</v>
      </c>
      <c r="AU114" s="22">
        <v>1.2747200000000001</v>
      </c>
      <c r="AV114">
        <f t="shared" si="20"/>
        <v>14.434799999999999</v>
      </c>
      <c r="AW114">
        <f t="shared" si="21"/>
        <v>18.422413500000001</v>
      </c>
      <c r="AX114" s="9"/>
      <c r="AY114" s="22">
        <v>0.42373699999999997</v>
      </c>
      <c r="AZ114" s="22">
        <v>262.24599999999998</v>
      </c>
      <c r="BA114" s="22">
        <v>-1.5533399999999999E-2</v>
      </c>
      <c r="BB114" s="22">
        <v>104</v>
      </c>
      <c r="BC114" s="22">
        <v>0.42306500000000002</v>
      </c>
      <c r="BD114">
        <f t="shared" si="22"/>
        <v>15.533399999999999</v>
      </c>
      <c r="BE114">
        <f t="shared" si="23"/>
        <v>6.5820763157999993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50.1126</v>
      </c>
      <c r="I115" s="22">
        <v>-1.4837599999999999E-2</v>
      </c>
      <c r="J115" s="22">
        <v>105</v>
      </c>
      <c r="K115" s="22">
        <v>1.27014</v>
      </c>
      <c r="L115">
        <f t="shared" si="12"/>
        <v>14.8376</v>
      </c>
      <c r="M115">
        <f t="shared" si="13"/>
        <v>18.861705495999999</v>
      </c>
      <c r="N115" s="9"/>
      <c r="O115" s="22">
        <v>0.42877199999999999</v>
      </c>
      <c r="P115" s="22">
        <v>99.539000000000001</v>
      </c>
      <c r="Q115" s="22">
        <v>-1.5655499999999999E-2</v>
      </c>
      <c r="R115" s="22">
        <v>105</v>
      </c>
      <c r="S115" s="22">
        <v>0.42807000000000001</v>
      </c>
      <c r="T115">
        <f t="shared" si="14"/>
        <v>15.6555</v>
      </c>
      <c r="U115">
        <f t="shared" si="15"/>
        <v>6.7126400459999997</v>
      </c>
      <c r="X115" s="9"/>
      <c r="Y115" s="22">
        <v>1.27121</v>
      </c>
      <c r="Z115" s="22">
        <v>128.99600000000001</v>
      </c>
      <c r="AA115" s="22">
        <v>-1.46515E-2</v>
      </c>
      <c r="AB115" s="22">
        <v>105</v>
      </c>
      <c r="AC115" s="22">
        <v>1.27014</v>
      </c>
      <c r="AD115">
        <f t="shared" si="16"/>
        <v>14.6515</v>
      </c>
      <c r="AE115">
        <f t="shared" si="17"/>
        <v>18.625133314999999</v>
      </c>
      <c r="AF115" s="9"/>
      <c r="AG115" s="22">
        <v>0.42877199999999999</v>
      </c>
      <c r="AH115" s="22">
        <v>178.46899999999999</v>
      </c>
      <c r="AI115" s="22">
        <v>-1.5625E-2</v>
      </c>
      <c r="AJ115" s="22">
        <v>105</v>
      </c>
      <c r="AK115" s="22">
        <v>0.42810100000000001</v>
      </c>
      <c r="AL115">
        <f t="shared" si="18"/>
        <v>15.625</v>
      </c>
      <c r="AM115">
        <f t="shared" si="19"/>
        <v>6.6995624999999999</v>
      </c>
      <c r="AP115" s="9"/>
      <c r="AQ115" s="22">
        <v>1.27121</v>
      </c>
      <c r="AR115" s="22">
        <v>227.916</v>
      </c>
      <c r="AS115" s="22">
        <v>-1.44592E-2</v>
      </c>
      <c r="AT115" s="22">
        <v>105</v>
      </c>
      <c r="AU115" s="22">
        <v>1.2704500000000001</v>
      </c>
      <c r="AV115">
        <f t="shared" si="20"/>
        <v>14.459200000000001</v>
      </c>
      <c r="AW115">
        <f t="shared" si="21"/>
        <v>18.380679632</v>
      </c>
      <c r="AX115" s="9"/>
      <c r="AY115" s="22">
        <v>0.42877199999999999</v>
      </c>
      <c r="AZ115" s="22">
        <v>262.25599999999997</v>
      </c>
      <c r="BA115" s="22">
        <v>-1.55304E-2</v>
      </c>
      <c r="BB115" s="22">
        <v>105</v>
      </c>
      <c r="BC115" s="22">
        <v>0.42813099999999998</v>
      </c>
      <c r="BD115">
        <f t="shared" si="22"/>
        <v>15.5304</v>
      </c>
      <c r="BE115">
        <f t="shared" si="23"/>
        <v>6.6590006688000001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50.122700000000002</v>
      </c>
      <c r="I116" s="22">
        <v>-1.4849899999999999E-2</v>
      </c>
      <c r="J116" s="22">
        <v>106</v>
      </c>
      <c r="K116" s="22">
        <v>1.2652600000000001</v>
      </c>
      <c r="L116">
        <f t="shared" si="12"/>
        <v>14.8499</v>
      </c>
      <c r="M116">
        <f t="shared" si="13"/>
        <v>18.802497883000001</v>
      </c>
      <c r="N116" s="9"/>
      <c r="O116" s="22">
        <v>0.433807</v>
      </c>
      <c r="P116" s="22">
        <v>99.549099999999996</v>
      </c>
      <c r="Q116" s="22">
        <v>-1.5655499999999999E-2</v>
      </c>
      <c r="R116" s="22">
        <v>106</v>
      </c>
      <c r="S116" s="22">
        <v>0.43316700000000002</v>
      </c>
      <c r="T116">
        <f t="shared" si="14"/>
        <v>15.6555</v>
      </c>
      <c r="U116">
        <f t="shared" si="15"/>
        <v>6.7914654885000001</v>
      </c>
      <c r="X116" s="9"/>
      <c r="Y116" s="22">
        <v>1.26617</v>
      </c>
      <c r="Z116" s="22">
        <v>129.006</v>
      </c>
      <c r="AA116" s="22">
        <v>-1.46698E-2</v>
      </c>
      <c r="AB116" s="22">
        <v>106</v>
      </c>
      <c r="AC116" s="22">
        <v>1.26556</v>
      </c>
      <c r="AD116">
        <f t="shared" si="16"/>
        <v>14.6698</v>
      </c>
      <c r="AE116">
        <f t="shared" si="17"/>
        <v>18.574460666</v>
      </c>
      <c r="AF116" s="9"/>
      <c r="AG116" s="22">
        <v>0.433807</v>
      </c>
      <c r="AH116" s="22">
        <v>178.48</v>
      </c>
      <c r="AI116" s="22">
        <v>-1.5628099999999999E-2</v>
      </c>
      <c r="AJ116" s="22">
        <v>106</v>
      </c>
      <c r="AK116" s="22">
        <v>0.433197</v>
      </c>
      <c r="AL116">
        <f t="shared" si="18"/>
        <v>15.628099999999998</v>
      </c>
      <c r="AM116">
        <f t="shared" si="19"/>
        <v>6.7795791766999995</v>
      </c>
      <c r="AP116" s="9"/>
      <c r="AQ116" s="22">
        <v>1.26617</v>
      </c>
      <c r="AR116" s="22">
        <v>227.92599999999999</v>
      </c>
      <c r="AS116" s="22">
        <v>-1.44806E-2</v>
      </c>
      <c r="AT116" s="22">
        <v>106</v>
      </c>
      <c r="AU116" s="22">
        <v>1.26556</v>
      </c>
      <c r="AV116">
        <f t="shared" si="20"/>
        <v>14.480599999999999</v>
      </c>
      <c r="AW116">
        <f t="shared" si="21"/>
        <v>18.334901301999999</v>
      </c>
      <c r="AX116" s="9"/>
      <c r="AY116" s="22">
        <v>0.433807</v>
      </c>
      <c r="AZ116" s="22">
        <v>262.26600000000002</v>
      </c>
      <c r="BA116" s="22">
        <v>-1.5521200000000001E-2</v>
      </c>
      <c r="BB116" s="22">
        <v>106</v>
      </c>
      <c r="BC116" s="22">
        <v>0.433228</v>
      </c>
      <c r="BD116">
        <f t="shared" si="22"/>
        <v>15.5212</v>
      </c>
      <c r="BE116">
        <f t="shared" si="23"/>
        <v>6.7332052084000003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50.1327</v>
      </c>
      <c r="I117" s="22">
        <v>-1.4871199999999999E-2</v>
      </c>
      <c r="J117" s="22">
        <v>107</v>
      </c>
      <c r="K117" s="22">
        <v>1.2609900000000001</v>
      </c>
      <c r="L117">
        <f t="shared" si="12"/>
        <v>14.8712</v>
      </c>
      <c r="M117">
        <f t="shared" si="13"/>
        <v>18.754665167999999</v>
      </c>
      <c r="N117" s="9"/>
      <c r="O117" s="22">
        <v>0.43884299999999998</v>
      </c>
      <c r="P117" s="22">
        <v>99.559200000000004</v>
      </c>
      <c r="Q117" s="22">
        <v>-1.5655499999999999E-2</v>
      </c>
      <c r="R117" s="22">
        <v>107</v>
      </c>
      <c r="S117" s="22">
        <v>0.43817099999999998</v>
      </c>
      <c r="T117">
        <f t="shared" si="14"/>
        <v>15.6555</v>
      </c>
      <c r="U117">
        <f t="shared" si="15"/>
        <v>6.8703065864999999</v>
      </c>
      <c r="X117" s="9"/>
      <c r="Y117" s="22">
        <v>1.2611399999999999</v>
      </c>
      <c r="Z117" s="22">
        <v>129.01599999999999</v>
      </c>
      <c r="AA117" s="22">
        <v>-1.4682000000000001E-2</v>
      </c>
      <c r="AB117" s="22">
        <v>107</v>
      </c>
      <c r="AC117" s="22">
        <v>1.26007</v>
      </c>
      <c r="AD117">
        <f t="shared" si="16"/>
        <v>14.682</v>
      </c>
      <c r="AE117">
        <f t="shared" si="17"/>
        <v>18.516057480000001</v>
      </c>
      <c r="AF117" s="9"/>
      <c r="AG117" s="22">
        <v>0.43884299999999998</v>
      </c>
      <c r="AH117" s="22">
        <v>178.49</v>
      </c>
      <c r="AI117" s="22">
        <v>-1.5625E-2</v>
      </c>
      <c r="AJ117" s="22">
        <v>107</v>
      </c>
      <c r="AK117" s="22">
        <v>0.43820199999999998</v>
      </c>
      <c r="AL117">
        <f t="shared" si="18"/>
        <v>15.625</v>
      </c>
      <c r="AM117">
        <f t="shared" si="19"/>
        <v>6.8569218749999994</v>
      </c>
      <c r="AP117" s="9"/>
      <c r="AQ117" s="22">
        <v>1.2611399999999999</v>
      </c>
      <c r="AR117" s="22">
        <v>227.93600000000001</v>
      </c>
      <c r="AS117" s="22">
        <v>-1.4508099999999999E-2</v>
      </c>
      <c r="AT117" s="22">
        <v>107</v>
      </c>
      <c r="AU117" s="22">
        <v>1.2597700000000001</v>
      </c>
      <c r="AV117">
        <f t="shared" si="20"/>
        <v>14.508099999999999</v>
      </c>
      <c r="AW117">
        <f t="shared" si="21"/>
        <v>18.296745233999996</v>
      </c>
      <c r="AX117" s="9"/>
      <c r="AY117" s="22">
        <v>0.43884299999999998</v>
      </c>
      <c r="AZ117" s="22">
        <v>262.27600000000001</v>
      </c>
      <c r="BA117" s="22">
        <v>-1.5509E-2</v>
      </c>
      <c r="BB117" s="22">
        <v>107</v>
      </c>
      <c r="BC117" s="22">
        <v>0.43811</v>
      </c>
      <c r="BD117">
        <f t="shared" si="22"/>
        <v>15.509</v>
      </c>
      <c r="BE117">
        <f t="shared" si="23"/>
        <v>6.8060160869999997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50.142800000000001</v>
      </c>
      <c r="I118" s="22">
        <v>-1.4892600000000001E-2</v>
      </c>
      <c r="J118" s="22">
        <v>108</v>
      </c>
      <c r="K118" s="22">
        <v>1.25549</v>
      </c>
      <c r="L118">
        <f t="shared" si="12"/>
        <v>14.8926</v>
      </c>
      <c r="M118">
        <f t="shared" si="13"/>
        <v>18.706594859999999</v>
      </c>
      <c r="N118" s="9"/>
      <c r="O118" s="22">
        <v>0.44387799999999999</v>
      </c>
      <c r="P118" s="22">
        <v>99.569199999999995</v>
      </c>
      <c r="Q118" s="22">
        <v>-1.5655499999999999E-2</v>
      </c>
      <c r="R118" s="22">
        <v>108</v>
      </c>
      <c r="S118" s="22">
        <v>0.44329800000000003</v>
      </c>
      <c r="T118">
        <f t="shared" si="14"/>
        <v>15.6555</v>
      </c>
      <c r="U118">
        <f t="shared" si="15"/>
        <v>6.9491320290000003</v>
      </c>
      <c r="X118" s="9"/>
      <c r="Y118" s="22">
        <v>1.2561</v>
      </c>
      <c r="Z118" s="22">
        <v>129.02600000000001</v>
      </c>
      <c r="AA118" s="22">
        <v>-1.4700299999999999E-2</v>
      </c>
      <c r="AB118" s="22">
        <v>108</v>
      </c>
      <c r="AC118" s="22">
        <v>1.25549</v>
      </c>
      <c r="AD118">
        <f t="shared" si="16"/>
        <v>14.700299999999999</v>
      </c>
      <c r="AE118">
        <f t="shared" si="17"/>
        <v>18.465046829999999</v>
      </c>
      <c r="AF118" s="9"/>
      <c r="AG118" s="22">
        <v>0.44387799999999999</v>
      </c>
      <c r="AH118" s="22">
        <v>178.5</v>
      </c>
      <c r="AI118" s="22">
        <v>-1.5621899999999999E-2</v>
      </c>
      <c r="AJ118" s="22">
        <v>108</v>
      </c>
      <c r="AK118" s="22">
        <v>0.44329800000000003</v>
      </c>
      <c r="AL118">
        <f t="shared" si="18"/>
        <v>15.6219</v>
      </c>
      <c r="AM118">
        <f t="shared" si="19"/>
        <v>6.9342177282000002</v>
      </c>
      <c r="AP118" s="9"/>
      <c r="AQ118" s="22">
        <v>1.2561</v>
      </c>
      <c r="AR118" s="22">
        <v>227.946</v>
      </c>
      <c r="AS118" s="22">
        <v>-1.4523299999999999E-2</v>
      </c>
      <c r="AT118" s="22">
        <v>108</v>
      </c>
      <c r="AU118" s="22">
        <v>1.25549</v>
      </c>
      <c r="AV118">
        <f t="shared" si="20"/>
        <v>14.523299999999999</v>
      </c>
      <c r="AW118">
        <f t="shared" si="21"/>
        <v>18.242717129999999</v>
      </c>
      <c r="AX118" s="9"/>
      <c r="AY118" s="22">
        <v>0.44387799999999999</v>
      </c>
      <c r="AZ118" s="22">
        <v>262.286</v>
      </c>
      <c r="BA118" s="22">
        <v>-1.54999E-2</v>
      </c>
      <c r="BB118" s="22">
        <v>108</v>
      </c>
      <c r="BC118" s="22">
        <v>0.44323699999999999</v>
      </c>
      <c r="BD118">
        <f t="shared" si="22"/>
        <v>15.4999</v>
      </c>
      <c r="BE118">
        <f t="shared" si="23"/>
        <v>6.8800646122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50.152900000000002</v>
      </c>
      <c r="I119" s="22">
        <v>-1.4913900000000001E-2</v>
      </c>
      <c r="J119" s="22">
        <v>109</v>
      </c>
      <c r="K119" s="22">
        <v>1.25031</v>
      </c>
      <c r="L119">
        <f t="shared" si="12"/>
        <v>14.9139</v>
      </c>
      <c r="M119">
        <f t="shared" si="13"/>
        <v>18.658332872999999</v>
      </c>
      <c r="N119" s="9"/>
      <c r="O119" s="22">
        <v>0.44891399999999998</v>
      </c>
      <c r="P119" s="22">
        <v>99.579300000000003</v>
      </c>
      <c r="Q119" s="22">
        <v>-1.5649400000000001E-2</v>
      </c>
      <c r="R119" s="22">
        <v>109</v>
      </c>
      <c r="S119" s="22">
        <v>0.44827299999999998</v>
      </c>
      <c r="T119">
        <f t="shared" si="14"/>
        <v>15.6494</v>
      </c>
      <c r="U119">
        <f t="shared" si="15"/>
        <v>7.0252347515999993</v>
      </c>
      <c r="X119" s="9"/>
      <c r="Y119" s="22">
        <v>1.2510699999999999</v>
      </c>
      <c r="Z119" s="22">
        <v>129.036</v>
      </c>
      <c r="AA119" s="22">
        <v>-1.47186E-2</v>
      </c>
      <c r="AB119" s="22">
        <v>109</v>
      </c>
      <c r="AC119" s="22">
        <v>1.25031</v>
      </c>
      <c r="AD119">
        <f t="shared" si="16"/>
        <v>14.7186</v>
      </c>
      <c r="AE119">
        <f t="shared" si="17"/>
        <v>18.413998901999999</v>
      </c>
      <c r="AF119" s="9"/>
      <c r="AG119" s="22">
        <v>0.44891399999999998</v>
      </c>
      <c r="AH119" s="22">
        <v>178.51</v>
      </c>
      <c r="AI119" s="22">
        <v>-1.5621899999999999E-2</v>
      </c>
      <c r="AJ119" s="22">
        <v>109</v>
      </c>
      <c r="AK119" s="22">
        <v>0.44830300000000001</v>
      </c>
      <c r="AL119">
        <f t="shared" si="18"/>
        <v>15.6219</v>
      </c>
      <c r="AM119">
        <f t="shared" si="19"/>
        <v>7.0128896165999999</v>
      </c>
      <c r="AP119" s="9"/>
      <c r="AQ119" s="22">
        <v>1.2510699999999999</v>
      </c>
      <c r="AR119" s="22">
        <v>227.95599999999999</v>
      </c>
      <c r="AS119" s="22">
        <v>-1.45355E-2</v>
      </c>
      <c r="AT119" s="22">
        <v>109</v>
      </c>
      <c r="AU119" s="22">
        <v>1.25031</v>
      </c>
      <c r="AV119">
        <f t="shared" si="20"/>
        <v>14.535499999999999</v>
      </c>
      <c r="AW119">
        <f t="shared" si="21"/>
        <v>18.184927984999998</v>
      </c>
      <c r="AX119" s="9"/>
      <c r="AY119" s="22">
        <v>0.44891399999999998</v>
      </c>
      <c r="AZ119" s="22">
        <v>262.29599999999999</v>
      </c>
      <c r="BA119" s="22">
        <v>-1.54938E-2</v>
      </c>
      <c r="BB119" s="22">
        <v>109</v>
      </c>
      <c r="BC119" s="22">
        <v>0.44824199999999997</v>
      </c>
      <c r="BD119">
        <f t="shared" si="22"/>
        <v>15.4938</v>
      </c>
      <c r="BE119">
        <f t="shared" si="23"/>
        <v>6.9553837331999997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50.1629</v>
      </c>
      <c r="I120" s="22">
        <v>-1.4932300000000001E-2</v>
      </c>
      <c r="J120" s="22">
        <v>110</v>
      </c>
      <c r="K120" s="22">
        <v>1.24542</v>
      </c>
      <c r="L120">
        <f t="shared" si="12"/>
        <v>14.932300000000001</v>
      </c>
      <c r="M120">
        <f t="shared" si="13"/>
        <v>18.606093769000001</v>
      </c>
      <c r="N120" s="9"/>
      <c r="O120" s="22">
        <v>0.45394899999999999</v>
      </c>
      <c r="P120" s="22">
        <v>99.589399999999998</v>
      </c>
      <c r="Q120" s="22">
        <v>-1.5646400000000001E-2</v>
      </c>
      <c r="R120" s="22">
        <v>110</v>
      </c>
      <c r="S120" s="22">
        <v>0.45327800000000001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129.04599999999999</v>
      </c>
      <c r="AA120" s="22">
        <v>-1.4742999999999999E-2</v>
      </c>
      <c r="AB120" s="22">
        <v>110</v>
      </c>
      <c r="AC120" s="22">
        <v>1.24542</v>
      </c>
      <c r="AD120">
        <f t="shared" si="16"/>
        <v>14.742999999999999</v>
      </c>
      <c r="AE120">
        <f t="shared" si="17"/>
        <v>18.370220289999999</v>
      </c>
      <c r="AF120" s="9"/>
      <c r="AG120" s="22">
        <v>0.45394899999999999</v>
      </c>
      <c r="AH120" s="22">
        <v>178.52</v>
      </c>
      <c r="AI120" s="22">
        <v>-1.56189E-2</v>
      </c>
      <c r="AJ120" s="22">
        <v>110</v>
      </c>
      <c r="AK120" s="22">
        <v>0.45333899999999999</v>
      </c>
      <c r="AL120">
        <f t="shared" si="18"/>
        <v>15.6189</v>
      </c>
      <c r="AM120">
        <f t="shared" si="19"/>
        <v>7.0901840361000001</v>
      </c>
      <c r="AP120" s="9"/>
      <c r="AQ120" s="22">
        <v>1.24603</v>
      </c>
      <c r="AR120" s="22">
        <v>227.96600000000001</v>
      </c>
      <c r="AS120" s="22">
        <v>-1.4544700000000001E-2</v>
      </c>
      <c r="AT120" s="22">
        <v>110</v>
      </c>
      <c r="AU120" s="22">
        <v>1.24512</v>
      </c>
      <c r="AV120">
        <f t="shared" si="20"/>
        <v>14.544700000000001</v>
      </c>
      <c r="AW120">
        <f t="shared" si="21"/>
        <v>18.123132541</v>
      </c>
      <c r="AX120" s="9"/>
      <c r="AY120" s="22">
        <v>0.45394899999999999</v>
      </c>
      <c r="AZ120" s="22">
        <v>262.30599999999998</v>
      </c>
      <c r="BA120" s="22">
        <v>-1.5484599999999999E-2</v>
      </c>
      <c r="BB120" s="22">
        <v>110</v>
      </c>
      <c r="BC120" s="22">
        <v>0.45324700000000001</v>
      </c>
      <c r="BD120">
        <f t="shared" si="22"/>
        <v>15.484599999999999</v>
      </c>
      <c r="BE120">
        <f t="shared" si="23"/>
        <v>7.0292186853999992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50.173000000000002</v>
      </c>
      <c r="I121" s="22">
        <v>-1.4947500000000001E-2</v>
      </c>
      <c r="J121" s="22">
        <v>111</v>
      </c>
      <c r="K121" s="22">
        <v>1.2402299999999999</v>
      </c>
      <c r="L121">
        <f t="shared" si="12"/>
        <v>14.947500000000002</v>
      </c>
      <c r="M121">
        <f t="shared" si="13"/>
        <v>18.549847500000002</v>
      </c>
      <c r="N121" s="9"/>
      <c r="O121" s="22">
        <v>0.458984</v>
      </c>
      <c r="P121" s="22">
        <v>99.599400000000003</v>
      </c>
      <c r="Q121" s="22">
        <v>-1.5643299999999999E-2</v>
      </c>
      <c r="R121" s="22">
        <v>111</v>
      </c>
      <c r="S121" s="22">
        <v>0.45834399999999997</v>
      </c>
      <c r="T121">
        <f t="shared" si="14"/>
        <v>15.643299999999998</v>
      </c>
      <c r="U121">
        <f t="shared" si="15"/>
        <v>7.1800244071999995</v>
      </c>
      <c r="X121" s="9"/>
      <c r="Y121" s="22">
        <v>1.2410000000000001</v>
      </c>
      <c r="Z121" s="22">
        <v>129.05600000000001</v>
      </c>
      <c r="AA121" s="22">
        <v>-1.47644E-2</v>
      </c>
      <c r="AB121" s="22">
        <v>111</v>
      </c>
      <c r="AC121" s="22">
        <v>1.24054</v>
      </c>
      <c r="AD121">
        <f t="shared" si="16"/>
        <v>14.7644</v>
      </c>
      <c r="AE121">
        <f t="shared" si="17"/>
        <v>18.322620400000002</v>
      </c>
      <c r="AF121" s="9"/>
      <c r="AG121" s="22">
        <v>0.458984</v>
      </c>
      <c r="AH121" s="22">
        <v>178.53</v>
      </c>
      <c r="AI121" s="22">
        <v>-1.5606699999999999E-2</v>
      </c>
      <c r="AJ121" s="22">
        <v>111</v>
      </c>
      <c r="AK121" s="22">
        <v>0.45834399999999997</v>
      </c>
      <c r="AL121">
        <f t="shared" si="18"/>
        <v>15.6067</v>
      </c>
      <c r="AM121">
        <f t="shared" si="19"/>
        <v>7.1632255927999999</v>
      </c>
      <c r="AP121" s="9"/>
      <c r="AQ121" s="22">
        <v>1.2410000000000001</v>
      </c>
      <c r="AR121" s="22">
        <v>227.976</v>
      </c>
      <c r="AS121" s="22">
        <v>-1.45691E-2</v>
      </c>
      <c r="AT121" s="22">
        <v>111</v>
      </c>
      <c r="AU121" s="22">
        <v>1.23993</v>
      </c>
      <c r="AV121">
        <f t="shared" si="20"/>
        <v>14.569100000000001</v>
      </c>
      <c r="AW121">
        <f t="shared" si="21"/>
        <v>18.080253100000004</v>
      </c>
      <c r="AX121" s="9"/>
      <c r="AY121" s="22">
        <v>0.458984</v>
      </c>
      <c r="AZ121" s="22">
        <v>262.31599999999997</v>
      </c>
      <c r="BA121" s="22">
        <v>-1.5466300000000001E-2</v>
      </c>
      <c r="BB121" s="22">
        <v>111</v>
      </c>
      <c r="BC121" s="22">
        <v>0.45831300000000003</v>
      </c>
      <c r="BD121">
        <f t="shared" si="22"/>
        <v>15.4663</v>
      </c>
      <c r="BE121">
        <f t="shared" si="23"/>
        <v>7.0987842392000005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50.183100000000003</v>
      </c>
      <c r="I122" s="22">
        <v>-1.49567E-2</v>
      </c>
      <c r="J122" s="22">
        <v>112</v>
      </c>
      <c r="K122" s="22">
        <v>1.23505</v>
      </c>
      <c r="L122">
        <f t="shared" si="12"/>
        <v>14.9567</v>
      </c>
      <c r="M122">
        <f t="shared" si="13"/>
        <v>18.485882931999999</v>
      </c>
      <c r="N122" s="9"/>
      <c r="O122" s="22">
        <v>0.46401999999999999</v>
      </c>
      <c r="P122" s="22">
        <v>99.609499999999997</v>
      </c>
      <c r="Q122" s="22">
        <v>-1.5646400000000001E-2</v>
      </c>
      <c r="R122" s="22">
        <v>112</v>
      </c>
      <c r="S122" s="22">
        <v>0.46331800000000001</v>
      </c>
      <c r="T122">
        <f t="shared" si="14"/>
        <v>15.646400000000002</v>
      </c>
      <c r="U122">
        <f t="shared" si="15"/>
        <v>7.2602425280000009</v>
      </c>
      <c r="X122" s="9"/>
      <c r="Y122" s="22">
        <v>1.2359599999999999</v>
      </c>
      <c r="Z122" s="22">
        <v>129.06700000000001</v>
      </c>
      <c r="AA122" s="22">
        <v>-1.4782699999999999E-2</v>
      </c>
      <c r="AB122" s="22">
        <v>112</v>
      </c>
      <c r="AC122" s="22">
        <v>1.23566</v>
      </c>
      <c r="AD122">
        <f t="shared" si="16"/>
        <v>14.7827</v>
      </c>
      <c r="AE122">
        <f t="shared" si="17"/>
        <v>18.270825891999998</v>
      </c>
      <c r="AF122" s="9"/>
      <c r="AG122" s="22">
        <v>0.46401999999999999</v>
      </c>
      <c r="AH122" s="22">
        <v>178.54</v>
      </c>
      <c r="AI122" s="22">
        <v>-1.5606699999999999E-2</v>
      </c>
      <c r="AJ122" s="22">
        <v>112</v>
      </c>
      <c r="AK122" s="22">
        <v>0.46340900000000002</v>
      </c>
      <c r="AL122">
        <f t="shared" si="18"/>
        <v>15.6067</v>
      </c>
      <c r="AM122">
        <f t="shared" si="19"/>
        <v>7.2418209339999997</v>
      </c>
      <c r="AP122" s="9"/>
      <c r="AQ122" s="22">
        <v>1.2359599999999999</v>
      </c>
      <c r="AR122" s="22">
        <v>227.98599999999999</v>
      </c>
      <c r="AS122" s="22">
        <v>-1.4584400000000001E-2</v>
      </c>
      <c r="AT122" s="22">
        <v>112</v>
      </c>
      <c r="AU122" s="22">
        <v>1.23505</v>
      </c>
      <c r="AV122">
        <f t="shared" si="20"/>
        <v>14.5844</v>
      </c>
      <c r="AW122">
        <f t="shared" si="21"/>
        <v>18.025735023999999</v>
      </c>
      <c r="AX122" s="9"/>
      <c r="AY122" s="22">
        <v>0.46401999999999999</v>
      </c>
      <c r="AZ122" s="22">
        <v>262.327</v>
      </c>
      <c r="BA122" s="22">
        <v>-1.5469399999999999E-2</v>
      </c>
      <c r="BB122" s="22">
        <v>112</v>
      </c>
      <c r="BC122" s="22">
        <v>0.46340900000000002</v>
      </c>
      <c r="BD122">
        <f t="shared" si="22"/>
        <v>15.4694</v>
      </c>
      <c r="BE122">
        <f t="shared" si="23"/>
        <v>7.1781109880000002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50.193199999999997</v>
      </c>
      <c r="I123" s="22">
        <v>-1.4981100000000001E-2</v>
      </c>
      <c r="J123" s="22">
        <v>113</v>
      </c>
      <c r="K123" s="22">
        <v>1.2301599999999999</v>
      </c>
      <c r="L123">
        <f t="shared" si="12"/>
        <v>14.981100000000001</v>
      </c>
      <c r="M123">
        <f t="shared" si="13"/>
        <v>18.440685423000001</v>
      </c>
      <c r="N123" s="9"/>
      <c r="O123" s="22">
        <v>0.469055</v>
      </c>
      <c r="P123" s="22">
        <v>99.619600000000005</v>
      </c>
      <c r="Q123" s="22">
        <v>-1.56525E-2</v>
      </c>
      <c r="R123" s="22">
        <v>113</v>
      </c>
      <c r="S123" s="22">
        <v>0.468414</v>
      </c>
      <c r="T123">
        <f t="shared" si="14"/>
        <v>15.6525</v>
      </c>
      <c r="U123">
        <f t="shared" si="15"/>
        <v>7.3418833875000002</v>
      </c>
      <c r="X123" s="9"/>
      <c r="Y123" s="22">
        <v>1.2309300000000001</v>
      </c>
      <c r="Z123" s="22">
        <v>129.077</v>
      </c>
      <c r="AA123" s="22">
        <v>-1.4798E-2</v>
      </c>
      <c r="AB123" s="22">
        <v>113</v>
      </c>
      <c r="AC123" s="22">
        <v>1.22986</v>
      </c>
      <c r="AD123">
        <f t="shared" si="16"/>
        <v>14.798</v>
      </c>
      <c r="AE123">
        <f t="shared" si="17"/>
        <v>18.215302140000002</v>
      </c>
      <c r="AF123" s="9"/>
      <c r="AG123" s="22">
        <v>0.469055</v>
      </c>
      <c r="AH123" s="22">
        <v>178.55</v>
      </c>
      <c r="AI123" s="22">
        <v>-1.5600599999999999E-2</v>
      </c>
      <c r="AJ123" s="22">
        <v>113</v>
      </c>
      <c r="AK123" s="22">
        <v>0.468414</v>
      </c>
      <c r="AL123">
        <f t="shared" si="18"/>
        <v>15.6006</v>
      </c>
      <c r="AM123">
        <f t="shared" si="19"/>
        <v>7.3175394330000003</v>
      </c>
      <c r="AP123" s="9"/>
      <c r="AQ123" s="22">
        <v>1.2309300000000001</v>
      </c>
      <c r="AR123" s="22">
        <v>227.99600000000001</v>
      </c>
      <c r="AS123" s="22">
        <v>-1.45966E-2</v>
      </c>
      <c r="AT123" s="22">
        <v>113</v>
      </c>
      <c r="AU123" s="22">
        <v>1.2301599999999999</v>
      </c>
      <c r="AV123">
        <f t="shared" si="20"/>
        <v>14.596599999999999</v>
      </c>
      <c r="AW123">
        <f t="shared" si="21"/>
        <v>17.967392837999999</v>
      </c>
      <c r="AX123" s="9"/>
      <c r="AY123" s="22">
        <v>0.469055</v>
      </c>
      <c r="AZ123" s="22">
        <v>262.33699999999999</v>
      </c>
      <c r="BA123" s="22">
        <v>-1.5469399999999999E-2</v>
      </c>
      <c r="BB123" s="22">
        <v>113</v>
      </c>
      <c r="BC123" s="22">
        <v>0.468414</v>
      </c>
      <c r="BD123">
        <f t="shared" si="22"/>
        <v>15.4694</v>
      </c>
      <c r="BE123">
        <f t="shared" si="23"/>
        <v>7.255999417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50.203200000000002</v>
      </c>
      <c r="I124" s="22">
        <v>-1.50055E-2</v>
      </c>
      <c r="J124" s="22">
        <v>114</v>
      </c>
      <c r="K124" s="22">
        <v>1.2252799999999999</v>
      </c>
      <c r="L124">
        <f t="shared" si="12"/>
        <v>15.0055</v>
      </c>
      <c r="M124">
        <f t="shared" si="13"/>
        <v>18.395092394999999</v>
      </c>
      <c r="N124" s="9"/>
      <c r="O124" s="22">
        <v>0.47409099999999998</v>
      </c>
      <c r="P124" s="22">
        <v>99.6297</v>
      </c>
      <c r="Q124" s="22">
        <v>-1.5655499999999999E-2</v>
      </c>
      <c r="R124" s="22">
        <v>114</v>
      </c>
      <c r="S124" s="22">
        <v>0.47348000000000001</v>
      </c>
      <c r="T124">
        <f t="shared" si="14"/>
        <v>15.6555</v>
      </c>
      <c r="U124">
        <f t="shared" si="15"/>
        <v>7.4221316504999999</v>
      </c>
      <c r="X124" s="9"/>
      <c r="Y124" s="22">
        <v>1.2258899999999999</v>
      </c>
      <c r="Z124" s="22">
        <v>129.08699999999999</v>
      </c>
      <c r="AA124" s="22">
        <v>-1.4801E-2</v>
      </c>
      <c r="AB124" s="22">
        <v>114</v>
      </c>
      <c r="AC124" s="22">
        <v>1.22498</v>
      </c>
      <c r="AD124">
        <f t="shared" si="16"/>
        <v>14.801</v>
      </c>
      <c r="AE124">
        <f t="shared" si="17"/>
        <v>18.14439789</v>
      </c>
      <c r="AF124" s="9"/>
      <c r="AG124" s="22">
        <v>0.47409099999999998</v>
      </c>
      <c r="AH124" s="22">
        <v>178.56</v>
      </c>
      <c r="AI124" s="22">
        <v>-1.55975E-2</v>
      </c>
      <c r="AJ124" s="22">
        <v>114</v>
      </c>
      <c r="AK124" s="22">
        <v>0.47332800000000003</v>
      </c>
      <c r="AL124">
        <f t="shared" si="18"/>
        <v>15.5975</v>
      </c>
      <c r="AM124">
        <f t="shared" si="19"/>
        <v>7.3946343724999997</v>
      </c>
      <c r="AP124" s="9"/>
      <c r="AQ124" s="22">
        <v>1.2258899999999999</v>
      </c>
      <c r="AR124" s="22">
        <v>228.00700000000001</v>
      </c>
      <c r="AS124" s="22">
        <v>-1.4611799999999999E-2</v>
      </c>
      <c r="AT124" s="22">
        <v>114</v>
      </c>
      <c r="AU124" s="22">
        <v>1.2246699999999999</v>
      </c>
      <c r="AV124">
        <f t="shared" si="20"/>
        <v>14.611799999999999</v>
      </c>
      <c r="AW124">
        <f t="shared" si="21"/>
        <v>17.912459501999997</v>
      </c>
      <c r="AX124" s="9"/>
      <c r="AY124" s="22">
        <v>0.47409099999999998</v>
      </c>
      <c r="AZ124" s="22">
        <v>262.34699999999998</v>
      </c>
      <c r="BA124" s="22">
        <v>-1.54755E-2</v>
      </c>
      <c r="BB124" s="22">
        <v>114</v>
      </c>
      <c r="BC124" s="22">
        <v>0.47344999999999998</v>
      </c>
      <c r="BD124">
        <f t="shared" si="22"/>
        <v>15.4755</v>
      </c>
      <c r="BE124">
        <f t="shared" si="23"/>
        <v>7.3367952704999997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50.213299999999997</v>
      </c>
      <c r="I125" s="22">
        <v>-1.50238E-2</v>
      </c>
      <c r="J125" s="22">
        <v>115</v>
      </c>
      <c r="K125" s="22">
        <v>1.2200899999999999</v>
      </c>
      <c r="L125">
        <f t="shared" si="12"/>
        <v>15.0238</v>
      </c>
      <c r="M125">
        <f t="shared" si="13"/>
        <v>18.341956467999999</v>
      </c>
      <c r="N125" s="9"/>
      <c r="O125" s="22">
        <v>0.479126</v>
      </c>
      <c r="P125" s="22">
        <v>99.639700000000005</v>
      </c>
      <c r="Q125" s="22">
        <v>-1.5655499999999999E-2</v>
      </c>
      <c r="R125" s="22">
        <v>115</v>
      </c>
      <c r="S125" s="22">
        <v>0.47839399999999999</v>
      </c>
      <c r="T125">
        <f t="shared" si="14"/>
        <v>15.6555</v>
      </c>
      <c r="U125">
        <f t="shared" si="15"/>
        <v>7.5009570930000002</v>
      </c>
      <c r="X125" s="9"/>
      <c r="Y125" s="22">
        <v>1.2208600000000001</v>
      </c>
      <c r="Z125" s="22">
        <v>129.09700000000001</v>
      </c>
      <c r="AA125" s="22">
        <v>-1.4816299999999999E-2</v>
      </c>
      <c r="AB125" s="22">
        <v>115</v>
      </c>
      <c r="AC125" s="22">
        <v>1.2203999999999999</v>
      </c>
      <c r="AD125">
        <f t="shared" si="16"/>
        <v>14.8163</v>
      </c>
      <c r="AE125">
        <f t="shared" si="17"/>
        <v>18.088628018000001</v>
      </c>
      <c r="AF125" s="9"/>
      <c r="AG125" s="22">
        <v>0.479126</v>
      </c>
      <c r="AH125" s="22">
        <v>178.57</v>
      </c>
      <c r="AI125" s="22">
        <v>-1.5594500000000001E-2</v>
      </c>
      <c r="AJ125" s="22">
        <v>115</v>
      </c>
      <c r="AK125" s="22">
        <v>0.478516</v>
      </c>
      <c r="AL125">
        <f t="shared" si="18"/>
        <v>15.5945</v>
      </c>
      <c r="AM125">
        <f t="shared" si="19"/>
        <v>7.4717304069999999</v>
      </c>
      <c r="AP125" s="9"/>
      <c r="AQ125" s="22">
        <v>1.2208600000000001</v>
      </c>
      <c r="AR125" s="22">
        <v>228.017</v>
      </c>
      <c r="AS125" s="22">
        <v>-1.4627100000000001E-2</v>
      </c>
      <c r="AT125" s="22">
        <v>115</v>
      </c>
      <c r="AU125" s="22">
        <v>1.2197899999999999</v>
      </c>
      <c r="AV125">
        <f t="shared" si="20"/>
        <v>14.6271</v>
      </c>
      <c r="AW125">
        <f t="shared" si="21"/>
        <v>17.857641306000001</v>
      </c>
      <c r="AX125" s="9"/>
      <c r="AY125" s="22">
        <v>0.479126</v>
      </c>
      <c r="AZ125" s="22">
        <v>262.35700000000003</v>
      </c>
      <c r="BA125" s="22">
        <v>-1.54816E-2</v>
      </c>
      <c r="BB125" s="22">
        <v>115</v>
      </c>
      <c r="BC125" s="22">
        <v>0.478516</v>
      </c>
      <c r="BD125">
        <f t="shared" si="22"/>
        <v>15.4816</v>
      </c>
      <c r="BE125">
        <f t="shared" si="23"/>
        <v>7.4176370815999997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50.223399999999998</v>
      </c>
      <c r="I126" s="22">
        <v>-1.50391E-2</v>
      </c>
      <c r="J126" s="22">
        <v>116</v>
      </c>
      <c r="K126" s="22">
        <v>1.2149000000000001</v>
      </c>
      <c r="L126">
        <f t="shared" si="12"/>
        <v>15.039099999999999</v>
      </c>
      <c r="M126">
        <f t="shared" si="13"/>
        <v>18.284838561999997</v>
      </c>
      <c r="N126" s="9"/>
      <c r="O126" s="22">
        <v>0.48416100000000001</v>
      </c>
      <c r="P126" s="22">
        <v>99.649799999999999</v>
      </c>
      <c r="Q126" s="22">
        <v>-1.5655499999999999E-2</v>
      </c>
      <c r="R126" s="22">
        <v>116</v>
      </c>
      <c r="S126" s="22">
        <v>0.48352099999999998</v>
      </c>
      <c r="T126">
        <f t="shared" si="14"/>
        <v>15.6555</v>
      </c>
      <c r="U126">
        <f t="shared" si="15"/>
        <v>7.5797825354999997</v>
      </c>
      <c r="X126" s="9"/>
      <c r="Y126" s="22">
        <v>1.2158199999999999</v>
      </c>
      <c r="Z126" s="22">
        <v>129.107</v>
      </c>
      <c r="AA126" s="22">
        <v>-1.48346E-2</v>
      </c>
      <c r="AB126" s="22">
        <v>116</v>
      </c>
      <c r="AC126" s="22">
        <v>1.2149000000000001</v>
      </c>
      <c r="AD126">
        <f t="shared" si="16"/>
        <v>14.8346</v>
      </c>
      <c r="AE126">
        <f t="shared" si="17"/>
        <v>18.036203371999999</v>
      </c>
      <c r="AF126" s="9"/>
      <c r="AG126" s="22">
        <v>0.48416100000000001</v>
      </c>
      <c r="AH126" s="22">
        <v>178.58</v>
      </c>
      <c r="AI126" s="22">
        <v>-1.55914E-2</v>
      </c>
      <c r="AJ126" s="22">
        <v>116</v>
      </c>
      <c r="AK126" s="22">
        <v>0.48352099999999998</v>
      </c>
      <c r="AL126">
        <f t="shared" si="18"/>
        <v>15.5914</v>
      </c>
      <c r="AM126">
        <f t="shared" si="19"/>
        <v>7.5487478154000005</v>
      </c>
      <c r="AP126" s="9"/>
      <c r="AQ126" s="22">
        <v>1.2158199999999999</v>
      </c>
      <c r="AR126" s="22">
        <v>228.02699999999999</v>
      </c>
      <c r="AS126" s="22">
        <v>-1.4648400000000001E-2</v>
      </c>
      <c r="AT126" s="22">
        <v>116</v>
      </c>
      <c r="AU126" s="22">
        <v>1.2155199999999999</v>
      </c>
      <c r="AV126">
        <f t="shared" si="20"/>
        <v>14.648400000000001</v>
      </c>
      <c r="AW126">
        <f t="shared" si="21"/>
        <v>17.809817687999999</v>
      </c>
      <c r="AX126" s="9"/>
      <c r="AY126" s="22">
        <v>0.48416100000000001</v>
      </c>
      <c r="AZ126" s="22">
        <v>262.36700000000002</v>
      </c>
      <c r="BA126" s="22">
        <v>-1.5484599999999999E-2</v>
      </c>
      <c r="BB126" s="22">
        <v>116</v>
      </c>
      <c r="BC126" s="22">
        <v>0.48355100000000001</v>
      </c>
      <c r="BD126">
        <f t="shared" si="22"/>
        <v>15.484599999999999</v>
      </c>
      <c r="BE126">
        <f t="shared" si="23"/>
        <v>7.4970394205999993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50.233400000000003</v>
      </c>
      <c r="I127" s="22">
        <v>-1.50513E-2</v>
      </c>
      <c r="J127" s="22">
        <v>117</v>
      </c>
      <c r="K127" s="22">
        <v>1.2103299999999999</v>
      </c>
      <c r="L127">
        <f t="shared" si="12"/>
        <v>15.051299999999999</v>
      </c>
      <c r="M127">
        <f t="shared" si="13"/>
        <v>18.223813013999997</v>
      </c>
      <c r="N127" s="9"/>
      <c r="O127" s="22">
        <v>0.48919699999999999</v>
      </c>
      <c r="P127" s="22">
        <v>99.659899999999993</v>
      </c>
      <c r="Q127" s="22">
        <v>-1.5655499999999999E-2</v>
      </c>
      <c r="R127" s="22">
        <v>117</v>
      </c>
      <c r="S127" s="22">
        <v>0.48849500000000001</v>
      </c>
      <c r="T127">
        <f t="shared" si="14"/>
        <v>15.6555</v>
      </c>
      <c r="U127">
        <f t="shared" si="15"/>
        <v>7.6586236334999995</v>
      </c>
      <c r="X127" s="9"/>
      <c r="Y127" s="22">
        <v>1.21078</v>
      </c>
      <c r="Z127" s="22">
        <v>129.11699999999999</v>
      </c>
      <c r="AA127" s="22">
        <v>-1.48529E-2</v>
      </c>
      <c r="AB127" s="22">
        <v>117</v>
      </c>
      <c r="AC127" s="22">
        <v>1.2094100000000001</v>
      </c>
      <c r="AD127">
        <f t="shared" si="16"/>
        <v>14.8529</v>
      </c>
      <c r="AE127">
        <f t="shared" si="17"/>
        <v>17.983594262</v>
      </c>
      <c r="AF127" s="9"/>
      <c r="AG127" s="22">
        <v>0.48919699999999999</v>
      </c>
      <c r="AH127" s="22">
        <v>178.59</v>
      </c>
      <c r="AI127" s="22">
        <v>-1.55853E-2</v>
      </c>
      <c r="AJ127" s="22">
        <v>117</v>
      </c>
      <c r="AK127" s="22">
        <v>0.48858600000000002</v>
      </c>
      <c r="AL127">
        <f t="shared" si="18"/>
        <v>15.5853</v>
      </c>
      <c r="AM127">
        <f t="shared" si="19"/>
        <v>7.6242820041000003</v>
      </c>
      <c r="AP127" s="9"/>
      <c r="AQ127" s="22">
        <v>1.21078</v>
      </c>
      <c r="AR127" s="22">
        <v>228.03700000000001</v>
      </c>
      <c r="AS127" s="22">
        <v>-1.4660599999999999E-2</v>
      </c>
      <c r="AT127" s="22">
        <v>117</v>
      </c>
      <c r="AU127" s="22">
        <v>1.2097199999999999</v>
      </c>
      <c r="AV127">
        <f t="shared" si="20"/>
        <v>14.660599999999999</v>
      </c>
      <c r="AW127">
        <f t="shared" si="21"/>
        <v>17.750761267999998</v>
      </c>
      <c r="AX127" s="9"/>
      <c r="AY127" s="22">
        <v>0.48919699999999999</v>
      </c>
      <c r="AZ127" s="22">
        <v>262.37700000000001</v>
      </c>
      <c r="BA127" s="22">
        <v>-1.54755E-2</v>
      </c>
      <c r="BB127" s="22">
        <v>117</v>
      </c>
      <c r="BC127" s="22">
        <v>0.48855599999999999</v>
      </c>
      <c r="BD127">
        <f t="shared" si="22"/>
        <v>15.4755</v>
      </c>
      <c r="BE127">
        <f t="shared" si="23"/>
        <v>7.5705681734999999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50.243499999999997</v>
      </c>
      <c r="I128" s="22">
        <v>-1.5063500000000001E-2</v>
      </c>
      <c r="J128" s="22">
        <v>118</v>
      </c>
      <c r="K128" s="22">
        <v>1.2045300000000001</v>
      </c>
      <c r="L128">
        <f t="shared" si="12"/>
        <v>15.063500000000001</v>
      </c>
      <c r="M128">
        <f t="shared" si="13"/>
        <v>18.162815125000002</v>
      </c>
      <c r="N128" s="9"/>
      <c r="O128" s="22">
        <v>0.494232</v>
      </c>
      <c r="P128" s="22">
        <v>99.669899999999998</v>
      </c>
      <c r="Q128" s="22">
        <v>-1.5658600000000002E-2</v>
      </c>
      <c r="R128" s="22">
        <v>118</v>
      </c>
      <c r="S128" s="22">
        <v>0.49356100000000003</v>
      </c>
      <c r="T128">
        <f t="shared" si="14"/>
        <v>15.658600000000002</v>
      </c>
      <c r="U128">
        <f t="shared" si="15"/>
        <v>7.7389811952000009</v>
      </c>
      <c r="X128" s="9"/>
      <c r="Y128" s="22">
        <v>1.2057500000000001</v>
      </c>
      <c r="Z128" s="22">
        <v>129.12700000000001</v>
      </c>
      <c r="AA128" s="22">
        <v>-1.48621E-2</v>
      </c>
      <c r="AB128" s="22">
        <v>118</v>
      </c>
      <c r="AC128" s="22">
        <v>1.2054400000000001</v>
      </c>
      <c r="AD128">
        <f t="shared" si="16"/>
        <v>14.8621</v>
      </c>
      <c r="AE128">
        <f t="shared" si="17"/>
        <v>17.919977075000002</v>
      </c>
      <c r="AF128" s="9"/>
      <c r="AG128" s="22">
        <v>0.494232</v>
      </c>
      <c r="AH128" s="22">
        <v>178.6</v>
      </c>
      <c r="AI128" s="22">
        <v>-1.55853E-2</v>
      </c>
      <c r="AJ128" s="22">
        <v>118</v>
      </c>
      <c r="AK128" s="22">
        <v>0.49353000000000002</v>
      </c>
      <c r="AL128">
        <f t="shared" si="18"/>
        <v>15.5853</v>
      </c>
      <c r="AM128">
        <f t="shared" si="19"/>
        <v>7.7027539896000006</v>
      </c>
      <c r="AP128" s="9"/>
      <c r="AQ128" s="22">
        <v>1.2057500000000001</v>
      </c>
      <c r="AR128" s="22">
        <v>228.047</v>
      </c>
      <c r="AS128" s="22">
        <v>-1.46851E-2</v>
      </c>
      <c r="AT128" s="22">
        <v>118</v>
      </c>
      <c r="AU128" s="22">
        <v>1.2051400000000001</v>
      </c>
      <c r="AV128">
        <f t="shared" si="20"/>
        <v>14.6851</v>
      </c>
      <c r="AW128">
        <f t="shared" si="21"/>
        <v>17.706559325000001</v>
      </c>
      <c r="AX128" s="9"/>
      <c r="AY128" s="22">
        <v>0.494232</v>
      </c>
      <c r="AZ128" s="22">
        <v>262.387</v>
      </c>
      <c r="BA128" s="22">
        <v>-1.5457200000000001E-2</v>
      </c>
      <c r="BB128" s="22">
        <v>118</v>
      </c>
      <c r="BC128" s="22">
        <v>0.49362200000000001</v>
      </c>
      <c r="BD128">
        <f t="shared" si="22"/>
        <v>15.4572</v>
      </c>
      <c r="BE128">
        <f t="shared" si="23"/>
        <v>7.6394428703999999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50.253599999999999</v>
      </c>
      <c r="I129" s="22">
        <v>-1.5075699999999999E-2</v>
      </c>
      <c r="J129" s="22">
        <v>119</v>
      </c>
      <c r="K129" s="22">
        <v>1.1993400000000001</v>
      </c>
      <c r="L129">
        <f t="shared" si="12"/>
        <v>15.075699999999999</v>
      </c>
      <c r="M129">
        <f t="shared" si="13"/>
        <v>18.101543746999997</v>
      </c>
      <c r="N129" s="9"/>
      <c r="O129" s="22">
        <v>0.49926799999999999</v>
      </c>
      <c r="P129" s="22">
        <v>99.68</v>
      </c>
      <c r="Q129" s="22">
        <v>-1.56647E-2</v>
      </c>
      <c r="R129" s="22">
        <v>119</v>
      </c>
      <c r="S129" s="22">
        <v>0.49853500000000001</v>
      </c>
      <c r="T129">
        <f t="shared" si="14"/>
        <v>15.6647</v>
      </c>
      <c r="U129">
        <f t="shared" si="15"/>
        <v>7.8208834395999993</v>
      </c>
      <c r="X129" s="9"/>
      <c r="Y129" s="22">
        <v>1.2007099999999999</v>
      </c>
      <c r="Z129" s="22">
        <v>129.137</v>
      </c>
      <c r="AA129" s="22">
        <v>-1.48743E-2</v>
      </c>
      <c r="AB129" s="22">
        <v>119</v>
      </c>
      <c r="AC129" s="22">
        <v>1.2005600000000001</v>
      </c>
      <c r="AD129">
        <f t="shared" si="16"/>
        <v>14.8743</v>
      </c>
      <c r="AE129">
        <f t="shared" si="17"/>
        <v>17.859720752999998</v>
      </c>
      <c r="AF129" s="9"/>
      <c r="AG129" s="22">
        <v>0.49926799999999999</v>
      </c>
      <c r="AH129" s="22">
        <v>178.61</v>
      </c>
      <c r="AI129" s="22">
        <v>-1.55853E-2</v>
      </c>
      <c r="AJ129" s="22">
        <v>119</v>
      </c>
      <c r="AK129" s="22">
        <v>0.49850499999999998</v>
      </c>
      <c r="AL129">
        <f t="shared" si="18"/>
        <v>15.5853</v>
      </c>
      <c r="AM129">
        <f t="shared" si="19"/>
        <v>7.7812415603999998</v>
      </c>
      <c r="AP129" s="9"/>
      <c r="AQ129" s="22">
        <v>1.2007099999999999</v>
      </c>
      <c r="AR129" s="22">
        <v>228.05699999999999</v>
      </c>
      <c r="AS129" s="22">
        <v>-1.4700299999999999E-2</v>
      </c>
      <c r="AT129" s="22">
        <v>119</v>
      </c>
      <c r="AU129" s="22">
        <v>1.1996500000000001</v>
      </c>
      <c r="AV129">
        <f t="shared" si="20"/>
        <v>14.700299999999999</v>
      </c>
      <c r="AW129">
        <f t="shared" si="21"/>
        <v>17.650797212999997</v>
      </c>
      <c r="AX129" s="9"/>
      <c r="AY129" s="22">
        <v>0.49926799999999999</v>
      </c>
      <c r="AZ129" s="22">
        <v>262.39699999999999</v>
      </c>
      <c r="BA129" s="22">
        <v>-1.5444899999999999E-2</v>
      </c>
      <c r="BB129" s="22">
        <v>119</v>
      </c>
      <c r="BC129" s="22">
        <v>0.49865700000000002</v>
      </c>
      <c r="BD129">
        <f t="shared" si="22"/>
        <v>15.444899999999999</v>
      </c>
      <c r="BE129">
        <f t="shared" si="23"/>
        <v>7.7111443331999991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50.2637</v>
      </c>
      <c r="I130" s="22">
        <v>-1.50879E-2</v>
      </c>
      <c r="J130" s="22">
        <v>120</v>
      </c>
      <c r="K130" s="22">
        <v>1.19476</v>
      </c>
      <c r="L130">
        <f t="shared" si="12"/>
        <v>15.087899999999999</v>
      </c>
      <c r="M130">
        <f t="shared" si="13"/>
        <v>18.040300272</v>
      </c>
      <c r="N130" s="9"/>
      <c r="O130" s="22">
        <v>0.50430299999999995</v>
      </c>
      <c r="P130" s="22">
        <v>99.690100000000001</v>
      </c>
      <c r="Q130" s="22">
        <v>-1.56677E-2</v>
      </c>
      <c r="R130" s="22">
        <v>120</v>
      </c>
      <c r="S130" s="22">
        <v>0.50353999999999999</v>
      </c>
      <c r="T130">
        <f t="shared" si="14"/>
        <v>15.6677</v>
      </c>
      <c r="U130">
        <f t="shared" si="15"/>
        <v>7.9012681130999995</v>
      </c>
      <c r="X130" s="9"/>
      <c r="Y130" s="22">
        <v>1.1956800000000001</v>
      </c>
      <c r="Z130" s="22">
        <v>129.14699999999999</v>
      </c>
      <c r="AA130" s="22">
        <v>-1.48773E-2</v>
      </c>
      <c r="AB130" s="22">
        <v>120</v>
      </c>
      <c r="AC130" s="22">
        <v>1.19537</v>
      </c>
      <c r="AD130">
        <f t="shared" si="16"/>
        <v>14.8773</v>
      </c>
      <c r="AE130">
        <f t="shared" si="17"/>
        <v>17.788490064000001</v>
      </c>
      <c r="AF130" s="9"/>
      <c r="AG130" s="22">
        <v>0.50430299999999995</v>
      </c>
      <c r="AH130" s="22">
        <v>178.62100000000001</v>
      </c>
      <c r="AI130" s="22">
        <v>-1.55792E-2</v>
      </c>
      <c r="AJ130" s="22">
        <v>120</v>
      </c>
      <c r="AK130" s="22">
        <v>0.50363199999999997</v>
      </c>
      <c r="AL130">
        <f t="shared" si="18"/>
        <v>15.5792</v>
      </c>
      <c r="AM130">
        <f t="shared" si="19"/>
        <v>7.856637297599999</v>
      </c>
      <c r="AP130" s="9"/>
      <c r="AQ130" s="22">
        <v>1.1956800000000001</v>
      </c>
      <c r="AR130" s="22">
        <v>228.06700000000001</v>
      </c>
      <c r="AS130" s="22">
        <v>-1.47125E-2</v>
      </c>
      <c r="AT130" s="22">
        <v>120</v>
      </c>
      <c r="AU130" s="22">
        <v>1.1944600000000001</v>
      </c>
      <c r="AV130">
        <f t="shared" si="20"/>
        <v>14.7125</v>
      </c>
      <c r="AW130">
        <f t="shared" si="21"/>
        <v>17.591442000000001</v>
      </c>
      <c r="AX130" s="9"/>
      <c r="AY130" s="22">
        <v>0.50430299999999995</v>
      </c>
      <c r="AZ130" s="22">
        <v>262.40699999999998</v>
      </c>
      <c r="BA130" s="22">
        <v>-1.54419E-2</v>
      </c>
      <c r="BB130" s="22">
        <v>120</v>
      </c>
      <c r="BC130" s="22">
        <v>0.50353999999999999</v>
      </c>
      <c r="BD130">
        <f t="shared" si="22"/>
        <v>15.4419</v>
      </c>
      <c r="BE130">
        <f t="shared" si="23"/>
        <v>7.7873964956999995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50.273699999999998</v>
      </c>
      <c r="I131" s="22">
        <v>-1.51001E-2</v>
      </c>
      <c r="J131" s="22">
        <v>121</v>
      </c>
      <c r="K131" s="22">
        <v>1.18927</v>
      </c>
      <c r="L131">
        <f t="shared" si="12"/>
        <v>15.100099999999999</v>
      </c>
      <c r="M131">
        <f t="shared" si="13"/>
        <v>17.978783063999998</v>
      </c>
      <c r="N131" s="9"/>
      <c r="O131" s="22">
        <v>0.50933799999999996</v>
      </c>
      <c r="P131" s="22">
        <v>99.700199999999995</v>
      </c>
      <c r="Q131" s="22">
        <v>-1.5661600000000001E-2</v>
      </c>
      <c r="R131" s="22">
        <v>121</v>
      </c>
      <c r="S131" s="22">
        <v>0.50863599999999998</v>
      </c>
      <c r="T131">
        <f t="shared" si="14"/>
        <v>15.661600000000002</v>
      </c>
      <c r="U131">
        <f t="shared" si="15"/>
        <v>7.9770480207999999</v>
      </c>
      <c r="X131" s="9"/>
      <c r="Y131" s="22">
        <v>1.1906399999999999</v>
      </c>
      <c r="Z131" s="22">
        <v>129.15700000000001</v>
      </c>
      <c r="AA131" s="22">
        <v>-1.48834E-2</v>
      </c>
      <c r="AB131" s="22">
        <v>121</v>
      </c>
      <c r="AC131" s="22">
        <v>1.18988</v>
      </c>
      <c r="AD131">
        <f t="shared" si="16"/>
        <v>14.8834</v>
      </c>
      <c r="AE131">
        <f t="shared" si="17"/>
        <v>17.720771375999998</v>
      </c>
      <c r="AF131" s="9"/>
      <c r="AG131" s="22">
        <v>0.50933799999999996</v>
      </c>
      <c r="AH131" s="22">
        <v>178.631</v>
      </c>
      <c r="AI131" s="22">
        <v>-1.55762E-2</v>
      </c>
      <c r="AJ131" s="22">
        <v>121</v>
      </c>
      <c r="AK131" s="22">
        <v>0.50863599999999998</v>
      </c>
      <c r="AL131">
        <f t="shared" si="18"/>
        <v>15.5762</v>
      </c>
      <c r="AM131">
        <f t="shared" si="19"/>
        <v>7.9335505555999992</v>
      </c>
      <c r="AP131" s="9"/>
      <c r="AQ131" s="22">
        <v>1.1906399999999999</v>
      </c>
      <c r="AR131" s="22">
        <v>228.077</v>
      </c>
      <c r="AS131" s="22">
        <v>-1.4721700000000001E-2</v>
      </c>
      <c r="AT131" s="22">
        <v>121</v>
      </c>
      <c r="AU131" s="22">
        <v>1.18988</v>
      </c>
      <c r="AV131">
        <f t="shared" si="20"/>
        <v>14.7217</v>
      </c>
      <c r="AW131">
        <f t="shared" si="21"/>
        <v>17.528244888</v>
      </c>
      <c r="AX131" s="9"/>
      <c r="AY131" s="22">
        <v>0.50933799999999996</v>
      </c>
      <c r="AZ131" s="22">
        <v>262.41699999999997</v>
      </c>
      <c r="BA131" s="22">
        <v>-1.54266E-2</v>
      </c>
      <c r="BB131" s="22">
        <v>121</v>
      </c>
      <c r="BC131" s="22">
        <v>0.50869799999999998</v>
      </c>
      <c r="BD131">
        <f t="shared" si="22"/>
        <v>15.426600000000001</v>
      </c>
      <c r="BE131">
        <f t="shared" si="23"/>
        <v>7.8573535907999998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50.283799999999999</v>
      </c>
      <c r="I132" s="22">
        <v>-1.51123E-2</v>
      </c>
      <c r="J132" s="22">
        <v>122</v>
      </c>
      <c r="K132" s="22">
        <v>1.1850000000000001</v>
      </c>
      <c r="L132">
        <f t="shared" si="12"/>
        <v>15.112300000000001</v>
      </c>
      <c r="M132">
        <f t="shared" si="13"/>
        <v>17.917294003000002</v>
      </c>
      <c r="N132" s="9"/>
      <c r="O132" s="22">
        <v>0.514374</v>
      </c>
      <c r="P132" s="22">
        <v>99.7102</v>
      </c>
      <c r="Q132" s="22">
        <v>-1.5655499999999999E-2</v>
      </c>
      <c r="R132" s="22">
        <v>122</v>
      </c>
      <c r="S132" s="22">
        <v>0.51361100000000004</v>
      </c>
      <c r="T132">
        <f t="shared" si="14"/>
        <v>15.6555</v>
      </c>
      <c r="U132">
        <f t="shared" si="15"/>
        <v>8.0527821569999993</v>
      </c>
      <c r="X132" s="9"/>
      <c r="Y132" s="22">
        <v>1.1856100000000001</v>
      </c>
      <c r="Z132" s="22">
        <v>129.167</v>
      </c>
      <c r="AA132" s="22">
        <v>-1.4898700000000001E-2</v>
      </c>
      <c r="AB132" s="22">
        <v>122</v>
      </c>
      <c r="AC132" s="22">
        <v>1.18469</v>
      </c>
      <c r="AD132">
        <f t="shared" si="16"/>
        <v>14.898700000000002</v>
      </c>
      <c r="AE132">
        <f t="shared" si="17"/>
        <v>17.664047707000002</v>
      </c>
      <c r="AF132" s="9"/>
      <c r="AG132" s="22">
        <v>0.514374</v>
      </c>
      <c r="AH132" s="22">
        <v>178.64099999999999</v>
      </c>
      <c r="AI132" s="22">
        <v>-1.55762E-2</v>
      </c>
      <c r="AJ132" s="22">
        <v>122</v>
      </c>
      <c r="AK132" s="22">
        <v>0.51364100000000001</v>
      </c>
      <c r="AL132">
        <f t="shared" si="18"/>
        <v>15.5762</v>
      </c>
      <c r="AM132">
        <f t="shared" si="19"/>
        <v>8.0119922987999992</v>
      </c>
      <c r="AP132" s="9"/>
      <c r="AQ132" s="22">
        <v>1.1856100000000001</v>
      </c>
      <c r="AR132" s="22">
        <v>228.08699999999999</v>
      </c>
      <c r="AS132" s="22">
        <v>-1.47308E-2</v>
      </c>
      <c r="AT132" s="22">
        <v>122</v>
      </c>
      <c r="AU132" s="22">
        <v>1.1843900000000001</v>
      </c>
      <c r="AV132">
        <f t="shared" si="20"/>
        <v>14.7308</v>
      </c>
      <c r="AW132">
        <f t="shared" si="21"/>
        <v>17.464983788000001</v>
      </c>
      <c r="AX132" s="9"/>
      <c r="AY132" s="22">
        <v>0.514374</v>
      </c>
      <c r="AZ132" s="22">
        <v>262.42700000000002</v>
      </c>
      <c r="BA132" s="22">
        <v>-1.54114E-2</v>
      </c>
      <c r="BB132" s="22">
        <v>122</v>
      </c>
      <c r="BC132" s="22">
        <v>0.51364100000000001</v>
      </c>
      <c r="BD132">
        <f t="shared" si="22"/>
        <v>15.4114</v>
      </c>
      <c r="BE132">
        <f t="shared" si="23"/>
        <v>7.9272234635999999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50.293900000000001</v>
      </c>
      <c r="I133" s="22">
        <v>-1.51276E-2</v>
      </c>
      <c r="J133" s="22">
        <v>123</v>
      </c>
      <c r="K133" s="22">
        <v>1.1795</v>
      </c>
      <c r="L133">
        <f t="shared" si="12"/>
        <v>15.127599999999999</v>
      </c>
      <c r="M133">
        <f t="shared" si="13"/>
        <v>17.859190731999998</v>
      </c>
      <c r="N133" s="9"/>
      <c r="O133" s="22">
        <v>0.51940900000000001</v>
      </c>
      <c r="P133" s="22">
        <v>99.720299999999995</v>
      </c>
      <c r="Q133" s="22">
        <v>-1.5646400000000001E-2</v>
      </c>
      <c r="R133" s="22">
        <v>123</v>
      </c>
      <c r="S133" s="22">
        <v>0.51867700000000005</v>
      </c>
      <c r="T133">
        <f t="shared" si="14"/>
        <v>15.646400000000002</v>
      </c>
      <c r="U133">
        <f t="shared" si="15"/>
        <v>8.1268809776000008</v>
      </c>
      <c r="X133" s="9"/>
      <c r="Y133" s="22">
        <v>1.1805699999999999</v>
      </c>
      <c r="Z133" s="22">
        <v>129.17699999999999</v>
      </c>
      <c r="AA133" s="22">
        <v>-1.4904799999999999E-2</v>
      </c>
      <c r="AB133" s="22">
        <v>123</v>
      </c>
      <c r="AC133" s="22">
        <v>1.1795</v>
      </c>
      <c r="AD133">
        <f t="shared" si="16"/>
        <v>14.9048</v>
      </c>
      <c r="AE133">
        <f t="shared" si="17"/>
        <v>17.596159735999997</v>
      </c>
      <c r="AF133" s="9"/>
      <c r="AG133" s="22">
        <v>0.51940900000000001</v>
      </c>
      <c r="AH133" s="22">
        <v>178.65100000000001</v>
      </c>
      <c r="AI133" s="22">
        <v>-1.55792E-2</v>
      </c>
      <c r="AJ133" s="22">
        <v>123</v>
      </c>
      <c r="AK133" s="22">
        <v>0.51870700000000003</v>
      </c>
      <c r="AL133">
        <f t="shared" si="18"/>
        <v>15.5792</v>
      </c>
      <c r="AM133">
        <f t="shared" si="19"/>
        <v>8.0919766927999994</v>
      </c>
      <c r="AP133" s="9"/>
      <c r="AQ133" s="22">
        <v>1.1805699999999999</v>
      </c>
      <c r="AR133" s="22">
        <v>228.09700000000001</v>
      </c>
      <c r="AS133" s="22">
        <v>-1.4742999999999999E-2</v>
      </c>
      <c r="AT133" s="22">
        <v>123</v>
      </c>
      <c r="AU133" s="22">
        <v>1.17981</v>
      </c>
      <c r="AV133">
        <f t="shared" si="20"/>
        <v>14.742999999999999</v>
      </c>
      <c r="AW133">
        <f t="shared" si="21"/>
        <v>17.405143509999998</v>
      </c>
      <c r="AX133" s="9"/>
      <c r="AY133" s="22">
        <v>0.51940900000000001</v>
      </c>
      <c r="AZ133" s="22">
        <v>262.43700000000001</v>
      </c>
      <c r="BA133" s="22">
        <v>-1.53992E-2</v>
      </c>
      <c r="BB133" s="22">
        <v>123</v>
      </c>
      <c r="BC133" s="22">
        <v>0.51870700000000003</v>
      </c>
      <c r="BD133">
        <f t="shared" si="22"/>
        <v>15.3992</v>
      </c>
      <c r="BE133">
        <f t="shared" si="23"/>
        <v>7.9984830728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50.303899999999999</v>
      </c>
      <c r="I134" s="22">
        <v>-1.51398E-2</v>
      </c>
      <c r="J134" s="22">
        <v>124</v>
      </c>
      <c r="K134" s="22">
        <v>1.17462</v>
      </c>
      <c r="L134">
        <f t="shared" si="12"/>
        <v>15.139799999999999</v>
      </c>
      <c r="M134">
        <f t="shared" si="13"/>
        <v>17.797440492</v>
      </c>
      <c r="N134" s="9"/>
      <c r="O134" s="22">
        <v>0.52444500000000005</v>
      </c>
      <c r="P134" s="22">
        <v>99.730400000000003</v>
      </c>
      <c r="Q134" s="22">
        <v>-1.5634200000000001E-2</v>
      </c>
      <c r="R134" s="22">
        <v>124</v>
      </c>
      <c r="S134" s="22">
        <v>0.52359</v>
      </c>
      <c r="T134">
        <f t="shared" si="14"/>
        <v>15.634200000000002</v>
      </c>
      <c r="U134">
        <f t="shared" si="15"/>
        <v>8.1992780190000012</v>
      </c>
      <c r="X134" s="9"/>
      <c r="Y134" s="22">
        <v>1.17554</v>
      </c>
      <c r="Z134" s="22">
        <v>129.18700000000001</v>
      </c>
      <c r="AA134" s="22">
        <v>-1.4917E-2</v>
      </c>
      <c r="AB134" s="22">
        <v>124</v>
      </c>
      <c r="AC134" s="22">
        <v>1.17462</v>
      </c>
      <c r="AD134">
        <f t="shared" si="16"/>
        <v>14.917</v>
      </c>
      <c r="AE134">
        <f t="shared" si="17"/>
        <v>17.535530179999999</v>
      </c>
      <c r="AF134" s="9"/>
      <c r="AG134" s="22">
        <v>0.52444500000000005</v>
      </c>
      <c r="AH134" s="22">
        <v>178.661</v>
      </c>
      <c r="AI134" s="22">
        <v>-1.55853E-2</v>
      </c>
      <c r="AJ134" s="22">
        <v>124</v>
      </c>
      <c r="AK134" s="22">
        <v>0.52374299999999996</v>
      </c>
      <c r="AL134">
        <f t="shared" si="18"/>
        <v>15.5853</v>
      </c>
      <c r="AM134">
        <f t="shared" si="19"/>
        <v>8.1736326585000008</v>
      </c>
      <c r="AP134" s="9"/>
      <c r="AQ134" s="22">
        <v>1.17554</v>
      </c>
      <c r="AR134" s="22">
        <v>228.107</v>
      </c>
      <c r="AS134" s="22">
        <v>-1.47461E-2</v>
      </c>
      <c r="AT134" s="22">
        <v>124</v>
      </c>
      <c r="AU134" s="22">
        <v>1.17493</v>
      </c>
      <c r="AV134">
        <f t="shared" si="20"/>
        <v>14.7461</v>
      </c>
      <c r="AW134">
        <f t="shared" si="21"/>
        <v>17.334630394000001</v>
      </c>
      <c r="AX134" s="9"/>
      <c r="AY134" s="22">
        <v>0.52444500000000005</v>
      </c>
      <c r="AZ134" s="22">
        <v>262.447</v>
      </c>
      <c r="BA134" s="22">
        <v>-1.53992E-2</v>
      </c>
      <c r="BB134" s="22">
        <v>124</v>
      </c>
      <c r="BC134" s="22">
        <v>0.52371199999999996</v>
      </c>
      <c r="BD134">
        <f t="shared" si="22"/>
        <v>15.3992</v>
      </c>
      <c r="BE134">
        <f t="shared" si="23"/>
        <v>8.0760334440000001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50.314</v>
      </c>
      <c r="I135" s="22">
        <v>-1.5152000000000001E-2</v>
      </c>
      <c r="J135" s="22">
        <v>125</v>
      </c>
      <c r="K135" s="22">
        <v>1.16943</v>
      </c>
      <c r="L135">
        <f t="shared" si="12"/>
        <v>15.152000000000001</v>
      </c>
      <c r="M135">
        <f t="shared" si="13"/>
        <v>17.735416000000004</v>
      </c>
      <c r="N135" s="9"/>
      <c r="O135" s="22">
        <v>0.52947999999999995</v>
      </c>
      <c r="P135" s="22">
        <v>99.740399999999994</v>
      </c>
      <c r="Q135" s="22">
        <v>-1.5625E-2</v>
      </c>
      <c r="R135" s="22">
        <v>125</v>
      </c>
      <c r="S135" s="22">
        <v>0.52880899999999997</v>
      </c>
      <c r="T135">
        <f t="shared" si="14"/>
        <v>15.625</v>
      </c>
      <c r="U135">
        <f t="shared" si="15"/>
        <v>8.2731249999999985</v>
      </c>
      <c r="X135" s="9"/>
      <c r="Y135" s="22">
        <v>1.1705000000000001</v>
      </c>
      <c r="Z135" s="22">
        <v>129.197</v>
      </c>
      <c r="AA135" s="22">
        <v>-1.49292E-2</v>
      </c>
      <c r="AB135" s="22">
        <v>125</v>
      </c>
      <c r="AC135" s="22">
        <v>1.16974</v>
      </c>
      <c r="AD135">
        <f t="shared" si="16"/>
        <v>14.9292</v>
      </c>
      <c r="AE135">
        <f t="shared" si="17"/>
        <v>17.474628600000003</v>
      </c>
      <c r="AF135" s="9"/>
      <c r="AG135" s="22">
        <v>0.52947999999999995</v>
      </c>
      <c r="AH135" s="22">
        <v>178.67099999999999</v>
      </c>
      <c r="AI135" s="22">
        <v>-1.55792E-2</v>
      </c>
      <c r="AJ135" s="22">
        <v>125</v>
      </c>
      <c r="AK135" s="22">
        <v>0.52890000000000004</v>
      </c>
      <c r="AL135">
        <f t="shared" si="18"/>
        <v>15.5792</v>
      </c>
      <c r="AM135">
        <f t="shared" si="19"/>
        <v>8.2488748159999989</v>
      </c>
      <c r="AP135" s="9"/>
      <c r="AQ135" s="22">
        <v>1.1705000000000001</v>
      </c>
      <c r="AR135" s="22">
        <v>228.11699999999999</v>
      </c>
      <c r="AS135" s="22">
        <v>-1.47522E-2</v>
      </c>
      <c r="AT135" s="22">
        <v>125</v>
      </c>
      <c r="AU135" s="22">
        <v>1.16974</v>
      </c>
      <c r="AV135">
        <f t="shared" si="20"/>
        <v>14.7522</v>
      </c>
      <c r="AW135">
        <f t="shared" si="21"/>
        <v>17.267450100000001</v>
      </c>
      <c r="AX135" s="9"/>
      <c r="AY135" s="22">
        <v>0.52947999999999995</v>
      </c>
      <c r="AZ135" s="22">
        <v>262.45699999999999</v>
      </c>
      <c r="BA135" s="22">
        <v>-1.54083E-2</v>
      </c>
      <c r="BB135" s="22">
        <v>125</v>
      </c>
      <c r="BC135" s="22">
        <v>0.528748</v>
      </c>
      <c r="BD135">
        <f t="shared" si="22"/>
        <v>15.408300000000001</v>
      </c>
      <c r="BE135">
        <f t="shared" si="23"/>
        <v>8.1583866839999999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50.324100000000001</v>
      </c>
      <c r="I136" s="22">
        <v>-1.51611E-2</v>
      </c>
      <c r="J136" s="22">
        <v>126</v>
      </c>
      <c r="K136" s="22">
        <v>1.16455</v>
      </c>
      <c r="L136">
        <f t="shared" si="12"/>
        <v>15.161100000000001</v>
      </c>
      <c r="M136">
        <f t="shared" si="13"/>
        <v>17.669807217000002</v>
      </c>
      <c r="N136" s="9"/>
      <c r="O136" s="22">
        <v>0.53451499999999996</v>
      </c>
      <c r="P136" s="22">
        <v>99.750500000000002</v>
      </c>
      <c r="Q136" s="22">
        <v>-1.56189E-2</v>
      </c>
      <c r="R136" s="22">
        <v>126</v>
      </c>
      <c r="S136" s="22">
        <v>0.53390499999999996</v>
      </c>
      <c r="T136">
        <f t="shared" si="14"/>
        <v>15.6189</v>
      </c>
      <c r="U136">
        <f t="shared" si="15"/>
        <v>8.3485363335000002</v>
      </c>
      <c r="X136" s="9"/>
      <c r="Y136" s="22">
        <v>1.16547</v>
      </c>
      <c r="Z136" s="22">
        <v>129.208</v>
      </c>
      <c r="AA136" s="22">
        <v>-1.4947500000000001E-2</v>
      </c>
      <c r="AB136" s="22">
        <v>126</v>
      </c>
      <c r="AC136" s="22">
        <v>1.16394</v>
      </c>
      <c r="AD136">
        <f t="shared" si="16"/>
        <v>14.947500000000002</v>
      </c>
      <c r="AE136">
        <f t="shared" si="17"/>
        <v>17.420862825</v>
      </c>
      <c r="AF136" s="9"/>
      <c r="AG136" s="22">
        <v>0.53451499999999996</v>
      </c>
      <c r="AH136" s="22">
        <v>178.68100000000001</v>
      </c>
      <c r="AI136" s="22">
        <v>-1.55762E-2</v>
      </c>
      <c r="AJ136" s="22">
        <v>126</v>
      </c>
      <c r="AK136" s="22">
        <v>0.53381299999999998</v>
      </c>
      <c r="AL136">
        <f t="shared" si="18"/>
        <v>15.5762</v>
      </c>
      <c r="AM136">
        <f t="shared" si="19"/>
        <v>8.3257125429999999</v>
      </c>
      <c r="AP136" s="9"/>
      <c r="AQ136" s="22">
        <v>1.16547</v>
      </c>
      <c r="AR136" s="22">
        <v>228.12700000000001</v>
      </c>
      <c r="AS136" s="22">
        <v>-1.4761399999999999E-2</v>
      </c>
      <c r="AT136" s="22">
        <v>126</v>
      </c>
      <c r="AU136" s="22">
        <v>1.16455</v>
      </c>
      <c r="AV136">
        <f t="shared" si="20"/>
        <v>14.761399999999998</v>
      </c>
      <c r="AW136">
        <f t="shared" si="21"/>
        <v>17.203968858</v>
      </c>
      <c r="AX136" s="9"/>
      <c r="AY136" s="22">
        <v>0.53451499999999996</v>
      </c>
      <c r="AZ136" s="22">
        <v>262.46800000000002</v>
      </c>
      <c r="BA136" s="22">
        <v>-1.54022E-2</v>
      </c>
      <c r="BB136" s="22">
        <v>126</v>
      </c>
      <c r="BC136" s="22">
        <v>0.53381299999999998</v>
      </c>
      <c r="BD136">
        <f t="shared" si="22"/>
        <v>15.402199999999999</v>
      </c>
      <c r="BE136">
        <f t="shared" si="23"/>
        <v>8.2327069329999993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50.334200000000003</v>
      </c>
      <c r="I137" s="22">
        <v>-1.51764E-2</v>
      </c>
      <c r="J137" s="22">
        <v>127</v>
      </c>
      <c r="K137" s="22">
        <v>1.15906</v>
      </c>
      <c r="L137">
        <f t="shared" si="12"/>
        <v>15.176399999999999</v>
      </c>
      <c r="M137">
        <f t="shared" si="13"/>
        <v>17.611149852</v>
      </c>
      <c r="N137" s="9"/>
      <c r="O137" s="22">
        <v>0.539551</v>
      </c>
      <c r="P137" s="22">
        <v>99.760599999999997</v>
      </c>
      <c r="Q137" s="22">
        <v>-1.5615800000000001E-2</v>
      </c>
      <c r="R137" s="22">
        <v>127</v>
      </c>
      <c r="S137" s="22">
        <v>0.53881800000000002</v>
      </c>
      <c r="T137">
        <f t="shared" si="14"/>
        <v>15.6158</v>
      </c>
      <c r="U137">
        <f t="shared" si="15"/>
        <v>8.4255205057999998</v>
      </c>
      <c r="X137" s="9"/>
      <c r="Y137" s="22">
        <v>1.1604300000000001</v>
      </c>
      <c r="Z137" s="22">
        <v>129.21799999999999</v>
      </c>
      <c r="AA137" s="22">
        <v>-1.4978E-2</v>
      </c>
      <c r="AB137" s="22">
        <v>127</v>
      </c>
      <c r="AC137" s="22">
        <v>1.1599699999999999</v>
      </c>
      <c r="AD137">
        <f t="shared" si="16"/>
        <v>14.978</v>
      </c>
      <c r="AE137">
        <f t="shared" si="17"/>
        <v>17.380920540000002</v>
      </c>
      <c r="AF137" s="9"/>
      <c r="AG137" s="22">
        <v>0.539551</v>
      </c>
      <c r="AH137" s="22">
        <v>178.691</v>
      </c>
      <c r="AI137" s="22">
        <v>-1.5564E-2</v>
      </c>
      <c r="AJ137" s="22">
        <v>127</v>
      </c>
      <c r="AK137" s="22">
        <v>0.53884900000000002</v>
      </c>
      <c r="AL137">
        <f t="shared" si="18"/>
        <v>15.564</v>
      </c>
      <c r="AM137">
        <f t="shared" si="19"/>
        <v>8.3975717640000003</v>
      </c>
      <c r="AP137" s="9"/>
      <c r="AQ137" s="22">
        <v>1.1604300000000001</v>
      </c>
      <c r="AR137" s="22">
        <v>228.137</v>
      </c>
      <c r="AS137" s="22">
        <v>-1.47644E-2</v>
      </c>
      <c r="AT137" s="22">
        <v>127</v>
      </c>
      <c r="AU137" s="22">
        <v>1.1587499999999999</v>
      </c>
      <c r="AV137">
        <f t="shared" si="20"/>
        <v>14.7644</v>
      </c>
      <c r="AW137">
        <f t="shared" si="21"/>
        <v>17.133052692</v>
      </c>
      <c r="AX137" s="9"/>
      <c r="AY137" s="22">
        <v>0.539551</v>
      </c>
      <c r="AZ137" s="22">
        <v>262.47800000000001</v>
      </c>
      <c r="BA137" s="22">
        <v>-1.54022E-2</v>
      </c>
      <c r="BB137" s="22">
        <v>127</v>
      </c>
      <c r="BC137" s="22">
        <v>0.53884900000000002</v>
      </c>
      <c r="BD137">
        <f t="shared" si="22"/>
        <v>15.402199999999999</v>
      </c>
      <c r="BE137">
        <f t="shared" si="23"/>
        <v>8.3102724121999998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50.344200000000001</v>
      </c>
      <c r="I138" s="22">
        <v>-1.5185499999999999E-2</v>
      </c>
      <c r="J138" s="22">
        <v>128</v>
      </c>
      <c r="K138" s="22">
        <v>1.15448</v>
      </c>
      <c r="L138">
        <f t="shared" si="12"/>
        <v>15.185499999999999</v>
      </c>
      <c r="M138">
        <f t="shared" si="13"/>
        <v>17.5453267</v>
      </c>
      <c r="N138" s="9"/>
      <c r="O138" s="22">
        <v>0.54458600000000001</v>
      </c>
      <c r="P138" s="22">
        <v>99.770600000000002</v>
      </c>
      <c r="Q138" s="22">
        <v>-1.56128E-2</v>
      </c>
      <c r="R138" s="22">
        <v>128</v>
      </c>
      <c r="S138" s="22">
        <v>0.54382299999999995</v>
      </c>
      <c r="T138">
        <f t="shared" si="14"/>
        <v>15.6128</v>
      </c>
      <c r="U138">
        <f t="shared" si="15"/>
        <v>8.5025123007999994</v>
      </c>
      <c r="X138" s="9"/>
      <c r="Y138" s="22">
        <v>1.1554</v>
      </c>
      <c r="Z138" s="22">
        <v>129.22800000000001</v>
      </c>
      <c r="AA138" s="22">
        <v>-1.4993299999999999E-2</v>
      </c>
      <c r="AB138" s="22">
        <v>128</v>
      </c>
      <c r="AC138" s="22">
        <v>1.15448</v>
      </c>
      <c r="AD138">
        <f t="shared" si="16"/>
        <v>14.9933</v>
      </c>
      <c r="AE138">
        <f t="shared" si="17"/>
        <v>17.32325882</v>
      </c>
      <c r="AF138" s="9"/>
      <c r="AG138" s="22">
        <v>0.54458600000000001</v>
      </c>
      <c r="AH138" s="22">
        <v>178.70099999999999</v>
      </c>
      <c r="AI138" s="22">
        <v>-1.5551799999999999E-2</v>
      </c>
      <c r="AJ138" s="22">
        <v>128</v>
      </c>
      <c r="AK138" s="22">
        <v>0.54382299999999995</v>
      </c>
      <c r="AL138">
        <f t="shared" si="18"/>
        <v>15.5518</v>
      </c>
      <c r="AM138">
        <f t="shared" si="19"/>
        <v>8.4692925548000009</v>
      </c>
      <c r="AP138" s="9"/>
      <c r="AQ138" s="22">
        <v>1.1554</v>
      </c>
      <c r="AR138" s="22">
        <v>228.148</v>
      </c>
      <c r="AS138" s="22">
        <v>-1.4776600000000001E-2</v>
      </c>
      <c r="AT138" s="22">
        <v>128</v>
      </c>
      <c r="AU138" s="22">
        <v>1.15509</v>
      </c>
      <c r="AV138">
        <f t="shared" si="20"/>
        <v>14.7766</v>
      </c>
      <c r="AW138">
        <f t="shared" si="21"/>
        <v>17.072883640000001</v>
      </c>
      <c r="AX138" s="9"/>
      <c r="AY138" s="22">
        <v>0.54458600000000001</v>
      </c>
      <c r="AZ138" s="22">
        <v>262.488</v>
      </c>
      <c r="BA138" s="22">
        <v>-1.53931E-2</v>
      </c>
      <c r="BB138" s="22">
        <v>128</v>
      </c>
      <c r="BC138" s="22">
        <v>0.54397600000000002</v>
      </c>
      <c r="BD138">
        <f t="shared" si="22"/>
        <v>15.3931</v>
      </c>
      <c r="BE138">
        <f t="shared" si="23"/>
        <v>8.3828667566000004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50.354300000000002</v>
      </c>
      <c r="I139" s="22">
        <v>-1.5197799999999999E-2</v>
      </c>
      <c r="J139" s="22">
        <v>129</v>
      </c>
      <c r="K139" s="22">
        <v>1.1492899999999999</v>
      </c>
      <c r="L139">
        <f t="shared" si="12"/>
        <v>15.197799999999999</v>
      </c>
      <c r="M139">
        <f t="shared" si="13"/>
        <v>17.482941208</v>
      </c>
      <c r="N139" s="9"/>
      <c r="O139" s="22">
        <v>0.54962200000000005</v>
      </c>
      <c r="P139" s="22">
        <v>99.780699999999996</v>
      </c>
      <c r="Q139" s="22">
        <v>-1.56128E-2</v>
      </c>
      <c r="R139" s="22">
        <v>129</v>
      </c>
      <c r="S139" s="22">
        <v>0.54904200000000003</v>
      </c>
      <c r="T139">
        <f t="shared" si="14"/>
        <v>15.6128</v>
      </c>
      <c r="U139">
        <f t="shared" si="15"/>
        <v>8.5811383616000008</v>
      </c>
      <c r="X139" s="9"/>
      <c r="Y139" s="22">
        <v>1.15036</v>
      </c>
      <c r="Z139" s="22">
        <v>129.238</v>
      </c>
      <c r="AA139" s="22">
        <v>-1.4993299999999999E-2</v>
      </c>
      <c r="AB139" s="22">
        <v>129</v>
      </c>
      <c r="AC139" s="22">
        <v>1.14899</v>
      </c>
      <c r="AD139">
        <f t="shared" si="16"/>
        <v>14.9933</v>
      </c>
      <c r="AE139">
        <f t="shared" si="17"/>
        <v>17.247692588</v>
      </c>
      <c r="AF139" s="9"/>
      <c r="AG139" s="22">
        <v>0.54962200000000005</v>
      </c>
      <c r="AH139" s="22">
        <v>178.71100000000001</v>
      </c>
      <c r="AI139" s="22">
        <v>-1.55487E-2</v>
      </c>
      <c r="AJ139" s="22">
        <v>129</v>
      </c>
      <c r="AK139" s="22">
        <v>0.54891999999999996</v>
      </c>
      <c r="AL139">
        <f t="shared" si="18"/>
        <v>15.5487</v>
      </c>
      <c r="AM139">
        <f t="shared" si="19"/>
        <v>8.5459075914000007</v>
      </c>
      <c r="AP139" s="9"/>
      <c r="AQ139" s="22">
        <v>1.15036</v>
      </c>
      <c r="AR139" s="22">
        <v>228.15799999999999</v>
      </c>
      <c r="AS139" s="22">
        <v>-1.47858E-2</v>
      </c>
      <c r="AT139" s="22">
        <v>129</v>
      </c>
      <c r="AU139" s="22">
        <v>1.1496</v>
      </c>
      <c r="AV139">
        <f t="shared" si="20"/>
        <v>14.7858</v>
      </c>
      <c r="AW139">
        <f t="shared" si="21"/>
        <v>17.008992888000002</v>
      </c>
      <c r="AX139" s="9"/>
      <c r="AY139" s="22">
        <v>0.54962200000000005</v>
      </c>
      <c r="AZ139" s="22">
        <v>262.49799999999999</v>
      </c>
      <c r="BA139" s="22">
        <v>-1.5387E-2</v>
      </c>
      <c r="BB139" s="22">
        <v>129</v>
      </c>
      <c r="BC139" s="22">
        <v>0.54895000000000005</v>
      </c>
      <c r="BD139">
        <f t="shared" si="22"/>
        <v>15.387</v>
      </c>
      <c r="BE139">
        <f t="shared" si="23"/>
        <v>8.4570337140000014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50.364400000000003</v>
      </c>
      <c r="I140" s="22">
        <v>-1.5206900000000001E-2</v>
      </c>
      <c r="J140" s="22">
        <v>130</v>
      </c>
      <c r="K140" s="22">
        <v>1.1447099999999999</v>
      </c>
      <c r="L140">
        <f t="shared" ref="L140:L203" si="24">-I140/$F$2*1000</f>
        <v>15.206900000000001</v>
      </c>
      <c r="M140">
        <f t="shared" ref="M140:M203" si="25">L140*G140</f>
        <v>17.416766708000001</v>
      </c>
      <c r="N140" s="9"/>
      <c r="O140" s="22">
        <v>0.55465699999999996</v>
      </c>
      <c r="P140" s="22">
        <v>99.790800000000004</v>
      </c>
      <c r="Q140" s="22">
        <v>-1.5615800000000001E-2</v>
      </c>
      <c r="R140" s="22">
        <v>130</v>
      </c>
      <c r="S140" s="22">
        <v>0.553925</v>
      </c>
      <c r="T140">
        <f t="shared" ref="T140:T203" si="26">-Q140/$F$2*1000</f>
        <v>15.6158</v>
      </c>
      <c r="U140">
        <f t="shared" ref="U140:U203" si="27">T140*O140</f>
        <v>8.6614127805999992</v>
      </c>
      <c r="X140" s="9"/>
      <c r="Y140" s="22">
        <v>1.1453199999999999</v>
      </c>
      <c r="Z140" s="22">
        <v>129.24799999999999</v>
      </c>
      <c r="AA140" s="22">
        <v>-1.4996300000000001E-2</v>
      </c>
      <c r="AB140" s="22">
        <v>130</v>
      </c>
      <c r="AC140" s="22">
        <v>1.1444099999999999</v>
      </c>
      <c r="AD140">
        <f t="shared" ref="AD140:AD203" si="28">-AA140/$F$2*1000</f>
        <v>14.9963</v>
      </c>
      <c r="AE140">
        <f t="shared" ref="AE140:AE203" si="29">AD140*Y140</f>
        <v>17.175562315999997</v>
      </c>
      <c r="AF140" s="9"/>
      <c r="AG140" s="22">
        <v>0.55465699999999996</v>
      </c>
      <c r="AH140" s="22">
        <v>178.721</v>
      </c>
      <c r="AI140" s="22">
        <v>-1.55365E-2</v>
      </c>
      <c r="AJ140" s="22">
        <v>130</v>
      </c>
      <c r="AK140" s="22">
        <v>0.55398599999999998</v>
      </c>
      <c r="AL140">
        <f t="shared" ref="AL140:AL203" si="30">-AI140/$F$2*1000</f>
        <v>15.5365</v>
      </c>
      <c r="AM140">
        <f t="shared" ref="AM140:AM203" si="31">AL140*AG140</f>
        <v>8.6174284804999992</v>
      </c>
      <c r="AP140" s="9"/>
      <c r="AQ140" s="22">
        <v>1.1453199999999999</v>
      </c>
      <c r="AR140" s="22">
        <v>228.16800000000001</v>
      </c>
      <c r="AS140" s="22">
        <v>-1.47919E-2</v>
      </c>
      <c r="AT140" s="22">
        <v>130</v>
      </c>
      <c r="AU140" s="22">
        <v>1.1447099999999999</v>
      </c>
      <c r="AV140">
        <f t="shared" ref="AV140:AV203" si="32">-AS140/$F$2*1000</f>
        <v>14.7919</v>
      </c>
      <c r="AW140">
        <f t="shared" ref="AW140:AW203" si="33">AV140*AQ140</f>
        <v>16.941458907999998</v>
      </c>
      <c r="AX140" s="9"/>
      <c r="AY140" s="22">
        <v>0.55465699999999996</v>
      </c>
      <c r="AZ140" s="22">
        <v>262.50799999999998</v>
      </c>
      <c r="BA140" s="22">
        <v>-1.5374799999999999E-2</v>
      </c>
      <c r="BB140" s="22">
        <v>130</v>
      </c>
      <c r="BC140" s="22">
        <v>0.55398599999999998</v>
      </c>
      <c r="BD140">
        <f t="shared" ref="BD140:BD203" si="34">-BA140/$F$2*1000</f>
        <v>15.374799999999999</v>
      </c>
      <c r="BE140">
        <f t="shared" ref="BE140:BE203" si="35">BD140*AY140</f>
        <v>8.5277404435999991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50.374400000000001</v>
      </c>
      <c r="I141" s="22">
        <v>-1.5213000000000001E-2</v>
      </c>
      <c r="J141" s="22">
        <v>131</v>
      </c>
      <c r="K141" s="22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2">
        <v>0.55969199999999997</v>
      </c>
      <c r="P141" s="22">
        <v>99.800899999999999</v>
      </c>
      <c r="Q141" s="22">
        <v>-1.56128E-2</v>
      </c>
      <c r="R141" s="22">
        <v>131</v>
      </c>
      <c r="S141" s="22">
        <v>0.55896000000000001</v>
      </c>
      <c r="T141">
        <f t="shared" si="26"/>
        <v>15.6128</v>
      </c>
      <c r="U141">
        <f t="shared" si="27"/>
        <v>8.7383592575999991</v>
      </c>
      <c r="X141" s="9"/>
      <c r="Y141" s="22">
        <v>1.14029</v>
      </c>
      <c r="Z141" s="22">
        <v>129.25800000000001</v>
      </c>
      <c r="AA141" s="22">
        <v>-1.49994E-2</v>
      </c>
      <c r="AB141" s="22">
        <v>131</v>
      </c>
      <c r="AC141" s="22">
        <v>1.1395299999999999</v>
      </c>
      <c r="AD141">
        <f t="shared" si="28"/>
        <v>14.9994</v>
      </c>
      <c r="AE141">
        <f t="shared" si="29"/>
        <v>17.103665826</v>
      </c>
      <c r="AF141" s="9"/>
      <c r="AG141" s="22">
        <v>0.55969199999999997</v>
      </c>
      <c r="AH141" s="22">
        <v>178.73099999999999</v>
      </c>
      <c r="AI141" s="22">
        <v>-1.5527300000000001E-2</v>
      </c>
      <c r="AJ141" s="22">
        <v>131</v>
      </c>
      <c r="AK141" s="22">
        <v>0.55902099999999999</v>
      </c>
      <c r="AL141">
        <f t="shared" si="30"/>
        <v>15.5273</v>
      </c>
      <c r="AM141">
        <f t="shared" si="31"/>
        <v>8.6905055915999991</v>
      </c>
      <c r="AP141" s="9"/>
      <c r="AQ141" s="22">
        <v>1.14029</v>
      </c>
      <c r="AR141" s="22">
        <v>228.178</v>
      </c>
      <c r="AS141" s="22">
        <v>-1.47949E-2</v>
      </c>
      <c r="AT141" s="22">
        <v>131</v>
      </c>
      <c r="AU141" s="22">
        <v>1.1392199999999999</v>
      </c>
      <c r="AV141">
        <f t="shared" si="32"/>
        <v>14.7949</v>
      </c>
      <c r="AW141">
        <f t="shared" si="33"/>
        <v>16.870476521000001</v>
      </c>
      <c r="AX141" s="9"/>
      <c r="AY141" s="22">
        <v>0.55969199999999997</v>
      </c>
      <c r="AZ141" s="22">
        <v>262.51799999999997</v>
      </c>
      <c r="BA141" s="22">
        <v>-1.5374799999999999E-2</v>
      </c>
      <c r="BB141" s="22">
        <v>131</v>
      </c>
      <c r="BC141" s="22">
        <v>0.55911299999999997</v>
      </c>
      <c r="BD141">
        <f t="shared" si="34"/>
        <v>15.374799999999999</v>
      </c>
      <c r="BE141">
        <f t="shared" si="35"/>
        <v>8.6051525615999989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50.384500000000003</v>
      </c>
      <c r="I142" s="22">
        <v>-1.5213000000000001E-2</v>
      </c>
      <c r="J142" s="22">
        <v>132</v>
      </c>
      <c r="K142" s="22">
        <v>1.1343399999999999</v>
      </c>
      <c r="L142">
        <f t="shared" si="24"/>
        <v>15.213000000000001</v>
      </c>
      <c r="M142">
        <f t="shared" si="25"/>
        <v>17.270558250000004</v>
      </c>
      <c r="N142" s="9"/>
      <c r="O142" s="22">
        <v>0.56472800000000001</v>
      </c>
      <c r="P142" s="22">
        <v>99.810900000000004</v>
      </c>
      <c r="Q142" s="22">
        <v>-1.5609700000000001E-2</v>
      </c>
      <c r="R142" s="22">
        <v>132</v>
      </c>
      <c r="S142" s="22">
        <v>0.56393400000000005</v>
      </c>
      <c r="T142">
        <f t="shared" si="26"/>
        <v>15.6097</v>
      </c>
      <c r="U142">
        <f t="shared" si="27"/>
        <v>8.8152346615999999</v>
      </c>
      <c r="X142" s="9"/>
      <c r="Y142" s="22">
        <v>1.1352500000000001</v>
      </c>
      <c r="Z142" s="22">
        <v>129.268</v>
      </c>
      <c r="AA142" s="22">
        <v>-1.50055E-2</v>
      </c>
      <c r="AB142" s="22">
        <v>132</v>
      </c>
      <c r="AC142" s="22">
        <v>1.1340300000000001</v>
      </c>
      <c r="AD142">
        <f t="shared" si="28"/>
        <v>15.0055</v>
      </c>
      <c r="AE142">
        <f t="shared" si="29"/>
        <v>17.034993875000001</v>
      </c>
      <c r="AF142" s="9"/>
      <c r="AG142" s="22">
        <v>0.56472800000000001</v>
      </c>
      <c r="AH142" s="22">
        <v>178.74100000000001</v>
      </c>
      <c r="AI142" s="22">
        <v>-1.55151E-2</v>
      </c>
      <c r="AJ142" s="22">
        <v>132</v>
      </c>
      <c r="AK142" s="22">
        <v>0.564056</v>
      </c>
      <c r="AL142">
        <f t="shared" si="30"/>
        <v>15.5151</v>
      </c>
      <c r="AM142">
        <f t="shared" si="31"/>
        <v>8.7618113928000003</v>
      </c>
      <c r="AP142" s="9"/>
      <c r="AQ142" s="22">
        <v>1.1352500000000001</v>
      </c>
      <c r="AR142" s="22">
        <v>228.18799999999999</v>
      </c>
      <c r="AS142" s="22">
        <v>-1.4801E-2</v>
      </c>
      <c r="AT142" s="22">
        <v>132</v>
      </c>
      <c r="AU142" s="22">
        <v>1.1346400000000001</v>
      </c>
      <c r="AV142">
        <f t="shared" si="32"/>
        <v>14.801</v>
      </c>
      <c r="AW142">
        <f t="shared" si="33"/>
        <v>16.802835250000001</v>
      </c>
      <c r="AX142" s="9"/>
      <c r="AY142" s="22">
        <v>0.56472800000000001</v>
      </c>
      <c r="AZ142" s="22">
        <v>262.52800000000002</v>
      </c>
      <c r="BA142" s="22">
        <v>-1.5368700000000001E-2</v>
      </c>
      <c r="BB142" s="22">
        <v>132</v>
      </c>
      <c r="BC142" s="22">
        <v>0.564056</v>
      </c>
      <c r="BD142">
        <f t="shared" si="34"/>
        <v>15.3687</v>
      </c>
      <c r="BE142">
        <f t="shared" si="35"/>
        <v>8.6791352136000004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50.394599999999997</v>
      </c>
      <c r="I143" s="22">
        <v>-1.5219099999999999E-2</v>
      </c>
      <c r="J143" s="22">
        <v>133</v>
      </c>
      <c r="K143" s="22">
        <v>1.1288499999999999</v>
      </c>
      <c r="L143">
        <f t="shared" si="24"/>
        <v>15.219099999999999</v>
      </c>
      <c r="M143">
        <f t="shared" si="25"/>
        <v>17.200931202</v>
      </c>
      <c r="N143" s="9"/>
      <c r="O143" s="22">
        <v>0.56976300000000002</v>
      </c>
      <c r="P143" s="22">
        <v>99.820999999999998</v>
      </c>
      <c r="Q143" s="22">
        <v>-1.5609700000000001E-2</v>
      </c>
      <c r="R143" s="22">
        <v>133</v>
      </c>
      <c r="S143" s="22">
        <v>0.56909200000000004</v>
      </c>
      <c r="T143">
        <f t="shared" si="26"/>
        <v>15.6097</v>
      </c>
      <c r="U143">
        <f t="shared" si="27"/>
        <v>8.8938295011000008</v>
      </c>
      <c r="X143" s="9"/>
      <c r="Y143" s="22">
        <v>1.13022</v>
      </c>
      <c r="Z143" s="22">
        <v>129.27799999999999</v>
      </c>
      <c r="AA143" s="22">
        <v>-1.5026899999999999E-2</v>
      </c>
      <c r="AB143" s="22">
        <v>133</v>
      </c>
      <c r="AC143" s="22">
        <v>1.1291500000000001</v>
      </c>
      <c r="AD143">
        <f t="shared" si="28"/>
        <v>15.026899999999999</v>
      </c>
      <c r="AE143">
        <f t="shared" si="29"/>
        <v>16.983702917999999</v>
      </c>
      <c r="AF143" s="9"/>
      <c r="AG143" s="22">
        <v>0.56976300000000002</v>
      </c>
      <c r="AH143" s="22">
        <v>178.751</v>
      </c>
      <c r="AI143" s="22">
        <v>-1.55151E-2</v>
      </c>
      <c r="AJ143" s="22">
        <v>133</v>
      </c>
      <c r="AK143" s="22">
        <v>0.56903099999999995</v>
      </c>
      <c r="AL143">
        <f t="shared" si="30"/>
        <v>15.5151</v>
      </c>
      <c r="AM143">
        <f t="shared" si="31"/>
        <v>8.8399299213000013</v>
      </c>
      <c r="AP143" s="9"/>
      <c r="AQ143" s="22">
        <v>1.13022</v>
      </c>
      <c r="AR143" s="22">
        <v>228.19800000000001</v>
      </c>
      <c r="AS143" s="22">
        <v>-1.48132E-2</v>
      </c>
      <c r="AT143" s="22">
        <v>133</v>
      </c>
      <c r="AU143" s="22">
        <v>1.1291500000000001</v>
      </c>
      <c r="AV143">
        <f t="shared" si="32"/>
        <v>14.8132</v>
      </c>
      <c r="AW143">
        <f t="shared" si="33"/>
        <v>16.742174903999999</v>
      </c>
      <c r="AX143" s="9"/>
      <c r="AY143" s="22">
        <v>0.56976300000000002</v>
      </c>
      <c r="AZ143" s="22">
        <v>262.53800000000001</v>
      </c>
      <c r="BA143" s="22">
        <v>-1.5362499999999999E-2</v>
      </c>
      <c r="BB143" s="22">
        <v>133</v>
      </c>
      <c r="BC143" s="22">
        <v>0.56912200000000002</v>
      </c>
      <c r="BD143">
        <f t="shared" si="34"/>
        <v>15.362499999999999</v>
      </c>
      <c r="BE143">
        <f t="shared" si="35"/>
        <v>8.7529840874999998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50.404699999999998</v>
      </c>
      <c r="I144" s="22">
        <v>-1.5219099999999999E-2</v>
      </c>
      <c r="J144" s="22">
        <v>134</v>
      </c>
      <c r="K144" s="22">
        <v>1.1242700000000001</v>
      </c>
      <c r="L144">
        <f t="shared" si="24"/>
        <v>15.219099999999999</v>
      </c>
      <c r="M144">
        <f t="shared" si="25"/>
        <v>17.124226938</v>
      </c>
      <c r="N144" s="9"/>
      <c r="O144" s="22">
        <v>0.57479899999999995</v>
      </c>
      <c r="P144" s="22">
        <v>99.831100000000006</v>
      </c>
      <c r="Q144" s="22">
        <v>-1.5606699999999999E-2</v>
      </c>
      <c r="R144" s="22">
        <v>134</v>
      </c>
      <c r="S144" s="22">
        <v>0.57409699999999997</v>
      </c>
      <c r="T144">
        <f t="shared" si="26"/>
        <v>15.6067</v>
      </c>
      <c r="U144">
        <f t="shared" si="27"/>
        <v>8.9707155532999998</v>
      </c>
      <c r="X144" s="9"/>
      <c r="Y144" s="22">
        <v>1.1251800000000001</v>
      </c>
      <c r="Z144" s="22">
        <v>129.28800000000001</v>
      </c>
      <c r="AA144" s="22">
        <v>-1.5032999999999999E-2</v>
      </c>
      <c r="AB144" s="22">
        <v>134</v>
      </c>
      <c r="AC144" s="22">
        <v>1.1245700000000001</v>
      </c>
      <c r="AD144">
        <f t="shared" si="28"/>
        <v>15.032999999999999</v>
      </c>
      <c r="AE144">
        <f t="shared" si="29"/>
        <v>16.914830940000002</v>
      </c>
      <c r="AF144" s="9"/>
      <c r="AG144" s="22">
        <v>0.57479899999999995</v>
      </c>
      <c r="AH144" s="22">
        <v>178.762</v>
      </c>
      <c r="AI144" s="22">
        <v>-1.55151E-2</v>
      </c>
      <c r="AJ144" s="22">
        <v>134</v>
      </c>
      <c r="AK144" s="22">
        <v>0.57403599999999999</v>
      </c>
      <c r="AL144">
        <f t="shared" si="30"/>
        <v>15.5151</v>
      </c>
      <c r="AM144">
        <f t="shared" si="31"/>
        <v>8.9180639649</v>
      </c>
      <c r="AP144" s="9"/>
      <c r="AQ144" s="22">
        <v>1.1251800000000001</v>
      </c>
      <c r="AR144" s="22">
        <v>228.208</v>
      </c>
      <c r="AS144" s="22">
        <v>-1.4825400000000001E-2</v>
      </c>
      <c r="AT144" s="22">
        <v>134</v>
      </c>
      <c r="AU144" s="22">
        <v>1.1242700000000001</v>
      </c>
      <c r="AV144">
        <f t="shared" si="32"/>
        <v>14.8254</v>
      </c>
      <c r="AW144">
        <f t="shared" si="33"/>
        <v>16.681243572</v>
      </c>
      <c r="AX144" s="9"/>
      <c r="AY144" s="22">
        <v>0.57479899999999995</v>
      </c>
      <c r="AZ144" s="22">
        <v>262.548</v>
      </c>
      <c r="BA144" s="22">
        <v>-1.53534E-2</v>
      </c>
      <c r="BB144" s="22">
        <v>134</v>
      </c>
      <c r="BC144" s="22">
        <v>0.57400499999999999</v>
      </c>
      <c r="BD144">
        <f t="shared" si="34"/>
        <v>15.353399999999999</v>
      </c>
      <c r="BE144">
        <f t="shared" si="35"/>
        <v>8.8251189665999981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50.414700000000003</v>
      </c>
      <c r="I145" s="22">
        <v>-1.52222E-2</v>
      </c>
      <c r="J145" s="22">
        <v>135</v>
      </c>
      <c r="K145" s="22">
        <v>1.1190800000000001</v>
      </c>
      <c r="L145">
        <f t="shared" si="24"/>
        <v>15.222200000000001</v>
      </c>
      <c r="M145">
        <f t="shared" si="25"/>
        <v>17.051147329999999</v>
      </c>
      <c r="N145" s="9"/>
      <c r="O145" s="22">
        <v>0.57983399999999996</v>
      </c>
      <c r="P145" s="22">
        <v>99.841099999999997</v>
      </c>
      <c r="Q145" s="22">
        <v>-1.5609700000000001E-2</v>
      </c>
      <c r="R145" s="22">
        <v>135</v>
      </c>
      <c r="S145" s="22">
        <v>0.57916299999999998</v>
      </c>
      <c r="T145">
        <f t="shared" si="26"/>
        <v>15.6097</v>
      </c>
      <c r="U145">
        <f t="shared" si="27"/>
        <v>9.0510347897999992</v>
      </c>
      <c r="X145" s="9"/>
      <c r="Y145" s="22">
        <v>1.12015</v>
      </c>
      <c r="Z145" s="22">
        <v>129.298</v>
      </c>
      <c r="AA145" s="22">
        <v>-1.50452E-2</v>
      </c>
      <c r="AB145" s="22">
        <v>135</v>
      </c>
      <c r="AC145" s="22">
        <v>1.1190800000000001</v>
      </c>
      <c r="AD145">
        <f t="shared" si="28"/>
        <v>15.045199999999999</v>
      </c>
      <c r="AE145">
        <f t="shared" si="29"/>
        <v>16.85288078</v>
      </c>
      <c r="AF145" s="9"/>
      <c r="AG145" s="22">
        <v>0.57983399999999996</v>
      </c>
      <c r="AH145" s="22">
        <v>178.77199999999999</v>
      </c>
      <c r="AI145" s="22">
        <v>-1.55151E-2</v>
      </c>
      <c r="AJ145" s="22">
        <v>135</v>
      </c>
      <c r="AK145" s="22">
        <v>0.57919299999999996</v>
      </c>
      <c r="AL145">
        <f t="shared" si="30"/>
        <v>15.5151</v>
      </c>
      <c r="AM145">
        <f t="shared" si="31"/>
        <v>8.9961824933999992</v>
      </c>
      <c r="AP145" s="9"/>
      <c r="AQ145" s="22">
        <v>1.12015</v>
      </c>
      <c r="AR145" s="22">
        <v>228.21799999999999</v>
      </c>
      <c r="AS145" s="22">
        <v>-1.48346E-2</v>
      </c>
      <c r="AT145" s="22">
        <v>135</v>
      </c>
      <c r="AU145" s="22">
        <v>1.1190800000000001</v>
      </c>
      <c r="AV145">
        <f t="shared" si="32"/>
        <v>14.8346</v>
      </c>
      <c r="AW145">
        <f t="shared" si="33"/>
        <v>16.61697719</v>
      </c>
      <c r="AX145" s="9"/>
      <c r="AY145" s="22">
        <v>0.57983399999999996</v>
      </c>
      <c r="AZ145" s="22">
        <v>262.55799999999999</v>
      </c>
      <c r="BA145" s="22">
        <v>-1.5347299999999999E-2</v>
      </c>
      <c r="BB145" s="22">
        <v>135</v>
      </c>
      <c r="BC145" s="22">
        <v>0.57919299999999996</v>
      </c>
      <c r="BD145">
        <f t="shared" si="34"/>
        <v>15.347299999999999</v>
      </c>
      <c r="BE145">
        <f t="shared" si="35"/>
        <v>8.8988863481999996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50.424799999999998</v>
      </c>
      <c r="I146" s="22">
        <v>-1.52313E-2</v>
      </c>
      <c r="J146" s="22">
        <v>136</v>
      </c>
      <c r="K146" s="22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2">
        <v>0.58486899999999997</v>
      </c>
      <c r="P146" s="22">
        <v>99.851200000000006</v>
      </c>
      <c r="Q146" s="22">
        <v>-1.5609700000000001E-2</v>
      </c>
      <c r="R146" s="22">
        <v>136</v>
      </c>
      <c r="S146" s="22">
        <v>0.58416699999999999</v>
      </c>
      <c r="T146">
        <f t="shared" si="26"/>
        <v>15.6097</v>
      </c>
      <c r="U146">
        <f t="shared" si="27"/>
        <v>9.1296296293000001</v>
      </c>
      <c r="X146" s="9"/>
      <c r="Y146" s="22">
        <v>1.11511</v>
      </c>
      <c r="Z146" s="22">
        <v>129.30799999999999</v>
      </c>
      <c r="AA146" s="22">
        <v>-1.50543E-2</v>
      </c>
      <c r="AB146" s="22">
        <v>136</v>
      </c>
      <c r="AC146" s="22">
        <v>1.1145</v>
      </c>
      <c r="AD146">
        <f t="shared" si="28"/>
        <v>15.0543</v>
      </c>
      <c r="AE146">
        <f t="shared" si="29"/>
        <v>16.787200472999999</v>
      </c>
      <c r="AF146" s="9"/>
      <c r="AG146" s="22">
        <v>0.58486899999999997</v>
      </c>
      <c r="AH146" s="22">
        <v>178.78200000000001</v>
      </c>
      <c r="AI146" s="22">
        <v>-1.55151E-2</v>
      </c>
      <c r="AJ146" s="22">
        <v>136</v>
      </c>
      <c r="AK146" s="22">
        <v>0.58416699999999999</v>
      </c>
      <c r="AL146">
        <f t="shared" si="30"/>
        <v>15.5151</v>
      </c>
      <c r="AM146">
        <f t="shared" si="31"/>
        <v>9.0743010219000002</v>
      </c>
      <c r="AP146" s="9"/>
      <c r="AQ146" s="22">
        <v>1.11511</v>
      </c>
      <c r="AR146" s="22">
        <v>228.22800000000001</v>
      </c>
      <c r="AS146" s="22">
        <v>-1.4849899999999999E-2</v>
      </c>
      <c r="AT146" s="22">
        <v>136</v>
      </c>
      <c r="AU146" s="22">
        <v>1.11389</v>
      </c>
      <c r="AV146">
        <f t="shared" si="32"/>
        <v>14.8499</v>
      </c>
      <c r="AW146">
        <f t="shared" si="33"/>
        <v>16.559271988999999</v>
      </c>
      <c r="AX146" s="9"/>
      <c r="AY146" s="22">
        <v>0.58486899999999997</v>
      </c>
      <c r="AZ146" s="22">
        <v>262.56799999999998</v>
      </c>
      <c r="BA146" s="22">
        <v>-1.5335100000000001E-2</v>
      </c>
      <c r="BB146" s="22">
        <v>136</v>
      </c>
      <c r="BC146" s="22">
        <v>0.58413700000000002</v>
      </c>
      <c r="BD146">
        <f t="shared" si="34"/>
        <v>15.335100000000001</v>
      </c>
      <c r="BE146">
        <f t="shared" si="35"/>
        <v>8.9690246018999993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50.434899999999999</v>
      </c>
      <c r="I147" s="22">
        <v>-1.52344E-2</v>
      </c>
      <c r="J147" s="22">
        <v>137</v>
      </c>
      <c r="K147" s="22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2">
        <v>0.58990500000000001</v>
      </c>
      <c r="P147" s="22">
        <v>99.8613</v>
      </c>
      <c r="Q147" s="22">
        <v>-1.56128E-2</v>
      </c>
      <c r="R147" s="22">
        <v>137</v>
      </c>
      <c r="S147" s="22">
        <v>0.58917200000000003</v>
      </c>
      <c r="T147">
        <f t="shared" si="26"/>
        <v>15.6128</v>
      </c>
      <c r="U147">
        <f t="shared" si="27"/>
        <v>9.2100687840000006</v>
      </c>
      <c r="X147" s="9"/>
      <c r="Y147" s="22">
        <v>1.11008</v>
      </c>
      <c r="Z147" s="22">
        <v>129.31800000000001</v>
      </c>
      <c r="AA147" s="22">
        <v>-1.5063500000000001E-2</v>
      </c>
      <c r="AB147" s="22">
        <v>137</v>
      </c>
      <c r="AC147" s="22">
        <v>1.10931</v>
      </c>
      <c r="AD147">
        <f t="shared" si="28"/>
        <v>15.063500000000001</v>
      </c>
      <c r="AE147">
        <f t="shared" si="29"/>
        <v>16.721690080000002</v>
      </c>
      <c r="AF147" s="9"/>
      <c r="AG147" s="22">
        <v>0.58990500000000001</v>
      </c>
      <c r="AH147" s="22">
        <v>178.792</v>
      </c>
      <c r="AI147" s="22">
        <v>-1.5509E-2</v>
      </c>
      <c r="AJ147" s="22">
        <v>137</v>
      </c>
      <c r="AK147" s="22">
        <v>0.58920300000000003</v>
      </c>
      <c r="AL147">
        <f t="shared" si="30"/>
        <v>15.509</v>
      </c>
      <c r="AM147">
        <f t="shared" si="31"/>
        <v>9.1488366450000012</v>
      </c>
      <c r="AP147" s="9"/>
      <c r="AQ147" s="22">
        <v>1.11008</v>
      </c>
      <c r="AR147" s="22">
        <v>228.238</v>
      </c>
      <c r="AS147" s="22">
        <v>-1.4855999999999999E-2</v>
      </c>
      <c r="AT147" s="22">
        <v>137</v>
      </c>
      <c r="AU147" s="22">
        <v>1.1090100000000001</v>
      </c>
      <c r="AV147">
        <f t="shared" si="32"/>
        <v>14.856</v>
      </c>
      <c r="AW147">
        <f t="shared" si="33"/>
        <v>16.491348479999999</v>
      </c>
      <c r="AX147" s="9"/>
      <c r="AY147" s="22">
        <v>0.58990500000000001</v>
      </c>
      <c r="AZ147" s="22">
        <v>262.57799999999997</v>
      </c>
      <c r="BA147" s="22">
        <v>-1.53259E-2</v>
      </c>
      <c r="BB147" s="22">
        <v>137</v>
      </c>
      <c r="BC147" s="22">
        <v>0.58929399999999998</v>
      </c>
      <c r="BD147">
        <f t="shared" si="34"/>
        <v>15.325900000000001</v>
      </c>
      <c r="BE147">
        <f t="shared" si="35"/>
        <v>9.0408250395000014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50.444899999999997</v>
      </c>
      <c r="I148" s="22">
        <v>-1.5246600000000001E-2</v>
      </c>
      <c r="J148" s="22">
        <v>138</v>
      </c>
      <c r="K148" s="22">
        <v>1.10443</v>
      </c>
      <c r="L148">
        <f t="shared" si="24"/>
        <v>15.246600000000001</v>
      </c>
      <c r="M148">
        <f t="shared" si="25"/>
        <v>16.848102864000001</v>
      </c>
      <c r="N148" s="9"/>
      <c r="O148" s="22">
        <v>0.59494000000000002</v>
      </c>
      <c r="P148" s="22">
        <v>99.871399999999994</v>
      </c>
      <c r="Q148" s="22">
        <v>-1.5606699999999999E-2</v>
      </c>
      <c r="R148" s="22">
        <v>138</v>
      </c>
      <c r="S148" s="22">
        <v>0.59429900000000002</v>
      </c>
      <c r="T148">
        <f t="shared" si="26"/>
        <v>15.6067</v>
      </c>
      <c r="U148">
        <f t="shared" si="27"/>
        <v>9.285050098000001</v>
      </c>
      <c r="X148" s="9"/>
      <c r="Y148" s="22">
        <v>1.10504</v>
      </c>
      <c r="Z148" s="22">
        <v>129.328</v>
      </c>
      <c r="AA148" s="22">
        <v>-1.5081799999999999E-2</v>
      </c>
      <c r="AB148" s="22">
        <v>138</v>
      </c>
      <c r="AC148" s="22">
        <v>1.1041300000000001</v>
      </c>
      <c r="AD148">
        <f t="shared" si="28"/>
        <v>15.081799999999999</v>
      </c>
      <c r="AE148">
        <f t="shared" si="29"/>
        <v>16.665992272</v>
      </c>
      <c r="AF148" s="9"/>
      <c r="AG148" s="22">
        <v>0.59494000000000002</v>
      </c>
      <c r="AH148" s="22">
        <v>178.80199999999999</v>
      </c>
      <c r="AI148" s="22">
        <v>-1.54999E-2</v>
      </c>
      <c r="AJ148" s="22">
        <v>138</v>
      </c>
      <c r="AK148" s="22">
        <v>0.59426900000000005</v>
      </c>
      <c r="AL148">
        <f t="shared" si="30"/>
        <v>15.4999</v>
      </c>
      <c r="AM148">
        <f t="shared" si="31"/>
        <v>9.2215105060000013</v>
      </c>
      <c r="AP148" s="9"/>
      <c r="AQ148" s="22">
        <v>1.10504</v>
      </c>
      <c r="AR148" s="22">
        <v>228.24799999999999</v>
      </c>
      <c r="AS148" s="22">
        <v>-1.4865099999999999E-2</v>
      </c>
      <c r="AT148" s="22">
        <v>138</v>
      </c>
      <c r="AU148" s="22">
        <v>1.1041300000000001</v>
      </c>
      <c r="AV148">
        <f t="shared" si="32"/>
        <v>14.8651</v>
      </c>
      <c r="AW148">
        <f t="shared" si="33"/>
        <v>16.426530104000001</v>
      </c>
      <c r="AX148" s="9"/>
      <c r="AY148" s="22">
        <v>0.59494000000000002</v>
      </c>
      <c r="AZ148" s="22">
        <v>262.58800000000002</v>
      </c>
      <c r="BA148" s="22">
        <v>-1.53259E-2</v>
      </c>
      <c r="BB148" s="22">
        <v>138</v>
      </c>
      <c r="BC148" s="22">
        <v>0.59426900000000005</v>
      </c>
      <c r="BD148">
        <f t="shared" si="34"/>
        <v>15.325900000000001</v>
      </c>
      <c r="BE148">
        <f t="shared" si="35"/>
        <v>9.1179909460000008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50.454999999999998</v>
      </c>
      <c r="I149" s="22">
        <v>-1.5255700000000001E-2</v>
      </c>
      <c r="J149" s="22">
        <v>139</v>
      </c>
      <c r="K149" s="22">
        <v>1.09894</v>
      </c>
      <c r="L149">
        <f t="shared" si="24"/>
        <v>15.255700000000001</v>
      </c>
      <c r="M149">
        <f t="shared" si="25"/>
        <v>16.781422556999999</v>
      </c>
      <c r="N149" s="9"/>
      <c r="O149" s="22">
        <v>0.59997599999999995</v>
      </c>
      <c r="P149" s="22">
        <v>99.881399999999999</v>
      </c>
      <c r="Q149" s="22">
        <v>-1.56036E-2</v>
      </c>
      <c r="R149" s="22">
        <v>139</v>
      </c>
      <c r="S149" s="22">
        <v>0.59942600000000001</v>
      </c>
      <c r="T149">
        <f t="shared" si="26"/>
        <v>15.6036</v>
      </c>
      <c r="U149">
        <f t="shared" si="27"/>
        <v>9.3617855135999992</v>
      </c>
      <c r="X149" s="9"/>
      <c r="Y149" s="22">
        <v>1.1000099999999999</v>
      </c>
      <c r="Z149" s="22">
        <v>129.33799999999999</v>
      </c>
      <c r="AA149" s="22">
        <v>-1.50879E-2</v>
      </c>
      <c r="AB149" s="22">
        <v>139</v>
      </c>
      <c r="AC149" s="22">
        <v>1.09924</v>
      </c>
      <c r="AD149">
        <f t="shared" si="28"/>
        <v>15.087899999999999</v>
      </c>
      <c r="AE149">
        <f t="shared" si="29"/>
        <v>16.596840878999998</v>
      </c>
      <c r="AF149" s="9"/>
      <c r="AG149" s="22">
        <v>0.59997599999999995</v>
      </c>
      <c r="AH149" s="22">
        <v>178.81200000000001</v>
      </c>
      <c r="AI149" s="22">
        <v>-1.54968E-2</v>
      </c>
      <c r="AJ149" s="22">
        <v>139</v>
      </c>
      <c r="AK149" s="22">
        <v>0.59930399999999995</v>
      </c>
      <c r="AL149">
        <f t="shared" si="30"/>
        <v>15.4968</v>
      </c>
      <c r="AM149">
        <f t="shared" si="31"/>
        <v>9.2977080767999993</v>
      </c>
      <c r="AP149" s="9"/>
      <c r="AQ149" s="22">
        <v>1.1000099999999999</v>
      </c>
      <c r="AR149" s="22">
        <v>228.25800000000001</v>
      </c>
      <c r="AS149" s="22">
        <v>-1.48773E-2</v>
      </c>
      <c r="AT149" s="22">
        <v>139</v>
      </c>
      <c r="AU149" s="22">
        <v>1.09894</v>
      </c>
      <c r="AV149">
        <f t="shared" si="32"/>
        <v>14.8773</v>
      </c>
      <c r="AW149">
        <f t="shared" si="33"/>
        <v>16.365178773</v>
      </c>
      <c r="AX149" s="9"/>
      <c r="AY149" s="22">
        <v>0.59997599999999995</v>
      </c>
      <c r="AZ149" s="22">
        <v>262.59800000000001</v>
      </c>
      <c r="BA149" s="22">
        <v>-1.5335100000000001E-2</v>
      </c>
      <c r="BB149" s="22">
        <v>139</v>
      </c>
      <c r="BC149" s="22">
        <v>0.59927399999999997</v>
      </c>
      <c r="BD149">
        <f t="shared" si="34"/>
        <v>15.335100000000001</v>
      </c>
      <c r="BE149">
        <f t="shared" si="35"/>
        <v>9.2006919576000001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50.4651</v>
      </c>
      <c r="I150" s="22">
        <v>-1.5273999999999999E-2</v>
      </c>
      <c r="J150" s="22">
        <v>140</v>
      </c>
      <c r="K150" s="22">
        <v>1.09467</v>
      </c>
      <c r="L150">
        <f t="shared" si="24"/>
        <v>15.273999999999999</v>
      </c>
      <c r="M150">
        <f t="shared" si="25"/>
        <v>16.724571779999998</v>
      </c>
      <c r="N150" s="9"/>
      <c r="O150" s="22">
        <v>0.60501099999999997</v>
      </c>
      <c r="P150" s="22">
        <v>99.891499999999994</v>
      </c>
      <c r="Q150" s="22">
        <v>-1.55975E-2</v>
      </c>
      <c r="R150" s="22">
        <v>140</v>
      </c>
      <c r="S150" s="22">
        <v>0.60424800000000001</v>
      </c>
      <c r="T150">
        <f t="shared" si="26"/>
        <v>15.5975</v>
      </c>
      <c r="U150">
        <f t="shared" si="27"/>
        <v>9.4366590724999995</v>
      </c>
      <c r="X150" s="9"/>
      <c r="Y150" s="22">
        <v>1.09497</v>
      </c>
      <c r="Z150" s="22">
        <v>129.34899999999999</v>
      </c>
      <c r="AA150" s="22">
        <v>-1.5090900000000001E-2</v>
      </c>
      <c r="AB150" s="22">
        <v>140</v>
      </c>
      <c r="AC150" s="22">
        <v>1.09344</v>
      </c>
      <c r="AD150">
        <f t="shared" si="28"/>
        <v>15.090900000000001</v>
      </c>
      <c r="AE150">
        <f t="shared" si="29"/>
        <v>16.524082773</v>
      </c>
      <c r="AF150" s="9"/>
      <c r="AG150" s="22">
        <v>0.60501099999999997</v>
      </c>
      <c r="AH150" s="22">
        <v>178.822</v>
      </c>
      <c r="AI150" s="22">
        <v>-1.55029E-2</v>
      </c>
      <c r="AJ150" s="22">
        <v>140</v>
      </c>
      <c r="AK150" s="22">
        <v>0.60427900000000001</v>
      </c>
      <c r="AL150">
        <f t="shared" si="30"/>
        <v>15.5029</v>
      </c>
      <c r="AM150">
        <f t="shared" si="31"/>
        <v>9.3794250319000003</v>
      </c>
      <c r="AP150" s="9"/>
      <c r="AQ150" s="22">
        <v>1.09497</v>
      </c>
      <c r="AR150" s="22">
        <v>228.268</v>
      </c>
      <c r="AS150" s="22">
        <v>-1.4892600000000001E-2</v>
      </c>
      <c r="AT150" s="22">
        <v>140</v>
      </c>
      <c r="AU150" s="22">
        <v>1.09436</v>
      </c>
      <c r="AV150">
        <f t="shared" si="32"/>
        <v>14.8926</v>
      </c>
      <c r="AW150">
        <f t="shared" si="33"/>
        <v>16.306950222000001</v>
      </c>
      <c r="AX150" s="9"/>
      <c r="AY150" s="22">
        <v>0.60501099999999997</v>
      </c>
      <c r="AZ150" s="22">
        <v>262.60899999999998</v>
      </c>
      <c r="BA150" s="22">
        <v>-1.5329000000000001E-2</v>
      </c>
      <c r="BB150" s="22">
        <v>140</v>
      </c>
      <c r="BC150" s="22">
        <v>0.60424800000000001</v>
      </c>
      <c r="BD150">
        <f t="shared" si="34"/>
        <v>15.329000000000001</v>
      </c>
      <c r="BE150">
        <f t="shared" si="35"/>
        <v>9.2742136189999993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50.475099999999998</v>
      </c>
      <c r="I151" s="22">
        <v>-1.52771E-2</v>
      </c>
      <c r="J151" s="22">
        <v>141</v>
      </c>
      <c r="K151" s="22">
        <v>1.08856</v>
      </c>
      <c r="L151">
        <f t="shared" si="24"/>
        <v>15.277100000000001</v>
      </c>
      <c r="M151">
        <f t="shared" si="25"/>
        <v>16.651122374</v>
      </c>
      <c r="N151" s="9"/>
      <c r="O151" s="22">
        <v>0.61004599999999998</v>
      </c>
      <c r="P151" s="22">
        <v>99.901600000000002</v>
      </c>
      <c r="Q151" s="22">
        <v>-1.5588400000000001E-2</v>
      </c>
      <c r="R151" s="22">
        <v>141</v>
      </c>
      <c r="S151" s="22">
        <v>0.609375</v>
      </c>
      <c r="T151">
        <f t="shared" si="26"/>
        <v>15.5884</v>
      </c>
      <c r="U151">
        <f t="shared" si="27"/>
        <v>9.5096410664000004</v>
      </c>
      <c r="X151" s="9"/>
      <c r="Y151" s="22">
        <v>1.0899399999999999</v>
      </c>
      <c r="Z151" s="22">
        <v>129.35900000000001</v>
      </c>
      <c r="AA151" s="22">
        <v>-1.51031E-2</v>
      </c>
      <c r="AB151" s="22">
        <v>141</v>
      </c>
      <c r="AC151" s="22">
        <v>1.08887</v>
      </c>
      <c r="AD151">
        <f t="shared" si="28"/>
        <v>15.1031</v>
      </c>
      <c r="AE151">
        <f t="shared" si="29"/>
        <v>16.461472813999997</v>
      </c>
      <c r="AF151" s="9"/>
      <c r="AG151" s="22">
        <v>0.61004599999999998</v>
      </c>
      <c r="AH151" s="22">
        <v>178.83199999999999</v>
      </c>
      <c r="AI151" s="22">
        <v>-1.54907E-2</v>
      </c>
      <c r="AJ151" s="22">
        <v>141</v>
      </c>
      <c r="AK151" s="22">
        <v>0.609344</v>
      </c>
      <c r="AL151">
        <f t="shared" si="30"/>
        <v>15.4907</v>
      </c>
      <c r="AM151">
        <f t="shared" si="31"/>
        <v>9.4500395721999997</v>
      </c>
      <c r="AP151" s="9"/>
      <c r="AQ151" s="22">
        <v>1.0899399999999999</v>
      </c>
      <c r="AR151" s="22">
        <v>228.27799999999999</v>
      </c>
      <c r="AS151" s="22">
        <v>-1.48956E-2</v>
      </c>
      <c r="AT151" s="22">
        <v>141</v>
      </c>
      <c r="AU151" s="22">
        <v>1.08887</v>
      </c>
      <c r="AV151">
        <f t="shared" si="32"/>
        <v>14.8956</v>
      </c>
      <c r="AW151">
        <f t="shared" si="33"/>
        <v>16.235310263999999</v>
      </c>
      <c r="AX151" s="9"/>
      <c r="AY151" s="22">
        <v>0.61004599999999998</v>
      </c>
      <c r="AZ151" s="22">
        <v>262.61900000000003</v>
      </c>
      <c r="BA151" s="22">
        <v>-1.5329000000000001E-2</v>
      </c>
      <c r="BB151" s="22">
        <v>141</v>
      </c>
      <c r="BC151" s="22">
        <v>0.609375</v>
      </c>
      <c r="BD151">
        <f t="shared" si="34"/>
        <v>15.329000000000001</v>
      </c>
      <c r="BE151">
        <f t="shared" si="35"/>
        <v>9.3513951340000006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50.485199999999999</v>
      </c>
      <c r="I152" s="22">
        <v>-1.5292399999999999E-2</v>
      </c>
      <c r="J152" s="22">
        <v>142</v>
      </c>
      <c r="K152" s="22">
        <v>1.08429</v>
      </c>
      <c r="L152">
        <f t="shared" si="24"/>
        <v>15.292399999999999</v>
      </c>
      <c r="M152">
        <f t="shared" si="25"/>
        <v>16.590724759999997</v>
      </c>
      <c r="N152" s="9"/>
      <c r="O152" s="22">
        <v>0.61508200000000002</v>
      </c>
      <c r="P152" s="22">
        <v>99.911600000000007</v>
      </c>
      <c r="Q152" s="22">
        <v>-1.55823E-2</v>
      </c>
      <c r="R152" s="22">
        <v>142</v>
      </c>
      <c r="S152" s="22">
        <v>0.61441000000000001</v>
      </c>
      <c r="T152">
        <f t="shared" si="26"/>
        <v>15.5823</v>
      </c>
      <c r="U152">
        <f t="shared" si="27"/>
        <v>9.5843922486000004</v>
      </c>
      <c r="X152" s="9"/>
      <c r="Y152" s="22">
        <v>1.0849</v>
      </c>
      <c r="Z152" s="22">
        <v>129.369</v>
      </c>
      <c r="AA152" s="22">
        <v>-1.51001E-2</v>
      </c>
      <c r="AB152" s="22">
        <v>142</v>
      </c>
      <c r="AC152" s="22">
        <v>1.08368</v>
      </c>
      <c r="AD152">
        <f t="shared" si="28"/>
        <v>15.100099999999999</v>
      </c>
      <c r="AE152">
        <f t="shared" si="29"/>
        <v>16.382098490000001</v>
      </c>
      <c r="AF152" s="9"/>
      <c r="AG152" s="22">
        <v>0.61508200000000002</v>
      </c>
      <c r="AH152" s="22">
        <v>178.84200000000001</v>
      </c>
      <c r="AI152" s="22">
        <v>-1.54877E-2</v>
      </c>
      <c r="AJ152" s="22">
        <v>142</v>
      </c>
      <c r="AK152" s="22">
        <v>0.61441000000000001</v>
      </c>
      <c r="AL152">
        <f t="shared" si="30"/>
        <v>15.4877</v>
      </c>
      <c r="AM152">
        <f t="shared" si="31"/>
        <v>9.5262054914000007</v>
      </c>
      <c r="AP152" s="9"/>
      <c r="AQ152" s="22">
        <v>1.0849</v>
      </c>
      <c r="AR152" s="22">
        <v>228.28899999999999</v>
      </c>
      <c r="AS152" s="22">
        <v>-1.48895E-2</v>
      </c>
      <c r="AT152" s="22">
        <v>142</v>
      </c>
      <c r="AU152" s="22">
        <v>1.0839799999999999</v>
      </c>
      <c r="AV152">
        <f t="shared" si="32"/>
        <v>14.8895</v>
      </c>
      <c r="AW152">
        <f t="shared" si="33"/>
        <v>16.153618550000001</v>
      </c>
      <c r="AX152" s="9"/>
      <c r="AY152" s="22">
        <v>0.61508200000000002</v>
      </c>
      <c r="AZ152" s="22">
        <v>262.62900000000002</v>
      </c>
      <c r="BA152" s="22">
        <v>-1.5329000000000001E-2</v>
      </c>
      <c r="BB152" s="22">
        <v>142</v>
      </c>
      <c r="BC152" s="22">
        <v>0.61447099999999999</v>
      </c>
      <c r="BD152">
        <f t="shared" si="34"/>
        <v>15.329000000000001</v>
      </c>
      <c r="BE152">
        <f t="shared" si="35"/>
        <v>9.428591978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50.4953</v>
      </c>
      <c r="I153" s="22">
        <v>-1.52985E-2</v>
      </c>
      <c r="J153" s="22">
        <v>143</v>
      </c>
      <c r="K153" s="22">
        <v>1.0788</v>
      </c>
      <c r="L153">
        <f t="shared" si="24"/>
        <v>15.298499999999999</v>
      </c>
      <c r="M153">
        <f t="shared" si="25"/>
        <v>16.520238209999999</v>
      </c>
      <c r="N153" s="9"/>
      <c r="O153" s="22">
        <v>0.62011700000000003</v>
      </c>
      <c r="P153" s="22">
        <v>99.921700000000001</v>
      </c>
      <c r="Q153" s="22">
        <v>-1.55792E-2</v>
      </c>
      <c r="R153" s="22">
        <v>143</v>
      </c>
      <c r="S153" s="22">
        <v>0.61935399999999996</v>
      </c>
      <c r="T153">
        <f t="shared" si="26"/>
        <v>15.5792</v>
      </c>
      <c r="U153">
        <f t="shared" si="27"/>
        <v>9.6609267664000011</v>
      </c>
      <c r="X153" s="9"/>
      <c r="Y153" s="22">
        <v>1.07986</v>
      </c>
      <c r="Z153" s="22">
        <v>129.37899999999999</v>
      </c>
      <c r="AA153" s="22">
        <v>-1.51031E-2</v>
      </c>
      <c r="AB153" s="22">
        <v>143</v>
      </c>
      <c r="AC153" s="22">
        <v>1.0784899999999999</v>
      </c>
      <c r="AD153">
        <f t="shared" si="28"/>
        <v>15.1031</v>
      </c>
      <c r="AE153">
        <f t="shared" si="29"/>
        <v>16.309233566</v>
      </c>
      <c r="AF153" s="9"/>
      <c r="AG153" s="22">
        <v>0.62011700000000003</v>
      </c>
      <c r="AH153" s="22">
        <v>178.852</v>
      </c>
      <c r="AI153" s="22">
        <v>-1.5484599999999999E-2</v>
      </c>
      <c r="AJ153" s="22">
        <v>143</v>
      </c>
      <c r="AK153" s="22">
        <v>0.61932399999999999</v>
      </c>
      <c r="AL153">
        <f t="shared" si="30"/>
        <v>15.484599999999999</v>
      </c>
      <c r="AM153">
        <f t="shared" si="31"/>
        <v>9.6022636981999998</v>
      </c>
      <c r="AP153" s="9"/>
      <c r="AQ153" s="22">
        <v>1.07986</v>
      </c>
      <c r="AR153" s="22">
        <v>228.29900000000001</v>
      </c>
      <c r="AS153" s="22">
        <v>-1.4892600000000001E-2</v>
      </c>
      <c r="AT153" s="22">
        <v>143</v>
      </c>
      <c r="AU153" s="22">
        <v>1.07941</v>
      </c>
      <c r="AV153">
        <f t="shared" si="32"/>
        <v>14.8926</v>
      </c>
      <c r="AW153">
        <f t="shared" si="33"/>
        <v>16.081923035999999</v>
      </c>
      <c r="AX153" s="9"/>
      <c r="AY153" s="22">
        <v>0.62011700000000003</v>
      </c>
      <c r="AZ153" s="22">
        <v>262.63900000000001</v>
      </c>
      <c r="BA153" s="22">
        <v>-1.53259E-2</v>
      </c>
      <c r="BB153" s="22">
        <v>143</v>
      </c>
      <c r="BC153" s="22">
        <v>0.61947600000000003</v>
      </c>
      <c r="BD153">
        <f t="shared" si="34"/>
        <v>15.325900000000001</v>
      </c>
      <c r="BE153">
        <f t="shared" si="35"/>
        <v>9.5038511303000011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50.505400000000002</v>
      </c>
      <c r="I154" s="22">
        <v>-1.5307599999999999E-2</v>
      </c>
      <c r="J154" s="22">
        <v>144</v>
      </c>
      <c r="K154" s="22">
        <v>1.07422</v>
      </c>
      <c r="L154">
        <f t="shared" si="24"/>
        <v>15.307599999999999</v>
      </c>
      <c r="M154">
        <f t="shared" si="25"/>
        <v>16.453067707999999</v>
      </c>
      <c r="N154" s="9"/>
      <c r="O154" s="22">
        <v>0.62515299999999996</v>
      </c>
      <c r="P154" s="22">
        <v>99.931799999999996</v>
      </c>
      <c r="Q154" s="22">
        <v>-1.55701E-2</v>
      </c>
      <c r="R154" s="22">
        <v>144</v>
      </c>
      <c r="S154" s="22">
        <v>0.62441999999999998</v>
      </c>
      <c r="T154">
        <f t="shared" si="26"/>
        <v>15.5701</v>
      </c>
      <c r="U154">
        <f t="shared" si="27"/>
        <v>9.7336947252999995</v>
      </c>
      <c r="X154" s="9"/>
      <c r="Y154" s="22">
        <v>1.07483</v>
      </c>
      <c r="Z154" s="22">
        <v>129.38900000000001</v>
      </c>
      <c r="AA154" s="22">
        <v>-1.51031E-2</v>
      </c>
      <c r="AB154" s="22">
        <v>144</v>
      </c>
      <c r="AC154" s="22">
        <v>1.0739099999999999</v>
      </c>
      <c r="AD154">
        <f t="shared" si="28"/>
        <v>15.1031</v>
      </c>
      <c r="AE154">
        <f t="shared" si="29"/>
        <v>16.233264972999997</v>
      </c>
      <c r="AF154" s="9"/>
      <c r="AG154" s="22">
        <v>0.62515299999999996</v>
      </c>
      <c r="AH154" s="22">
        <v>178.86199999999999</v>
      </c>
      <c r="AI154" s="22">
        <v>-1.5472400000000001E-2</v>
      </c>
      <c r="AJ154" s="22">
        <v>144</v>
      </c>
      <c r="AK154" s="22">
        <v>0.62441999999999998</v>
      </c>
      <c r="AL154">
        <f t="shared" si="30"/>
        <v>15.4724</v>
      </c>
      <c r="AM154">
        <f t="shared" si="31"/>
        <v>9.6726172771999988</v>
      </c>
      <c r="AP154" s="9"/>
      <c r="AQ154" s="22">
        <v>1.07483</v>
      </c>
      <c r="AR154" s="22">
        <v>228.309</v>
      </c>
      <c r="AS154" s="22">
        <v>-1.4898700000000001E-2</v>
      </c>
      <c r="AT154" s="22">
        <v>144</v>
      </c>
      <c r="AU154" s="22">
        <v>1.07422</v>
      </c>
      <c r="AV154">
        <f t="shared" si="32"/>
        <v>14.898700000000002</v>
      </c>
      <c r="AW154">
        <f t="shared" si="33"/>
        <v>16.013569721</v>
      </c>
      <c r="AX154" s="9"/>
      <c r="AY154" s="22">
        <v>0.62515299999999996</v>
      </c>
      <c r="AZ154" s="22">
        <v>262.649</v>
      </c>
      <c r="BA154" s="22">
        <v>-1.53229E-2</v>
      </c>
      <c r="BB154" s="22">
        <v>144</v>
      </c>
      <c r="BC154" s="22">
        <v>0.62451199999999996</v>
      </c>
      <c r="BD154">
        <f t="shared" si="34"/>
        <v>15.322900000000001</v>
      </c>
      <c r="BE154">
        <f t="shared" si="35"/>
        <v>9.5791569036999995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50.5154</v>
      </c>
      <c r="I155" s="22">
        <v>-1.53137E-2</v>
      </c>
      <c r="J155" s="22">
        <v>145</v>
      </c>
      <c r="K155" s="22">
        <v>1.06873</v>
      </c>
      <c r="L155">
        <f t="shared" si="24"/>
        <v>15.313699999999999</v>
      </c>
      <c r="M155">
        <f t="shared" si="25"/>
        <v>16.382443122999998</v>
      </c>
      <c r="N155" s="9"/>
      <c r="O155" s="22">
        <v>0.63018799999999997</v>
      </c>
      <c r="P155" s="22">
        <v>99.941900000000004</v>
      </c>
      <c r="Q155" s="22">
        <v>-1.5564E-2</v>
      </c>
      <c r="R155" s="22">
        <v>145</v>
      </c>
      <c r="S155" s="22">
        <v>0.62957799999999997</v>
      </c>
      <c r="T155">
        <f t="shared" si="26"/>
        <v>15.564</v>
      </c>
      <c r="U155">
        <f t="shared" si="27"/>
        <v>9.8082460319999996</v>
      </c>
      <c r="X155" s="9"/>
      <c r="Y155" s="22">
        <v>1.06979</v>
      </c>
      <c r="Z155" s="22">
        <v>129.399</v>
      </c>
      <c r="AA155" s="22">
        <v>-1.51123E-2</v>
      </c>
      <c r="AB155" s="22">
        <v>145</v>
      </c>
      <c r="AC155" s="22">
        <v>1.06873</v>
      </c>
      <c r="AD155">
        <f t="shared" si="28"/>
        <v>15.112300000000001</v>
      </c>
      <c r="AE155">
        <f t="shared" si="29"/>
        <v>16.166987417000001</v>
      </c>
      <c r="AF155" s="9"/>
      <c r="AG155" s="22">
        <v>0.63018799999999997</v>
      </c>
      <c r="AH155" s="22">
        <v>178.87200000000001</v>
      </c>
      <c r="AI155" s="22">
        <v>-1.5466300000000001E-2</v>
      </c>
      <c r="AJ155" s="22">
        <v>145</v>
      </c>
      <c r="AK155" s="22">
        <v>0.62954699999999997</v>
      </c>
      <c r="AL155">
        <f t="shared" si="30"/>
        <v>15.4663</v>
      </c>
      <c r="AM155">
        <f t="shared" si="31"/>
        <v>9.7466766643999989</v>
      </c>
      <c r="AP155" s="9"/>
      <c r="AQ155" s="22">
        <v>1.06979</v>
      </c>
      <c r="AR155" s="22">
        <v>228.31899999999999</v>
      </c>
      <c r="AS155" s="22">
        <v>-1.4913900000000001E-2</v>
      </c>
      <c r="AT155" s="22">
        <v>145</v>
      </c>
      <c r="AU155" s="22">
        <v>1.0684199999999999</v>
      </c>
      <c r="AV155">
        <f t="shared" si="32"/>
        <v>14.9139</v>
      </c>
      <c r="AW155">
        <f t="shared" si="33"/>
        <v>15.954741081</v>
      </c>
      <c r="AX155" s="9"/>
      <c r="AY155" s="22">
        <v>0.63018799999999997</v>
      </c>
      <c r="AZ155" s="22">
        <v>262.65899999999999</v>
      </c>
      <c r="BA155" s="22">
        <v>-1.53229E-2</v>
      </c>
      <c r="BB155" s="22">
        <v>145</v>
      </c>
      <c r="BC155" s="22">
        <v>0.62957799999999997</v>
      </c>
      <c r="BD155">
        <f t="shared" si="34"/>
        <v>15.322900000000001</v>
      </c>
      <c r="BE155">
        <f t="shared" si="35"/>
        <v>9.6563077051999997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50.525500000000001</v>
      </c>
      <c r="I156" s="22">
        <v>-1.53168E-2</v>
      </c>
      <c r="J156" s="22">
        <v>146</v>
      </c>
      <c r="K156" s="22">
        <v>1.0638399999999999</v>
      </c>
      <c r="L156">
        <f t="shared" si="24"/>
        <v>15.316800000000001</v>
      </c>
      <c r="M156">
        <f t="shared" si="25"/>
        <v>16.308715968000001</v>
      </c>
      <c r="N156" s="9"/>
      <c r="O156" s="22">
        <v>0.63522299999999998</v>
      </c>
      <c r="P156" s="22">
        <v>99.951899999999995</v>
      </c>
      <c r="Q156" s="22">
        <v>-1.5554800000000001E-2</v>
      </c>
      <c r="R156" s="22">
        <v>146</v>
      </c>
      <c r="S156" s="22">
        <v>0.63449100000000003</v>
      </c>
      <c r="T156">
        <f t="shared" si="26"/>
        <v>15.5548</v>
      </c>
      <c r="U156">
        <f t="shared" si="27"/>
        <v>9.8807667204000005</v>
      </c>
      <c r="X156" s="9"/>
      <c r="Y156" s="22">
        <v>1.0647599999999999</v>
      </c>
      <c r="Z156" s="22">
        <v>129.40899999999999</v>
      </c>
      <c r="AA156" s="22">
        <v>-1.5118400000000001E-2</v>
      </c>
      <c r="AB156" s="22">
        <v>146</v>
      </c>
      <c r="AC156" s="22">
        <v>1.0632299999999999</v>
      </c>
      <c r="AD156">
        <f t="shared" si="28"/>
        <v>15.118400000000001</v>
      </c>
      <c r="AE156">
        <f t="shared" si="29"/>
        <v>16.097467584</v>
      </c>
      <c r="AF156" s="9"/>
      <c r="AG156" s="22">
        <v>0.63522299999999998</v>
      </c>
      <c r="AH156" s="22">
        <v>178.88200000000001</v>
      </c>
      <c r="AI156" s="22">
        <v>-1.54541E-2</v>
      </c>
      <c r="AJ156" s="22">
        <v>146</v>
      </c>
      <c r="AK156" s="22">
        <v>0.634521</v>
      </c>
      <c r="AL156">
        <f t="shared" si="30"/>
        <v>15.4541</v>
      </c>
      <c r="AM156">
        <f t="shared" si="31"/>
        <v>9.8167997643000007</v>
      </c>
      <c r="AP156" s="9"/>
      <c r="AQ156" s="22">
        <v>1.0647599999999999</v>
      </c>
      <c r="AR156" s="22">
        <v>228.32900000000001</v>
      </c>
      <c r="AS156" s="22">
        <v>-1.49292E-2</v>
      </c>
      <c r="AT156" s="22">
        <v>146</v>
      </c>
      <c r="AU156" s="22">
        <v>1.0638399999999999</v>
      </c>
      <c r="AV156">
        <f t="shared" si="32"/>
        <v>14.9292</v>
      </c>
      <c r="AW156">
        <f t="shared" si="33"/>
        <v>15.896014992</v>
      </c>
      <c r="AX156" s="9"/>
      <c r="AY156" s="22">
        <v>0.63522299999999998</v>
      </c>
      <c r="AZ156" s="22">
        <v>262.66899999999998</v>
      </c>
      <c r="BA156" s="22">
        <v>-1.53259E-2</v>
      </c>
      <c r="BB156" s="22">
        <v>146</v>
      </c>
      <c r="BC156" s="22">
        <v>0.63458300000000001</v>
      </c>
      <c r="BD156">
        <f t="shared" si="34"/>
        <v>15.325900000000001</v>
      </c>
      <c r="BE156">
        <f t="shared" si="35"/>
        <v>9.7353641757000009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50.535600000000002</v>
      </c>
      <c r="I157" s="22">
        <v>-1.53229E-2</v>
      </c>
      <c r="J157" s="22">
        <v>147</v>
      </c>
      <c r="K157" s="22">
        <v>1.0586500000000001</v>
      </c>
      <c r="L157">
        <f t="shared" si="24"/>
        <v>15.322900000000001</v>
      </c>
      <c r="M157">
        <f t="shared" si="25"/>
        <v>16.237983588000002</v>
      </c>
      <c r="N157" s="9"/>
      <c r="O157" s="22">
        <v>0.64025900000000002</v>
      </c>
      <c r="P157" s="22">
        <v>99.962000000000003</v>
      </c>
      <c r="Q157" s="22">
        <v>-1.55579E-2</v>
      </c>
      <c r="R157" s="22">
        <v>147</v>
      </c>
      <c r="S157" s="22">
        <v>0.63949599999999995</v>
      </c>
      <c r="T157">
        <f t="shared" si="26"/>
        <v>15.5579</v>
      </c>
      <c r="U157">
        <f t="shared" si="27"/>
        <v>9.9610854961000008</v>
      </c>
      <c r="X157" s="9"/>
      <c r="Y157" s="22">
        <v>1.05972</v>
      </c>
      <c r="Z157" s="22">
        <v>129.41900000000001</v>
      </c>
      <c r="AA157" s="22">
        <v>-1.5130599999999999E-2</v>
      </c>
      <c r="AB157" s="22">
        <v>147</v>
      </c>
      <c r="AC157" s="22">
        <v>1.0592699999999999</v>
      </c>
      <c r="AD157">
        <f t="shared" si="28"/>
        <v>15.130599999999999</v>
      </c>
      <c r="AE157">
        <f t="shared" si="29"/>
        <v>16.034199431999998</v>
      </c>
      <c r="AF157" s="9"/>
      <c r="AG157" s="22">
        <v>0.64025900000000002</v>
      </c>
      <c r="AH157" s="22">
        <v>178.892</v>
      </c>
      <c r="AI157" s="22">
        <v>-1.54541E-2</v>
      </c>
      <c r="AJ157" s="22">
        <v>147</v>
      </c>
      <c r="AK157" s="22">
        <v>0.63961800000000002</v>
      </c>
      <c r="AL157">
        <f t="shared" si="30"/>
        <v>15.4541</v>
      </c>
      <c r="AM157">
        <f t="shared" si="31"/>
        <v>9.8946266119000015</v>
      </c>
      <c r="AP157" s="9"/>
      <c r="AQ157" s="22">
        <v>1.05972</v>
      </c>
      <c r="AR157" s="22">
        <v>228.339</v>
      </c>
      <c r="AS157" s="22">
        <v>-1.4938399999999999E-2</v>
      </c>
      <c r="AT157" s="22">
        <v>147</v>
      </c>
      <c r="AU157" s="22">
        <v>1.0586500000000001</v>
      </c>
      <c r="AV157">
        <f t="shared" si="32"/>
        <v>14.9384</v>
      </c>
      <c r="AW157">
        <f t="shared" si="33"/>
        <v>15.830521248</v>
      </c>
      <c r="AX157" s="9"/>
      <c r="AY157" s="22">
        <v>0.64025900000000002</v>
      </c>
      <c r="AZ157" s="22">
        <v>262.67899999999997</v>
      </c>
      <c r="BA157" s="22">
        <v>-1.53229E-2</v>
      </c>
      <c r="BB157" s="22">
        <v>147</v>
      </c>
      <c r="BC157" s="22">
        <v>0.63952600000000004</v>
      </c>
      <c r="BD157">
        <f t="shared" si="34"/>
        <v>15.322900000000001</v>
      </c>
      <c r="BE157">
        <f t="shared" si="35"/>
        <v>9.8106246311000014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50.5456</v>
      </c>
      <c r="I158" s="22">
        <v>-1.53229E-2</v>
      </c>
      <c r="J158" s="22">
        <v>148</v>
      </c>
      <c r="K158" s="22">
        <v>1.0531600000000001</v>
      </c>
      <c r="L158">
        <f t="shared" si="24"/>
        <v>15.322900000000001</v>
      </c>
      <c r="M158">
        <f t="shared" si="25"/>
        <v>16.160909400999998</v>
      </c>
      <c r="N158" s="9"/>
      <c r="O158" s="22">
        <v>0.64529400000000003</v>
      </c>
      <c r="P158" s="22">
        <v>99.972099999999998</v>
      </c>
      <c r="Q158" s="22">
        <v>-1.5554800000000001E-2</v>
      </c>
      <c r="R158" s="22">
        <v>148</v>
      </c>
      <c r="S158" s="22">
        <v>0.64459200000000005</v>
      </c>
      <c r="T158">
        <f t="shared" si="26"/>
        <v>15.5548</v>
      </c>
      <c r="U158">
        <f t="shared" si="27"/>
        <v>10.0374191112</v>
      </c>
      <c r="X158" s="9"/>
      <c r="Y158" s="22">
        <v>1.0546899999999999</v>
      </c>
      <c r="Z158" s="22">
        <v>129.429</v>
      </c>
      <c r="AA158" s="22">
        <v>-1.51276E-2</v>
      </c>
      <c r="AB158" s="22">
        <v>148</v>
      </c>
      <c r="AC158" s="22">
        <v>1.0537700000000001</v>
      </c>
      <c r="AD158">
        <f t="shared" si="28"/>
        <v>15.127599999999999</v>
      </c>
      <c r="AE158">
        <f t="shared" si="29"/>
        <v>15.954928443999998</v>
      </c>
      <c r="AF158" s="9"/>
      <c r="AG158" s="22">
        <v>0.64529400000000003</v>
      </c>
      <c r="AH158" s="22">
        <v>178.90299999999999</v>
      </c>
      <c r="AI158" s="22">
        <v>-1.5457200000000001E-2</v>
      </c>
      <c r="AJ158" s="22">
        <v>148</v>
      </c>
      <c r="AK158" s="22">
        <v>0.64462299999999995</v>
      </c>
      <c r="AL158">
        <f t="shared" si="30"/>
        <v>15.4572</v>
      </c>
      <c r="AM158">
        <f t="shared" si="31"/>
        <v>9.9744384168</v>
      </c>
      <c r="AP158" s="9"/>
      <c r="AQ158" s="22">
        <v>1.0546899999999999</v>
      </c>
      <c r="AR158" s="22">
        <v>228.34899999999999</v>
      </c>
      <c r="AS158" s="22">
        <v>-1.4947500000000001E-2</v>
      </c>
      <c r="AT158" s="22">
        <v>148</v>
      </c>
      <c r="AU158" s="22">
        <v>1.0531600000000001</v>
      </c>
      <c r="AV158">
        <f t="shared" si="32"/>
        <v>14.947500000000002</v>
      </c>
      <c r="AW158">
        <f t="shared" si="33"/>
        <v>15.764978774999999</v>
      </c>
      <c r="AX158" s="9"/>
      <c r="AY158" s="22">
        <v>0.64529400000000003</v>
      </c>
      <c r="AZ158" s="22">
        <v>262.68900000000002</v>
      </c>
      <c r="BA158" s="22">
        <v>-1.53107E-2</v>
      </c>
      <c r="BB158" s="22">
        <v>148</v>
      </c>
      <c r="BC158" s="22">
        <v>0.64462299999999995</v>
      </c>
      <c r="BD158">
        <f t="shared" si="34"/>
        <v>15.310700000000001</v>
      </c>
      <c r="BE158">
        <f t="shared" si="35"/>
        <v>9.8799028458000002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50.555700000000002</v>
      </c>
      <c r="I159" s="22">
        <v>-1.5332E-2</v>
      </c>
      <c r="J159" s="22">
        <v>149</v>
      </c>
      <c r="K159" s="22">
        <v>1.0485800000000001</v>
      </c>
      <c r="L159">
        <f t="shared" si="24"/>
        <v>15.332000000000001</v>
      </c>
      <c r="M159">
        <f t="shared" si="25"/>
        <v>16.0932338</v>
      </c>
      <c r="N159" s="9"/>
      <c r="O159" s="22">
        <v>0.65032999999999996</v>
      </c>
      <c r="P159" s="22">
        <v>99.982100000000003</v>
      </c>
      <c r="Q159" s="22">
        <v>-1.5554800000000001E-2</v>
      </c>
      <c r="R159" s="22">
        <v>149</v>
      </c>
      <c r="S159" s="22">
        <v>0.64965799999999996</v>
      </c>
      <c r="T159">
        <f t="shared" si="26"/>
        <v>15.5548</v>
      </c>
      <c r="U159">
        <f t="shared" si="27"/>
        <v>10.115753084</v>
      </c>
      <c r="X159" s="9"/>
      <c r="Y159" s="22">
        <v>1.04965</v>
      </c>
      <c r="Z159" s="22">
        <v>129.43899999999999</v>
      </c>
      <c r="AA159" s="22">
        <v>-1.5118400000000001E-2</v>
      </c>
      <c r="AB159" s="22">
        <v>149</v>
      </c>
      <c r="AC159" s="22">
        <v>1.0485800000000001</v>
      </c>
      <c r="AD159">
        <f t="shared" si="28"/>
        <v>15.118400000000001</v>
      </c>
      <c r="AE159">
        <f t="shared" si="29"/>
        <v>15.86902856</v>
      </c>
      <c r="AF159" s="9"/>
      <c r="AG159" s="22">
        <v>0.65032999999999996</v>
      </c>
      <c r="AH159" s="22">
        <v>178.91300000000001</v>
      </c>
      <c r="AI159" s="22">
        <v>-1.54541E-2</v>
      </c>
      <c r="AJ159" s="22">
        <v>149</v>
      </c>
      <c r="AK159" s="22">
        <v>0.64956700000000001</v>
      </c>
      <c r="AL159">
        <f t="shared" si="30"/>
        <v>15.4541</v>
      </c>
      <c r="AM159">
        <f t="shared" si="31"/>
        <v>10.050264853</v>
      </c>
      <c r="AP159" s="9"/>
      <c r="AQ159" s="22">
        <v>1.04965</v>
      </c>
      <c r="AR159" s="22">
        <v>228.35900000000001</v>
      </c>
      <c r="AS159" s="22">
        <v>-1.49658E-2</v>
      </c>
      <c r="AT159" s="22">
        <v>149</v>
      </c>
      <c r="AU159" s="22">
        <v>1.0485800000000001</v>
      </c>
      <c r="AV159">
        <f t="shared" si="32"/>
        <v>14.9658</v>
      </c>
      <c r="AW159">
        <f t="shared" si="33"/>
        <v>15.70885197</v>
      </c>
      <c r="AX159" s="9"/>
      <c r="AY159" s="22">
        <v>0.65032999999999996</v>
      </c>
      <c r="AZ159" s="22">
        <v>262.69900000000001</v>
      </c>
      <c r="BA159" s="22">
        <v>-1.5307599999999999E-2</v>
      </c>
      <c r="BB159" s="22">
        <v>149</v>
      </c>
      <c r="BC159" s="22">
        <v>0.64962799999999998</v>
      </c>
      <c r="BD159">
        <f t="shared" si="34"/>
        <v>15.307599999999999</v>
      </c>
      <c r="BE159">
        <f t="shared" si="35"/>
        <v>9.9549915079999991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50.565800000000003</v>
      </c>
      <c r="I160" s="22">
        <v>-1.5347299999999999E-2</v>
      </c>
      <c r="J160" s="22">
        <v>150</v>
      </c>
      <c r="K160" s="22">
        <v>1.0440100000000001</v>
      </c>
      <c r="L160">
        <f t="shared" si="24"/>
        <v>15.347299999999999</v>
      </c>
      <c r="M160">
        <f t="shared" si="25"/>
        <v>16.032096526</v>
      </c>
      <c r="N160" s="9"/>
      <c r="O160" s="22">
        <v>0.65536499999999998</v>
      </c>
      <c r="P160" s="22">
        <v>99.992199999999997</v>
      </c>
      <c r="Q160" s="22">
        <v>-1.5539600000000001E-2</v>
      </c>
      <c r="R160" s="22">
        <v>150</v>
      </c>
      <c r="S160" s="22">
        <v>0.65472399999999997</v>
      </c>
      <c r="T160">
        <f t="shared" si="26"/>
        <v>15.5396</v>
      </c>
      <c r="U160">
        <f t="shared" si="27"/>
        <v>10.184109954</v>
      </c>
      <c r="X160" s="9"/>
      <c r="Y160" s="22">
        <v>1.0446200000000001</v>
      </c>
      <c r="Z160" s="22">
        <v>129.44900000000001</v>
      </c>
      <c r="AA160" s="22">
        <v>-1.51215E-2</v>
      </c>
      <c r="AB160" s="22">
        <v>150</v>
      </c>
      <c r="AC160" s="22">
        <v>1.0434000000000001</v>
      </c>
      <c r="AD160">
        <f t="shared" si="28"/>
        <v>15.121499999999999</v>
      </c>
      <c r="AE160">
        <f t="shared" si="29"/>
        <v>15.796221330000002</v>
      </c>
      <c r="AF160" s="9"/>
      <c r="AG160" s="22">
        <v>0.65536499999999998</v>
      </c>
      <c r="AH160" s="22">
        <v>178.923</v>
      </c>
      <c r="AI160" s="22">
        <v>-1.54541E-2</v>
      </c>
      <c r="AJ160" s="22">
        <v>150</v>
      </c>
      <c r="AK160" s="22">
        <v>0.65475499999999998</v>
      </c>
      <c r="AL160">
        <f t="shared" si="30"/>
        <v>15.4541</v>
      </c>
      <c r="AM160">
        <f t="shared" si="31"/>
        <v>10.128076246499999</v>
      </c>
      <c r="AP160" s="9"/>
      <c r="AQ160" s="22">
        <v>1.0446200000000001</v>
      </c>
      <c r="AR160" s="22">
        <v>228.369</v>
      </c>
      <c r="AS160" s="22">
        <v>-1.4978E-2</v>
      </c>
      <c r="AT160" s="22">
        <v>150</v>
      </c>
      <c r="AU160" s="22">
        <v>1.0434000000000001</v>
      </c>
      <c r="AV160">
        <f t="shared" si="32"/>
        <v>14.978</v>
      </c>
      <c r="AW160">
        <f t="shared" si="33"/>
        <v>15.64631836</v>
      </c>
      <c r="AX160" s="9"/>
      <c r="AY160" s="22">
        <v>0.65536499999999998</v>
      </c>
      <c r="AZ160" s="22">
        <v>262.709</v>
      </c>
      <c r="BA160" s="22">
        <v>-1.5307599999999999E-2</v>
      </c>
      <c r="BB160" s="22">
        <v>150</v>
      </c>
      <c r="BC160" s="22">
        <v>0.65472399999999997</v>
      </c>
      <c r="BD160">
        <f t="shared" si="34"/>
        <v>15.307599999999999</v>
      </c>
      <c r="BE160">
        <f t="shared" si="35"/>
        <v>10.032065273999999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50.575899999999997</v>
      </c>
      <c r="I161" s="22">
        <v>-1.5356399999999999E-2</v>
      </c>
      <c r="J161" s="22">
        <v>151</v>
      </c>
      <c r="K161" s="22">
        <v>1.0379</v>
      </c>
      <c r="L161">
        <f t="shared" si="24"/>
        <v>15.356399999999999</v>
      </c>
      <c r="M161">
        <f t="shared" si="25"/>
        <v>15.964206311999998</v>
      </c>
      <c r="N161" s="9"/>
      <c r="O161" s="22">
        <v>0.66039999999999999</v>
      </c>
      <c r="P161" s="22">
        <v>100.002</v>
      </c>
      <c r="Q161" s="22">
        <v>-1.55304E-2</v>
      </c>
      <c r="R161" s="22">
        <v>151</v>
      </c>
      <c r="S161" s="22">
        <v>0.65978999999999999</v>
      </c>
      <c r="T161">
        <f t="shared" si="26"/>
        <v>15.5304</v>
      </c>
      <c r="U161">
        <f t="shared" si="27"/>
        <v>10.256276160000001</v>
      </c>
      <c r="X161" s="9"/>
      <c r="Y161" s="22">
        <v>1.0395799999999999</v>
      </c>
      <c r="Z161" s="22">
        <v>129.459</v>
      </c>
      <c r="AA161" s="22">
        <v>-1.5130599999999999E-2</v>
      </c>
      <c r="AB161" s="22">
        <v>151</v>
      </c>
      <c r="AC161" s="22">
        <v>1.03851</v>
      </c>
      <c r="AD161">
        <f t="shared" si="28"/>
        <v>15.130599999999999</v>
      </c>
      <c r="AE161">
        <f t="shared" si="29"/>
        <v>15.729469147999998</v>
      </c>
      <c r="AF161" s="9"/>
      <c r="AG161" s="22">
        <v>0.66039999999999999</v>
      </c>
      <c r="AH161" s="22">
        <v>178.93299999999999</v>
      </c>
      <c r="AI161" s="22">
        <v>-1.5444899999999999E-2</v>
      </c>
      <c r="AJ161" s="22">
        <v>151</v>
      </c>
      <c r="AK161" s="22">
        <v>0.65963700000000003</v>
      </c>
      <c r="AL161">
        <f t="shared" si="30"/>
        <v>15.444899999999999</v>
      </c>
      <c r="AM161">
        <f t="shared" si="31"/>
        <v>10.199811959999998</v>
      </c>
      <c r="AP161" s="9"/>
      <c r="AQ161" s="22">
        <v>1.0395799999999999</v>
      </c>
      <c r="AR161" s="22">
        <v>228.37899999999999</v>
      </c>
      <c r="AS161" s="22">
        <v>-1.49902E-2</v>
      </c>
      <c r="AT161" s="22">
        <v>151</v>
      </c>
      <c r="AU161" s="22">
        <v>1.0382100000000001</v>
      </c>
      <c r="AV161">
        <f t="shared" si="32"/>
        <v>14.9902</v>
      </c>
      <c r="AW161">
        <f t="shared" si="33"/>
        <v>15.583512116</v>
      </c>
      <c r="AX161" s="9"/>
      <c r="AY161" s="22">
        <v>0.66039999999999999</v>
      </c>
      <c r="AZ161" s="22">
        <v>262.71899999999999</v>
      </c>
      <c r="BA161" s="22">
        <v>-1.5307599999999999E-2</v>
      </c>
      <c r="BB161" s="22">
        <v>151</v>
      </c>
      <c r="BC161" s="22">
        <v>0.65972900000000001</v>
      </c>
      <c r="BD161">
        <f t="shared" si="34"/>
        <v>15.307599999999999</v>
      </c>
      <c r="BE161">
        <f t="shared" si="35"/>
        <v>10.109139039999999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50.585900000000002</v>
      </c>
      <c r="I162" s="22">
        <v>-1.5380899999999999E-2</v>
      </c>
      <c r="J162" s="22">
        <v>152</v>
      </c>
      <c r="K162" s="22">
        <v>1.03363</v>
      </c>
      <c r="L162">
        <f t="shared" si="24"/>
        <v>15.380899999999999</v>
      </c>
      <c r="M162">
        <f t="shared" si="25"/>
        <v>15.912310095</v>
      </c>
      <c r="N162" s="9"/>
      <c r="O162" s="22">
        <v>0.66543600000000003</v>
      </c>
      <c r="P162" s="22">
        <v>100.012</v>
      </c>
      <c r="Q162" s="22">
        <v>-1.55304E-2</v>
      </c>
      <c r="R162" s="22">
        <v>152</v>
      </c>
      <c r="S162" s="22">
        <v>0.66473400000000005</v>
      </c>
      <c r="T162">
        <f t="shared" si="26"/>
        <v>15.5304</v>
      </c>
      <c r="U162">
        <f t="shared" si="27"/>
        <v>10.334487254400001</v>
      </c>
      <c r="X162" s="9"/>
      <c r="Y162" s="22">
        <v>1.0345500000000001</v>
      </c>
      <c r="Z162" s="22">
        <v>129.46899999999999</v>
      </c>
      <c r="AA162" s="22">
        <v>-1.5152000000000001E-2</v>
      </c>
      <c r="AB162" s="22">
        <v>152</v>
      </c>
      <c r="AC162" s="22">
        <v>1.03271</v>
      </c>
      <c r="AD162">
        <f t="shared" si="28"/>
        <v>15.152000000000001</v>
      </c>
      <c r="AE162">
        <f t="shared" si="29"/>
        <v>15.675501600000002</v>
      </c>
      <c r="AF162" s="9"/>
      <c r="AG162" s="22">
        <v>0.66543600000000003</v>
      </c>
      <c r="AH162" s="22">
        <v>178.94300000000001</v>
      </c>
      <c r="AI162" s="22">
        <v>-1.54419E-2</v>
      </c>
      <c r="AJ162" s="22">
        <v>152</v>
      </c>
      <c r="AK162" s="22">
        <v>0.66473400000000005</v>
      </c>
      <c r="AL162">
        <f t="shared" si="30"/>
        <v>15.4419</v>
      </c>
      <c r="AM162">
        <f t="shared" si="31"/>
        <v>10.2755961684</v>
      </c>
      <c r="AP162" s="9"/>
      <c r="AQ162" s="22">
        <v>1.0345500000000001</v>
      </c>
      <c r="AR162" s="22">
        <v>228.38900000000001</v>
      </c>
      <c r="AS162" s="22">
        <v>-1.5002400000000001E-2</v>
      </c>
      <c r="AT162" s="22">
        <v>152</v>
      </c>
      <c r="AU162" s="22">
        <v>1.03363</v>
      </c>
      <c r="AV162">
        <f t="shared" si="32"/>
        <v>15.002400000000002</v>
      </c>
      <c r="AW162">
        <f t="shared" si="33"/>
        <v>15.520732920000002</v>
      </c>
      <c r="AX162" s="9"/>
      <c r="AY162" s="22">
        <v>0.66543600000000003</v>
      </c>
      <c r="AZ162" s="22">
        <v>262.72899999999998</v>
      </c>
      <c r="BA162" s="22">
        <v>-1.52985E-2</v>
      </c>
      <c r="BB162" s="22">
        <v>152</v>
      </c>
      <c r="BC162" s="22">
        <v>0.66473400000000005</v>
      </c>
      <c r="BD162">
        <f t="shared" si="34"/>
        <v>15.298499999999999</v>
      </c>
      <c r="BE162">
        <f t="shared" si="35"/>
        <v>10.180172645999999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50.595999999999997</v>
      </c>
      <c r="I163" s="22">
        <v>-1.53931E-2</v>
      </c>
      <c r="J163" s="22">
        <v>153</v>
      </c>
      <c r="K163" s="22">
        <v>1.02905</v>
      </c>
      <c r="L163">
        <f t="shared" si="24"/>
        <v>15.3931</v>
      </c>
      <c r="M163">
        <f t="shared" si="25"/>
        <v>15.847350381</v>
      </c>
      <c r="N163" s="9"/>
      <c r="O163" s="22">
        <v>0.67047100000000004</v>
      </c>
      <c r="P163" s="22">
        <v>100.02200000000001</v>
      </c>
      <c r="Q163" s="22">
        <v>-1.55304E-2</v>
      </c>
      <c r="R163" s="22">
        <v>153</v>
      </c>
      <c r="S163" s="22">
        <v>0.66973899999999997</v>
      </c>
      <c r="T163">
        <f t="shared" si="26"/>
        <v>15.5304</v>
      </c>
      <c r="U163">
        <f t="shared" si="27"/>
        <v>10.4126828184</v>
      </c>
      <c r="X163" s="9"/>
      <c r="Y163" s="22">
        <v>1.0295099999999999</v>
      </c>
      <c r="Z163" s="22">
        <v>129.47900000000001</v>
      </c>
      <c r="AA163" s="22">
        <v>-1.5170299999999999E-2</v>
      </c>
      <c r="AB163" s="22">
        <v>153</v>
      </c>
      <c r="AC163" s="22">
        <v>1.0287500000000001</v>
      </c>
      <c r="AD163">
        <f t="shared" si="28"/>
        <v>15.170299999999999</v>
      </c>
      <c r="AE163">
        <f t="shared" si="29"/>
        <v>15.617975552999997</v>
      </c>
      <c r="AF163" s="9"/>
      <c r="AG163" s="22">
        <v>0.67047100000000004</v>
      </c>
      <c r="AH163" s="22">
        <v>178.953</v>
      </c>
      <c r="AI163" s="22">
        <v>-1.54358E-2</v>
      </c>
      <c r="AJ163" s="22">
        <v>153</v>
      </c>
      <c r="AK163" s="22">
        <v>0.66983000000000004</v>
      </c>
      <c r="AL163">
        <f t="shared" si="30"/>
        <v>15.4358</v>
      </c>
      <c r="AM163">
        <f t="shared" si="31"/>
        <v>10.349256261800001</v>
      </c>
      <c r="AP163" s="9"/>
      <c r="AQ163" s="22">
        <v>1.0295099999999999</v>
      </c>
      <c r="AR163" s="22">
        <v>228.399</v>
      </c>
      <c r="AS163" s="22">
        <v>-1.5008499999999999E-2</v>
      </c>
      <c r="AT163" s="22">
        <v>153</v>
      </c>
      <c r="AU163" s="22">
        <v>1.0287500000000001</v>
      </c>
      <c r="AV163">
        <f t="shared" si="32"/>
        <v>15.0085</v>
      </c>
      <c r="AW163">
        <f t="shared" si="33"/>
        <v>15.451400834999999</v>
      </c>
      <c r="AX163" s="9"/>
      <c r="AY163" s="22">
        <v>0.67047100000000004</v>
      </c>
      <c r="AZ163" s="22">
        <v>262.73899999999998</v>
      </c>
      <c r="BA163" s="22">
        <v>-1.52985E-2</v>
      </c>
      <c r="BB163" s="22">
        <v>153</v>
      </c>
      <c r="BC163" s="22">
        <v>0.66979999999999995</v>
      </c>
      <c r="BD163">
        <f t="shared" si="34"/>
        <v>15.298499999999999</v>
      </c>
      <c r="BE163">
        <f t="shared" si="35"/>
        <v>10.2572005935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50.606099999999998</v>
      </c>
      <c r="I164" s="22">
        <v>-1.54022E-2</v>
      </c>
      <c r="J164" s="22">
        <v>154</v>
      </c>
      <c r="K164" s="22">
        <v>1.02356</v>
      </c>
      <c r="L164">
        <f t="shared" si="24"/>
        <v>15.402199999999999</v>
      </c>
      <c r="M164">
        <f t="shared" si="25"/>
        <v>15.779245855999999</v>
      </c>
      <c r="N164" s="9"/>
      <c r="O164" s="22">
        <v>0.67550699999999997</v>
      </c>
      <c r="P164" s="22">
        <v>100.032</v>
      </c>
      <c r="Q164" s="22">
        <v>-1.5533399999999999E-2</v>
      </c>
      <c r="R164" s="22">
        <v>154</v>
      </c>
      <c r="S164" s="22">
        <v>0.67477399999999998</v>
      </c>
      <c r="T164">
        <f t="shared" si="26"/>
        <v>15.533399999999999</v>
      </c>
      <c r="U164">
        <f t="shared" si="27"/>
        <v>10.492920433799998</v>
      </c>
      <c r="X164" s="9"/>
      <c r="Y164" s="22">
        <v>1.0244800000000001</v>
      </c>
      <c r="Z164" s="22">
        <v>129.49</v>
      </c>
      <c r="AA164" s="22">
        <v>-1.51886E-2</v>
      </c>
      <c r="AB164" s="22">
        <v>154</v>
      </c>
      <c r="AC164" s="22">
        <v>1.02325</v>
      </c>
      <c r="AD164">
        <f t="shared" si="28"/>
        <v>15.188599999999999</v>
      </c>
      <c r="AE164">
        <f t="shared" si="29"/>
        <v>15.560416928</v>
      </c>
      <c r="AF164" s="9"/>
      <c r="AG164" s="22">
        <v>0.67550699999999997</v>
      </c>
      <c r="AH164" s="22">
        <v>178.96299999999999</v>
      </c>
      <c r="AI164" s="22">
        <v>-1.5429699999999999E-2</v>
      </c>
      <c r="AJ164" s="22">
        <v>154</v>
      </c>
      <c r="AK164" s="22">
        <v>0.67474400000000001</v>
      </c>
      <c r="AL164">
        <f t="shared" si="30"/>
        <v>15.429699999999999</v>
      </c>
      <c r="AM164">
        <f t="shared" si="31"/>
        <v>10.422870357899999</v>
      </c>
      <c r="AP164" s="9"/>
      <c r="AQ164" s="22">
        <v>1.0244800000000001</v>
      </c>
      <c r="AR164" s="22">
        <v>228.40899999999999</v>
      </c>
      <c r="AS164" s="22">
        <v>-1.5014599999999999E-2</v>
      </c>
      <c r="AT164" s="22">
        <v>154</v>
      </c>
      <c r="AU164" s="22">
        <v>1.02356</v>
      </c>
      <c r="AV164">
        <f t="shared" si="32"/>
        <v>15.0146</v>
      </c>
      <c r="AW164">
        <f t="shared" si="33"/>
        <v>15.382157408000001</v>
      </c>
      <c r="AX164" s="9"/>
      <c r="AY164" s="22">
        <v>0.67550699999999997</v>
      </c>
      <c r="AZ164" s="22">
        <v>262.75</v>
      </c>
      <c r="BA164" s="22">
        <v>-1.52893E-2</v>
      </c>
      <c r="BB164" s="22">
        <v>154</v>
      </c>
      <c r="BC164" s="22">
        <v>0.67480499999999999</v>
      </c>
      <c r="BD164">
        <f t="shared" si="34"/>
        <v>15.289300000000001</v>
      </c>
      <c r="BE164">
        <f t="shared" si="35"/>
        <v>10.328029175099999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50.616100000000003</v>
      </c>
      <c r="I165" s="22">
        <v>-1.54083E-2</v>
      </c>
      <c r="J165" s="22">
        <v>155</v>
      </c>
      <c r="K165" s="22">
        <v>1.01837</v>
      </c>
      <c r="L165">
        <f t="shared" si="24"/>
        <v>15.408300000000001</v>
      </c>
      <c r="M165">
        <f t="shared" si="25"/>
        <v>15.707837351999999</v>
      </c>
      <c r="N165" s="9"/>
      <c r="O165" s="22">
        <v>0.68054199999999998</v>
      </c>
      <c r="P165" s="22">
        <v>100.04300000000001</v>
      </c>
      <c r="Q165" s="22">
        <v>-1.5527300000000001E-2</v>
      </c>
      <c r="R165" s="22">
        <v>155</v>
      </c>
      <c r="S165" s="22">
        <v>0.67981000000000003</v>
      </c>
      <c r="T165">
        <f t="shared" si="26"/>
        <v>15.5273</v>
      </c>
      <c r="U165">
        <f t="shared" si="27"/>
        <v>10.5669797966</v>
      </c>
      <c r="X165" s="9"/>
      <c r="Y165" s="22">
        <v>1.0194399999999999</v>
      </c>
      <c r="Z165" s="22">
        <v>129.5</v>
      </c>
      <c r="AA165" s="22">
        <v>-1.521E-2</v>
      </c>
      <c r="AB165" s="22">
        <v>155</v>
      </c>
      <c r="AC165" s="22">
        <v>1.01837</v>
      </c>
      <c r="AD165">
        <f t="shared" si="28"/>
        <v>15.209999999999999</v>
      </c>
      <c r="AE165">
        <f t="shared" si="29"/>
        <v>15.505682399999998</v>
      </c>
      <c r="AF165" s="9"/>
      <c r="AG165" s="22">
        <v>0.68054199999999998</v>
      </c>
      <c r="AH165" s="22">
        <v>178.97300000000001</v>
      </c>
      <c r="AI165" s="22">
        <v>-1.54266E-2</v>
      </c>
      <c r="AJ165" s="22">
        <v>155</v>
      </c>
      <c r="AK165" s="22">
        <v>0.67984</v>
      </c>
      <c r="AL165">
        <f t="shared" si="30"/>
        <v>15.426600000000001</v>
      </c>
      <c r="AM165">
        <f t="shared" si="31"/>
        <v>10.498449217199999</v>
      </c>
      <c r="AP165" s="9"/>
      <c r="AQ165" s="22">
        <v>1.0194399999999999</v>
      </c>
      <c r="AR165" s="22">
        <v>228.41900000000001</v>
      </c>
      <c r="AS165" s="22">
        <v>-1.5014599999999999E-2</v>
      </c>
      <c r="AT165" s="22">
        <v>155</v>
      </c>
      <c r="AU165" s="22">
        <v>1.01807</v>
      </c>
      <c r="AV165">
        <f t="shared" si="32"/>
        <v>15.0146</v>
      </c>
      <c r="AW165">
        <f t="shared" si="33"/>
        <v>15.306483823999999</v>
      </c>
      <c r="AX165" s="9"/>
      <c r="AY165" s="22">
        <v>0.68054199999999998</v>
      </c>
      <c r="AZ165" s="22">
        <v>262.76</v>
      </c>
      <c r="BA165" s="22">
        <v>-1.5271E-2</v>
      </c>
      <c r="BB165" s="22">
        <v>155</v>
      </c>
      <c r="BC165" s="22">
        <v>0.679871</v>
      </c>
      <c r="BD165">
        <f t="shared" si="34"/>
        <v>15.270999999999999</v>
      </c>
      <c r="BE165">
        <f t="shared" si="35"/>
        <v>10.392556881999999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50.626199999999997</v>
      </c>
      <c r="I166" s="22">
        <v>-1.54144E-2</v>
      </c>
      <c r="J166" s="22">
        <v>156</v>
      </c>
      <c r="K166" s="22">
        <v>1.01349</v>
      </c>
      <c r="L166">
        <f t="shared" si="24"/>
        <v>15.414400000000001</v>
      </c>
      <c r="M166">
        <f t="shared" si="25"/>
        <v>15.636367359999999</v>
      </c>
      <c r="N166" s="9"/>
      <c r="O166" s="22">
        <v>0.68557699999999999</v>
      </c>
      <c r="P166" s="22">
        <v>100.053</v>
      </c>
      <c r="Q166" s="22">
        <v>-1.5521200000000001E-2</v>
      </c>
      <c r="R166" s="22">
        <v>156</v>
      </c>
      <c r="S166" s="22">
        <v>0.68484500000000004</v>
      </c>
      <c r="T166">
        <f t="shared" si="26"/>
        <v>15.5212</v>
      </c>
      <c r="U166">
        <f t="shared" si="27"/>
        <v>10.6409777324</v>
      </c>
      <c r="X166" s="9"/>
      <c r="Y166" s="22">
        <v>1.0144</v>
      </c>
      <c r="Z166" s="22">
        <v>129.51</v>
      </c>
      <c r="AA166" s="22">
        <v>-1.52161E-2</v>
      </c>
      <c r="AB166" s="22">
        <v>156</v>
      </c>
      <c r="AC166" s="22">
        <v>1.01318</v>
      </c>
      <c r="AD166">
        <f t="shared" si="28"/>
        <v>15.216099999999999</v>
      </c>
      <c r="AE166">
        <f t="shared" si="29"/>
        <v>15.435211839999999</v>
      </c>
      <c r="AF166" s="9"/>
      <c r="AG166" s="22">
        <v>0.68557699999999999</v>
      </c>
      <c r="AH166" s="22">
        <v>178.983</v>
      </c>
      <c r="AI166" s="22">
        <v>-1.5417500000000001E-2</v>
      </c>
      <c r="AJ166" s="22">
        <v>156</v>
      </c>
      <c r="AK166" s="22">
        <v>0.68484500000000004</v>
      </c>
      <c r="AL166">
        <f t="shared" si="30"/>
        <v>15.4175</v>
      </c>
      <c r="AM166">
        <f t="shared" si="31"/>
        <v>10.5698833975</v>
      </c>
      <c r="AP166" s="9"/>
      <c r="AQ166" s="22">
        <v>1.0144</v>
      </c>
      <c r="AR166" s="22">
        <v>228.43</v>
      </c>
      <c r="AS166" s="22">
        <v>-1.5020800000000001E-2</v>
      </c>
      <c r="AT166" s="22">
        <v>156</v>
      </c>
      <c r="AU166" s="22">
        <v>1.01379</v>
      </c>
      <c r="AV166">
        <f t="shared" si="32"/>
        <v>15.020800000000001</v>
      </c>
      <c r="AW166">
        <f t="shared" si="33"/>
        <v>15.237099520000001</v>
      </c>
      <c r="AX166" s="9"/>
      <c r="AY166" s="22">
        <v>0.68557699999999999</v>
      </c>
      <c r="AZ166" s="22">
        <v>262.77</v>
      </c>
      <c r="BA166" s="22">
        <v>-1.52649E-2</v>
      </c>
      <c r="BB166" s="22">
        <v>156</v>
      </c>
      <c r="BC166" s="22">
        <v>0.68484500000000004</v>
      </c>
      <c r="BD166">
        <f t="shared" si="34"/>
        <v>15.264899999999999</v>
      </c>
      <c r="BE166">
        <f t="shared" si="35"/>
        <v>10.4652643473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50.636299999999999</v>
      </c>
      <c r="I167" s="22">
        <v>-1.54144E-2</v>
      </c>
      <c r="J167" s="22">
        <v>157</v>
      </c>
      <c r="K167" s="22">
        <v>1.00891</v>
      </c>
      <c r="L167">
        <f t="shared" si="24"/>
        <v>15.414400000000001</v>
      </c>
      <c r="M167">
        <f t="shared" si="25"/>
        <v>15.558832928000003</v>
      </c>
      <c r="N167" s="9"/>
      <c r="O167" s="22">
        <v>0.69061300000000003</v>
      </c>
      <c r="P167" s="22">
        <v>100.063</v>
      </c>
      <c r="Q167" s="22">
        <v>-1.55151E-2</v>
      </c>
      <c r="R167" s="22">
        <v>157</v>
      </c>
      <c r="S167" s="22">
        <v>0.68991100000000005</v>
      </c>
      <c r="T167">
        <f t="shared" si="26"/>
        <v>15.5151</v>
      </c>
      <c r="U167">
        <f t="shared" si="27"/>
        <v>10.7149297563</v>
      </c>
      <c r="X167" s="9"/>
      <c r="Y167" s="22">
        <v>1.0093700000000001</v>
      </c>
      <c r="Z167" s="22">
        <v>129.52000000000001</v>
      </c>
      <c r="AA167" s="22">
        <v>-1.5225199999999999E-2</v>
      </c>
      <c r="AB167" s="22">
        <v>157</v>
      </c>
      <c r="AC167" s="22">
        <v>1.00861</v>
      </c>
      <c r="AD167">
        <f t="shared" si="28"/>
        <v>15.225199999999999</v>
      </c>
      <c r="AE167">
        <f t="shared" si="29"/>
        <v>15.367860124</v>
      </c>
      <c r="AF167" s="9"/>
      <c r="AG167" s="22">
        <v>0.69061300000000003</v>
      </c>
      <c r="AH167" s="22">
        <v>178.99299999999999</v>
      </c>
      <c r="AI167" s="22">
        <v>-1.54144E-2</v>
      </c>
      <c r="AJ167" s="22">
        <v>157</v>
      </c>
      <c r="AK167" s="22">
        <v>0.68988000000000005</v>
      </c>
      <c r="AL167">
        <f t="shared" si="30"/>
        <v>15.414400000000001</v>
      </c>
      <c r="AM167">
        <f t="shared" si="31"/>
        <v>10.645385027200001</v>
      </c>
      <c r="AP167" s="9"/>
      <c r="AQ167" s="22">
        <v>1.0093700000000001</v>
      </c>
      <c r="AR167" s="22">
        <v>228.44</v>
      </c>
      <c r="AS167" s="22">
        <v>-1.5029900000000001E-2</v>
      </c>
      <c r="AT167" s="22">
        <v>157</v>
      </c>
      <c r="AU167" s="22">
        <v>1.0083</v>
      </c>
      <c r="AV167">
        <f t="shared" si="32"/>
        <v>15.029900000000001</v>
      </c>
      <c r="AW167">
        <f t="shared" si="33"/>
        <v>15.170730163000004</v>
      </c>
      <c r="AX167" s="9"/>
      <c r="AY167" s="22">
        <v>0.69061300000000003</v>
      </c>
      <c r="AZ167" s="22">
        <v>262.77999999999997</v>
      </c>
      <c r="BA167" s="22">
        <v>-1.5252699999999999E-2</v>
      </c>
      <c r="BB167" s="22">
        <v>157</v>
      </c>
      <c r="BC167" s="22">
        <v>0.68988000000000005</v>
      </c>
      <c r="BD167">
        <f t="shared" si="34"/>
        <v>15.252699999999999</v>
      </c>
      <c r="BE167">
        <f t="shared" si="35"/>
        <v>10.5337129051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50.6464</v>
      </c>
      <c r="I168" s="22">
        <v>-1.54053E-2</v>
      </c>
      <c r="J168" s="22">
        <v>158</v>
      </c>
      <c r="K168" s="22">
        <v>1.0037199999999999</v>
      </c>
      <c r="L168">
        <f t="shared" si="24"/>
        <v>15.4053</v>
      </c>
      <c r="M168">
        <f t="shared" si="25"/>
        <v>15.472004949</v>
      </c>
      <c r="N168" s="9"/>
      <c r="O168" s="22">
        <v>0.69564800000000004</v>
      </c>
      <c r="P168" s="22">
        <v>100.07299999999999</v>
      </c>
      <c r="Q168" s="22">
        <v>-1.5506000000000001E-2</v>
      </c>
      <c r="R168" s="22">
        <v>158</v>
      </c>
      <c r="S168" s="22">
        <v>0.69497699999999996</v>
      </c>
      <c r="T168">
        <f t="shared" si="26"/>
        <v>15.506</v>
      </c>
      <c r="U168">
        <f t="shared" si="27"/>
        <v>10.786717888</v>
      </c>
      <c r="X168" s="9"/>
      <c r="Y168" s="22">
        <v>1.0043299999999999</v>
      </c>
      <c r="Z168" s="22">
        <v>129.53</v>
      </c>
      <c r="AA168" s="22">
        <v>-1.52313E-2</v>
      </c>
      <c r="AB168" s="22">
        <v>158</v>
      </c>
      <c r="AC168" s="22">
        <v>1.00342</v>
      </c>
      <c r="AD168">
        <f t="shared" si="28"/>
        <v>15.231299999999999</v>
      </c>
      <c r="AE168">
        <f t="shared" si="29"/>
        <v>15.297251528999999</v>
      </c>
      <c r="AF168" s="9"/>
      <c r="AG168" s="22">
        <v>0.69564800000000004</v>
      </c>
      <c r="AH168" s="22">
        <v>179.00299999999999</v>
      </c>
      <c r="AI168" s="22">
        <v>-1.53992E-2</v>
      </c>
      <c r="AJ168" s="22">
        <v>158</v>
      </c>
      <c r="AK168" s="22">
        <v>0.69500700000000004</v>
      </c>
      <c r="AL168">
        <f t="shared" si="30"/>
        <v>15.3992</v>
      </c>
      <c r="AM168">
        <f t="shared" si="31"/>
        <v>10.712422681600001</v>
      </c>
      <c r="AP168" s="9"/>
      <c r="AQ168" s="22">
        <v>1.0043299999999999</v>
      </c>
      <c r="AR168" s="22">
        <v>228.45</v>
      </c>
      <c r="AS168" s="22">
        <v>-1.5036000000000001E-2</v>
      </c>
      <c r="AT168" s="22">
        <v>158</v>
      </c>
      <c r="AU168" s="22">
        <v>1.0037199999999999</v>
      </c>
      <c r="AV168">
        <f t="shared" si="32"/>
        <v>15.036000000000001</v>
      </c>
      <c r="AW168">
        <f t="shared" si="33"/>
        <v>15.10110588</v>
      </c>
      <c r="AX168" s="9"/>
      <c r="AY168" s="22">
        <v>0.69564800000000004</v>
      </c>
      <c r="AZ168" s="22">
        <v>262.79000000000002</v>
      </c>
      <c r="BA168" s="22">
        <v>-1.52496E-2</v>
      </c>
      <c r="BB168" s="22">
        <v>158</v>
      </c>
      <c r="BC168" s="22">
        <v>0.69503800000000004</v>
      </c>
      <c r="BD168">
        <f t="shared" si="34"/>
        <v>15.249600000000001</v>
      </c>
      <c r="BE168">
        <f t="shared" si="35"/>
        <v>10.608353740800002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50.656399999999998</v>
      </c>
      <c r="I169" s="22">
        <v>-1.54053E-2</v>
      </c>
      <c r="J169" s="22">
        <v>159</v>
      </c>
      <c r="K169" s="22">
        <v>0.99792499999999995</v>
      </c>
      <c r="L169">
        <f t="shared" si="24"/>
        <v>15.4053</v>
      </c>
      <c r="M169">
        <f t="shared" si="25"/>
        <v>15.3944854794</v>
      </c>
      <c r="N169" s="9"/>
      <c r="O169" s="22">
        <v>0.70068399999999997</v>
      </c>
      <c r="P169" s="22">
        <v>100.083</v>
      </c>
      <c r="Q169" s="22">
        <v>-1.55029E-2</v>
      </c>
      <c r="R169" s="22">
        <v>159</v>
      </c>
      <c r="S169" s="22">
        <v>0.69995099999999999</v>
      </c>
      <c r="T169">
        <f t="shared" si="26"/>
        <v>15.5029</v>
      </c>
      <c r="U169">
        <f t="shared" si="27"/>
        <v>10.8626339836</v>
      </c>
      <c r="X169" s="9"/>
      <c r="Y169" s="22">
        <v>0.99929800000000002</v>
      </c>
      <c r="Z169" s="22">
        <v>129.54</v>
      </c>
      <c r="AA169" s="22">
        <v>-1.52344E-2</v>
      </c>
      <c r="AB169" s="22">
        <v>159</v>
      </c>
      <c r="AC169" s="22">
        <v>0.99792499999999995</v>
      </c>
      <c r="AD169">
        <f t="shared" si="28"/>
        <v>15.234400000000001</v>
      </c>
      <c r="AE169">
        <f t="shared" si="29"/>
        <v>15.223705451200001</v>
      </c>
      <c r="AF169" s="9"/>
      <c r="AG169" s="22">
        <v>0.70068399999999997</v>
      </c>
      <c r="AH169" s="22">
        <v>179.01300000000001</v>
      </c>
      <c r="AI169" s="22">
        <v>-1.5396099999999999E-2</v>
      </c>
      <c r="AJ169" s="22">
        <v>159</v>
      </c>
      <c r="AK169" s="22">
        <v>0.69995099999999999</v>
      </c>
      <c r="AL169">
        <f t="shared" si="30"/>
        <v>15.396099999999999</v>
      </c>
      <c r="AM169">
        <f t="shared" si="31"/>
        <v>10.787800932399998</v>
      </c>
      <c r="AP169" s="9"/>
      <c r="AQ169" s="22">
        <v>0.99929800000000002</v>
      </c>
      <c r="AR169" s="22">
        <v>228.46</v>
      </c>
      <c r="AS169" s="22">
        <v>-1.50543E-2</v>
      </c>
      <c r="AT169" s="22">
        <v>159</v>
      </c>
      <c r="AU169" s="22">
        <v>0.99822999999999995</v>
      </c>
      <c r="AV169">
        <f t="shared" si="32"/>
        <v>15.0543</v>
      </c>
      <c r="AW169">
        <f t="shared" si="33"/>
        <v>15.043731881399999</v>
      </c>
      <c r="AX169" s="9"/>
      <c r="AY169" s="22">
        <v>0.70068399999999997</v>
      </c>
      <c r="AZ169" s="22">
        <v>262.8</v>
      </c>
      <c r="BA169" s="22">
        <v>-1.5240500000000001E-2</v>
      </c>
      <c r="BB169" s="22">
        <v>159</v>
      </c>
      <c r="BC169" s="22">
        <v>0.70007299999999995</v>
      </c>
      <c r="BD169">
        <f t="shared" si="34"/>
        <v>15.240500000000001</v>
      </c>
      <c r="BE169">
        <f t="shared" si="35"/>
        <v>10.678774502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50.666499999999999</v>
      </c>
      <c r="I170" s="22">
        <v>-1.54144E-2</v>
      </c>
      <c r="J170" s="22">
        <v>160</v>
      </c>
      <c r="K170" s="22">
        <v>0.99334699999999998</v>
      </c>
      <c r="L170">
        <f t="shared" si="24"/>
        <v>15.414400000000001</v>
      </c>
      <c r="M170">
        <f t="shared" si="25"/>
        <v>15.325967587200001</v>
      </c>
      <c r="N170" s="9"/>
      <c r="O170" s="22">
        <v>0.70571899999999999</v>
      </c>
      <c r="P170" s="22">
        <v>100.093</v>
      </c>
      <c r="Q170" s="22">
        <v>-1.5506000000000001E-2</v>
      </c>
      <c r="R170" s="22">
        <v>160</v>
      </c>
      <c r="S170" s="22">
        <v>0.705017</v>
      </c>
      <c r="T170">
        <f t="shared" si="26"/>
        <v>15.506</v>
      </c>
      <c r="U170">
        <f t="shared" si="27"/>
        <v>10.942878814</v>
      </c>
      <c r="X170" s="9"/>
      <c r="Y170" s="22">
        <v>0.99426300000000001</v>
      </c>
      <c r="Z170" s="22">
        <v>129.55000000000001</v>
      </c>
      <c r="AA170" s="22">
        <v>-1.52435E-2</v>
      </c>
      <c r="AB170" s="22">
        <v>160</v>
      </c>
      <c r="AC170" s="22">
        <v>0.99334699999999998</v>
      </c>
      <c r="AD170">
        <f t="shared" si="28"/>
        <v>15.243500000000001</v>
      </c>
      <c r="AE170">
        <f t="shared" si="29"/>
        <v>15.156048040500002</v>
      </c>
      <c r="AF170" s="9"/>
      <c r="AG170" s="22">
        <v>0.70571899999999999</v>
      </c>
      <c r="AH170" s="22">
        <v>179.023</v>
      </c>
      <c r="AI170" s="22">
        <v>-1.53931E-2</v>
      </c>
      <c r="AJ170" s="22">
        <v>160</v>
      </c>
      <c r="AK170" s="22">
        <v>0.70507799999999998</v>
      </c>
      <c r="AL170">
        <f t="shared" si="30"/>
        <v>15.3931</v>
      </c>
      <c r="AM170">
        <f t="shared" si="31"/>
        <v>10.863203138899999</v>
      </c>
      <c r="AP170" s="9"/>
      <c r="AQ170" s="22">
        <v>0.99426300000000001</v>
      </c>
      <c r="AR170" s="22">
        <v>228.47</v>
      </c>
      <c r="AS170" s="22">
        <v>-1.5063500000000001E-2</v>
      </c>
      <c r="AT170" s="22">
        <v>160</v>
      </c>
      <c r="AU170" s="22">
        <v>0.99304199999999998</v>
      </c>
      <c r="AV170">
        <f t="shared" si="32"/>
        <v>15.063500000000001</v>
      </c>
      <c r="AW170">
        <f t="shared" si="33"/>
        <v>14.977080700500002</v>
      </c>
      <c r="AX170" s="9"/>
      <c r="AY170" s="22">
        <v>0.70571899999999999</v>
      </c>
      <c r="AZ170" s="22">
        <v>262.81</v>
      </c>
      <c r="BA170" s="22">
        <v>-1.52283E-2</v>
      </c>
      <c r="BB170" s="22">
        <v>160</v>
      </c>
      <c r="BC170" s="22">
        <v>0.705017</v>
      </c>
      <c r="BD170">
        <f t="shared" si="34"/>
        <v>15.228300000000001</v>
      </c>
      <c r="BE170">
        <f t="shared" si="35"/>
        <v>10.7469006477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50.676600000000001</v>
      </c>
      <c r="I171" s="22">
        <v>-1.5417500000000001E-2</v>
      </c>
      <c r="J171" s="22">
        <v>161</v>
      </c>
      <c r="K171" s="22">
        <v>0.98846400000000001</v>
      </c>
      <c r="L171">
        <f t="shared" si="24"/>
        <v>15.4175</v>
      </c>
      <c r="M171">
        <f t="shared" si="25"/>
        <v>15.2514072725</v>
      </c>
      <c r="N171" s="9"/>
      <c r="O171" s="22">
        <v>0.710754</v>
      </c>
      <c r="P171" s="22">
        <v>100.10299999999999</v>
      </c>
      <c r="Q171" s="22">
        <v>-1.54938E-2</v>
      </c>
      <c r="R171" s="22">
        <v>161</v>
      </c>
      <c r="S171" s="22">
        <v>0.71008300000000002</v>
      </c>
      <c r="T171">
        <f t="shared" si="26"/>
        <v>15.4938</v>
      </c>
      <c r="U171">
        <f t="shared" si="27"/>
        <v>11.012280325200001</v>
      </c>
      <c r="X171" s="9"/>
      <c r="Y171" s="22">
        <v>0.98922699999999997</v>
      </c>
      <c r="Z171" s="22">
        <v>129.56</v>
      </c>
      <c r="AA171" s="22">
        <v>-1.5255700000000001E-2</v>
      </c>
      <c r="AB171" s="22">
        <v>161</v>
      </c>
      <c r="AC171" s="22">
        <v>0.98846400000000001</v>
      </c>
      <c r="AD171">
        <f t="shared" si="28"/>
        <v>15.255700000000001</v>
      </c>
      <c r="AE171">
        <f t="shared" si="29"/>
        <v>15.0913503439</v>
      </c>
      <c r="AF171" s="9"/>
      <c r="AG171" s="22">
        <v>0.710754</v>
      </c>
      <c r="AH171" s="22">
        <v>179.03299999999999</v>
      </c>
      <c r="AI171" s="22">
        <v>-1.5387E-2</v>
      </c>
      <c r="AJ171" s="22">
        <v>161</v>
      </c>
      <c r="AK171" s="22">
        <v>0.71008300000000002</v>
      </c>
      <c r="AL171">
        <f t="shared" si="30"/>
        <v>15.387</v>
      </c>
      <c r="AM171">
        <f t="shared" si="31"/>
        <v>10.936371798</v>
      </c>
      <c r="AP171" s="9"/>
      <c r="AQ171" s="22">
        <v>0.98922699999999997</v>
      </c>
      <c r="AR171" s="22">
        <v>228.48</v>
      </c>
      <c r="AS171" s="22">
        <v>-1.5069600000000001E-2</v>
      </c>
      <c r="AT171" s="22">
        <v>161</v>
      </c>
      <c r="AU171" s="22">
        <v>0.98877000000000004</v>
      </c>
      <c r="AV171">
        <f t="shared" si="32"/>
        <v>15.069600000000001</v>
      </c>
      <c r="AW171">
        <f t="shared" si="33"/>
        <v>14.907255199200002</v>
      </c>
      <c r="AX171" s="9"/>
      <c r="AY171" s="22">
        <v>0.710754</v>
      </c>
      <c r="AZ171" s="22">
        <v>262.82</v>
      </c>
      <c r="BA171" s="22">
        <v>-1.5219099999999999E-2</v>
      </c>
      <c r="BB171" s="22">
        <v>161</v>
      </c>
      <c r="BC171" s="22">
        <v>0.710144</v>
      </c>
      <c r="BD171">
        <f t="shared" si="34"/>
        <v>15.219099999999999</v>
      </c>
      <c r="BE171">
        <f t="shared" si="35"/>
        <v>10.817036201399999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50.686599999999999</v>
      </c>
      <c r="I172" s="22">
        <v>-1.54205E-2</v>
      </c>
      <c r="J172" s="22">
        <v>162</v>
      </c>
      <c r="K172" s="22">
        <v>0.98358199999999996</v>
      </c>
      <c r="L172">
        <f t="shared" si="24"/>
        <v>15.420500000000001</v>
      </c>
      <c r="M172">
        <f t="shared" si="25"/>
        <v>15.176732736</v>
      </c>
      <c r="N172" s="9"/>
      <c r="O172" s="22">
        <v>0.71579000000000004</v>
      </c>
      <c r="P172" s="22">
        <v>100.113</v>
      </c>
      <c r="Q172" s="22">
        <v>-1.54816E-2</v>
      </c>
      <c r="R172" s="22">
        <v>162</v>
      </c>
      <c r="S172" s="22">
        <v>0.71511800000000003</v>
      </c>
      <c r="T172">
        <f t="shared" si="26"/>
        <v>15.4816</v>
      </c>
      <c r="U172">
        <f t="shared" si="27"/>
        <v>11.081574464000001</v>
      </c>
      <c r="X172" s="9"/>
      <c r="Y172" s="22">
        <v>0.98419199999999996</v>
      </c>
      <c r="Z172" s="22">
        <v>129.57</v>
      </c>
      <c r="AA172" s="22">
        <v>-1.5267899999999999E-2</v>
      </c>
      <c r="AB172" s="22">
        <v>162</v>
      </c>
      <c r="AC172" s="22">
        <v>0.98327600000000004</v>
      </c>
      <c r="AD172">
        <f t="shared" si="28"/>
        <v>15.267899999999999</v>
      </c>
      <c r="AE172">
        <f t="shared" si="29"/>
        <v>15.026545036799998</v>
      </c>
      <c r="AF172" s="9"/>
      <c r="AG172" s="22">
        <v>0.71579000000000004</v>
      </c>
      <c r="AH172" s="22">
        <v>179.04400000000001</v>
      </c>
      <c r="AI172" s="22">
        <v>-1.5383900000000001E-2</v>
      </c>
      <c r="AJ172" s="22">
        <v>162</v>
      </c>
      <c r="AK172" s="22">
        <v>0.71511800000000003</v>
      </c>
      <c r="AL172">
        <f t="shared" si="30"/>
        <v>15.383900000000001</v>
      </c>
      <c r="AM172">
        <f t="shared" si="31"/>
        <v>11.011641781000002</v>
      </c>
      <c r="AP172" s="9"/>
      <c r="AQ172" s="22">
        <v>0.98419199999999996</v>
      </c>
      <c r="AR172" s="22">
        <v>228.49</v>
      </c>
      <c r="AS172" s="22">
        <v>-1.50726E-2</v>
      </c>
      <c r="AT172" s="22">
        <v>162</v>
      </c>
      <c r="AU172" s="22">
        <v>0.98327600000000004</v>
      </c>
      <c r="AV172">
        <f t="shared" si="32"/>
        <v>15.0726</v>
      </c>
      <c r="AW172">
        <f t="shared" si="33"/>
        <v>14.834332339199999</v>
      </c>
      <c r="AX172" s="9"/>
      <c r="AY172" s="22">
        <v>0.71579000000000004</v>
      </c>
      <c r="AZ172" s="22">
        <v>262.83</v>
      </c>
      <c r="BA172" s="22">
        <v>-1.5197799999999999E-2</v>
      </c>
      <c r="BB172" s="22">
        <v>162</v>
      </c>
      <c r="BC172" s="22">
        <v>0.71523999999999999</v>
      </c>
      <c r="BD172">
        <f t="shared" si="34"/>
        <v>15.197799999999999</v>
      </c>
      <c r="BE172">
        <f t="shared" si="35"/>
        <v>10.878433262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50.6967</v>
      </c>
      <c r="I173" s="22">
        <v>-1.54266E-2</v>
      </c>
      <c r="J173" s="22">
        <v>163</v>
      </c>
      <c r="K173" s="22">
        <v>0.97808799999999996</v>
      </c>
      <c r="L173">
        <f t="shared" si="24"/>
        <v>15.426600000000001</v>
      </c>
      <c r="M173">
        <f t="shared" si="25"/>
        <v>15.105047949600001</v>
      </c>
      <c r="N173" s="9"/>
      <c r="O173" s="22">
        <v>0.72082500000000005</v>
      </c>
      <c r="P173" s="22">
        <v>100.123</v>
      </c>
      <c r="Q173" s="22">
        <v>-1.54755E-2</v>
      </c>
      <c r="R173" s="22">
        <v>163</v>
      </c>
      <c r="S173" s="22">
        <v>0.72018400000000005</v>
      </c>
      <c r="T173">
        <f t="shared" si="26"/>
        <v>15.4755</v>
      </c>
      <c r="U173">
        <f t="shared" si="27"/>
        <v>11.155127287500001</v>
      </c>
      <c r="X173" s="9"/>
      <c r="Y173" s="22">
        <v>0.97915600000000003</v>
      </c>
      <c r="Z173" s="22">
        <v>129.58000000000001</v>
      </c>
      <c r="AA173" s="22">
        <v>-1.52771E-2</v>
      </c>
      <c r="AB173" s="22">
        <v>163</v>
      </c>
      <c r="AC173" s="22">
        <v>0.97839399999999999</v>
      </c>
      <c r="AD173">
        <f t="shared" si="28"/>
        <v>15.277100000000001</v>
      </c>
      <c r="AE173">
        <f t="shared" si="29"/>
        <v>14.958664127600001</v>
      </c>
      <c r="AF173" s="9"/>
      <c r="AG173" s="22">
        <v>0.72082500000000005</v>
      </c>
      <c r="AH173" s="22">
        <v>179.054</v>
      </c>
      <c r="AI173" s="22">
        <v>-1.5374799999999999E-2</v>
      </c>
      <c r="AJ173" s="22">
        <v>163</v>
      </c>
      <c r="AK173" s="22">
        <v>0.72015399999999996</v>
      </c>
      <c r="AL173">
        <f t="shared" si="30"/>
        <v>15.374799999999999</v>
      </c>
      <c r="AM173">
        <f t="shared" si="31"/>
        <v>11.082540209999999</v>
      </c>
      <c r="AP173" s="9"/>
      <c r="AQ173" s="22">
        <v>0.97915600000000003</v>
      </c>
      <c r="AR173" s="22">
        <v>228.5</v>
      </c>
      <c r="AS173" s="22">
        <v>-1.50787E-2</v>
      </c>
      <c r="AT173" s="22">
        <v>163</v>
      </c>
      <c r="AU173" s="22">
        <v>0.97808799999999996</v>
      </c>
      <c r="AV173">
        <f t="shared" si="32"/>
        <v>15.078700000000001</v>
      </c>
      <c r="AW173">
        <f t="shared" si="33"/>
        <v>14.764399577200003</v>
      </c>
      <c r="AX173" s="9"/>
      <c r="AY173" s="22">
        <v>0.72082500000000005</v>
      </c>
      <c r="AZ173" s="22">
        <v>262.83999999999997</v>
      </c>
      <c r="BA173" s="22">
        <v>-1.51825E-2</v>
      </c>
      <c r="BB173" s="22">
        <v>163</v>
      </c>
      <c r="BC173" s="22">
        <v>0.72012299999999996</v>
      </c>
      <c r="BD173">
        <f t="shared" si="34"/>
        <v>15.182499999999999</v>
      </c>
      <c r="BE173">
        <f t="shared" si="35"/>
        <v>10.9439255625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50.706800000000001</v>
      </c>
      <c r="I174" s="22">
        <v>-1.54419E-2</v>
      </c>
      <c r="J174" s="22">
        <v>164</v>
      </c>
      <c r="K174" s="22">
        <v>0.97289999999999999</v>
      </c>
      <c r="L174">
        <f t="shared" si="24"/>
        <v>15.4419</v>
      </c>
      <c r="M174">
        <f t="shared" si="25"/>
        <v>15.042279069900001</v>
      </c>
      <c r="N174" s="9"/>
      <c r="O174" s="22">
        <v>0.72586099999999998</v>
      </c>
      <c r="P174" s="22">
        <v>100.133</v>
      </c>
      <c r="Q174" s="22">
        <v>-1.5484599999999999E-2</v>
      </c>
      <c r="R174" s="22">
        <v>164</v>
      </c>
      <c r="S174" s="22">
        <v>0.72518899999999997</v>
      </c>
      <c r="T174">
        <f t="shared" si="26"/>
        <v>15.484599999999999</v>
      </c>
      <c r="U174">
        <f t="shared" si="27"/>
        <v>11.239667240599999</v>
      </c>
      <c r="X174" s="9"/>
      <c r="Y174" s="22">
        <v>0.97412100000000001</v>
      </c>
      <c r="Z174" s="22">
        <v>129.59</v>
      </c>
      <c r="AA174" s="22">
        <v>-1.5292399999999999E-2</v>
      </c>
      <c r="AB174" s="22">
        <v>164</v>
      </c>
      <c r="AC174" s="22">
        <v>0.97351100000000002</v>
      </c>
      <c r="AD174">
        <f t="shared" si="28"/>
        <v>15.292399999999999</v>
      </c>
      <c r="AE174">
        <f t="shared" si="29"/>
        <v>14.896647980399999</v>
      </c>
      <c r="AF174" s="9"/>
      <c r="AG174" s="22">
        <v>0.72586099999999998</v>
      </c>
      <c r="AH174" s="22">
        <v>179.06399999999999</v>
      </c>
      <c r="AI174" s="22">
        <v>-1.5374799999999999E-2</v>
      </c>
      <c r="AJ174" s="22">
        <v>164</v>
      </c>
      <c r="AK174" s="22">
        <v>0.725159</v>
      </c>
      <c r="AL174">
        <f t="shared" si="30"/>
        <v>15.374799999999999</v>
      </c>
      <c r="AM174">
        <f t="shared" si="31"/>
        <v>11.1599677028</v>
      </c>
      <c r="AP174" s="9"/>
      <c r="AQ174" s="22">
        <v>0.97412100000000001</v>
      </c>
      <c r="AR174" s="22">
        <v>228.51</v>
      </c>
      <c r="AS174" s="22">
        <v>-1.5081799999999999E-2</v>
      </c>
      <c r="AT174" s="22">
        <v>164</v>
      </c>
      <c r="AU174" s="22">
        <v>0.97320600000000002</v>
      </c>
      <c r="AV174">
        <f t="shared" si="32"/>
        <v>15.081799999999999</v>
      </c>
      <c r="AW174">
        <f t="shared" si="33"/>
        <v>14.6914980978</v>
      </c>
      <c r="AX174" s="9"/>
      <c r="AY174" s="22">
        <v>0.72586099999999998</v>
      </c>
      <c r="AZ174" s="22">
        <v>262.85000000000002</v>
      </c>
      <c r="BA174" s="22">
        <v>-1.5170299999999999E-2</v>
      </c>
      <c r="BB174" s="22">
        <v>164</v>
      </c>
      <c r="BC174" s="22">
        <v>0.72512799999999999</v>
      </c>
      <c r="BD174">
        <f t="shared" si="34"/>
        <v>15.170299999999999</v>
      </c>
      <c r="BE174">
        <f t="shared" si="35"/>
        <v>11.011529128299999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50.716900000000003</v>
      </c>
      <c r="I175" s="22">
        <v>-1.5448E-2</v>
      </c>
      <c r="J175" s="22">
        <v>165</v>
      </c>
      <c r="K175" s="22">
        <v>0.96771200000000002</v>
      </c>
      <c r="L175">
        <f t="shared" si="24"/>
        <v>15.448</v>
      </c>
      <c r="M175">
        <f t="shared" si="25"/>
        <v>14.970440528000001</v>
      </c>
      <c r="N175" s="9"/>
      <c r="O175" s="22">
        <v>0.73089599999999999</v>
      </c>
      <c r="P175" s="22">
        <v>100.143</v>
      </c>
      <c r="Q175" s="22">
        <v>-1.5484599999999999E-2</v>
      </c>
      <c r="R175" s="22">
        <v>165</v>
      </c>
      <c r="S175" s="22">
        <v>0.73016400000000004</v>
      </c>
      <c r="T175">
        <f t="shared" si="26"/>
        <v>15.484599999999999</v>
      </c>
      <c r="U175">
        <f t="shared" si="27"/>
        <v>11.317632201599999</v>
      </c>
      <c r="X175" s="9"/>
      <c r="Y175" s="22">
        <v>0.969086</v>
      </c>
      <c r="Z175" s="22">
        <v>129.6</v>
      </c>
      <c r="AA175" s="22">
        <v>-1.53046E-2</v>
      </c>
      <c r="AB175" s="22">
        <v>165</v>
      </c>
      <c r="AC175" s="22">
        <v>0.96801800000000005</v>
      </c>
      <c r="AD175">
        <f t="shared" si="28"/>
        <v>15.304600000000001</v>
      </c>
      <c r="AE175">
        <f t="shared" si="29"/>
        <v>14.8314735956</v>
      </c>
      <c r="AF175" s="9"/>
      <c r="AG175" s="22">
        <v>0.73089599999999999</v>
      </c>
      <c r="AH175" s="22">
        <v>179.07400000000001</v>
      </c>
      <c r="AI175" s="22">
        <v>-1.5368700000000001E-2</v>
      </c>
      <c r="AJ175" s="22">
        <v>165</v>
      </c>
      <c r="AK175" s="22">
        <v>0.73022500000000001</v>
      </c>
      <c r="AL175">
        <f t="shared" si="30"/>
        <v>15.3687</v>
      </c>
      <c r="AM175">
        <f t="shared" si="31"/>
        <v>11.2329213552</v>
      </c>
      <c r="AP175" s="9"/>
      <c r="AQ175" s="22">
        <v>0.969086</v>
      </c>
      <c r="AR175" s="22">
        <v>228.52</v>
      </c>
      <c r="AS175" s="22">
        <v>-1.5084800000000001E-2</v>
      </c>
      <c r="AT175" s="22">
        <v>165</v>
      </c>
      <c r="AU175" s="22">
        <v>0.96832300000000004</v>
      </c>
      <c r="AV175">
        <f t="shared" si="32"/>
        <v>15.084800000000001</v>
      </c>
      <c r="AW175">
        <f t="shared" si="33"/>
        <v>14.618468492800002</v>
      </c>
      <c r="AX175" s="9"/>
      <c r="AY175" s="22">
        <v>0.73089599999999999</v>
      </c>
      <c r="AZ175" s="22">
        <v>262.86</v>
      </c>
      <c r="BA175" s="22">
        <v>-1.51672E-2</v>
      </c>
      <c r="BB175" s="22">
        <v>165</v>
      </c>
      <c r="BC175" s="22">
        <v>0.73019400000000001</v>
      </c>
      <c r="BD175">
        <f t="shared" si="34"/>
        <v>15.167200000000001</v>
      </c>
      <c r="BE175">
        <f t="shared" si="35"/>
        <v>11.085645811200001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50.726900000000001</v>
      </c>
      <c r="I176" s="22">
        <v>-1.54541E-2</v>
      </c>
      <c r="J176" s="22">
        <v>166</v>
      </c>
      <c r="K176" s="22">
        <v>0.96313499999999996</v>
      </c>
      <c r="L176">
        <f t="shared" si="24"/>
        <v>15.4541</v>
      </c>
      <c r="M176">
        <f t="shared" si="25"/>
        <v>14.898525104999999</v>
      </c>
      <c r="N176" s="9"/>
      <c r="O176" s="22">
        <v>0.735931</v>
      </c>
      <c r="P176" s="22">
        <v>100.15300000000001</v>
      </c>
      <c r="Q176" s="22">
        <v>-1.54938E-2</v>
      </c>
      <c r="R176" s="22">
        <v>166</v>
      </c>
      <c r="S176" s="22">
        <v>0.73522900000000002</v>
      </c>
      <c r="T176">
        <f t="shared" si="26"/>
        <v>15.4938</v>
      </c>
      <c r="U176">
        <f t="shared" si="27"/>
        <v>11.4023677278</v>
      </c>
      <c r="X176" s="9"/>
      <c r="Y176" s="22">
        <v>0.96404999999999996</v>
      </c>
      <c r="Z176" s="22">
        <v>129.61000000000001</v>
      </c>
      <c r="AA176" s="22">
        <v>-1.53137E-2</v>
      </c>
      <c r="AB176" s="22">
        <v>166</v>
      </c>
      <c r="AC176" s="22">
        <v>0.96343999999999996</v>
      </c>
      <c r="AD176">
        <f t="shared" si="28"/>
        <v>15.313699999999999</v>
      </c>
      <c r="AE176">
        <f t="shared" si="29"/>
        <v>14.763172484999998</v>
      </c>
      <c r="AF176" s="9"/>
      <c r="AG176" s="22">
        <v>0.735931</v>
      </c>
      <c r="AH176" s="22">
        <v>179.084</v>
      </c>
      <c r="AI176" s="22">
        <v>-1.53656E-2</v>
      </c>
      <c r="AJ176" s="22">
        <v>166</v>
      </c>
      <c r="AK176" s="22">
        <v>0.73526000000000002</v>
      </c>
      <c r="AL176">
        <f t="shared" si="30"/>
        <v>15.365600000000001</v>
      </c>
      <c r="AM176">
        <f t="shared" si="31"/>
        <v>11.308021373600001</v>
      </c>
      <c r="AP176" s="9"/>
      <c r="AQ176" s="22">
        <v>0.96404999999999996</v>
      </c>
      <c r="AR176" s="22">
        <v>228.53</v>
      </c>
      <c r="AS176" s="22">
        <v>-1.5090900000000001E-2</v>
      </c>
      <c r="AT176" s="22">
        <v>166</v>
      </c>
      <c r="AU176" s="22">
        <v>0.96343999999999996</v>
      </c>
      <c r="AV176">
        <f t="shared" si="32"/>
        <v>15.090900000000001</v>
      </c>
      <c r="AW176">
        <f t="shared" si="33"/>
        <v>14.548382145000001</v>
      </c>
      <c r="AX176" s="9"/>
      <c r="AY176" s="22">
        <v>0.735931</v>
      </c>
      <c r="AZ176" s="22">
        <v>262.87</v>
      </c>
      <c r="BA176" s="22">
        <v>-1.5155E-2</v>
      </c>
      <c r="BB176" s="22">
        <v>166</v>
      </c>
      <c r="BC176" s="22">
        <v>0.735321</v>
      </c>
      <c r="BD176">
        <f t="shared" si="34"/>
        <v>15.154999999999999</v>
      </c>
      <c r="BE176">
        <f t="shared" si="35"/>
        <v>11.153034305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50.737000000000002</v>
      </c>
      <c r="I177" s="22">
        <v>-1.54602E-2</v>
      </c>
      <c r="J177" s="22">
        <v>167</v>
      </c>
      <c r="K177" s="22">
        <v>0.95794699999999999</v>
      </c>
      <c r="L177">
        <f t="shared" si="24"/>
        <v>15.4602</v>
      </c>
      <c r="M177">
        <f t="shared" si="25"/>
        <v>14.826563703</v>
      </c>
      <c r="N177" s="9"/>
      <c r="O177" s="22">
        <v>0.74096700000000004</v>
      </c>
      <c r="P177" s="22">
        <v>100.163</v>
      </c>
      <c r="Q177" s="22">
        <v>-1.54938E-2</v>
      </c>
      <c r="R177" s="22">
        <v>167</v>
      </c>
      <c r="S177" s="22">
        <v>0.74020399999999997</v>
      </c>
      <c r="T177">
        <f t="shared" si="26"/>
        <v>15.4938</v>
      </c>
      <c r="U177">
        <f t="shared" si="27"/>
        <v>11.480394504600001</v>
      </c>
      <c r="X177" s="9"/>
      <c r="Y177" s="22">
        <v>0.95901499999999995</v>
      </c>
      <c r="Z177" s="22">
        <v>129.62</v>
      </c>
      <c r="AA177" s="22">
        <v>-1.53107E-2</v>
      </c>
      <c r="AB177" s="22">
        <v>167</v>
      </c>
      <c r="AC177" s="22">
        <v>0.95855699999999999</v>
      </c>
      <c r="AD177">
        <f t="shared" si="28"/>
        <v>15.310700000000001</v>
      </c>
      <c r="AE177">
        <f t="shared" si="29"/>
        <v>14.683190960499999</v>
      </c>
      <c r="AF177" s="9"/>
      <c r="AG177" s="22">
        <v>0.74096700000000004</v>
      </c>
      <c r="AH177" s="22">
        <v>179.09399999999999</v>
      </c>
      <c r="AI177" s="22">
        <v>-1.53717E-2</v>
      </c>
      <c r="AJ177" s="22">
        <v>167</v>
      </c>
      <c r="AK177" s="22">
        <v>0.74038700000000002</v>
      </c>
      <c r="AL177">
        <f t="shared" si="30"/>
        <v>15.371700000000001</v>
      </c>
      <c r="AM177">
        <f t="shared" si="31"/>
        <v>11.389922433900001</v>
      </c>
      <c r="AP177" s="9"/>
      <c r="AQ177" s="22">
        <v>0.95901499999999995</v>
      </c>
      <c r="AR177" s="22">
        <v>228.54</v>
      </c>
      <c r="AS177" s="22">
        <v>-1.51001E-2</v>
      </c>
      <c r="AT177" s="22">
        <v>167</v>
      </c>
      <c r="AU177" s="22">
        <v>0.95825199999999999</v>
      </c>
      <c r="AV177">
        <f t="shared" si="32"/>
        <v>15.100099999999999</v>
      </c>
      <c r="AW177">
        <f t="shared" si="33"/>
        <v>14.481222401499998</v>
      </c>
      <c r="AX177" s="9"/>
      <c r="AY177" s="22">
        <v>0.74096700000000004</v>
      </c>
      <c r="AZ177" s="22">
        <v>262.88</v>
      </c>
      <c r="BA177" s="22">
        <v>-1.5158100000000001E-2</v>
      </c>
      <c r="BB177" s="22">
        <v>167</v>
      </c>
      <c r="BC177" s="22">
        <v>0.74026499999999995</v>
      </c>
      <c r="BD177">
        <f t="shared" si="34"/>
        <v>15.158100000000001</v>
      </c>
      <c r="BE177">
        <f t="shared" si="35"/>
        <v>11.231651882700001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50.747100000000003</v>
      </c>
      <c r="I178" s="22">
        <v>-1.5466300000000001E-2</v>
      </c>
      <c r="J178" s="22">
        <v>168</v>
      </c>
      <c r="K178" s="22">
        <v>0.95336900000000002</v>
      </c>
      <c r="L178">
        <f t="shared" si="24"/>
        <v>15.4663</v>
      </c>
      <c r="M178">
        <f t="shared" si="25"/>
        <v>14.754525407700001</v>
      </c>
      <c r="N178" s="9"/>
      <c r="O178" s="22">
        <v>0.74600200000000005</v>
      </c>
      <c r="P178" s="22">
        <v>100.173</v>
      </c>
      <c r="Q178" s="22">
        <v>-1.54968E-2</v>
      </c>
      <c r="R178" s="22">
        <v>168</v>
      </c>
      <c r="S178" s="22">
        <v>0.74533099999999997</v>
      </c>
      <c r="T178">
        <f t="shared" si="26"/>
        <v>15.4968</v>
      </c>
      <c r="U178">
        <f t="shared" si="27"/>
        <v>11.560643793600001</v>
      </c>
      <c r="X178" s="9"/>
      <c r="Y178" s="22">
        <v>0.95397900000000002</v>
      </c>
      <c r="Z178" s="22">
        <v>129.631</v>
      </c>
      <c r="AA178" s="22">
        <v>-1.5301500000000001E-2</v>
      </c>
      <c r="AB178" s="22">
        <v>168</v>
      </c>
      <c r="AC178" s="22">
        <v>0.95367400000000002</v>
      </c>
      <c r="AD178">
        <f t="shared" si="28"/>
        <v>15.301500000000001</v>
      </c>
      <c r="AE178">
        <f t="shared" si="29"/>
        <v>14.597309668500001</v>
      </c>
      <c r="AF178" s="9"/>
      <c r="AG178" s="22">
        <v>0.74600200000000005</v>
      </c>
      <c r="AH178" s="22">
        <v>179.10400000000001</v>
      </c>
      <c r="AI178" s="22">
        <v>-1.5368700000000001E-2</v>
      </c>
      <c r="AJ178" s="22">
        <v>168</v>
      </c>
      <c r="AK178" s="22">
        <v>0.74536100000000005</v>
      </c>
      <c r="AL178">
        <f t="shared" si="30"/>
        <v>15.3687</v>
      </c>
      <c r="AM178">
        <f t="shared" si="31"/>
        <v>11.465080937400002</v>
      </c>
      <c r="AP178" s="9"/>
      <c r="AQ178" s="22">
        <v>0.95397900000000002</v>
      </c>
      <c r="AR178" s="22">
        <v>228.55</v>
      </c>
      <c r="AS178" s="22">
        <v>-1.51062E-2</v>
      </c>
      <c r="AT178" s="22">
        <v>168</v>
      </c>
      <c r="AU178" s="22">
        <v>0.95306400000000002</v>
      </c>
      <c r="AV178">
        <f t="shared" si="32"/>
        <v>15.106199999999999</v>
      </c>
      <c r="AW178">
        <f t="shared" si="33"/>
        <v>14.410997569799999</v>
      </c>
      <c r="AX178" s="9"/>
      <c r="AY178" s="22">
        <v>0.74600200000000005</v>
      </c>
      <c r="AZ178" s="22">
        <v>262.89100000000002</v>
      </c>
      <c r="BA178" s="22">
        <v>-1.51672E-2</v>
      </c>
      <c r="BB178" s="22">
        <v>168</v>
      </c>
      <c r="BC178" s="22">
        <v>0.74529999999999996</v>
      </c>
      <c r="BD178">
        <f t="shared" si="34"/>
        <v>15.167200000000001</v>
      </c>
      <c r="BE178">
        <f t="shared" si="35"/>
        <v>11.314761534400002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50.757100000000001</v>
      </c>
      <c r="I179" s="22">
        <v>-1.5466300000000001E-2</v>
      </c>
      <c r="J179" s="22">
        <v>169</v>
      </c>
      <c r="K179" s="22">
        <v>0.94787600000000005</v>
      </c>
      <c r="L179">
        <f t="shared" si="24"/>
        <v>15.4663</v>
      </c>
      <c r="M179">
        <f t="shared" si="25"/>
        <v>14.676652587200001</v>
      </c>
      <c r="N179" s="9"/>
      <c r="O179" s="22">
        <v>0.75103799999999998</v>
      </c>
      <c r="P179" s="22">
        <v>100.184</v>
      </c>
      <c r="Q179" s="22">
        <v>-1.54938E-2</v>
      </c>
      <c r="R179" s="22">
        <v>169</v>
      </c>
      <c r="S179" s="22">
        <v>0.750305</v>
      </c>
      <c r="T179">
        <f t="shared" si="26"/>
        <v>15.4938</v>
      </c>
      <c r="U179">
        <f t="shared" si="27"/>
        <v>11.6364325644</v>
      </c>
      <c r="X179" s="9"/>
      <c r="Y179" s="22">
        <v>0.94894400000000001</v>
      </c>
      <c r="Z179" s="22">
        <v>129.64099999999999</v>
      </c>
      <c r="AA179" s="22">
        <v>-1.5292399999999999E-2</v>
      </c>
      <c r="AB179" s="22">
        <v>169</v>
      </c>
      <c r="AC179" s="22">
        <v>0.94787600000000005</v>
      </c>
      <c r="AD179">
        <f t="shared" si="28"/>
        <v>15.292399999999999</v>
      </c>
      <c r="AE179">
        <f t="shared" si="29"/>
        <v>14.511631225599999</v>
      </c>
      <c r="AF179" s="9"/>
      <c r="AG179" s="22">
        <v>0.75103799999999998</v>
      </c>
      <c r="AH179" s="22">
        <v>179.114</v>
      </c>
      <c r="AI179" s="22">
        <v>-1.53595E-2</v>
      </c>
      <c r="AJ179" s="22">
        <v>169</v>
      </c>
      <c r="AK179" s="22">
        <v>0.750305</v>
      </c>
      <c r="AL179">
        <f t="shared" si="30"/>
        <v>15.359500000000001</v>
      </c>
      <c r="AM179">
        <f t="shared" si="31"/>
        <v>11.535568161</v>
      </c>
      <c r="AP179" s="9"/>
      <c r="AQ179" s="22">
        <v>0.94894400000000001</v>
      </c>
      <c r="AR179" s="22">
        <v>228.56</v>
      </c>
      <c r="AS179" s="22">
        <v>-1.5109300000000001E-2</v>
      </c>
      <c r="AT179" s="22">
        <v>169</v>
      </c>
      <c r="AU179" s="22">
        <v>0.94787600000000005</v>
      </c>
      <c r="AV179">
        <f t="shared" si="32"/>
        <v>15.109300000000001</v>
      </c>
      <c r="AW179">
        <f t="shared" si="33"/>
        <v>14.337879579200001</v>
      </c>
      <c r="AX179" s="9"/>
      <c r="AY179" s="22">
        <v>0.75103799999999998</v>
      </c>
      <c r="AZ179" s="22">
        <v>262.90100000000001</v>
      </c>
      <c r="BA179" s="22">
        <v>-1.51672E-2</v>
      </c>
      <c r="BB179" s="22">
        <v>169</v>
      </c>
      <c r="BC179" s="22">
        <v>0.75027500000000003</v>
      </c>
      <c r="BD179">
        <f t="shared" si="34"/>
        <v>15.167200000000001</v>
      </c>
      <c r="BE179">
        <f t="shared" si="35"/>
        <v>11.391143553600001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50.767200000000003</v>
      </c>
      <c r="I180" s="22">
        <v>-1.5472400000000001E-2</v>
      </c>
      <c r="J180" s="22">
        <v>170</v>
      </c>
      <c r="K180" s="22">
        <v>0.94299299999999997</v>
      </c>
      <c r="L180">
        <f t="shared" si="24"/>
        <v>15.4724</v>
      </c>
      <c r="M180">
        <f t="shared" si="25"/>
        <v>14.6045376116</v>
      </c>
      <c r="N180" s="9"/>
      <c r="O180" s="22">
        <v>0.756073</v>
      </c>
      <c r="P180" s="22">
        <v>100.194</v>
      </c>
      <c r="Q180" s="22">
        <v>-1.5484599999999999E-2</v>
      </c>
      <c r="R180" s="22">
        <v>170</v>
      </c>
      <c r="S180" s="22">
        <v>0.75592000000000004</v>
      </c>
      <c r="T180">
        <f t="shared" si="26"/>
        <v>15.484599999999999</v>
      </c>
      <c r="U180">
        <f t="shared" si="27"/>
        <v>11.707487975799999</v>
      </c>
      <c r="X180" s="9"/>
      <c r="Y180" s="22">
        <v>0.943909</v>
      </c>
      <c r="Z180" s="22">
        <v>129.65100000000001</v>
      </c>
      <c r="AA180" s="22">
        <v>-1.52893E-2</v>
      </c>
      <c r="AB180" s="22">
        <v>170</v>
      </c>
      <c r="AC180" s="22">
        <v>0.943604</v>
      </c>
      <c r="AD180">
        <f t="shared" si="28"/>
        <v>15.289300000000001</v>
      </c>
      <c r="AE180">
        <f t="shared" si="29"/>
        <v>14.431707873700001</v>
      </c>
      <c r="AF180" s="9"/>
      <c r="AG180" s="22">
        <v>0.756073</v>
      </c>
      <c r="AH180" s="22">
        <v>179.124</v>
      </c>
      <c r="AI180" s="22">
        <v>-1.53534E-2</v>
      </c>
      <c r="AJ180" s="22">
        <v>170</v>
      </c>
      <c r="AK180" s="22">
        <v>0.75500500000000004</v>
      </c>
      <c r="AL180">
        <f t="shared" si="30"/>
        <v>15.353399999999999</v>
      </c>
      <c r="AM180">
        <f t="shared" si="31"/>
        <v>11.6082911982</v>
      </c>
      <c r="AP180" s="9"/>
      <c r="AQ180" s="22">
        <v>0.943909</v>
      </c>
      <c r="AR180" s="22">
        <v>228.571</v>
      </c>
      <c r="AS180" s="22">
        <v>-1.51031E-2</v>
      </c>
      <c r="AT180" s="22">
        <v>170</v>
      </c>
      <c r="AU180" s="22">
        <v>0.943604</v>
      </c>
      <c r="AV180">
        <f t="shared" si="32"/>
        <v>15.1031</v>
      </c>
      <c r="AW180">
        <f t="shared" si="33"/>
        <v>14.2559520179</v>
      </c>
      <c r="AX180" s="9"/>
      <c r="AY180" s="22">
        <v>0.756073</v>
      </c>
      <c r="AZ180" s="22">
        <v>262.911</v>
      </c>
      <c r="BA180" s="22">
        <v>-1.51611E-2</v>
      </c>
      <c r="BB180" s="22">
        <v>170</v>
      </c>
      <c r="BC180" s="22">
        <v>0.75500500000000004</v>
      </c>
      <c r="BD180">
        <f t="shared" si="34"/>
        <v>15.161100000000001</v>
      </c>
      <c r="BE180">
        <f t="shared" si="35"/>
        <v>11.462898360300001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50.777299999999997</v>
      </c>
      <c r="I181" s="22">
        <v>-1.54816E-2</v>
      </c>
      <c r="J181" s="22">
        <v>171</v>
      </c>
      <c r="K181" s="22">
        <v>0.93841600000000003</v>
      </c>
      <c r="L181">
        <f t="shared" si="24"/>
        <v>15.4816</v>
      </c>
      <c r="M181">
        <f t="shared" si="25"/>
        <v>14.5352562368</v>
      </c>
      <c r="N181" s="9"/>
      <c r="O181" s="22">
        <v>0.76110800000000001</v>
      </c>
      <c r="P181" s="22">
        <v>100.20399999999999</v>
      </c>
      <c r="Q181" s="22">
        <v>-1.5478499999999999E-2</v>
      </c>
      <c r="R181" s="22">
        <v>171</v>
      </c>
      <c r="S181" s="22">
        <v>0.76019300000000001</v>
      </c>
      <c r="T181">
        <f t="shared" si="26"/>
        <v>15.478499999999999</v>
      </c>
      <c r="U181">
        <f t="shared" si="27"/>
        <v>11.780810177999999</v>
      </c>
      <c r="X181" s="9"/>
      <c r="Y181" s="22">
        <v>0.93887299999999996</v>
      </c>
      <c r="Z181" s="22">
        <v>129.661</v>
      </c>
      <c r="AA181" s="22">
        <v>-1.52985E-2</v>
      </c>
      <c r="AB181" s="22">
        <v>171</v>
      </c>
      <c r="AC181" s="22">
        <v>0.93841600000000003</v>
      </c>
      <c r="AD181">
        <f t="shared" si="28"/>
        <v>15.298499999999999</v>
      </c>
      <c r="AE181">
        <f t="shared" si="29"/>
        <v>14.363348590499998</v>
      </c>
      <c r="AF181" s="9"/>
      <c r="AG181" s="22">
        <v>0.76110800000000001</v>
      </c>
      <c r="AH181" s="22">
        <v>179.13399999999999</v>
      </c>
      <c r="AI181" s="22">
        <v>-1.5341199999999999E-2</v>
      </c>
      <c r="AJ181" s="22">
        <v>171</v>
      </c>
      <c r="AK181" s="22">
        <v>0.76019300000000001</v>
      </c>
      <c r="AL181">
        <f t="shared" si="30"/>
        <v>15.341199999999999</v>
      </c>
      <c r="AM181">
        <f t="shared" si="31"/>
        <v>11.6763100496</v>
      </c>
      <c r="AP181" s="9"/>
      <c r="AQ181" s="22">
        <v>0.93887299999999996</v>
      </c>
      <c r="AR181" s="22">
        <v>228.58099999999999</v>
      </c>
      <c r="AS181" s="22">
        <v>-1.5090900000000001E-2</v>
      </c>
      <c r="AT181" s="22">
        <v>171</v>
      </c>
      <c r="AU181" s="22">
        <v>0.93811</v>
      </c>
      <c r="AV181">
        <f t="shared" si="32"/>
        <v>15.090900000000001</v>
      </c>
      <c r="AW181">
        <f t="shared" si="33"/>
        <v>14.1684385557</v>
      </c>
      <c r="AX181" s="9"/>
      <c r="AY181" s="22">
        <v>0.76110800000000001</v>
      </c>
      <c r="AZ181" s="22">
        <v>262.92099999999999</v>
      </c>
      <c r="BA181" s="22">
        <v>-1.51611E-2</v>
      </c>
      <c r="BB181" s="22">
        <v>171</v>
      </c>
      <c r="BC181" s="22">
        <v>0.76019300000000001</v>
      </c>
      <c r="BD181">
        <f t="shared" si="34"/>
        <v>15.161100000000001</v>
      </c>
      <c r="BE181">
        <f t="shared" si="35"/>
        <v>11.539234498800001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50.787300000000002</v>
      </c>
      <c r="I182" s="22">
        <v>-1.54907E-2</v>
      </c>
      <c r="J182" s="22">
        <v>172</v>
      </c>
      <c r="K182" s="22">
        <v>0.93231200000000003</v>
      </c>
      <c r="L182">
        <f t="shared" si="24"/>
        <v>15.4907</v>
      </c>
      <c r="M182">
        <f t="shared" si="25"/>
        <v>14.465804306599999</v>
      </c>
      <c r="N182" s="9"/>
      <c r="O182" s="22">
        <v>0.76614400000000005</v>
      </c>
      <c r="P182" s="22">
        <v>100.214</v>
      </c>
      <c r="Q182" s="22">
        <v>-1.5469399999999999E-2</v>
      </c>
      <c r="R182" s="22">
        <v>172</v>
      </c>
      <c r="S182" s="22">
        <v>0.76507599999999998</v>
      </c>
      <c r="T182">
        <f t="shared" si="26"/>
        <v>15.4694</v>
      </c>
      <c r="U182">
        <f t="shared" si="27"/>
        <v>11.8517879936</v>
      </c>
      <c r="X182" s="9"/>
      <c r="Y182" s="22">
        <v>0.93383799999999995</v>
      </c>
      <c r="Z182" s="22">
        <v>129.67099999999999</v>
      </c>
      <c r="AA182" s="22">
        <v>-1.5307599999999999E-2</v>
      </c>
      <c r="AB182" s="22">
        <v>172</v>
      </c>
      <c r="AC182" s="22">
        <v>0.93322799999999995</v>
      </c>
      <c r="AD182">
        <f t="shared" si="28"/>
        <v>15.307599999999999</v>
      </c>
      <c r="AE182">
        <f t="shared" si="29"/>
        <v>14.294818568799998</v>
      </c>
      <c r="AF182" s="9"/>
      <c r="AG182" s="22">
        <v>0.76614400000000005</v>
      </c>
      <c r="AH182" s="22">
        <v>179.14400000000001</v>
      </c>
      <c r="AI182" s="22">
        <v>-1.5335100000000001E-2</v>
      </c>
      <c r="AJ182" s="22">
        <v>172</v>
      </c>
      <c r="AK182" s="22">
        <v>0.76538099999999998</v>
      </c>
      <c r="AL182">
        <f t="shared" si="30"/>
        <v>15.335100000000001</v>
      </c>
      <c r="AM182">
        <f t="shared" si="31"/>
        <v>11.748894854400001</v>
      </c>
      <c r="AP182" s="9"/>
      <c r="AQ182" s="22">
        <v>0.93383799999999995</v>
      </c>
      <c r="AR182" s="22">
        <v>228.59100000000001</v>
      </c>
      <c r="AS182" s="22">
        <v>-1.50879E-2</v>
      </c>
      <c r="AT182" s="22">
        <v>172</v>
      </c>
      <c r="AU182" s="22">
        <v>0.93292200000000003</v>
      </c>
      <c r="AV182">
        <f t="shared" si="32"/>
        <v>15.087899999999999</v>
      </c>
      <c r="AW182">
        <f t="shared" si="33"/>
        <v>14.089654360199999</v>
      </c>
      <c r="AX182" s="9"/>
      <c r="AY182" s="22">
        <v>0.76614400000000005</v>
      </c>
      <c r="AZ182" s="22">
        <v>262.93099999999998</v>
      </c>
      <c r="BA182" s="22">
        <v>-1.5158100000000001E-2</v>
      </c>
      <c r="BB182" s="22">
        <v>172</v>
      </c>
      <c r="BC182" s="22">
        <v>0.76477099999999998</v>
      </c>
      <c r="BD182">
        <f t="shared" si="34"/>
        <v>15.158100000000001</v>
      </c>
      <c r="BE182">
        <f t="shared" si="35"/>
        <v>11.613287366400002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50.797400000000003</v>
      </c>
      <c r="I183" s="22">
        <v>-1.54968E-2</v>
      </c>
      <c r="J183" s="22">
        <v>173</v>
      </c>
      <c r="K183" s="22">
        <v>0.92803999999999998</v>
      </c>
      <c r="L183">
        <f t="shared" si="24"/>
        <v>15.4968</v>
      </c>
      <c r="M183">
        <f t="shared" si="25"/>
        <v>14.3934588336</v>
      </c>
      <c r="N183" s="9"/>
      <c r="O183" s="22">
        <v>0.77117899999999995</v>
      </c>
      <c r="P183" s="22">
        <v>100.224</v>
      </c>
      <c r="Q183" s="22">
        <v>-1.5466300000000001E-2</v>
      </c>
      <c r="R183" s="22">
        <v>173</v>
      </c>
      <c r="S183" s="22">
        <v>0.76965300000000003</v>
      </c>
      <c r="T183">
        <f t="shared" si="26"/>
        <v>15.4663</v>
      </c>
      <c r="U183">
        <f t="shared" si="27"/>
        <v>11.927285767699999</v>
      </c>
      <c r="X183" s="9"/>
      <c r="Y183" s="22">
        <v>0.92880200000000002</v>
      </c>
      <c r="Z183" s="22">
        <v>129.68100000000001</v>
      </c>
      <c r="AA183" s="22">
        <v>-1.5329000000000001E-2</v>
      </c>
      <c r="AB183" s="22">
        <v>173</v>
      </c>
      <c r="AC183" s="22">
        <v>0.92803999999999998</v>
      </c>
      <c r="AD183">
        <f t="shared" si="28"/>
        <v>15.329000000000001</v>
      </c>
      <c r="AE183">
        <f t="shared" si="29"/>
        <v>14.237605858</v>
      </c>
      <c r="AF183" s="9"/>
      <c r="AG183" s="22">
        <v>0.77117899999999995</v>
      </c>
      <c r="AH183" s="22">
        <v>179.154</v>
      </c>
      <c r="AI183" s="22">
        <v>-1.5329000000000001E-2</v>
      </c>
      <c r="AJ183" s="22">
        <v>173</v>
      </c>
      <c r="AK183" s="22">
        <v>0.76995800000000003</v>
      </c>
      <c r="AL183">
        <f t="shared" si="30"/>
        <v>15.329000000000001</v>
      </c>
      <c r="AM183">
        <f t="shared" si="31"/>
        <v>11.821402891</v>
      </c>
      <c r="AP183" s="9"/>
      <c r="AQ183" s="22">
        <v>0.92880200000000002</v>
      </c>
      <c r="AR183" s="22">
        <v>228.601</v>
      </c>
      <c r="AS183" s="22">
        <v>-1.5090900000000001E-2</v>
      </c>
      <c r="AT183" s="22">
        <v>173</v>
      </c>
      <c r="AU183" s="22">
        <v>0.92803999999999998</v>
      </c>
      <c r="AV183">
        <f t="shared" si="32"/>
        <v>15.090900000000001</v>
      </c>
      <c r="AW183">
        <f t="shared" si="33"/>
        <v>14.016458101800001</v>
      </c>
      <c r="AX183" s="9"/>
      <c r="AY183" s="22">
        <v>0.77117899999999995</v>
      </c>
      <c r="AZ183" s="22">
        <v>262.94099999999997</v>
      </c>
      <c r="BA183" s="22">
        <v>-1.5158100000000001E-2</v>
      </c>
      <c r="BB183" s="22">
        <v>173</v>
      </c>
      <c r="BC183" s="22">
        <v>0.76995800000000003</v>
      </c>
      <c r="BD183">
        <f t="shared" si="34"/>
        <v>15.158100000000001</v>
      </c>
      <c r="BE183">
        <f t="shared" si="35"/>
        <v>11.689608399899999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50.807499999999997</v>
      </c>
      <c r="I184" s="22">
        <v>-1.55029E-2</v>
      </c>
      <c r="J184" s="22">
        <v>174</v>
      </c>
      <c r="K184" s="22">
        <v>0.92285200000000001</v>
      </c>
      <c r="L184">
        <f t="shared" si="24"/>
        <v>15.5029</v>
      </c>
      <c r="M184">
        <f t="shared" si="25"/>
        <v>14.321067424300001</v>
      </c>
      <c r="N184" s="9"/>
      <c r="O184" s="22">
        <v>0.77621499999999999</v>
      </c>
      <c r="P184" s="22">
        <v>100.23399999999999</v>
      </c>
      <c r="Q184" s="22">
        <v>-1.5463299999999999E-2</v>
      </c>
      <c r="R184" s="22">
        <v>174</v>
      </c>
      <c r="S184" s="22">
        <v>0.77575700000000003</v>
      </c>
      <c r="T184">
        <f t="shared" si="26"/>
        <v>15.463299999999998</v>
      </c>
      <c r="U184">
        <f t="shared" si="27"/>
        <v>12.002845409499999</v>
      </c>
      <c r="X184" s="9"/>
      <c r="Y184" s="22">
        <v>0.923767</v>
      </c>
      <c r="Z184" s="22">
        <v>129.691</v>
      </c>
      <c r="AA184" s="22">
        <v>-1.5344200000000001E-2</v>
      </c>
      <c r="AB184" s="22">
        <v>174</v>
      </c>
      <c r="AC184" s="22">
        <v>0.92254599999999998</v>
      </c>
      <c r="AD184">
        <f t="shared" si="28"/>
        <v>15.344200000000001</v>
      </c>
      <c r="AE184">
        <f t="shared" si="29"/>
        <v>14.174465601400001</v>
      </c>
      <c r="AF184" s="9"/>
      <c r="AG184" s="22">
        <v>0.77621499999999999</v>
      </c>
      <c r="AH184" s="22">
        <v>179.16399999999999</v>
      </c>
      <c r="AI184" s="22">
        <v>-1.53198E-2</v>
      </c>
      <c r="AJ184" s="22">
        <v>174</v>
      </c>
      <c r="AK184" s="22">
        <v>0.775146</v>
      </c>
      <c r="AL184">
        <f t="shared" si="30"/>
        <v>15.319799999999999</v>
      </c>
      <c r="AM184">
        <f t="shared" si="31"/>
        <v>11.891458556999998</v>
      </c>
      <c r="AP184" s="9"/>
      <c r="AQ184" s="22">
        <v>0.923767</v>
      </c>
      <c r="AR184" s="22">
        <v>228.61099999999999</v>
      </c>
      <c r="AS184" s="22">
        <v>-1.5090900000000001E-2</v>
      </c>
      <c r="AT184" s="22">
        <v>174</v>
      </c>
      <c r="AU184" s="22">
        <v>0.92285200000000001</v>
      </c>
      <c r="AV184">
        <f t="shared" si="32"/>
        <v>15.090900000000001</v>
      </c>
      <c r="AW184">
        <f t="shared" si="33"/>
        <v>13.940475420300002</v>
      </c>
      <c r="AX184" s="9"/>
      <c r="AY184" s="22">
        <v>0.77621499999999999</v>
      </c>
      <c r="AZ184" s="22">
        <v>262.95100000000002</v>
      </c>
      <c r="BA184" s="22">
        <v>-1.51489E-2</v>
      </c>
      <c r="BB184" s="22">
        <v>174</v>
      </c>
      <c r="BC184" s="22">
        <v>0.774841</v>
      </c>
      <c r="BD184">
        <f t="shared" si="34"/>
        <v>15.148899999999999</v>
      </c>
      <c r="BE184">
        <f t="shared" si="35"/>
        <v>11.758803413499999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50.817599999999999</v>
      </c>
      <c r="I185" s="22">
        <v>-1.5512099999999999E-2</v>
      </c>
      <c r="J185" s="22">
        <v>175</v>
      </c>
      <c r="K185" s="22">
        <v>0.91705300000000001</v>
      </c>
      <c r="L185">
        <f t="shared" si="24"/>
        <v>15.512099999999998</v>
      </c>
      <c r="M185">
        <f t="shared" si="25"/>
        <v>14.251462657199998</v>
      </c>
      <c r="N185" s="9"/>
      <c r="O185" s="22">
        <v>0.78125</v>
      </c>
      <c r="P185" s="22">
        <v>100.244</v>
      </c>
      <c r="Q185" s="22">
        <v>-1.5463299999999999E-2</v>
      </c>
      <c r="R185" s="22">
        <v>175</v>
      </c>
      <c r="S185" s="22">
        <v>0.78002899999999997</v>
      </c>
      <c r="T185">
        <f t="shared" si="26"/>
        <v>15.463299999999998</v>
      </c>
      <c r="U185">
        <f t="shared" si="27"/>
        <v>12.080703124999999</v>
      </c>
      <c r="X185" s="9"/>
      <c r="Y185" s="22">
        <v>0.91873199999999999</v>
      </c>
      <c r="Z185" s="22">
        <v>129.70099999999999</v>
      </c>
      <c r="AA185" s="22">
        <v>-1.53534E-2</v>
      </c>
      <c r="AB185" s="22">
        <v>175</v>
      </c>
      <c r="AC185" s="22">
        <v>0.91766400000000004</v>
      </c>
      <c r="AD185">
        <f t="shared" si="28"/>
        <v>15.353399999999999</v>
      </c>
      <c r="AE185">
        <f t="shared" si="29"/>
        <v>14.105659888799998</v>
      </c>
      <c r="AF185" s="9"/>
      <c r="AG185" s="22">
        <v>0.78125</v>
      </c>
      <c r="AH185" s="22">
        <v>179.17400000000001</v>
      </c>
      <c r="AI185" s="22">
        <v>-1.5301500000000001E-2</v>
      </c>
      <c r="AJ185" s="22">
        <v>175</v>
      </c>
      <c r="AK185" s="22">
        <v>0.78064</v>
      </c>
      <c r="AL185">
        <f t="shared" si="30"/>
        <v>15.301500000000001</v>
      </c>
      <c r="AM185">
        <f t="shared" si="31"/>
        <v>11.954296875000001</v>
      </c>
      <c r="AP185" s="9"/>
      <c r="AQ185" s="22">
        <v>0.91873199999999999</v>
      </c>
      <c r="AR185" s="22">
        <v>228.62100000000001</v>
      </c>
      <c r="AS185" s="22">
        <v>-1.51031E-2</v>
      </c>
      <c r="AT185" s="22">
        <v>175</v>
      </c>
      <c r="AU185" s="22">
        <v>0.91796900000000003</v>
      </c>
      <c r="AV185">
        <f t="shared" si="32"/>
        <v>15.1031</v>
      </c>
      <c r="AW185">
        <f t="shared" si="33"/>
        <v>13.875701269199999</v>
      </c>
      <c r="AX185" s="9"/>
      <c r="AY185" s="22">
        <v>0.78125</v>
      </c>
      <c r="AZ185" s="22">
        <v>262.96100000000001</v>
      </c>
      <c r="BA185" s="22">
        <v>-1.51489E-2</v>
      </c>
      <c r="BB185" s="22">
        <v>175</v>
      </c>
      <c r="BC185" s="22">
        <v>0.78002899999999997</v>
      </c>
      <c r="BD185">
        <f t="shared" si="34"/>
        <v>15.148899999999999</v>
      </c>
      <c r="BE185">
        <f t="shared" si="35"/>
        <v>11.835078124999999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50.827599999999997</v>
      </c>
      <c r="I186" s="22">
        <v>-1.55151E-2</v>
      </c>
      <c r="J186" s="22">
        <v>176</v>
      </c>
      <c r="K186" s="22">
        <v>0.91278099999999995</v>
      </c>
      <c r="L186">
        <f t="shared" si="24"/>
        <v>15.5151</v>
      </c>
      <c r="M186">
        <f t="shared" si="25"/>
        <v>14.176084809599999</v>
      </c>
      <c r="N186" s="9"/>
      <c r="O186" s="22">
        <v>0.78628500000000001</v>
      </c>
      <c r="P186" s="22">
        <v>100.254</v>
      </c>
      <c r="Q186" s="22">
        <v>-1.5469399999999999E-2</v>
      </c>
      <c r="R186" s="22">
        <v>176</v>
      </c>
      <c r="S186" s="22">
        <v>0.78582799999999997</v>
      </c>
      <c r="T186">
        <f t="shared" si="26"/>
        <v>15.4694</v>
      </c>
      <c r="U186">
        <f t="shared" si="27"/>
        <v>12.163357179</v>
      </c>
      <c r="X186" s="9"/>
      <c r="Y186" s="22">
        <v>0.91369599999999995</v>
      </c>
      <c r="Z186" s="22">
        <v>129.71100000000001</v>
      </c>
      <c r="AA186" s="22">
        <v>-1.5362499999999999E-2</v>
      </c>
      <c r="AB186" s="22">
        <v>176</v>
      </c>
      <c r="AC186" s="22">
        <v>0.91186500000000004</v>
      </c>
      <c r="AD186">
        <f t="shared" si="28"/>
        <v>15.362499999999999</v>
      </c>
      <c r="AE186">
        <f t="shared" si="29"/>
        <v>14.036654799999999</v>
      </c>
      <c r="AF186" s="9"/>
      <c r="AG186" s="22">
        <v>0.78628500000000001</v>
      </c>
      <c r="AH186" s="22">
        <v>179.185</v>
      </c>
      <c r="AI186" s="22">
        <v>-1.5286299999999999E-2</v>
      </c>
      <c r="AJ186" s="22">
        <v>176</v>
      </c>
      <c r="AK186" s="22">
        <v>0.78521700000000005</v>
      </c>
      <c r="AL186">
        <f t="shared" si="30"/>
        <v>15.286299999999999</v>
      </c>
      <c r="AM186">
        <f t="shared" si="31"/>
        <v>12.0193883955</v>
      </c>
      <c r="AP186" s="9"/>
      <c r="AQ186" s="22">
        <v>0.91369599999999995</v>
      </c>
      <c r="AR186" s="22">
        <v>228.631</v>
      </c>
      <c r="AS186" s="22">
        <v>-1.51215E-2</v>
      </c>
      <c r="AT186" s="22">
        <v>176</v>
      </c>
      <c r="AU186" s="22">
        <v>0.91278099999999995</v>
      </c>
      <c r="AV186">
        <f t="shared" si="32"/>
        <v>15.121499999999999</v>
      </c>
      <c r="AW186">
        <f t="shared" si="33"/>
        <v>13.816454063999998</v>
      </c>
      <c r="AX186" s="9"/>
      <c r="AY186" s="22">
        <v>0.78628500000000001</v>
      </c>
      <c r="AZ186" s="22">
        <v>262.971</v>
      </c>
      <c r="BA186" s="22">
        <v>-1.51459E-2</v>
      </c>
      <c r="BB186" s="22">
        <v>176</v>
      </c>
      <c r="BC186" s="22">
        <v>0.78552200000000005</v>
      </c>
      <c r="BD186">
        <f t="shared" si="34"/>
        <v>15.145900000000001</v>
      </c>
      <c r="BE186">
        <f t="shared" si="35"/>
        <v>11.9089939815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50.837699999999998</v>
      </c>
      <c r="I187" s="22">
        <v>-1.55029E-2</v>
      </c>
      <c r="J187" s="22">
        <v>177</v>
      </c>
      <c r="K187" s="22">
        <v>0.90789799999999998</v>
      </c>
      <c r="L187">
        <f t="shared" si="24"/>
        <v>15.5029</v>
      </c>
      <c r="M187">
        <f t="shared" si="25"/>
        <v>14.0868806169</v>
      </c>
      <c r="N187" s="9"/>
      <c r="O187" s="22">
        <v>0.79132100000000005</v>
      </c>
      <c r="P187" s="22">
        <v>100.264</v>
      </c>
      <c r="Q187" s="22">
        <v>-1.54602E-2</v>
      </c>
      <c r="R187" s="22">
        <v>177</v>
      </c>
      <c r="S187" s="22">
        <v>0.79071000000000002</v>
      </c>
      <c r="T187">
        <f t="shared" si="26"/>
        <v>15.4602</v>
      </c>
      <c r="U187">
        <f t="shared" si="27"/>
        <v>12.233980924200001</v>
      </c>
      <c r="X187" s="9"/>
      <c r="Y187" s="22">
        <v>0.90866100000000005</v>
      </c>
      <c r="Z187" s="22">
        <v>129.721</v>
      </c>
      <c r="AA187" s="22">
        <v>-1.5374799999999999E-2</v>
      </c>
      <c r="AB187" s="22">
        <v>177</v>
      </c>
      <c r="AC187" s="22">
        <v>0.90789799999999998</v>
      </c>
      <c r="AD187">
        <f t="shared" si="28"/>
        <v>15.374799999999999</v>
      </c>
      <c r="AE187">
        <f t="shared" si="29"/>
        <v>13.970481142799999</v>
      </c>
      <c r="AF187" s="9"/>
      <c r="AG187" s="22">
        <v>0.79132100000000005</v>
      </c>
      <c r="AH187" s="22">
        <v>179.19499999999999</v>
      </c>
      <c r="AI187" s="22">
        <v>-1.52771E-2</v>
      </c>
      <c r="AJ187" s="22">
        <v>177</v>
      </c>
      <c r="AK187" s="22">
        <v>0.79010000000000002</v>
      </c>
      <c r="AL187">
        <f t="shared" si="30"/>
        <v>15.277100000000001</v>
      </c>
      <c r="AM187">
        <f t="shared" si="31"/>
        <v>12.089090049100001</v>
      </c>
      <c r="AP187" s="9"/>
      <c r="AQ187" s="22">
        <v>0.90866100000000005</v>
      </c>
      <c r="AR187" s="22">
        <v>228.64099999999999</v>
      </c>
      <c r="AS187" s="22">
        <v>-1.5136699999999999E-2</v>
      </c>
      <c r="AT187" s="22">
        <v>177</v>
      </c>
      <c r="AU187" s="22">
        <v>0.90759299999999998</v>
      </c>
      <c r="AV187">
        <f t="shared" si="32"/>
        <v>15.136699999999999</v>
      </c>
      <c r="AW187">
        <f t="shared" si="33"/>
        <v>13.754128958700001</v>
      </c>
      <c r="AX187" s="9"/>
      <c r="AY187" s="22">
        <v>0.79132100000000005</v>
      </c>
      <c r="AZ187" s="22">
        <v>262.98099999999999</v>
      </c>
      <c r="BA187" s="22">
        <v>-1.51398E-2</v>
      </c>
      <c r="BB187" s="22">
        <v>177</v>
      </c>
      <c r="BC187" s="22">
        <v>0.79071000000000002</v>
      </c>
      <c r="BD187">
        <f t="shared" si="34"/>
        <v>15.139799999999999</v>
      </c>
      <c r="BE187">
        <f t="shared" si="35"/>
        <v>11.9804416758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50.847799999999999</v>
      </c>
      <c r="I188" s="22">
        <v>-1.55029E-2</v>
      </c>
      <c r="J188" s="22">
        <v>178</v>
      </c>
      <c r="K188" s="22">
        <v>0.90271000000000001</v>
      </c>
      <c r="L188">
        <f t="shared" si="24"/>
        <v>15.5029</v>
      </c>
      <c r="M188">
        <f t="shared" si="25"/>
        <v>14.008808012500001</v>
      </c>
      <c r="N188" s="9"/>
      <c r="O188" s="22">
        <v>0.79635599999999995</v>
      </c>
      <c r="P188" s="22">
        <v>100.274</v>
      </c>
      <c r="Q188" s="22">
        <v>-1.5463299999999999E-2</v>
      </c>
      <c r="R188" s="22">
        <v>178</v>
      </c>
      <c r="S188" s="22">
        <v>0.79589799999999999</v>
      </c>
      <c r="T188">
        <f t="shared" si="26"/>
        <v>15.463299999999998</v>
      </c>
      <c r="U188">
        <f t="shared" si="27"/>
        <v>12.314291734799998</v>
      </c>
      <c r="X188" s="9"/>
      <c r="Y188" s="22">
        <v>0.90362500000000001</v>
      </c>
      <c r="Z188" s="22">
        <v>129.73099999999999</v>
      </c>
      <c r="AA188" s="22">
        <v>-1.53778E-2</v>
      </c>
      <c r="AB188" s="22">
        <v>178</v>
      </c>
      <c r="AC188" s="22">
        <v>0.90271000000000001</v>
      </c>
      <c r="AD188">
        <f t="shared" si="28"/>
        <v>15.377800000000001</v>
      </c>
      <c r="AE188">
        <f t="shared" si="29"/>
        <v>13.895764525000001</v>
      </c>
      <c r="AF188" s="9"/>
      <c r="AG188" s="22">
        <v>0.79635599999999995</v>
      </c>
      <c r="AH188" s="22">
        <v>179.20500000000001</v>
      </c>
      <c r="AI188" s="22">
        <v>-1.5273999999999999E-2</v>
      </c>
      <c r="AJ188" s="22">
        <v>178</v>
      </c>
      <c r="AK188" s="22">
        <v>0.79559299999999999</v>
      </c>
      <c r="AL188">
        <f t="shared" si="30"/>
        <v>15.273999999999999</v>
      </c>
      <c r="AM188">
        <f t="shared" si="31"/>
        <v>12.163541543999999</v>
      </c>
      <c r="AP188" s="9"/>
      <c r="AQ188" s="22">
        <v>0.90362500000000001</v>
      </c>
      <c r="AR188" s="22">
        <v>228.65100000000001</v>
      </c>
      <c r="AS188" s="22">
        <v>-1.51428E-2</v>
      </c>
      <c r="AT188" s="22">
        <v>178</v>
      </c>
      <c r="AU188" s="22">
        <v>0.90271000000000001</v>
      </c>
      <c r="AV188">
        <f t="shared" si="32"/>
        <v>15.142799999999999</v>
      </c>
      <c r="AW188">
        <f t="shared" si="33"/>
        <v>13.683412649999999</v>
      </c>
      <c r="AX188" s="9"/>
      <c r="AY188" s="22">
        <v>0.79635599999999995</v>
      </c>
      <c r="AZ188" s="22">
        <v>262.99099999999999</v>
      </c>
      <c r="BA188" s="22">
        <v>-1.5130599999999999E-2</v>
      </c>
      <c r="BB188" s="22">
        <v>178</v>
      </c>
      <c r="BC188" s="22">
        <v>0.79559299999999999</v>
      </c>
      <c r="BD188">
        <f t="shared" si="34"/>
        <v>15.130599999999999</v>
      </c>
      <c r="BE188">
        <f t="shared" si="35"/>
        <v>12.049344093599998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50.857799999999997</v>
      </c>
      <c r="I189" s="22">
        <v>-1.5506000000000001E-2</v>
      </c>
      <c r="J189" s="22">
        <v>179</v>
      </c>
      <c r="K189" s="22">
        <v>0.89782700000000004</v>
      </c>
      <c r="L189">
        <f t="shared" si="24"/>
        <v>15.506</v>
      </c>
      <c r="M189">
        <f t="shared" si="25"/>
        <v>13.93353654</v>
      </c>
      <c r="N189" s="9"/>
      <c r="O189" s="22">
        <v>0.80139199999999999</v>
      </c>
      <c r="P189" s="22">
        <v>100.28400000000001</v>
      </c>
      <c r="Q189" s="22">
        <v>-1.5463299999999999E-2</v>
      </c>
      <c r="R189" s="22">
        <v>179</v>
      </c>
      <c r="S189" s="22">
        <v>0.80047599999999997</v>
      </c>
      <c r="T189">
        <f t="shared" si="26"/>
        <v>15.463299999999998</v>
      </c>
      <c r="U189">
        <f t="shared" si="27"/>
        <v>12.392164913599998</v>
      </c>
      <c r="X189" s="9"/>
      <c r="Y189" s="22">
        <v>0.89859</v>
      </c>
      <c r="Z189" s="22">
        <v>129.74100000000001</v>
      </c>
      <c r="AA189" s="22">
        <v>-1.53931E-2</v>
      </c>
      <c r="AB189" s="22">
        <v>179</v>
      </c>
      <c r="AC189" s="22">
        <v>0.89782700000000004</v>
      </c>
      <c r="AD189">
        <f t="shared" si="28"/>
        <v>15.3931</v>
      </c>
      <c r="AE189">
        <f t="shared" si="29"/>
        <v>13.832085729000001</v>
      </c>
      <c r="AF189" s="9"/>
      <c r="AG189" s="22">
        <v>0.80139199999999999</v>
      </c>
      <c r="AH189" s="22">
        <v>179.215</v>
      </c>
      <c r="AI189" s="22">
        <v>-1.5273999999999999E-2</v>
      </c>
      <c r="AJ189" s="22">
        <v>179</v>
      </c>
      <c r="AK189" s="22">
        <v>0.80078099999999997</v>
      </c>
      <c r="AL189">
        <f t="shared" si="30"/>
        <v>15.273999999999999</v>
      </c>
      <c r="AM189">
        <f t="shared" si="31"/>
        <v>12.240461408</v>
      </c>
      <c r="AP189" s="9"/>
      <c r="AQ189" s="22">
        <v>0.89859</v>
      </c>
      <c r="AR189" s="22">
        <v>228.661</v>
      </c>
      <c r="AS189" s="22">
        <v>-1.5152000000000001E-2</v>
      </c>
      <c r="AT189" s="22">
        <v>179</v>
      </c>
      <c r="AU189" s="22">
        <v>0.89782700000000004</v>
      </c>
      <c r="AV189">
        <f t="shared" si="32"/>
        <v>15.152000000000001</v>
      </c>
      <c r="AW189">
        <f t="shared" si="33"/>
        <v>13.615435680000001</v>
      </c>
      <c r="AX189" s="9"/>
      <c r="AY189" s="22">
        <v>0.80139199999999999</v>
      </c>
      <c r="AZ189" s="22">
        <v>263.00099999999998</v>
      </c>
      <c r="BA189" s="22">
        <v>-1.51215E-2</v>
      </c>
      <c r="BB189" s="22">
        <v>179</v>
      </c>
      <c r="BC189" s="22">
        <v>0.80047599999999997</v>
      </c>
      <c r="BD189">
        <f t="shared" si="34"/>
        <v>15.121499999999999</v>
      </c>
      <c r="BE189">
        <f t="shared" si="35"/>
        <v>12.118249127999999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50.867899999999999</v>
      </c>
      <c r="I190" s="22">
        <v>-1.5506000000000001E-2</v>
      </c>
      <c r="J190" s="22">
        <v>180</v>
      </c>
      <c r="K190" s="22">
        <v>0.89263899999999996</v>
      </c>
      <c r="L190">
        <f t="shared" si="24"/>
        <v>15.506</v>
      </c>
      <c r="M190">
        <f t="shared" si="25"/>
        <v>13.85546383</v>
      </c>
      <c r="N190" s="9"/>
      <c r="O190" s="22">
        <v>0.806427</v>
      </c>
      <c r="P190" s="22">
        <v>100.294</v>
      </c>
      <c r="Q190" s="22">
        <v>-1.5466300000000001E-2</v>
      </c>
      <c r="R190" s="22">
        <v>180</v>
      </c>
      <c r="S190" s="22">
        <v>0.80505400000000005</v>
      </c>
      <c r="T190">
        <f t="shared" si="26"/>
        <v>15.4663</v>
      </c>
      <c r="U190">
        <f t="shared" si="27"/>
        <v>12.472441910100001</v>
      </c>
      <c r="X190" s="9"/>
      <c r="Y190" s="22">
        <v>0.89355499999999999</v>
      </c>
      <c r="Z190" s="22">
        <v>129.751</v>
      </c>
      <c r="AA190" s="22">
        <v>-1.53931E-2</v>
      </c>
      <c r="AB190" s="22">
        <v>180</v>
      </c>
      <c r="AC190" s="22">
        <v>0.89294399999999996</v>
      </c>
      <c r="AD190">
        <f t="shared" si="28"/>
        <v>15.3931</v>
      </c>
      <c r="AE190">
        <f t="shared" si="29"/>
        <v>13.7545814705</v>
      </c>
      <c r="AF190" s="9"/>
      <c r="AG190" s="22">
        <v>0.806427</v>
      </c>
      <c r="AH190" s="22">
        <v>179.22499999999999</v>
      </c>
      <c r="AI190" s="22">
        <v>-1.52771E-2</v>
      </c>
      <c r="AJ190" s="22">
        <v>180</v>
      </c>
      <c r="AK190" s="22">
        <v>0.80535900000000005</v>
      </c>
      <c r="AL190">
        <f t="shared" si="30"/>
        <v>15.277100000000001</v>
      </c>
      <c r="AM190">
        <f t="shared" si="31"/>
        <v>12.3198659217</v>
      </c>
      <c r="AP190" s="9"/>
      <c r="AQ190" s="22">
        <v>0.89355499999999999</v>
      </c>
      <c r="AR190" s="22">
        <v>228.67099999999999</v>
      </c>
      <c r="AS190" s="22">
        <v>-1.51672E-2</v>
      </c>
      <c r="AT190" s="22">
        <v>180</v>
      </c>
      <c r="AU190" s="22">
        <v>0.89263899999999996</v>
      </c>
      <c r="AV190">
        <f t="shared" si="32"/>
        <v>15.167200000000001</v>
      </c>
      <c r="AW190">
        <f t="shared" si="33"/>
        <v>13.552727396000002</v>
      </c>
      <c r="AX190" s="9"/>
      <c r="AY190" s="22">
        <v>0.806427</v>
      </c>
      <c r="AZ190" s="22">
        <v>263.01100000000002</v>
      </c>
      <c r="BA190" s="22">
        <v>-1.51123E-2</v>
      </c>
      <c r="BB190" s="22">
        <v>180</v>
      </c>
      <c r="BC190" s="22">
        <v>0.80535900000000005</v>
      </c>
      <c r="BD190">
        <f t="shared" si="34"/>
        <v>15.112300000000001</v>
      </c>
      <c r="BE190">
        <f t="shared" si="35"/>
        <v>12.186966752100002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50.878</v>
      </c>
      <c r="I191" s="22">
        <v>-1.5506000000000001E-2</v>
      </c>
      <c r="J191" s="22">
        <v>181</v>
      </c>
      <c r="K191" s="22">
        <v>0.88775599999999999</v>
      </c>
      <c r="L191">
        <f t="shared" si="24"/>
        <v>15.506</v>
      </c>
      <c r="M191">
        <f t="shared" si="25"/>
        <v>13.777375613999999</v>
      </c>
      <c r="N191" s="9"/>
      <c r="O191" s="22">
        <v>0.81146200000000002</v>
      </c>
      <c r="P191" s="22">
        <v>100.304</v>
      </c>
      <c r="Q191" s="22">
        <v>-1.5463299999999999E-2</v>
      </c>
      <c r="R191" s="22">
        <v>181</v>
      </c>
      <c r="S191" s="22">
        <v>0.81054700000000002</v>
      </c>
      <c r="T191">
        <f t="shared" si="26"/>
        <v>15.463299999999998</v>
      </c>
      <c r="U191">
        <f t="shared" si="27"/>
        <v>12.547880344599999</v>
      </c>
      <c r="X191" s="9"/>
      <c r="Y191" s="22">
        <v>0.88851899999999995</v>
      </c>
      <c r="Z191" s="22">
        <v>129.761</v>
      </c>
      <c r="AA191" s="22">
        <v>-1.54022E-2</v>
      </c>
      <c r="AB191" s="22">
        <v>181</v>
      </c>
      <c r="AC191" s="22">
        <v>0.88775599999999999</v>
      </c>
      <c r="AD191">
        <f t="shared" si="28"/>
        <v>15.402199999999999</v>
      </c>
      <c r="AE191">
        <f t="shared" si="29"/>
        <v>13.685147341799999</v>
      </c>
      <c r="AF191" s="9"/>
      <c r="AG191" s="22">
        <v>0.81146200000000002</v>
      </c>
      <c r="AH191" s="22">
        <v>179.23500000000001</v>
      </c>
      <c r="AI191" s="22">
        <v>-1.52771E-2</v>
      </c>
      <c r="AJ191" s="22">
        <v>181</v>
      </c>
      <c r="AK191" s="22">
        <v>0.81085200000000002</v>
      </c>
      <c r="AL191">
        <f t="shared" si="30"/>
        <v>15.277100000000001</v>
      </c>
      <c r="AM191">
        <f t="shared" si="31"/>
        <v>12.396786120200002</v>
      </c>
      <c r="AP191" s="9"/>
      <c r="AQ191" s="22">
        <v>0.88851899999999995</v>
      </c>
      <c r="AR191" s="22">
        <v>228.68100000000001</v>
      </c>
      <c r="AS191" s="22">
        <v>-1.5179399999999999E-2</v>
      </c>
      <c r="AT191" s="22">
        <v>181</v>
      </c>
      <c r="AU191" s="22">
        <v>0.88775599999999999</v>
      </c>
      <c r="AV191">
        <f t="shared" si="32"/>
        <v>15.179399999999999</v>
      </c>
      <c r="AW191">
        <f t="shared" si="33"/>
        <v>13.487185308599999</v>
      </c>
      <c r="AX191" s="9"/>
      <c r="AY191" s="22">
        <v>0.81146200000000002</v>
      </c>
      <c r="AZ191" s="22">
        <v>263.02100000000002</v>
      </c>
      <c r="BA191" s="22">
        <v>-1.51031E-2</v>
      </c>
      <c r="BB191" s="22">
        <v>181</v>
      </c>
      <c r="BC191" s="22">
        <v>0.81085200000000002</v>
      </c>
      <c r="BD191">
        <f t="shared" si="34"/>
        <v>15.1031</v>
      </c>
      <c r="BE191">
        <f t="shared" si="35"/>
        <v>12.255591732199999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50.888100000000001</v>
      </c>
      <c r="I192" s="22">
        <v>-1.5509E-2</v>
      </c>
      <c r="J192" s="22">
        <v>182</v>
      </c>
      <c r="K192" s="22">
        <v>0.88287400000000005</v>
      </c>
      <c r="L192">
        <f t="shared" si="24"/>
        <v>15.509</v>
      </c>
      <c r="M192">
        <f t="shared" si="25"/>
        <v>13.701953356000001</v>
      </c>
      <c r="N192" s="9"/>
      <c r="O192" s="22">
        <v>0.81649799999999995</v>
      </c>
      <c r="P192" s="22">
        <v>100.31399999999999</v>
      </c>
      <c r="Q192" s="22">
        <v>-1.5469399999999999E-2</v>
      </c>
      <c r="R192" s="22">
        <v>182</v>
      </c>
      <c r="S192" s="22">
        <v>0.81603999999999999</v>
      </c>
      <c r="T192">
        <f t="shared" si="26"/>
        <v>15.4694</v>
      </c>
      <c r="U192">
        <f t="shared" si="27"/>
        <v>12.630734161199999</v>
      </c>
      <c r="X192" s="9"/>
      <c r="Y192" s="22">
        <v>0.88348400000000005</v>
      </c>
      <c r="Z192" s="22">
        <v>129.77199999999999</v>
      </c>
      <c r="AA192" s="22">
        <v>-1.54144E-2</v>
      </c>
      <c r="AB192" s="22">
        <v>182</v>
      </c>
      <c r="AC192" s="22">
        <v>0.88226300000000002</v>
      </c>
      <c r="AD192">
        <f t="shared" si="28"/>
        <v>15.414400000000001</v>
      </c>
      <c r="AE192">
        <f t="shared" si="29"/>
        <v>13.618375769600002</v>
      </c>
      <c r="AF192" s="9"/>
      <c r="AG192" s="22">
        <v>0.81649799999999995</v>
      </c>
      <c r="AH192" s="22">
        <v>179.245</v>
      </c>
      <c r="AI192" s="22">
        <v>-1.5271E-2</v>
      </c>
      <c r="AJ192" s="22">
        <v>182</v>
      </c>
      <c r="AK192" s="22">
        <v>0.81573499999999999</v>
      </c>
      <c r="AL192">
        <f t="shared" si="30"/>
        <v>15.270999999999999</v>
      </c>
      <c r="AM192">
        <f t="shared" si="31"/>
        <v>12.468740957999998</v>
      </c>
      <c r="AP192" s="9"/>
      <c r="AQ192" s="22">
        <v>0.88348400000000005</v>
      </c>
      <c r="AR192" s="22">
        <v>228.691</v>
      </c>
      <c r="AS192" s="22">
        <v>-1.5179399999999999E-2</v>
      </c>
      <c r="AT192" s="22">
        <v>182</v>
      </c>
      <c r="AU192" s="22">
        <v>0.88195800000000002</v>
      </c>
      <c r="AV192">
        <f t="shared" si="32"/>
        <v>15.179399999999999</v>
      </c>
      <c r="AW192">
        <f t="shared" si="33"/>
        <v>13.410757029600001</v>
      </c>
      <c r="AX192" s="9"/>
      <c r="AY192" s="22">
        <v>0.81649799999999995</v>
      </c>
      <c r="AZ192" s="22">
        <v>263.03199999999998</v>
      </c>
      <c r="BA192" s="22">
        <v>-1.51001E-2</v>
      </c>
      <c r="BB192" s="22">
        <v>182</v>
      </c>
      <c r="BC192" s="22">
        <v>0.81573499999999999</v>
      </c>
      <c r="BD192">
        <f t="shared" si="34"/>
        <v>15.100099999999999</v>
      </c>
      <c r="BE192">
        <f t="shared" si="35"/>
        <v>12.329201449799999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50.898099999999999</v>
      </c>
      <c r="I193" s="22">
        <v>-1.5506000000000001E-2</v>
      </c>
      <c r="J193" s="22">
        <v>183</v>
      </c>
      <c r="K193" s="22">
        <v>0.87738000000000005</v>
      </c>
      <c r="L193">
        <f t="shared" si="24"/>
        <v>15.506</v>
      </c>
      <c r="M193">
        <f t="shared" si="25"/>
        <v>13.621214688</v>
      </c>
      <c r="N193" s="9"/>
      <c r="O193" s="22">
        <v>0.82153299999999996</v>
      </c>
      <c r="P193" s="22">
        <v>100.325</v>
      </c>
      <c r="Q193" s="22">
        <v>-1.5466300000000001E-2</v>
      </c>
      <c r="R193" s="22">
        <v>183</v>
      </c>
      <c r="S193" s="22">
        <v>0.82061799999999996</v>
      </c>
      <c r="T193">
        <f t="shared" si="26"/>
        <v>15.4663</v>
      </c>
      <c r="U193">
        <f t="shared" si="27"/>
        <v>12.7060758379</v>
      </c>
      <c r="X193" s="9"/>
      <c r="Y193" s="22">
        <v>0.87844800000000001</v>
      </c>
      <c r="Z193" s="22">
        <v>129.78200000000001</v>
      </c>
      <c r="AA193" s="22">
        <v>-1.54205E-2</v>
      </c>
      <c r="AB193" s="22">
        <v>183</v>
      </c>
      <c r="AC193" s="22">
        <v>0.87768599999999997</v>
      </c>
      <c r="AD193">
        <f t="shared" si="28"/>
        <v>15.420500000000001</v>
      </c>
      <c r="AE193">
        <f t="shared" si="29"/>
        <v>13.546107384000001</v>
      </c>
      <c r="AF193" s="9"/>
      <c r="AG193" s="22">
        <v>0.82153299999999996</v>
      </c>
      <c r="AH193" s="22">
        <v>179.255</v>
      </c>
      <c r="AI193" s="22">
        <v>-1.5267899999999999E-2</v>
      </c>
      <c r="AJ193" s="22">
        <v>183</v>
      </c>
      <c r="AK193" s="22">
        <v>0.82031299999999996</v>
      </c>
      <c r="AL193">
        <f t="shared" si="30"/>
        <v>15.267899999999999</v>
      </c>
      <c r="AM193">
        <f t="shared" si="31"/>
        <v>12.543083690699998</v>
      </c>
      <c r="AP193" s="9"/>
      <c r="AQ193" s="22">
        <v>0.87844800000000001</v>
      </c>
      <c r="AR193" s="22">
        <v>228.70099999999999</v>
      </c>
      <c r="AS193" s="22">
        <v>-1.51825E-2</v>
      </c>
      <c r="AT193" s="22">
        <v>183</v>
      </c>
      <c r="AU193" s="22">
        <v>0.87768599999999997</v>
      </c>
      <c r="AV193">
        <f t="shared" si="32"/>
        <v>15.182499999999999</v>
      </c>
      <c r="AW193">
        <f t="shared" si="33"/>
        <v>13.33703676</v>
      </c>
      <c r="AX193" s="9"/>
      <c r="AY193" s="22">
        <v>0.82153299999999996</v>
      </c>
      <c r="AZ193" s="22">
        <v>263.04199999999997</v>
      </c>
      <c r="BA193" s="22">
        <v>-1.5096999999999999E-2</v>
      </c>
      <c r="BB193" s="22">
        <v>183</v>
      </c>
      <c r="BC193" s="22">
        <v>0.82061799999999996</v>
      </c>
      <c r="BD193">
        <f t="shared" si="34"/>
        <v>15.097</v>
      </c>
      <c r="BE193">
        <f t="shared" si="35"/>
        <v>12.402683700999999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50.908200000000001</v>
      </c>
      <c r="I194" s="22">
        <v>-1.55151E-2</v>
      </c>
      <c r="J194" s="22">
        <v>184</v>
      </c>
      <c r="K194" s="22">
        <v>0.87219199999999997</v>
      </c>
      <c r="L194">
        <f t="shared" si="24"/>
        <v>15.5151</v>
      </c>
      <c r="M194">
        <f t="shared" si="25"/>
        <v>13.5510900363</v>
      </c>
      <c r="N194" s="9"/>
      <c r="O194" s="22">
        <v>0.826569</v>
      </c>
      <c r="P194" s="22">
        <v>100.33499999999999</v>
      </c>
      <c r="Q194" s="22">
        <v>-1.5466300000000001E-2</v>
      </c>
      <c r="R194" s="22">
        <v>184</v>
      </c>
      <c r="S194" s="22">
        <v>0.82611100000000004</v>
      </c>
      <c r="T194">
        <f t="shared" si="26"/>
        <v>15.4663</v>
      </c>
      <c r="U194">
        <f t="shared" si="27"/>
        <v>12.783964124700001</v>
      </c>
      <c r="X194" s="9"/>
      <c r="Y194" s="22">
        <v>0.87341299999999999</v>
      </c>
      <c r="Z194" s="22">
        <v>129.792</v>
      </c>
      <c r="AA194" s="22">
        <v>-1.54205E-2</v>
      </c>
      <c r="AB194" s="22">
        <v>184</v>
      </c>
      <c r="AC194" s="22">
        <v>0.87188699999999997</v>
      </c>
      <c r="AD194">
        <f t="shared" si="28"/>
        <v>15.420500000000001</v>
      </c>
      <c r="AE194">
        <f t="shared" si="29"/>
        <v>13.4684651665</v>
      </c>
      <c r="AF194" s="9"/>
      <c r="AG194" s="22">
        <v>0.826569</v>
      </c>
      <c r="AH194" s="22">
        <v>179.26499999999999</v>
      </c>
      <c r="AI194" s="22">
        <v>-1.5273999999999999E-2</v>
      </c>
      <c r="AJ194" s="22">
        <v>184</v>
      </c>
      <c r="AK194" s="22">
        <v>0.82580600000000004</v>
      </c>
      <c r="AL194">
        <f t="shared" si="30"/>
        <v>15.273999999999999</v>
      </c>
      <c r="AM194">
        <f t="shared" si="31"/>
        <v>12.625014905999999</v>
      </c>
      <c r="AP194" s="9"/>
      <c r="AQ194" s="22">
        <v>0.87341299999999999</v>
      </c>
      <c r="AR194" s="22">
        <v>228.71199999999999</v>
      </c>
      <c r="AS194" s="22">
        <v>-1.5197799999999999E-2</v>
      </c>
      <c r="AT194" s="22">
        <v>184</v>
      </c>
      <c r="AU194" s="22">
        <v>0.87219199999999997</v>
      </c>
      <c r="AV194">
        <f t="shared" si="32"/>
        <v>15.197799999999999</v>
      </c>
      <c r="AW194">
        <f t="shared" si="33"/>
        <v>13.273956091399999</v>
      </c>
      <c r="AX194" s="9"/>
      <c r="AY194" s="22">
        <v>0.826569</v>
      </c>
      <c r="AZ194" s="22">
        <v>263.05200000000002</v>
      </c>
      <c r="BA194" s="22">
        <v>-1.51031E-2</v>
      </c>
      <c r="BB194" s="22">
        <v>184</v>
      </c>
      <c r="BC194" s="22">
        <v>0.82550000000000001</v>
      </c>
      <c r="BD194">
        <f t="shared" si="34"/>
        <v>15.1031</v>
      </c>
      <c r="BE194">
        <f t="shared" si="35"/>
        <v>12.4837542639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50.918300000000002</v>
      </c>
      <c r="I195" s="22">
        <v>-1.5527300000000001E-2</v>
      </c>
      <c r="J195" s="22">
        <v>185</v>
      </c>
      <c r="K195" s="22">
        <v>0.86761500000000003</v>
      </c>
      <c r="L195">
        <f t="shared" si="24"/>
        <v>15.5273</v>
      </c>
      <c r="M195">
        <f t="shared" si="25"/>
        <v>13.4835657194</v>
      </c>
      <c r="N195" s="9"/>
      <c r="O195" s="22">
        <v>0.83160400000000001</v>
      </c>
      <c r="P195" s="22">
        <v>100.345</v>
      </c>
      <c r="Q195" s="22">
        <v>-1.5463299999999999E-2</v>
      </c>
      <c r="R195" s="22">
        <v>185</v>
      </c>
      <c r="S195" s="22">
        <v>0.83038299999999998</v>
      </c>
      <c r="T195">
        <f t="shared" si="26"/>
        <v>15.463299999999998</v>
      </c>
      <c r="U195">
        <f t="shared" si="27"/>
        <v>12.859342133199998</v>
      </c>
      <c r="X195" s="9"/>
      <c r="Y195" s="22">
        <v>0.86837799999999998</v>
      </c>
      <c r="Z195" s="22">
        <v>129.80199999999999</v>
      </c>
      <c r="AA195" s="22">
        <v>-1.5423600000000001E-2</v>
      </c>
      <c r="AB195" s="22">
        <v>185</v>
      </c>
      <c r="AC195" s="22">
        <v>0.86731000000000003</v>
      </c>
      <c r="AD195">
        <f t="shared" si="28"/>
        <v>15.4236</v>
      </c>
      <c r="AE195">
        <f t="shared" si="29"/>
        <v>13.3935149208</v>
      </c>
      <c r="AF195" s="9"/>
      <c r="AG195" s="22">
        <v>0.83160400000000001</v>
      </c>
      <c r="AH195" s="22">
        <v>179.27500000000001</v>
      </c>
      <c r="AI195" s="22">
        <v>-1.5267899999999999E-2</v>
      </c>
      <c r="AJ195" s="22">
        <v>185</v>
      </c>
      <c r="AK195" s="22">
        <v>0.83068799999999998</v>
      </c>
      <c r="AL195">
        <f t="shared" si="30"/>
        <v>15.267899999999999</v>
      </c>
      <c r="AM195">
        <f t="shared" si="31"/>
        <v>12.696846711599999</v>
      </c>
      <c r="AP195" s="9"/>
      <c r="AQ195" s="22">
        <v>0.86837799999999998</v>
      </c>
      <c r="AR195" s="22">
        <v>228.72200000000001</v>
      </c>
      <c r="AS195" s="22">
        <v>-1.5191700000000001E-2</v>
      </c>
      <c r="AT195" s="22">
        <v>185</v>
      </c>
      <c r="AU195" s="22">
        <v>0.86761500000000003</v>
      </c>
      <c r="AV195">
        <f t="shared" si="32"/>
        <v>15.191700000000001</v>
      </c>
      <c r="AW195">
        <f t="shared" si="33"/>
        <v>13.1921380626</v>
      </c>
      <c r="AX195" s="9"/>
      <c r="AY195" s="22">
        <v>0.83160400000000001</v>
      </c>
      <c r="AZ195" s="22">
        <v>263.06200000000001</v>
      </c>
      <c r="BA195" s="22">
        <v>-1.5096999999999999E-2</v>
      </c>
      <c r="BB195" s="22">
        <v>185</v>
      </c>
      <c r="BC195" s="22">
        <v>0.83129900000000001</v>
      </c>
      <c r="BD195">
        <f t="shared" si="34"/>
        <v>15.097</v>
      </c>
      <c r="BE195">
        <f t="shared" si="35"/>
        <v>12.554725588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50.9283</v>
      </c>
      <c r="I196" s="22">
        <v>-1.5533399999999999E-2</v>
      </c>
      <c r="J196" s="22">
        <v>186</v>
      </c>
      <c r="K196" s="22">
        <v>0.86242700000000005</v>
      </c>
      <c r="L196">
        <f t="shared" si="24"/>
        <v>15.533399999999999</v>
      </c>
      <c r="M196">
        <f t="shared" si="25"/>
        <v>13.4106366228</v>
      </c>
      <c r="N196" s="9"/>
      <c r="O196" s="22">
        <v>0.83663900000000002</v>
      </c>
      <c r="P196" s="22">
        <v>100.355</v>
      </c>
      <c r="Q196" s="22">
        <v>-1.5457200000000001E-2</v>
      </c>
      <c r="R196" s="22">
        <v>186</v>
      </c>
      <c r="S196" s="22">
        <v>0.83587599999999995</v>
      </c>
      <c r="T196">
        <f t="shared" si="26"/>
        <v>15.4572</v>
      </c>
      <c r="U196">
        <f t="shared" si="27"/>
        <v>12.9320963508</v>
      </c>
      <c r="X196" s="9"/>
      <c r="Y196" s="22">
        <v>0.86334200000000005</v>
      </c>
      <c r="Z196" s="22">
        <v>129.81200000000001</v>
      </c>
      <c r="AA196" s="22">
        <v>-1.5429699999999999E-2</v>
      </c>
      <c r="AB196" s="22">
        <v>186</v>
      </c>
      <c r="AC196" s="22">
        <v>0.86212200000000005</v>
      </c>
      <c r="AD196">
        <f t="shared" si="28"/>
        <v>15.429699999999999</v>
      </c>
      <c r="AE196">
        <f t="shared" si="29"/>
        <v>13.3211080574</v>
      </c>
      <c r="AF196" s="9"/>
      <c r="AG196" s="22">
        <v>0.83663900000000002</v>
      </c>
      <c r="AH196" s="22">
        <v>179.285</v>
      </c>
      <c r="AI196" s="22">
        <v>-1.5273999999999999E-2</v>
      </c>
      <c r="AJ196" s="22">
        <v>186</v>
      </c>
      <c r="AK196" s="22">
        <v>0.83526599999999995</v>
      </c>
      <c r="AL196">
        <f t="shared" si="30"/>
        <v>15.273999999999999</v>
      </c>
      <c r="AM196">
        <f t="shared" si="31"/>
        <v>12.778824086</v>
      </c>
      <c r="AP196" s="9"/>
      <c r="AQ196" s="22">
        <v>0.86334200000000005</v>
      </c>
      <c r="AR196" s="22">
        <v>228.732</v>
      </c>
      <c r="AS196" s="22">
        <v>-1.51886E-2</v>
      </c>
      <c r="AT196" s="22">
        <v>186</v>
      </c>
      <c r="AU196" s="22">
        <v>0.86273200000000005</v>
      </c>
      <c r="AV196">
        <f t="shared" si="32"/>
        <v>15.188599999999999</v>
      </c>
      <c r="AW196">
        <f t="shared" si="33"/>
        <v>13.112956301200001</v>
      </c>
      <c r="AX196" s="9"/>
      <c r="AY196" s="22">
        <v>0.83663900000000002</v>
      </c>
      <c r="AZ196" s="22">
        <v>263.072</v>
      </c>
      <c r="BA196" s="22">
        <v>-1.5090900000000001E-2</v>
      </c>
      <c r="BB196" s="22">
        <v>186</v>
      </c>
      <c r="BC196" s="22">
        <v>0.83557099999999995</v>
      </c>
      <c r="BD196">
        <f t="shared" si="34"/>
        <v>15.090900000000001</v>
      </c>
      <c r="BE196">
        <f t="shared" si="35"/>
        <v>12.625635485100002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50.938400000000001</v>
      </c>
      <c r="I197" s="22">
        <v>-1.5539600000000001E-2</v>
      </c>
      <c r="J197" s="22">
        <v>187</v>
      </c>
      <c r="K197" s="22">
        <v>0.85784899999999997</v>
      </c>
      <c r="L197">
        <f t="shared" si="24"/>
        <v>15.5396</v>
      </c>
      <c r="M197">
        <f t="shared" si="25"/>
        <v>13.337747457200001</v>
      </c>
      <c r="N197" s="9"/>
      <c r="O197" s="22">
        <v>0.84167499999999995</v>
      </c>
      <c r="P197" s="22">
        <v>100.36499999999999</v>
      </c>
      <c r="Q197" s="22">
        <v>-1.5444899999999999E-2</v>
      </c>
      <c r="R197" s="22">
        <v>187</v>
      </c>
      <c r="S197" s="22">
        <v>0.84075900000000003</v>
      </c>
      <c r="T197">
        <f t="shared" si="26"/>
        <v>15.444899999999999</v>
      </c>
      <c r="U197">
        <f t="shared" si="27"/>
        <v>12.999586207499998</v>
      </c>
      <c r="X197" s="9"/>
      <c r="Y197" s="22">
        <v>0.85830700000000004</v>
      </c>
      <c r="Z197" s="22">
        <v>129.822</v>
      </c>
      <c r="AA197" s="22">
        <v>-1.54266E-2</v>
      </c>
      <c r="AB197" s="22">
        <v>187</v>
      </c>
      <c r="AC197" s="22">
        <v>0.85723899999999997</v>
      </c>
      <c r="AD197">
        <f t="shared" si="28"/>
        <v>15.426600000000001</v>
      </c>
      <c r="AE197">
        <f t="shared" si="29"/>
        <v>13.240758766200001</v>
      </c>
      <c r="AF197" s="9"/>
      <c r="AG197" s="22">
        <v>0.84167499999999995</v>
      </c>
      <c r="AH197" s="22">
        <v>179.29499999999999</v>
      </c>
      <c r="AI197" s="22">
        <v>-1.5273999999999999E-2</v>
      </c>
      <c r="AJ197" s="22">
        <v>187</v>
      </c>
      <c r="AK197" s="22">
        <v>0.84075900000000003</v>
      </c>
      <c r="AL197">
        <f t="shared" si="30"/>
        <v>15.273999999999999</v>
      </c>
      <c r="AM197">
        <f t="shared" si="31"/>
        <v>12.855743949999999</v>
      </c>
      <c r="AP197" s="9"/>
      <c r="AQ197" s="22">
        <v>0.85830700000000004</v>
      </c>
      <c r="AR197" s="22">
        <v>228.74199999999999</v>
      </c>
      <c r="AS197" s="22">
        <v>-1.5185499999999999E-2</v>
      </c>
      <c r="AT197" s="22">
        <v>187</v>
      </c>
      <c r="AU197" s="22">
        <v>0.85693399999999997</v>
      </c>
      <c r="AV197">
        <f t="shared" si="32"/>
        <v>15.185499999999999</v>
      </c>
      <c r="AW197">
        <f t="shared" si="33"/>
        <v>13.033820948500001</v>
      </c>
      <c r="AX197" s="9"/>
      <c r="AY197" s="22">
        <v>0.84167499999999995</v>
      </c>
      <c r="AZ197" s="22">
        <v>263.08199999999999</v>
      </c>
      <c r="BA197" s="22">
        <v>-1.5096999999999999E-2</v>
      </c>
      <c r="BB197" s="22">
        <v>187</v>
      </c>
      <c r="BC197" s="22">
        <v>0.84075900000000003</v>
      </c>
      <c r="BD197">
        <f t="shared" si="34"/>
        <v>15.097</v>
      </c>
      <c r="BE197">
        <f t="shared" si="35"/>
        <v>12.706767474999999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50.948500000000003</v>
      </c>
      <c r="I198" s="22">
        <v>-1.5545700000000001E-2</v>
      </c>
      <c r="J198" s="22">
        <v>188</v>
      </c>
      <c r="K198" s="22">
        <v>0.852051</v>
      </c>
      <c r="L198">
        <f t="shared" si="24"/>
        <v>15.5457</v>
      </c>
      <c r="M198">
        <f t="shared" si="25"/>
        <v>13.2646949847</v>
      </c>
      <c r="N198" s="9"/>
      <c r="O198" s="22">
        <v>0.84670999999999996</v>
      </c>
      <c r="P198" s="22">
        <v>100.375</v>
      </c>
      <c r="Q198" s="22">
        <v>-1.5423600000000001E-2</v>
      </c>
      <c r="R198" s="22">
        <v>188</v>
      </c>
      <c r="S198" s="22">
        <v>0.84533700000000001</v>
      </c>
      <c r="T198">
        <f t="shared" si="26"/>
        <v>15.4236</v>
      </c>
      <c r="U198">
        <f t="shared" si="27"/>
        <v>13.059316356</v>
      </c>
      <c r="X198" s="9"/>
      <c r="Y198" s="22">
        <v>0.853271</v>
      </c>
      <c r="Z198" s="22">
        <v>129.83199999999999</v>
      </c>
      <c r="AA198" s="22">
        <v>-1.54266E-2</v>
      </c>
      <c r="AB198" s="22">
        <v>188</v>
      </c>
      <c r="AC198" s="22">
        <v>0.852051</v>
      </c>
      <c r="AD198">
        <f t="shared" si="28"/>
        <v>15.426600000000001</v>
      </c>
      <c r="AE198">
        <f t="shared" si="29"/>
        <v>13.163070408600001</v>
      </c>
      <c r="AF198" s="9"/>
      <c r="AG198" s="22">
        <v>0.84670999999999996</v>
      </c>
      <c r="AH198" s="22">
        <v>179.30500000000001</v>
      </c>
      <c r="AI198" s="22">
        <v>-1.52649E-2</v>
      </c>
      <c r="AJ198" s="22">
        <v>188</v>
      </c>
      <c r="AK198" s="22">
        <v>0.846252</v>
      </c>
      <c r="AL198">
        <f t="shared" si="30"/>
        <v>15.264899999999999</v>
      </c>
      <c r="AM198">
        <f t="shared" si="31"/>
        <v>12.924943478999998</v>
      </c>
      <c r="AP198" s="9"/>
      <c r="AQ198" s="22">
        <v>0.853271</v>
      </c>
      <c r="AR198" s="22">
        <v>228.75200000000001</v>
      </c>
      <c r="AS198" s="22">
        <v>-1.51886E-2</v>
      </c>
      <c r="AT198" s="22">
        <v>188</v>
      </c>
      <c r="AU198" s="22">
        <v>0.852661</v>
      </c>
      <c r="AV198">
        <f t="shared" si="32"/>
        <v>15.188599999999999</v>
      </c>
      <c r="AW198">
        <f t="shared" si="33"/>
        <v>12.959991910599999</v>
      </c>
      <c r="AX198" s="9"/>
      <c r="AY198" s="22">
        <v>0.84670999999999996</v>
      </c>
      <c r="AZ198" s="22">
        <v>263.09199999999998</v>
      </c>
      <c r="BA198" s="22">
        <v>-1.51001E-2</v>
      </c>
      <c r="BB198" s="22">
        <v>188</v>
      </c>
      <c r="BC198" s="22">
        <v>0.846252</v>
      </c>
      <c r="BD198">
        <f t="shared" si="34"/>
        <v>15.100099999999999</v>
      </c>
      <c r="BE198">
        <f t="shared" si="35"/>
        <v>12.785405670999999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50.958599999999997</v>
      </c>
      <c r="I199" s="22">
        <v>-1.55426E-2</v>
      </c>
      <c r="J199" s="22">
        <v>189</v>
      </c>
      <c r="K199" s="22">
        <v>0.84777800000000003</v>
      </c>
      <c r="L199">
        <f t="shared" si="24"/>
        <v>15.5426</v>
      </c>
      <c r="M199">
        <f t="shared" si="25"/>
        <v>13.1837928536</v>
      </c>
      <c r="N199" s="9"/>
      <c r="O199" s="22">
        <v>0.851746</v>
      </c>
      <c r="P199" s="22">
        <v>100.38500000000001</v>
      </c>
      <c r="Q199" s="22">
        <v>-1.54053E-2</v>
      </c>
      <c r="R199" s="22">
        <v>189</v>
      </c>
      <c r="S199" s="22">
        <v>0.85113499999999997</v>
      </c>
      <c r="T199">
        <f t="shared" si="26"/>
        <v>15.4053</v>
      </c>
      <c r="U199">
        <f t="shared" si="27"/>
        <v>13.121402653800001</v>
      </c>
      <c r="X199" s="9"/>
      <c r="Y199" s="22">
        <v>0.84823599999999999</v>
      </c>
      <c r="Z199" s="22">
        <v>129.84200000000001</v>
      </c>
      <c r="AA199" s="22">
        <v>-1.5429699999999999E-2</v>
      </c>
      <c r="AB199" s="22">
        <v>189</v>
      </c>
      <c r="AC199" s="22">
        <v>0.84747300000000003</v>
      </c>
      <c r="AD199">
        <f t="shared" si="28"/>
        <v>15.429699999999999</v>
      </c>
      <c r="AE199">
        <f t="shared" si="29"/>
        <v>13.088027009199999</v>
      </c>
      <c r="AF199" s="9"/>
      <c r="AG199" s="22">
        <v>0.851746</v>
      </c>
      <c r="AH199" s="22">
        <v>179.315</v>
      </c>
      <c r="AI199" s="22">
        <v>-1.52649E-2</v>
      </c>
      <c r="AJ199" s="22">
        <v>189</v>
      </c>
      <c r="AK199" s="22">
        <v>0.85113499999999997</v>
      </c>
      <c r="AL199">
        <f t="shared" si="30"/>
        <v>15.264899999999999</v>
      </c>
      <c r="AM199">
        <f t="shared" si="31"/>
        <v>13.001817515399999</v>
      </c>
      <c r="AP199" s="9"/>
      <c r="AQ199" s="22">
        <v>0.84823599999999999</v>
      </c>
      <c r="AR199" s="22">
        <v>228.762</v>
      </c>
      <c r="AS199" s="22">
        <v>-1.51886E-2</v>
      </c>
      <c r="AT199" s="22">
        <v>189</v>
      </c>
      <c r="AU199" s="22">
        <v>0.84686300000000003</v>
      </c>
      <c r="AV199">
        <f t="shared" si="32"/>
        <v>15.188599999999999</v>
      </c>
      <c r="AW199">
        <f t="shared" si="33"/>
        <v>12.883517309599998</v>
      </c>
      <c r="AX199" s="9"/>
      <c r="AY199" s="22">
        <v>0.851746</v>
      </c>
      <c r="AZ199" s="22">
        <v>263.10199999999998</v>
      </c>
      <c r="BA199" s="22">
        <v>-1.5090900000000001E-2</v>
      </c>
      <c r="BB199" s="22">
        <v>189</v>
      </c>
      <c r="BC199" s="22">
        <v>0.85082999999999998</v>
      </c>
      <c r="BD199">
        <f t="shared" si="34"/>
        <v>15.090900000000001</v>
      </c>
      <c r="BE199">
        <f t="shared" si="35"/>
        <v>12.853613711400001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50.968600000000002</v>
      </c>
      <c r="I200" s="22">
        <v>-1.55487E-2</v>
      </c>
      <c r="J200" s="22">
        <v>190</v>
      </c>
      <c r="K200" s="22">
        <v>0.84228499999999995</v>
      </c>
      <c r="L200">
        <f t="shared" si="24"/>
        <v>15.5487</v>
      </c>
      <c r="M200">
        <f t="shared" si="25"/>
        <v>13.110679388699999</v>
      </c>
      <c r="N200" s="9"/>
      <c r="O200" s="22">
        <v>0.85678100000000001</v>
      </c>
      <c r="P200" s="22">
        <v>100.395</v>
      </c>
      <c r="Q200" s="22">
        <v>-1.53992E-2</v>
      </c>
      <c r="R200" s="22">
        <v>190</v>
      </c>
      <c r="S200" s="22">
        <v>0.85601799999999995</v>
      </c>
      <c r="T200">
        <f t="shared" si="26"/>
        <v>15.3992</v>
      </c>
      <c r="U200">
        <f t="shared" si="27"/>
        <v>13.1937419752</v>
      </c>
      <c r="X200" s="9"/>
      <c r="Y200" s="22">
        <v>0.84320099999999998</v>
      </c>
      <c r="Z200" s="22">
        <v>129.852</v>
      </c>
      <c r="AA200" s="22">
        <v>-1.54358E-2</v>
      </c>
      <c r="AB200" s="22">
        <v>190</v>
      </c>
      <c r="AC200" s="22">
        <v>0.84258999999999995</v>
      </c>
      <c r="AD200">
        <f t="shared" si="28"/>
        <v>15.4358</v>
      </c>
      <c r="AE200">
        <f t="shared" si="29"/>
        <v>13.0154819958</v>
      </c>
      <c r="AF200" s="9"/>
      <c r="AG200" s="22">
        <v>0.85678100000000001</v>
      </c>
      <c r="AH200" s="22">
        <v>179.32599999999999</v>
      </c>
      <c r="AI200" s="22">
        <v>-1.5255700000000001E-2</v>
      </c>
      <c r="AJ200" s="22">
        <v>190</v>
      </c>
      <c r="AK200" s="22">
        <v>0.85540799999999995</v>
      </c>
      <c r="AL200">
        <f t="shared" si="30"/>
        <v>15.255700000000001</v>
      </c>
      <c r="AM200">
        <f t="shared" si="31"/>
        <v>13.070793901700002</v>
      </c>
      <c r="AP200" s="9"/>
      <c r="AQ200" s="22">
        <v>0.84320099999999998</v>
      </c>
      <c r="AR200" s="22">
        <v>228.77199999999999</v>
      </c>
      <c r="AS200" s="22">
        <v>-1.5197799999999999E-2</v>
      </c>
      <c r="AT200" s="22">
        <v>190</v>
      </c>
      <c r="AU200" s="22">
        <v>0.84228499999999995</v>
      </c>
      <c r="AV200">
        <f t="shared" si="32"/>
        <v>15.197799999999999</v>
      </c>
      <c r="AW200">
        <f t="shared" si="33"/>
        <v>12.814800157799999</v>
      </c>
      <c r="AX200" s="9"/>
      <c r="AY200" s="22">
        <v>0.85678100000000001</v>
      </c>
      <c r="AZ200" s="22">
        <v>263.11200000000002</v>
      </c>
      <c r="BA200" s="22">
        <v>-1.50879E-2</v>
      </c>
      <c r="BB200" s="22">
        <v>190</v>
      </c>
      <c r="BC200" s="22">
        <v>0.85632299999999995</v>
      </c>
      <c r="BD200">
        <f t="shared" si="34"/>
        <v>15.087899999999999</v>
      </c>
      <c r="BE200">
        <f t="shared" si="35"/>
        <v>12.9270260499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50.978700000000003</v>
      </c>
      <c r="I201" s="22">
        <v>-1.55579E-2</v>
      </c>
      <c r="J201" s="22">
        <v>191</v>
      </c>
      <c r="K201" s="22">
        <v>0.83679199999999998</v>
      </c>
      <c r="L201">
        <f t="shared" si="24"/>
        <v>15.5579</v>
      </c>
      <c r="M201">
        <f t="shared" si="25"/>
        <v>13.040087253500001</v>
      </c>
      <c r="N201" s="9"/>
      <c r="O201" s="22">
        <v>0.86181600000000003</v>
      </c>
      <c r="P201" s="22">
        <v>100.405</v>
      </c>
      <c r="Q201" s="22">
        <v>-1.5383900000000001E-2</v>
      </c>
      <c r="R201" s="22">
        <v>191</v>
      </c>
      <c r="S201" s="22">
        <v>0.86090100000000003</v>
      </c>
      <c r="T201">
        <f t="shared" si="26"/>
        <v>15.383900000000001</v>
      </c>
      <c r="U201">
        <f t="shared" si="27"/>
        <v>13.258091162400001</v>
      </c>
      <c r="X201" s="9"/>
      <c r="Y201" s="22">
        <v>0.83816500000000005</v>
      </c>
      <c r="Z201" s="22">
        <v>129.86199999999999</v>
      </c>
      <c r="AA201" s="22">
        <v>-1.5444899999999999E-2</v>
      </c>
      <c r="AB201" s="22">
        <v>191</v>
      </c>
      <c r="AC201" s="22">
        <v>0.83740199999999998</v>
      </c>
      <c r="AD201">
        <f t="shared" si="28"/>
        <v>15.444899999999999</v>
      </c>
      <c r="AE201">
        <f t="shared" si="29"/>
        <v>12.9453746085</v>
      </c>
      <c r="AF201" s="9"/>
      <c r="AG201" s="22">
        <v>0.86181600000000003</v>
      </c>
      <c r="AH201" s="22">
        <v>179.33600000000001</v>
      </c>
      <c r="AI201" s="22">
        <v>-1.5252699999999999E-2</v>
      </c>
      <c r="AJ201" s="22">
        <v>191</v>
      </c>
      <c r="AK201" s="22">
        <v>0.86090100000000003</v>
      </c>
      <c r="AL201">
        <f t="shared" si="30"/>
        <v>15.252699999999999</v>
      </c>
      <c r="AM201">
        <f t="shared" si="31"/>
        <v>13.145020903199999</v>
      </c>
      <c r="AP201" s="9"/>
      <c r="AQ201" s="22">
        <v>0.83816500000000005</v>
      </c>
      <c r="AR201" s="22">
        <v>228.78200000000001</v>
      </c>
      <c r="AS201" s="22">
        <v>-1.5197799999999999E-2</v>
      </c>
      <c r="AT201" s="22">
        <v>191</v>
      </c>
      <c r="AU201" s="22">
        <v>0.83740199999999998</v>
      </c>
      <c r="AV201">
        <f t="shared" si="32"/>
        <v>15.197799999999999</v>
      </c>
      <c r="AW201">
        <f t="shared" si="33"/>
        <v>12.738264037</v>
      </c>
      <c r="AX201" s="9"/>
      <c r="AY201" s="22">
        <v>0.86181600000000003</v>
      </c>
      <c r="AZ201" s="22">
        <v>263.12200000000001</v>
      </c>
      <c r="BA201" s="22">
        <v>-1.5090900000000001E-2</v>
      </c>
      <c r="BB201" s="22">
        <v>191</v>
      </c>
      <c r="BC201" s="22">
        <v>0.86120600000000003</v>
      </c>
      <c r="BD201">
        <f t="shared" si="34"/>
        <v>15.090900000000001</v>
      </c>
      <c r="BE201">
        <f t="shared" si="35"/>
        <v>13.005579074400002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50.988799999999998</v>
      </c>
      <c r="I202" s="22">
        <v>-1.55579E-2</v>
      </c>
      <c r="J202" s="22">
        <v>192</v>
      </c>
      <c r="K202" s="22">
        <v>0.83252000000000004</v>
      </c>
      <c r="L202">
        <f t="shared" si="24"/>
        <v>15.5579</v>
      </c>
      <c r="M202">
        <f t="shared" si="25"/>
        <v>12.961753227000001</v>
      </c>
      <c r="N202" s="9"/>
      <c r="O202" s="22">
        <v>0.86685199999999996</v>
      </c>
      <c r="P202" s="22">
        <v>100.41500000000001</v>
      </c>
      <c r="Q202" s="22">
        <v>-1.5362499999999999E-2</v>
      </c>
      <c r="R202" s="22">
        <v>192</v>
      </c>
      <c r="S202" s="22">
        <v>0.866089</v>
      </c>
      <c r="T202">
        <f t="shared" si="26"/>
        <v>15.362499999999999</v>
      </c>
      <c r="U202">
        <f t="shared" si="27"/>
        <v>13.317013849999999</v>
      </c>
      <c r="X202" s="9"/>
      <c r="Y202" s="22">
        <v>0.83313000000000004</v>
      </c>
      <c r="Z202" s="22">
        <v>129.87200000000001</v>
      </c>
      <c r="AA202" s="22">
        <v>-1.54541E-2</v>
      </c>
      <c r="AB202" s="22">
        <v>192</v>
      </c>
      <c r="AC202" s="22">
        <v>0.83221400000000001</v>
      </c>
      <c r="AD202">
        <f t="shared" si="28"/>
        <v>15.4541</v>
      </c>
      <c r="AE202">
        <f t="shared" si="29"/>
        <v>12.875274333</v>
      </c>
      <c r="AF202" s="9"/>
      <c r="AG202" s="22">
        <v>0.86685199999999996</v>
      </c>
      <c r="AH202" s="22">
        <v>179.346</v>
      </c>
      <c r="AI202" s="22">
        <v>-1.52496E-2</v>
      </c>
      <c r="AJ202" s="22">
        <v>192</v>
      </c>
      <c r="AK202" s="22">
        <v>0.865784</v>
      </c>
      <c r="AL202">
        <f t="shared" si="30"/>
        <v>15.249600000000001</v>
      </c>
      <c r="AM202">
        <f t="shared" si="31"/>
        <v>13.2191462592</v>
      </c>
      <c r="AP202" s="9"/>
      <c r="AQ202" s="22">
        <v>0.83313000000000004</v>
      </c>
      <c r="AR202" s="22">
        <v>228.792</v>
      </c>
      <c r="AS202" s="22">
        <v>-1.52008E-2</v>
      </c>
      <c r="AT202" s="22">
        <v>192</v>
      </c>
      <c r="AU202" s="22">
        <v>0.83221400000000001</v>
      </c>
      <c r="AV202">
        <f t="shared" si="32"/>
        <v>15.200800000000001</v>
      </c>
      <c r="AW202">
        <f t="shared" si="33"/>
        <v>12.664242504000001</v>
      </c>
      <c r="AX202" s="9"/>
      <c r="AY202" s="22">
        <v>0.86685199999999996</v>
      </c>
      <c r="AZ202" s="22">
        <v>263.13200000000001</v>
      </c>
      <c r="BA202" s="22">
        <v>-1.5090900000000001E-2</v>
      </c>
      <c r="BB202" s="22">
        <v>192</v>
      </c>
      <c r="BC202" s="22">
        <v>0.865784</v>
      </c>
      <c r="BD202">
        <f t="shared" si="34"/>
        <v>15.090900000000001</v>
      </c>
      <c r="BE202">
        <f t="shared" si="35"/>
        <v>13.081576846800001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50.998800000000003</v>
      </c>
      <c r="I203" s="22">
        <v>-1.55701E-2</v>
      </c>
      <c r="J203" s="22">
        <v>193</v>
      </c>
      <c r="K203" s="22">
        <v>0.82733199999999996</v>
      </c>
      <c r="L203">
        <f t="shared" si="24"/>
        <v>15.5701</v>
      </c>
      <c r="M203">
        <f t="shared" si="25"/>
        <v>12.893506389400001</v>
      </c>
      <c r="N203" s="9"/>
      <c r="O203" s="22">
        <v>0.87188699999999997</v>
      </c>
      <c r="P203" s="22">
        <v>100.425</v>
      </c>
      <c r="Q203" s="22">
        <v>-1.5341199999999999E-2</v>
      </c>
      <c r="R203" s="22">
        <v>193</v>
      </c>
      <c r="S203" s="22">
        <v>0.87066699999999997</v>
      </c>
      <c r="T203">
        <f t="shared" si="26"/>
        <v>15.341199999999999</v>
      </c>
      <c r="U203">
        <f t="shared" si="27"/>
        <v>13.375792844399998</v>
      </c>
      <c r="X203" s="9"/>
      <c r="Y203" s="22">
        <v>0.828094</v>
      </c>
      <c r="Z203" s="22">
        <v>129.88200000000001</v>
      </c>
      <c r="AA203" s="22">
        <v>-1.5472400000000001E-2</v>
      </c>
      <c r="AB203" s="22">
        <v>193</v>
      </c>
      <c r="AC203" s="22">
        <v>0.82763699999999996</v>
      </c>
      <c r="AD203">
        <f t="shared" si="28"/>
        <v>15.4724</v>
      </c>
      <c r="AE203">
        <f t="shared" si="29"/>
        <v>12.812601605599999</v>
      </c>
      <c r="AF203" s="9"/>
      <c r="AG203" s="22">
        <v>0.87188699999999997</v>
      </c>
      <c r="AH203" s="22">
        <v>179.35599999999999</v>
      </c>
      <c r="AI203" s="22">
        <v>-1.52435E-2</v>
      </c>
      <c r="AJ203" s="22">
        <v>193</v>
      </c>
      <c r="AK203" s="22">
        <v>0.87066699999999997</v>
      </c>
      <c r="AL203">
        <f t="shared" si="30"/>
        <v>15.243500000000001</v>
      </c>
      <c r="AM203">
        <f t="shared" si="31"/>
        <v>13.290609484500001</v>
      </c>
      <c r="AP203" s="9"/>
      <c r="AQ203" s="22">
        <v>0.828094</v>
      </c>
      <c r="AR203" s="22">
        <v>228.80199999999999</v>
      </c>
      <c r="AS203" s="22">
        <v>-1.5206900000000001E-2</v>
      </c>
      <c r="AT203" s="22">
        <v>193</v>
      </c>
      <c r="AU203" s="22">
        <v>0.82763699999999996</v>
      </c>
      <c r="AV203">
        <f t="shared" si="32"/>
        <v>15.206900000000001</v>
      </c>
      <c r="AW203">
        <f t="shared" si="33"/>
        <v>12.592742648600002</v>
      </c>
      <c r="AX203" s="9"/>
      <c r="AY203" s="22">
        <v>0.87188699999999997</v>
      </c>
      <c r="AZ203" s="22">
        <v>263.142</v>
      </c>
      <c r="BA203" s="22">
        <v>-1.5084800000000001E-2</v>
      </c>
      <c r="BB203" s="22">
        <v>193</v>
      </c>
      <c r="BC203" s="22">
        <v>0.87097199999999997</v>
      </c>
      <c r="BD203">
        <f t="shared" si="34"/>
        <v>15.084800000000001</v>
      </c>
      <c r="BE203">
        <f t="shared" si="35"/>
        <v>13.152241017600002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51.008899999999997</v>
      </c>
      <c r="I204" s="22">
        <v>-1.55701E-2</v>
      </c>
      <c r="J204" s="22">
        <v>194</v>
      </c>
      <c r="K204" s="22">
        <v>0.82244899999999999</v>
      </c>
      <c r="L204">
        <f t="shared" ref="L204:L267" si="36">-I204/$F$2*1000</f>
        <v>15.5701</v>
      </c>
      <c r="M204">
        <f t="shared" ref="M204:M267" si="37">L204*G204</f>
        <v>12.8151109359</v>
      </c>
      <c r="N204" s="9"/>
      <c r="O204" s="22">
        <v>0.87692300000000001</v>
      </c>
      <c r="P204" s="22">
        <v>100.435</v>
      </c>
      <c r="Q204" s="22">
        <v>-1.53259E-2</v>
      </c>
      <c r="R204" s="22">
        <v>194</v>
      </c>
      <c r="S204" s="22">
        <v>0.87554900000000002</v>
      </c>
      <c r="T204">
        <f t="shared" ref="T204:T267" si="38">-Q204/$F$2*1000</f>
        <v>15.325900000000001</v>
      </c>
      <c r="U204">
        <f t="shared" ref="U204:U267" si="39">T204*O204</f>
        <v>13.439634205700001</v>
      </c>
      <c r="X204" s="9"/>
      <c r="Y204" s="22">
        <v>0.82305899999999999</v>
      </c>
      <c r="Z204" s="22">
        <v>129.892</v>
      </c>
      <c r="AA204" s="22">
        <v>-1.54816E-2</v>
      </c>
      <c r="AB204" s="22">
        <v>194</v>
      </c>
      <c r="AC204" s="22">
        <v>0.82244899999999999</v>
      </c>
      <c r="AD204">
        <f t="shared" ref="AD204:AD267" si="40">-AA204/$F$2*1000</f>
        <v>15.4816</v>
      </c>
      <c r="AE204">
        <f t="shared" ref="AE204:AE267" si="41">AD204*Y204</f>
        <v>12.7422702144</v>
      </c>
      <c r="AF204" s="9"/>
      <c r="AG204" s="22">
        <v>0.87692300000000001</v>
      </c>
      <c r="AH204" s="22">
        <v>179.36600000000001</v>
      </c>
      <c r="AI204" s="22">
        <v>-1.52435E-2</v>
      </c>
      <c r="AJ204" s="22">
        <v>194</v>
      </c>
      <c r="AK204" s="22">
        <v>0.87585400000000002</v>
      </c>
      <c r="AL204">
        <f t="shared" ref="AL204:AL267" si="42">-AI204/$F$2*1000</f>
        <v>15.243500000000001</v>
      </c>
      <c r="AM204">
        <f t="shared" ref="AM204:AM267" si="43">AL204*AG204</f>
        <v>13.367375750500001</v>
      </c>
      <c r="AP204" s="9"/>
      <c r="AQ204" s="22">
        <v>0.82305899999999999</v>
      </c>
      <c r="AR204" s="22">
        <v>228.81200000000001</v>
      </c>
      <c r="AS204" s="22">
        <v>-1.521E-2</v>
      </c>
      <c r="AT204" s="22">
        <v>194</v>
      </c>
      <c r="AU204" s="22">
        <v>0.82244899999999999</v>
      </c>
      <c r="AV204">
        <f t="shared" ref="AV204:AV267" si="44">-AS204/$F$2*1000</f>
        <v>15.209999999999999</v>
      </c>
      <c r="AW204">
        <f t="shared" ref="AW204:AW267" si="45">AV204*AQ204</f>
        <v>12.518727389999999</v>
      </c>
      <c r="AX204" s="9"/>
      <c r="AY204" s="22">
        <v>0.87692300000000001</v>
      </c>
      <c r="AZ204" s="22">
        <v>263.15199999999999</v>
      </c>
      <c r="BA204" s="22">
        <v>-1.5075699999999999E-2</v>
      </c>
      <c r="BB204" s="22">
        <v>194</v>
      </c>
      <c r="BC204" s="22">
        <v>0.87585400000000002</v>
      </c>
      <c r="BD204">
        <f t="shared" ref="BD204:BD267" si="46">-BA204/$F$2*1000</f>
        <v>15.075699999999999</v>
      </c>
      <c r="BE204">
        <f t="shared" ref="BE204:BE267" si="47">BD204*AY204</f>
        <v>13.220228071099999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51.018999999999998</v>
      </c>
      <c r="I205" s="22">
        <v>-1.55701E-2</v>
      </c>
      <c r="J205" s="22">
        <v>195</v>
      </c>
      <c r="K205" s="22">
        <v>0.81726100000000002</v>
      </c>
      <c r="L205">
        <f t="shared" si="36"/>
        <v>15.5701</v>
      </c>
      <c r="M205">
        <f t="shared" si="37"/>
        <v>12.736715482399999</v>
      </c>
      <c r="N205" s="9"/>
      <c r="O205" s="22">
        <v>0.88195800000000002</v>
      </c>
      <c r="P205" s="22">
        <v>100.44499999999999</v>
      </c>
      <c r="Q205" s="22">
        <v>-1.53259E-2</v>
      </c>
      <c r="R205" s="22">
        <v>195</v>
      </c>
      <c r="S205" s="22">
        <v>0.88073699999999999</v>
      </c>
      <c r="T205">
        <f t="shared" si="38"/>
        <v>15.325900000000001</v>
      </c>
      <c r="U205">
        <f t="shared" si="39"/>
        <v>13.5168001122</v>
      </c>
      <c r="X205" s="9"/>
      <c r="Y205" s="22">
        <v>0.81802399999999997</v>
      </c>
      <c r="Z205" s="22">
        <v>129.90199999999999</v>
      </c>
      <c r="AA205" s="22">
        <v>-1.5484599999999999E-2</v>
      </c>
      <c r="AB205" s="22">
        <v>195</v>
      </c>
      <c r="AC205" s="22">
        <v>0.81726100000000002</v>
      </c>
      <c r="AD205">
        <f t="shared" si="40"/>
        <v>15.484599999999999</v>
      </c>
      <c r="AE205">
        <f t="shared" si="41"/>
        <v>12.666774430399999</v>
      </c>
      <c r="AF205" s="9"/>
      <c r="AG205" s="22">
        <v>0.88195800000000002</v>
      </c>
      <c r="AH205" s="22">
        <v>179.376</v>
      </c>
      <c r="AI205" s="22">
        <v>-1.52374E-2</v>
      </c>
      <c r="AJ205" s="22">
        <v>195</v>
      </c>
      <c r="AK205" s="22">
        <v>0.88104199999999999</v>
      </c>
      <c r="AL205">
        <f t="shared" si="42"/>
        <v>15.237399999999999</v>
      </c>
      <c r="AM205">
        <f t="shared" si="43"/>
        <v>13.438746829199999</v>
      </c>
      <c r="AP205" s="9"/>
      <c r="AQ205" s="22">
        <v>0.81802399999999997</v>
      </c>
      <c r="AR205" s="22">
        <v>228.822</v>
      </c>
      <c r="AS205" s="22">
        <v>-1.5206900000000001E-2</v>
      </c>
      <c r="AT205" s="22">
        <v>195</v>
      </c>
      <c r="AU205" s="22">
        <v>0.81726100000000002</v>
      </c>
      <c r="AV205">
        <f t="shared" si="44"/>
        <v>15.206900000000001</v>
      </c>
      <c r="AW205">
        <f t="shared" si="45"/>
        <v>12.4396091656</v>
      </c>
      <c r="AX205" s="9"/>
      <c r="AY205" s="22">
        <v>0.88195800000000002</v>
      </c>
      <c r="AZ205" s="22">
        <v>263.16199999999998</v>
      </c>
      <c r="BA205" s="22">
        <v>-1.5063500000000001E-2</v>
      </c>
      <c r="BB205" s="22">
        <v>195</v>
      </c>
      <c r="BC205" s="22">
        <v>0.88134800000000002</v>
      </c>
      <c r="BD205">
        <f t="shared" si="46"/>
        <v>15.063500000000001</v>
      </c>
      <c r="BE205">
        <f t="shared" si="47"/>
        <v>13.285374333000002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51.0291</v>
      </c>
      <c r="I206" s="22">
        <v>-1.5573099999999999E-2</v>
      </c>
      <c r="J206" s="22">
        <v>196</v>
      </c>
      <c r="K206" s="22">
        <v>0.81237800000000004</v>
      </c>
      <c r="L206">
        <f t="shared" si="36"/>
        <v>15.5731</v>
      </c>
      <c r="M206">
        <f t="shared" si="37"/>
        <v>12.660743422800001</v>
      </c>
      <c r="N206" s="9"/>
      <c r="O206" s="22">
        <v>0.88699300000000003</v>
      </c>
      <c r="P206" s="22">
        <v>100.455</v>
      </c>
      <c r="Q206" s="22">
        <v>-1.5329000000000001E-2</v>
      </c>
      <c r="R206" s="22">
        <v>196</v>
      </c>
      <c r="S206" s="22">
        <v>0.88622999999999996</v>
      </c>
      <c r="T206">
        <f t="shared" si="38"/>
        <v>15.329000000000001</v>
      </c>
      <c r="U206">
        <f t="shared" si="39"/>
        <v>13.596715697</v>
      </c>
      <c r="X206" s="9"/>
      <c r="Y206" s="22">
        <v>0.81298800000000004</v>
      </c>
      <c r="Z206" s="22">
        <v>129.91300000000001</v>
      </c>
      <c r="AA206" s="22">
        <v>-1.5478499999999999E-2</v>
      </c>
      <c r="AB206" s="22">
        <v>196</v>
      </c>
      <c r="AC206" s="22">
        <v>0.81237800000000004</v>
      </c>
      <c r="AD206">
        <f t="shared" si="40"/>
        <v>15.478499999999999</v>
      </c>
      <c r="AE206">
        <f t="shared" si="41"/>
        <v>12.583834758</v>
      </c>
      <c r="AF206" s="9"/>
      <c r="AG206" s="22">
        <v>0.88699300000000003</v>
      </c>
      <c r="AH206" s="22">
        <v>179.386</v>
      </c>
      <c r="AI206" s="22">
        <v>-1.52374E-2</v>
      </c>
      <c r="AJ206" s="22">
        <v>196</v>
      </c>
      <c r="AK206" s="22">
        <v>0.88592499999999996</v>
      </c>
      <c r="AL206">
        <f t="shared" si="42"/>
        <v>15.237399999999999</v>
      </c>
      <c r="AM206">
        <f t="shared" si="43"/>
        <v>13.5154671382</v>
      </c>
      <c r="AP206" s="9"/>
      <c r="AQ206" s="22">
        <v>0.81298800000000004</v>
      </c>
      <c r="AR206" s="22">
        <v>228.83199999999999</v>
      </c>
      <c r="AS206" s="22">
        <v>-1.521E-2</v>
      </c>
      <c r="AT206" s="22">
        <v>196</v>
      </c>
      <c r="AU206" s="22">
        <v>0.81268300000000004</v>
      </c>
      <c r="AV206">
        <f t="shared" si="44"/>
        <v>15.209999999999999</v>
      </c>
      <c r="AW206">
        <f t="shared" si="45"/>
        <v>12.36554748</v>
      </c>
      <c r="AX206" s="9"/>
      <c r="AY206" s="22">
        <v>0.88699300000000003</v>
      </c>
      <c r="AZ206" s="22">
        <v>263.173</v>
      </c>
      <c r="BA206" s="22">
        <v>-1.50513E-2</v>
      </c>
      <c r="BB206" s="22">
        <v>196</v>
      </c>
      <c r="BC206" s="22">
        <v>0.88622999999999996</v>
      </c>
      <c r="BD206">
        <f t="shared" si="46"/>
        <v>15.051299999999999</v>
      </c>
      <c r="BE206">
        <f t="shared" si="47"/>
        <v>13.3503977409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51.039099999999998</v>
      </c>
      <c r="I207" s="22">
        <v>-1.55823E-2</v>
      </c>
      <c r="J207" s="22">
        <v>197</v>
      </c>
      <c r="K207" s="22">
        <v>0.80657999999999996</v>
      </c>
      <c r="L207">
        <f t="shared" si="36"/>
        <v>15.5823</v>
      </c>
      <c r="M207">
        <f t="shared" si="37"/>
        <v>12.5897660319</v>
      </c>
      <c r="N207" s="9"/>
      <c r="O207" s="22">
        <v>0.89202899999999996</v>
      </c>
      <c r="P207" s="22">
        <v>100.46599999999999</v>
      </c>
      <c r="Q207" s="22">
        <v>-1.5332E-2</v>
      </c>
      <c r="R207" s="22">
        <v>197</v>
      </c>
      <c r="S207" s="22">
        <v>0.89141800000000004</v>
      </c>
      <c r="T207">
        <f t="shared" si="38"/>
        <v>15.332000000000001</v>
      </c>
      <c r="U207">
        <f t="shared" si="39"/>
        <v>13.676588627999999</v>
      </c>
      <c r="X207" s="9"/>
      <c r="Y207" s="22">
        <v>0.80795300000000003</v>
      </c>
      <c r="Z207" s="22">
        <v>129.923</v>
      </c>
      <c r="AA207" s="22">
        <v>-1.5472400000000001E-2</v>
      </c>
      <c r="AB207" s="22">
        <v>197</v>
      </c>
      <c r="AC207" s="22">
        <v>0.80688499999999996</v>
      </c>
      <c r="AD207">
        <f t="shared" si="40"/>
        <v>15.4724</v>
      </c>
      <c r="AE207">
        <f t="shared" si="41"/>
        <v>12.500971997200001</v>
      </c>
      <c r="AF207" s="9"/>
      <c r="AG207" s="22">
        <v>0.89202899999999996</v>
      </c>
      <c r="AH207" s="22">
        <v>179.39599999999999</v>
      </c>
      <c r="AI207" s="22">
        <v>-1.52344E-2</v>
      </c>
      <c r="AJ207" s="22">
        <v>197</v>
      </c>
      <c r="AK207" s="22">
        <v>0.89141800000000004</v>
      </c>
      <c r="AL207">
        <f t="shared" si="42"/>
        <v>15.234400000000001</v>
      </c>
      <c r="AM207">
        <f t="shared" si="43"/>
        <v>13.589526597600001</v>
      </c>
      <c r="AP207" s="9"/>
      <c r="AQ207" s="22">
        <v>0.80795300000000003</v>
      </c>
      <c r="AR207" s="22">
        <v>228.84200000000001</v>
      </c>
      <c r="AS207" s="22">
        <v>-1.521E-2</v>
      </c>
      <c r="AT207" s="22">
        <v>197</v>
      </c>
      <c r="AU207" s="22">
        <v>0.80718999999999996</v>
      </c>
      <c r="AV207">
        <f t="shared" si="44"/>
        <v>15.209999999999999</v>
      </c>
      <c r="AW207">
        <f t="shared" si="45"/>
        <v>12.288965129999999</v>
      </c>
      <c r="AX207" s="9"/>
      <c r="AY207" s="22">
        <v>0.89202899999999996</v>
      </c>
      <c r="AZ207" s="22">
        <v>263.18299999999999</v>
      </c>
      <c r="BA207" s="22">
        <v>-1.5042099999999999E-2</v>
      </c>
      <c r="BB207" s="22">
        <v>197</v>
      </c>
      <c r="BC207" s="22">
        <v>0.89141800000000004</v>
      </c>
      <c r="BD207">
        <f t="shared" si="46"/>
        <v>15.0421</v>
      </c>
      <c r="BE207">
        <f t="shared" si="47"/>
        <v>13.4179894209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51.049199999999999</v>
      </c>
      <c r="I208" s="22">
        <v>-1.5588400000000001E-2</v>
      </c>
      <c r="J208" s="22">
        <v>198</v>
      </c>
      <c r="K208" s="22">
        <v>0.80200199999999999</v>
      </c>
      <c r="L208">
        <f t="shared" si="36"/>
        <v>15.5884</v>
      </c>
      <c r="M208">
        <f t="shared" si="37"/>
        <v>12.516191362800001</v>
      </c>
      <c r="N208" s="9"/>
      <c r="O208" s="22">
        <v>0.89706399999999997</v>
      </c>
      <c r="P208" s="22">
        <v>100.476</v>
      </c>
      <c r="Q208" s="22">
        <v>-1.5335100000000001E-2</v>
      </c>
      <c r="R208" s="22">
        <v>198</v>
      </c>
      <c r="S208" s="22">
        <v>0.89630100000000001</v>
      </c>
      <c r="T208">
        <f t="shared" si="38"/>
        <v>15.335100000000001</v>
      </c>
      <c r="U208">
        <f t="shared" si="39"/>
        <v>13.756566146400001</v>
      </c>
      <c r="X208" s="9"/>
      <c r="Y208" s="22">
        <v>0.80291699999999999</v>
      </c>
      <c r="Z208" s="22">
        <v>129.93299999999999</v>
      </c>
      <c r="AA208" s="22">
        <v>-1.5472400000000001E-2</v>
      </c>
      <c r="AB208" s="22">
        <v>198</v>
      </c>
      <c r="AC208" s="22">
        <v>0.80230699999999999</v>
      </c>
      <c r="AD208">
        <f t="shared" si="40"/>
        <v>15.4724</v>
      </c>
      <c r="AE208">
        <f t="shared" si="41"/>
        <v>12.4230529908</v>
      </c>
      <c r="AF208" s="9"/>
      <c r="AG208" s="22">
        <v>0.89706399999999997</v>
      </c>
      <c r="AH208" s="22">
        <v>179.40600000000001</v>
      </c>
      <c r="AI208" s="22">
        <v>-1.5246600000000001E-2</v>
      </c>
      <c r="AJ208" s="22">
        <v>198</v>
      </c>
      <c r="AK208" s="22">
        <v>0.89630100000000001</v>
      </c>
      <c r="AL208">
        <f t="shared" si="42"/>
        <v>15.246600000000001</v>
      </c>
      <c r="AM208">
        <f t="shared" si="43"/>
        <v>13.6771759824</v>
      </c>
      <c r="AP208" s="9"/>
      <c r="AQ208" s="22">
        <v>0.80291699999999999</v>
      </c>
      <c r="AR208" s="22">
        <v>228.85300000000001</v>
      </c>
      <c r="AS208" s="22">
        <v>-1.5213000000000001E-2</v>
      </c>
      <c r="AT208" s="22">
        <v>198</v>
      </c>
      <c r="AU208" s="22">
        <v>0.80169699999999999</v>
      </c>
      <c r="AV208">
        <f t="shared" si="44"/>
        <v>15.213000000000001</v>
      </c>
      <c r="AW208">
        <f t="shared" si="45"/>
        <v>12.214776321</v>
      </c>
      <c r="AX208" s="9"/>
      <c r="AY208" s="22">
        <v>0.89706399999999997</v>
      </c>
      <c r="AZ208" s="22">
        <v>263.19299999999998</v>
      </c>
      <c r="BA208" s="22">
        <v>-1.50238E-2</v>
      </c>
      <c r="BB208" s="22">
        <v>198</v>
      </c>
      <c r="BC208" s="22">
        <v>0.89630100000000001</v>
      </c>
      <c r="BD208">
        <f t="shared" si="46"/>
        <v>15.0238</v>
      </c>
      <c r="BE208">
        <f t="shared" si="47"/>
        <v>13.477310123199999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51.0593</v>
      </c>
      <c r="I209" s="22">
        <v>-1.55853E-2</v>
      </c>
      <c r="J209" s="22">
        <v>199</v>
      </c>
      <c r="K209" s="22">
        <v>0.79711900000000002</v>
      </c>
      <c r="L209">
        <f t="shared" si="36"/>
        <v>15.5853</v>
      </c>
      <c r="M209">
        <f t="shared" si="37"/>
        <v>12.4352303346</v>
      </c>
      <c r="N209" s="9"/>
      <c r="O209" s="22">
        <v>0.90210000000000001</v>
      </c>
      <c r="P209" s="22">
        <v>100.486</v>
      </c>
      <c r="Q209" s="22">
        <v>-1.5341199999999999E-2</v>
      </c>
      <c r="R209" s="22">
        <v>199</v>
      </c>
      <c r="S209" s="22">
        <v>0.90087899999999999</v>
      </c>
      <c r="T209">
        <f t="shared" si="38"/>
        <v>15.341199999999999</v>
      </c>
      <c r="U209">
        <f t="shared" si="39"/>
        <v>13.83929652</v>
      </c>
      <c r="X209" s="9"/>
      <c r="Y209" s="22">
        <v>0.79788199999999998</v>
      </c>
      <c r="Z209" s="22">
        <v>129.94300000000001</v>
      </c>
      <c r="AA209" s="22">
        <v>-1.5466300000000001E-2</v>
      </c>
      <c r="AB209" s="22">
        <v>199</v>
      </c>
      <c r="AC209" s="22">
        <v>0.79742400000000002</v>
      </c>
      <c r="AD209">
        <f t="shared" si="40"/>
        <v>15.4663</v>
      </c>
      <c r="AE209">
        <f t="shared" si="41"/>
        <v>12.340282376599999</v>
      </c>
      <c r="AF209" s="9"/>
      <c r="AG209" s="22">
        <v>0.90210000000000001</v>
      </c>
      <c r="AH209" s="22">
        <v>179.416</v>
      </c>
      <c r="AI209" s="22">
        <v>-1.52496E-2</v>
      </c>
      <c r="AJ209" s="22">
        <v>199</v>
      </c>
      <c r="AK209" s="22">
        <v>0.90087899999999999</v>
      </c>
      <c r="AL209">
        <f t="shared" si="42"/>
        <v>15.249600000000001</v>
      </c>
      <c r="AM209">
        <f t="shared" si="43"/>
        <v>13.756664160000001</v>
      </c>
      <c r="AP209" s="9"/>
      <c r="AQ209" s="22">
        <v>0.79788199999999998</v>
      </c>
      <c r="AR209" s="22">
        <v>228.863</v>
      </c>
      <c r="AS209" s="22">
        <v>-1.52283E-2</v>
      </c>
      <c r="AT209" s="22">
        <v>199</v>
      </c>
      <c r="AU209" s="22">
        <v>0.79711900000000002</v>
      </c>
      <c r="AV209">
        <f t="shared" si="44"/>
        <v>15.228300000000001</v>
      </c>
      <c r="AW209">
        <f t="shared" si="45"/>
        <v>12.1503864606</v>
      </c>
      <c r="AX209" s="9"/>
      <c r="AY209" s="22">
        <v>0.90210000000000001</v>
      </c>
      <c r="AZ209" s="22">
        <v>263.20299999999997</v>
      </c>
      <c r="BA209" s="22">
        <v>-1.50116E-2</v>
      </c>
      <c r="BB209" s="22">
        <v>199</v>
      </c>
      <c r="BC209" s="22">
        <v>0.90179399999999998</v>
      </c>
      <c r="BD209">
        <f t="shared" si="46"/>
        <v>15.0116</v>
      </c>
      <c r="BE209">
        <f t="shared" si="47"/>
        <v>13.54196436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51.069299999999998</v>
      </c>
      <c r="I210" s="22">
        <v>-1.55853E-2</v>
      </c>
      <c r="J210" s="22">
        <v>200</v>
      </c>
      <c r="K210" s="22">
        <v>0.79193100000000005</v>
      </c>
      <c r="L210">
        <f t="shared" si="36"/>
        <v>15.5853</v>
      </c>
      <c r="M210">
        <f t="shared" si="37"/>
        <v>12.3567583491</v>
      </c>
      <c r="N210" s="9"/>
      <c r="O210" s="22">
        <v>0.90713500000000002</v>
      </c>
      <c r="P210" s="22">
        <v>100.496</v>
      </c>
      <c r="Q210" s="22">
        <v>-1.5344200000000001E-2</v>
      </c>
      <c r="R210" s="22">
        <v>200</v>
      </c>
      <c r="S210" s="22">
        <v>0.90637199999999996</v>
      </c>
      <c r="T210">
        <f t="shared" si="38"/>
        <v>15.344200000000001</v>
      </c>
      <c r="U210">
        <f t="shared" si="39"/>
        <v>13.919260867</v>
      </c>
      <c r="X210" s="9"/>
      <c r="Y210" s="22">
        <v>0.79284699999999997</v>
      </c>
      <c r="Z210" s="22">
        <v>129.953</v>
      </c>
      <c r="AA210" s="22">
        <v>-1.5463299999999999E-2</v>
      </c>
      <c r="AB210" s="22">
        <v>200</v>
      </c>
      <c r="AC210" s="22">
        <v>0.79162600000000005</v>
      </c>
      <c r="AD210">
        <f t="shared" si="40"/>
        <v>15.463299999999998</v>
      </c>
      <c r="AE210">
        <f t="shared" si="41"/>
        <v>12.260031015099999</v>
      </c>
      <c r="AF210" s="9"/>
      <c r="AG210" s="22">
        <v>0.90713500000000002</v>
      </c>
      <c r="AH210" s="22">
        <v>179.42599999999999</v>
      </c>
      <c r="AI210" s="22">
        <v>-1.5246600000000001E-2</v>
      </c>
      <c r="AJ210" s="22">
        <v>200</v>
      </c>
      <c r="AK210" s="22">
        <v>0.90606699999999996</v>
      </c>
      <c r="AL210">
        <f t="shared" si="42"/>
        <v>15.246600000000001</v>
      </c>
      <c r="AM210">
        <f t="shared" si="43"/>
        <v>13.830724491000002</v>
      </c>
      <c r="AP210" s="9"/>
      <c r="AQ210" s="22">
        <v>0.79284699999999997</v>
      </c>
      <c r="AR210" s="22">
        <v>228.87299999999999</v>
      </c>
      <c r="AS210" s="22">
        <v>-1.5240500000000001E-2</v>
      </c>
      <c r="AT210" s="22">
        <v>200</v>
      </c>
      <c r="AU210" s="22">
        <v>0.79193100000000005</v>
      </c>
      <c r="AV210">
        <f t="shared" si="44"/>
        <v>15.240500000000001</v>
      </c>
      <c r="AW210">
        <f t="shared" si="45"/>
        <v>12.0833847035</v>
      </c>
      <c r="AX210" s="9"/>
      <c r="AY210" s="22">
        <v>0.90713500000000002</v>
      </c>
      <c r="AZ210" s="22">
        <v>263.21300000000002</v>
      </c>
      <c r="BA210" s="22">
        <v>-1.50116E-2</v>
      </c>
      <c r="BB210" s="22">
        <v>200</v>
      </c>
      <c r="BC210" s="22">
        <v>0.90576199999999996</v>
      </c>
      <c r="BD210">
        <f t="shared" si="46"/>
        <v>15.0116</v>
      </c>
      <c r="BE210">
        <f t="shared" si="47"/>
        <v>13.617547765999999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51.0794</v>
      </c>
      <c r="I211" s="22">
        <v>-1.55914E-2</v>
      </c>
      <c r="J211" s="22">
        <v>201</v>
      </c>
      <c r="K211" s="22">
        <v>0.78704799999999997</v>
      </c>
      <c r="L211">
        <f t="shared" si="36"/>
        <v>15.5914</v>
      </c>
      <c r="M211">
        <f t="shared" si="37"/>
        <v>12.283076425400001</v>
      </c>
      <c r="N211" s="9"/>
      <c r="O211" s="22">
        <v>0.91217000000000004</v>
      </c>
      <c r="P211" s="22">
        <v>100.506</v>
      </c>
      <c r="Q211" s="22">
        <v>-1.5347299999999999E-2</v>
      </c>
      <c r="R211" s="22">
        <v>201</v>
      </c>
      <c r="S211" s="22">
        <v>0.91095000000000004</v>
      </c>
      <c r="T211">
        <f t="shared" si="38"/>
        <v>15.347299999999999</v>
      </c>
      <c r="U211">
        <f t="shared" si="39"/>
        <v>13.999346640999999</v>
      </c>
      <c r="X211" s="9"/>
      <c r="Y211" s="22">
        <v>0.78781100000000004</v>
      </c>
      <c r="Z211" s="22">
        <v>129.96299999999999</v>
      </c>
      <c r="AA211" s="22">
        <v>-1.5466300000000001E-2</v>
      </c>
      <c r="AB211" s="22">
        <v>201</v>
      </c>
      <c r="AC211" s="22">
        <v>0.78704799999999997</v>
      </c>
      <c r="AD211">
        <f t="shared" si="40"/>
        <v>15.4663</v>
      </c>
      <c r="AE211">
        <f t="shared" si="41"/>
        <v>12.184521269300001</v>
      </c>
      <c r="AF211" s="9"/>
      <c r="AG211" s="22">
        <v>0.91217000000000004</v>
      </c>
      <c r="AH211" s="22">
        <v>179.43600000000001</v>
      </c>
      <c r="AI211" s="22">
        <v>-1.52283E-2</v>
      </c>
      <c r="AJ211" s="22">
        <v>201</v>
      </c>
      <c r="AK211" s="22">
        <v>0.91186500000000004</v>
      </c>
      <c r="AL211">
        <f t="shared" si="42"/>
        <v>15.228300000000001</v>
      </c>
      <c r="AM211">
        <f t="shared" si="43"/>
        <v>13.890798411</v>
      </c>
      <c r="AP211" s="9"/>
      <c r="AQ211" s="22">
        <v>0.78781100000000004</v>
      </c>
      <c r="AR211" s="22">
        <v>228.88300000000001</v>
      </c>
      <c r="AS211" s="22">
        <v>-1.5258799999999999E-2</v>
      </c>
      <c r="AT211" s="22">
        <v>201</v>
      </c>
      <c r="AU211" s="22">
        <v>0.78643799999999997</v>
      </c>
      <c r="AV211">
        <f t="shared" si="44"/>
        <v>15.258799999999999</v>
      </c>
      <c r="AW211">
        <f t="shared" si="45"/>
        <v>12.0210504868</v>
      </c>
      <c r="AX211" s="9"/>
      <c r="AY211" s="22">
        <v>0.91217000000000004</v>
      </c>
      <c r="AZ211" s="22">
        <v>263.22300000000001</v>
      </c>
      <c r="BA211" s="22">
        <v>-1.5002400000000001E-2</v>
      </c>
      <c r="BB211" s="22">
        <v>201</v>
      </c>
      <c r="BC211" s="22">
        <v>0.91125500000000004</v>
      </c>
      <c r="BD211">
        <f t="shared" si="46"/>
        <v>15.002400000000002</v>
      </c>
      <c r="BE211">
        <f t="shared" si="47"/>
        <v>13.684739208000002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51.089500000000001</v>
      </c>
      <c r="I212" s="22">
        <v>-1.5594500000000001E-2</v>
      </c>
      <c r="J212" s="22">
        <v>202</v>
      </c>
      <c r="K212" s="22">
        <v>0.78216600000000003</v>
      </c>
      <c r="L212">
        <f t="shared" si="36"/>
        <v>15.5945</v>
      </c>
      <c r="M212">
        <f t="shared" si="37"/>
        <v>12.207000332</v>
      </c>
      <c r="N212" s="9"/>
      <c r="O212" s="22">
        <v>0.91720599999999997</v>
      </c>
      <c r="P212" s="22">
        <v>100.51600000000001</v>
      </c>
      <c r="Q212" s="22">
        <v>-1.5350300000000001E-2</v>
      </c>
      <c r="R212" s="22">
        <v>202</v>
      </c>
      <c r="S212" s="22">
        <v>0.91674800000000001</v>
      </c>
      <c r="T212">
        <f t="shared" si="38"/>
        <v>15.350300000000001</v>
      </c>
      <c r="U212">
        <f t="shared" si="39"/>
        <v>14.079387261800001</v>
      </c>
      <c r="X212" s="9"/>
      <c r="Y212" s="22">
        <v>0.78277600000000003</v>
      </c>
      <c r="Z212" s="22">
        <v>129.97300000000001</v>
      </c>
      <c r="AA212" s="22">
        <v>-1.5469399999999999E-2</v>
      </c>
      <c r="AB212" s="22">
        <v>202</v>
      </c>
      <c r="AC212" s="22">
        <v>0.78186</v>
      </c>
      <c r="AD212">
        <f t="shared" si="40"/>
        <v>15.4694</v>
      </c>
      <c r="AE212">
        <f t="shared" si="41"/>
        <v>12.1090750544</v>
      </c>
      <c r="AF212" s="9"/>
      <c r="AG212" s="22">
        <v>0.91720599999999997</v>
      </c>
      <c r="AH212" s="22">
        <v>179.446</v>
      </c>
      <c r="AI212" s="22">
        <v>-1.52222E-2</v>
      </c>
      <c r="AJ212" s="22">
        <v>202</v>
      </c>
      <c r="AK212" s="22">
        <v>0.91674800000000001</v>
      </c>
      <c r="AL212">
        <f t="shared" si="42"/>
        <v>15.222200000000001</v>
      </c>
      <c r="AM212">
        <f t="shared" si="43"/>
        <v>13.9618931732</v>
      </c>
      <c r="AP212" s="9"/>
      <c r="AQ212" s="22">
        <v>0.78277600000000003</v>
      </c>
      <c r="AR212" s="22">
        <v>228.893</v>
      </c>
      <c r="AS212" s="22">
        <v>-1.5258799999999999E-2</v>
      </c>
      <c r="AT212" s="22">
        <v>202</v>
      </c>
      <c r="AU212" s="22">
        <v>0.781555</v>
      </c>
      <c r="AV212">
        <f t="shared" si="44"/>
        <v>15.258799999999999</v>
      </c>
      <c r="AW212">
        <f t="shared" si="45"/>
        <v>11.9442224288</v>
      </c>
      <c r="AX212" s="9"/>
      <c r="AY212" s="22">
        <v>0.91720599999999997</v>
      </c>
      <c r="AZ212" s="22">
        <v>263.233</v>
      </c>
      <c r="BA212" s="22">
        <v>-1.49902E-2</v>
      </c>
      <c r="BB212" s="22">
        <v>202</v>
      </c>
      <c r="BC212" s="22">
        <v>0.91613800000000001</v>
      </c>
      <c r="BD212">
        <f t="shared" si="46"/>
        <v>14.9902</v>
      </c>
      <c r="BE212">
        <f t="shared" si="47"/>
        <v>13.749101381199999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51.099499999999999</v>
      </c>
      <c r="I213" s="22">
        <v>-1.55914E-2</v>
      </c>
      <c r="J213" s="22">
        <v>203</v>
      </c>
      <c r="K213" s="22">
        <v>0.77697799999999995</v>
      </c>
      <c r="L213">
        <f t="shared" si="36"/>
        <v>15.5914</v>
      </c>
      <c r="M213">
        <f t="shared" si="37"/>
        <v>12.126055436</v>
      </c>
      <c r="N213" s="9"/>
      <c r="O213" s="22">
        <v>0.92224099999999998</v>
      </c>
      <c r="P213" s="22">
        <v>100.526</v>
      </c>
      <c r="Q213" s="22">
        <v>-1.53534E-2</v>
      </c>
      <c r="R213" s="22">
        <v>203</v>
      </c>
      <c r="S213" s="22">
        <v>0.92132599999999998</v>
      </c>
      <c r="T213">
        <f t="shared" si="38"/>
        <v>15.353399999999999</v>
      </c>
      <c r="U213">
        <f t="shared" si="39"/>
        <v>14.159534969399999</v>
      </c>
      <c r="X213" s="9"/>
      <c r="Y213" s="22">
        <v>0.77773999999999999</v>
      </c>
      <c r="Z213" s="22">
        <v>129.983</v>
      </c>
      <c r="AA213" s="22">
        <v>-1.5469399999999999E-2</v>
      </c>
      <c r="AB213" s="22">
        <v>203</v>
      </c>
      <c r="AC213" s="22">
        <v>0.77667200000000003</v>
      </c>
      <c r="AD213">
        <f t="shared" si="40"/>
        <v>15.4694</v>
      </c>
      <c r="AE213">
        <f t="shared" si="41"/>
        <v>12.031171155999999</v>
      </c>
      <c r="AF213" s="9"/>
      <c r="AG213" s="22">
        <v>0.92224099999999998</v>
      </c>
      <c r="AH213" s="22">
        <v>179.45599999999999</v>
      </c>
      <c r="AI213" s="22">
        <v>-1.52161E-2</v>
      </c>
      <c r="AJ213" s="22">
        <v>203</v>
      </c>
      <c r="AK213" s="22">
        <v>0.92163099999999998</v>
      </c>
      <c r="AL213">
        <f t="shared" si="42"/>
        <v>15.216099999999999</v>
      </c>
      <c r="AM213">
        <f t="shared" si="43"/>
        <v>14.032911280099999</v>
      </c>
      <c r="AP213" s="9"/>
      <c r="AQ213" s="22">
        <v>0.77773999999999999</v>
      </c>
      <c r="AR213" s="22">
        <v>228.90299999999999</v>
      </c>
      <c r="AS213" s="22">
        <v>-1.5258799999999999E-2</v>
      </c>
      <c r="AT213" s="22">
        <v>203</v>
      </c>
      <c r="AU213" s="22">
        <v>0.77697799999999995</v>
      </c>
      <c r="AV213">
        <f t="shared" si="44"/>
        <v>15.258799999999999</v>
      </c>
      <c r="AW213">
        <f t="shared" si="45"/>
        <v>11.867379111999998</v>
      </c>
      <c r="AX213" s="9"/>
      <c r="AY213" s="22">
        <v>0.92224099999999998</v>
      </c>
      <c r="AZ213" s="22">
        <v>263.24299999999999</v>
      </c>
      <c r="BA213" s="22">
        <v>-1.49902E-2</v>
      </c>
      <c r="BB213" s="22">
        <v>203</v>
      </c>
      <c r="BC213" s="22">
        <v>0.92163099999999998</v>
      </c>
      <c r="BD213">
        <f t="shared" si="46"/>
        <v>14.9902</v>
      </c>
      <c r="BE213">
        <f t="shared" si="47"/>
        <v>13.824577038199999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51.1096</v>
      </c>
      <c r="I214" s="22">
        <v>-1.55914E-2</v>
      </c>
      <c r="J214" s="22">
        <v>204</v>
      </c>
      <c r="K214" s="22">
        <v>0.77270499999999998</v>
      </c>
      <c r="L214">
        <f t="shared" si="36"/>
        <v>15.5914</v>
      </c>
      <c r="M214">
        <f t="shared" si="37"/>
        <v>12.047552737</v>
      </c>
      <c r="N214" s="9"/>
      <c r="O214" s="22">
        <v>0.92727700000000002</v>
      </c>
      <c r="P214" s="22">
        <v>100.536</v>
      </c>
      <c r="Q214" s="22">
        <v>-1.5344200000000001E-2</v>
      </c>
      <c r="R214" s="22">
        <v>204</v>
      </c>
      <c r="S214" s="22">
        <v>0.92651399999999995</v>
      </c>
      <c r="T214">
        <f t="shared" si="38"/>
        <v>15.344200000000001</v>
      </c>
      <c r="U214">
        <f t="shared" si="39"/>
        <v>14.228323743400001</v>
      </c>
      <c r="X214" s="9"/>
      <c r="Y214" s="22">
        <v>0.77270499999999998</v>
      </c>
      <c r="Z214" s="22">
        <v>129.99299999999999</v>
      </c>
      <c r="AA214" s="22">
        <v>-1.54755E-2</v>
      </c>
      <c r="AB214" s="22">
        <v>204</v>
      </c>
      <c r="AC214" s="22">
        <v>0.77148399999999995</v>
      </c>
      <c r="AD214">
        <f t="shared" si="40"/>
        <v>15.4755</v>
      </c>
      <c r="AE214">
        <f t="shared" si="41"/>
        <v>11.957996227500001</v>
      </c>
      <c r="AF214" s="9"/>
      <c r="AG214" s="22">
        <v>0.92727700000000002</v>
      </c>
      <c r="AH214" s="22">
        <v>179.46700000000001</v>
      </c>
      <c r="AI214" s="22">
        <v>-1.5213000000000001E-2</v>
      </c>
      <c r="AJ214" s="22">
        <v>204</v>
      </c>
      <c r="AK214" s="22">
        <v>0.92681899999999995</v>
      </c>
      <c r="AL214">
        <f t="shared" si="42"/>
        <v>15.213000000000001</v>
      </c>
      <c r="AM214">
        <f t="shared" si="43"/>
        <v>14.106665001000001</v>
      </c>
      <c r="AP214" s="9"/>
      <c r="AQ214" s="22">
        <v>0.77270499999999998</v>
      </c>
      <c r="AR214" s="22">
        <v>228.91300000000001</v>
      </c>
      <c r="AS214" s="22">
        <v>-1.5255700000000001E-2</v>
      </c>
      <c r="AT214" s="22">
        <v>204</v>
      </c>
      <c r="AU214" s="22">
        <v>0.77178999999999998</v>
      </c>
      <c r="AV214">
        <f t="shared" si="44"/>
        <v>15.255700000000001</v>
      </c>
      <c r="AW214">
        <f t="shared" si="45"/>
        <v>11.7881556685</v>
      </c>
      <c r="AX214" s="9"/>
      <c r="AY214" s="22">
        <v>0.92727700000000002</v>
      </c>
      <c r="AZ214" s="22">
        <v>263.25299999999999</v>
      </c>
      <c r="BA214" s="22">
        <v>-1.49994E-2</v>
      </c>
      <c r="BB214" s="22">
        <v>204</v>
      </c>
      <c r="BC214" s="22">
        <v>0.92620800000000003</v>
      </c>
      <c r="BD214">
        <f t="shared" si="46"/>
        <v>14.9994</v>
      </c>
      <c r="BE214">
        <f t="shared" si="47"/>
        <v>13.9085986338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51.119700000000002</v>
      </c>
      <c r="I215" s="22">
        <v>-1.5594500000000001E-2</v>
      </c>
      <c r="J215" s="22">
        <v>205</v>
      </c>
      <c r="K215" s="22">
        <v>0.76660200000000001</v>
      </c>
      <c r="L215">
        <f t="shared" si="36"/>
        <v>15.5945</v>
      </c>
      <c r="M215">
        <f t="shared" si="37"/>
        <v>11.971429814999999</v>
      </c>
      <c r="N215" s="9"/>
      <c r="O215" s="22">
        <v>0.93231200000000003</v>
      </c>
      <c r="P215" s="22">
        <v>100.54600000000001</v>
      </c>
      <c r="Q215" s="22">
        <v>-1.5329000000000001E-2</v>
      </c>
      <c r="R215" s="22">
        <v>205</v>
      </c>
      <c r="S215" s="22">
        <v>0.931396</v>
      </c>
      <c r="T215">
        <f t="shared" si="38"/>
        <v>15.329000000000001</v>
      </c>
      <c r="U215">
        <f t="shared" si="39"/>
        <v>14.291410648000001</v>
      </c>
      <c r="X215" s="9"/>
      <c r="Y215" s="22">
        <v>0.76766999999999996</v>
      </c>
      <c r="Z215" s="22">
        <v>130.00299999999999</v>
      </c>
      <c r="AA215" s="22">
        <v>-1.5484599999999999E-2</v>
      </c>
      <c r="AB215" s="22">
        <v>205</v>
      </c>
      <c r="AC215" s="22">
        <v>0.76629599999999998</v>
      </c>
      <c r="AD215">
        <f t="shared" si="40"/>
        <v>15.484599999999999</v>
      </c>
      <c r="AE215">
        <f t="shared" si="41"/>
        <v>11.887062881999999</v>
      </c>
      <c r="AF215" s="9"/>
      <c r="AG215" s="22">
        <v>0.93231200000000003</v>
      </c>
      <c r="AH215" s="22">
        <v>179.477</v>
      </c>
      <c r="AI215" s="22">
        <v>-1.5203899999999999E-2</v>
      </c>
      <c r="AJ215" s="22">
        <v>205</v>
      </c>
      <c r="AK215" s="22">
        <v>0.93170200000000003</v>
      </c>
      <c r="AL215">
        <f t="shared" si="42"/>
        <v>15.203899999999999</v>
      </c>
      <c r="AM215">
        <f t="shared" si="43"/>
        <v>14.174778416799999</v>
      </c>
      <c r="AP215" s="9"/>
      <c r="AQ215" s="22">
        <v>0.76766999999999996</v>
      </c>
      <c r="AR215" s="22">
        <v>228.923</v>
      </c>
      <c r="AS215" s="22">
        <v>-1.5258799999999999E-2</v>
      </c>
      <c r="AT215" s="22">
        <v>205</v>
      </c>
      <c r="AU215" s="22">
        <v>0.76690700000000001</v>
      </c>
      <c r="AV215">
        <f t="shared" si="44"/>
        <v>15.258799999999999</v>
      </c>
      <c r="AW215">
        <f t="shared" si="45"/>
        <v>11.713722996</v>
      </c>
      <c r="AX215" s="9"/>
      <c r="AY215" s="22">
        <v>0.93231200000000003</v>
      </c>
      <c r="AZ215" s="22">
        <v>263.26299999999998</v>
      </c>
      <c r="BA215" s="22">
        <v>-1.4996300000000001E-2</v>
      </c>
      <c r="BB215" s="22">
        <v>205</v>
      </c>
      <c r="BC215" s="22">
        <v>0.93170200000000003</v>
      </c>
      <c r="BD215">
        <f t="shared" si="46"/>
        <v>14.9963</v>
      </c>
      <c r="BE215">
        <f t="shared" si="47"/>
        <v>13.9812304456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51.129800000000003</v>
      </c>
      <c r="I216" s="22">
        <v>-1.56036E-2</v>
      </c>
      <c r="J216" s="22">
        <v>206</v>
      </c>
      <c r="K216" s="22">
        <v>0.76202400000000003</v>
      </c>
      <c r="L216">
        <f t="shared" si="36"/>
        <v>15.6036</v>
      </c>
      <c r="M216">
        <f t="shared" si="37"/>
        <v>11.899835882400001</v>
      </c>
      <c r="N216" s="9"/>
      <c r="O216" s="22">
        <v>0.93734700000000004</v>
      </c>
      <c r="P216" s="22">
        <v>100.556</v>
      </c>
      <c r="Q216" s="22">
        <v>-1.53107E-2</v>
      </c>
      <c r="R216" s="22">
        <v>206</v>
      </c>
      <c r="S216" s="22">
        <v>0.93627899999999997</v>
      </c>
      <c r="T216">
        <f t="shared" si="38"/>
        <v>15.310700000000001</v>
      </c>
      <c r="U216">
        <f t="shared" si="39"/>
        <v>14.351438712900002</v>
      </c>
      <c r="X216" s="9"/>
      <c r="Y216" s="22">
        <v>0.76263400000000003</v>
      </c>
      <c r="Z216" s="22">
        <v>130.01300000000001</v>
      </c>
      <c r="AA216" s="22">
        <v>-1.54816E-2</v>
      </c>
      <c r="AB216" s="22">
        <v>206</v>
      </c>
      <c r="AC216" s="22">
        <v>0.76171900000000003</v>
      </c>
      <c r="AD216">
        <f t="shared" si="40"/>
        <v>15.4816</v>
      </c>
      <c r="AE216">
        <f t="shared" si="41"/>
        <v>11.806794534400002</v>
      </c>
      <c r="AF216" s="9"/>
      <c r="AG216" s="22">
        <v>0.93734700000000004</v>
      </c>
      <c r="AH216" s="22">
        <v>179.48699999999999</v>
      </c>
      <c r="AI216" s="22">
        <v>-1.51947E-2</v>
      </c>
      <c r="AJ216" s="22">
        <v>206</v>
      </c>
      <c r="AK216" s="22">
        <v>0.93658399999999997</v>
      </c>
      <c r="AL216">
        <f t="shared" si="42"/>
        <v>15.194700000000001</v>
      </c>
      <c r="AM216">
        <f t="shared" si="43"/>
        <v>14.242706460900001</v>
      </c>
      <c r="AP216" s="9"/>
      <c r="AQ216" s="22">
        <v>0.76263400000000003</v>
      </c>
      <c r="AR216" s="22">
        <v>228.93299999999999</v>
      </c>
      <c r="AS216" s="22">
        <v>-1.52649E-2</v>
      </c>
      <c r="AT216" s="22">
        <v>206</v>
      </c>
      <c r="AU216" s="22">
        <v>0.76171900000000003</v>
      </c>
      <c r="AV216">
        <f t="shared" si="44"/>
        <v>15.264899999999999</v>
      </c>
      <c r="AW216">
        <f t="shared" si="45"/>
        <v>11.6415317466</v>
      </c>
      <c r="AX216" s="9"/>
      <c r="AY216" s="22">
        <v>0.93734700000000004</v>
      </c>
      <c r="AZ216" s="22">
        <v>263.27300000000002</v>
      </c>
      <c r="BA216" s="22">
        <v>-1.4993299999999999E-2</v>
      </c>
      <c r="BB216" s="22">
        <v>206</v>
      </c>
      <c r="BC216" s="22">
        <v>0.93597399999999997</v>
      </c>
      <c r="BD216">
        <f t="shared" si="46"/>
        <v>14.9933</v>
      </c>
      <c r="BE216">
        <f t="shared" si="47"/>
        <v>14.0539247751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51.139800000000001</v>
      </c>
      <c r="I217" s="22">
        <v>-1.5609700000000001E-2</v>
      </c>
      <c r="J217" s="22">
        <v>207</v>
      </c>
      <c r="K217" s="22">
        <v>0.75653099999999995</v>
      </c>
      <c r="L217">
        <f t="shared" si="36"/>
        <v>15.6097</v>
      </c>
      <c r="M217">
        <f t="shared" si="37"/>
        <v>11.825893110300001</v>
      </c>
      <c r="N217" s="9"/>
      <c r="O217" s="22">
        <v>0.94238299999999997</v>
      </c>
      <c r="P217" s="22">
        <v>100.566</v>
      </c>
      <c r="Q217" s="22">
        <v>-1.52985E-2</v>
      </c>
      <c r="R217" s="22">
        <v>207</v>
      </c>
      <c r="S217" s="22">
        <v>0.94146700000000005</v>
      </c>
      <c r="T217">
        <f t="shared" si="38"/>
        <v>15.298499999999999</v>
      </c>
      <c r="U217">
        <f t="shared" si="39"/>
        <v>14.417046325499998</v>
      </c>
      <c r="X217" s="9"/>
      <c r="Y217" s="22">
        <v>0.75759900000000002</v>
      </c>
      <c r="Z217" s="22">
        <v>130.023</v>
      </c>
      <c r="AA217" s="22">
        <v>-1.5484599999999999E-2</v>
      </c>
      <c r="AB217" s="22">
        <v>207</v>
      </c>
      <c r="AC217" s="22">
        <v>0.75622599999999995</v>
      </c>
      <c r="AD217">
        <f t="shared" si="40"/>
        <v>15.484599999999999</v>
      </c>
      <c r="AE217">
        <f t="shared" si="41"/>
        <v>11.7311174754</v>
      </c>
      <c r="AF217" s="9"/>
      <c r="AG217" s="22">
        <v>0.94238299999999997</v>
      </c>
      <c r="AH217" s="22">
        <v>179.49700000000001</v>
      </c>
      <c r="AI217" s="22">
        <v>-1.5185499999999999E-2</v>
      </c>
      <c r="AJ217" s="22">
        <v>207</v>
      </c>
      <c r="AK217" s="22">
        <v>0.94177200000000005</v>
      </c>
      <c r="AL217">
        <f t="shared" si="42"/>
        <v>15.185499999999999</v>
      </c>
      <c r="AM217">
        <f t="shared" si="43"/>
        <v>14.3105570465</v>
      </c>
      <c r="AP217" s="9"/>
      <c r="AQ217" s="22">
        <v>0.75759900000000002</v>
      </c>
      <c r="AR217" s="22">
        <v>228.94300000000001</v>
      </c>
      <c r="AS217" s="22">
        <v>-1.5255700000000001E-2</v>
      </c>
      <c r="AT217" s="22">
        <v>207</v>
      </c>
      <c r="AU217" s="22">
        <v>0.75683599999999995</v>
      </c>
      <c r="AV217">
        <f t="shared" si="44"/>
        <v>15.255700000000001</v>
      </c>
      <c r="AW217">
        <f t="shared" si="45"/>
        <v>11.557703064300002</v>
      </c>
      <c r="AX217" s="9"/>
      <c r="AY217" s="22">
        <v>0.94238299999999997</v>
      </c>
      <c r="AZ217" s="22">
        <v>263.28300000000002</v>
      </c>
      <c r="BA217" s="22">
        <v>-1.4978E-2</v>
      </c>
      <c r="BB217" s="22">
        <v>207</v>
      </c>
      <c r="BC217" s="22">
        <v>0.94146700000000005</v>
      </c>
      <c r="BD217">
        <f t="shared" si="46"/>
        <v>14.978</v>
      </c>
      <c r="BE217">
        <f t="shared" si="47"/>
        <v>14.115012574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51.149900000000002</v>
      </c>
      <c r="I218" s="22">
        <v>-1.56128E-2</v>
      </c>
      <c r="J218" s="22">
        <v>208</v>
      </c>
      <c r="K218" s="22">
        <v>0.75164799999999998</v>
      </c>
      <c r="L218">
        <f t="shared" si="36"/>
        <v>15.6128</v>
      </c>
      <c r="M218">
        <f t="shared" si="37"/>
        <v>11.749615606399999</v>
      </c>
      <c r="N218" s="9"/>
      <c r="O218" s="22">
        <v>0.94741799999999998</v>
      </c>
      <c r="P218" s="22">
        <v>100.57599999999999</v>
      </c>
      <c r="Q218" s="22">
        <v>-1.5280200000000001E-2</v>
      </c>
      <c r="R218" s="22">
        <v>208</v>
      </c>
      <c r="S218" s="22">
        <v>0.94635000000000002</v>
      </c>
      <c r="T218">
        <f t="shared" si="38"/>
        <v>15.280200000000001</v>
      </c>
      <c r="U218">
        <f t="shared" si="39"/>
        <v>14.4767365236</v>
      </c>
      <c r="X218" s="9"/>
      <c r="Y218" s="22">
        <v>0.75256299999999998</v>
      </c>
      <c r="Z218" s="22">
        <v>130.03299999999999</v>
      </c>
      <c r="AA218" s="22">
        <v>-1.5478499999999999E-2</v>
      </c>
      <c r="AB218" s="22">
        <v>208</v>
      </c>
      <c r="AC218" s="22">
        <v>0.75134299999999998</v>
      </c>
      <c r="AD218">
        <f t="shared" si="40"/>
        <v>15.478499999999999</v>
      </c>
      <c r="AE218">
        <f t="shared" si="41"/>
        <v>11.648546395499999</v>
      </c>
      <c r="AF218" s="9"/>
      <c r="AG218" s="22">
        <v>0.94741799999999998</v>
      </c>
      <c r="AH218" s="22">
        <v>179.50700000000001</v>
      </c>
      <c r="AI218" s="22">
        <v>-1.5179399999999999E-2</v>
      </c>
      <c r="AJ218" s="22">
        <v>208</v>
      </c>
      <c r="AK218" s="22">
        <v>0.94635000000000002</v>
      </c>
      <c r="AL218">
        <f t="shared" si="42"/>
        <v>15.179399999999999</v>
      </c>
      <c r="AM218">
        <f t="shared" si="43"/>
        <v>14.381236789199999</v>
      </c>
      <c r="AP218" s="9"/>
      <c r="AQ218" s="22">
        <v>0.75256299999999998</v>
      </c>
      <c r="AR218" s="22">
        <v>228.953</v>
      </c>
      <c r="AS218" s="22">
        <v>-1.52435E-2</v>
      </c>
      <c r="AT218" s="22">
        <v>208</v>
      </c>
      <c r="AU218" s="22">
        <v>0.75195299999999998</v>
      </c>
      <c r="AV218">
        <f t="shared" si="44"/>
        <v>15.243500000000001</v>
      </c>
      <c r="AW218">
        <f t="shared" si="45"/>
        <v>11.4716940905</v>
      </c>
      <c r="AX218" s="9"/>
      <c r="AY218" s="22">
        <v>0.94741799999999998</v>
      </c>
      <c r="AZ218" s="22">
        <v>263.29300000000001</v>
      </c>
      <c r="BA218" s="22">
        <v>-1.49689E-2</v>
      </c>
      <c r="BB218" s="22">
        <v>208</v>
      </c>
      <c r="BC218" s="22">
        <v>0.94665500000000002</v>
      </c>
      <c r="BD218">
        <f t="shared" si="46"/>
        <v>14.9689</v>
      </c>
      <c r="BE218">
        <f t="shared" si="47"/>
        <v>14.181805300199999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51.16</v>
      </c>
      <c r="I219" s="22">
        <v>-1.5615800000000001E-2</v>
      </c>
      <c r="J219" s="22">
        <v>209</v>
      </c>
      <c r="K219" s="22">
        <v>0.74682599999999999</v>
      </c>
      <c r="L219">
        <f t="shared" si="36"/>
        <v>15.6158</v>
      </c>
      <c r="M219">
        <f t="shared" si="37"/>
        <v>11.673247742399999</v>
      </c>
      <c r="N219" s="9"/>
      <c r="O219" s="22">
        <v>0.95245400000000002</v>
      </c>
      <c r="P219" s="22">
        <v>100.586</v>
      </c>
      <c r="Q219" s="22">
        <v>-1.5273999999999999E-2</v>
      </c>
      <c r="R219" s="22">
        <v>209</v>
      </c>
      <c r="S219" s="22">
        <v>0.95184299999999999</v>
      </c>
      <c r="T219">
        <f t="shared" si="38"/>
        <v>15.273999999999999</v>
      </c>
      <c r="U219">
        <f t="shared" si="39"/>
        <v>14.547782395999999</v>
      </c>
      <c r="X219" s="9"/>
      <c r="Y219" s="22">
        <v>0.74752799999999997</v>
      </c>
      <c r="Z219" s="22">
        <v>130.04300000000001</v>
      </c>
      <c r="AA219" s="22">
        <v>-1.5478499999999999E-2</v>
      </c>
      <c r="AB219" s="22">
        <v>209</v>
      </c>
      <c r="AC219" s="22">
        <v>0.74688699999999997</v>
      </c>
      <c r="AD219">
        <f t="shared" si="40"/>
        <v>15.478499999999999</v>
      </c>
      <c r="AE219">
        <f t="shared" si="41"/>
        <v>11.570612147999999</v>
      </c>
      <c r="AF219" s="9"/>
      <c r="AG219" s="22">
        <v>0.95245400000000002</v>
      </c>
      <c r="AH219" s="22">
        <v>179.517</v>
      </c>
      <c r="AI219" s="22">
        <v>-1.51886E-2</v>
      </c>
      <c r="AJ219" s="22">
        <v>209</v>
      </c>
      <c r="AK219" s="22">
        <v>0.95184299999999999</v>
      </c>
      <c r="AL219">
        <f t="shared" si="42"/>
        <v>15.188599999999999</v>
      </c>
      <c r="AM219">
        <f t="shared" si="43"/>
        <v>14.4664428244</v>
      </c>
      <c r="AP219" s="9"/>
      <c r="AQ219" s="22">
        <v>0.74752799999999997</v>
      </c>
      <c r="AR219" s="22">
        <v>228.96299999999999</v>
      </c>
      <c r="AS219" s="22">
        <v>-1.52313E-2</v>
      </c>
      <c r="AT219" s="22">
        <v>209</v>
      </c>
      <c r="AU219" s="22">
        <v>0.74682599999999999</v>
      </c>
      <c r="AV219">
        <f t="shared" si="44"/>
        <v>15.231299999999999</v>
      </c>
      <c r="AW219">
        <f t="shared" si="45"/>
        <v>11.385823226399999</v>
      </c>
      <c r="AX219" s="9"/>
      <c r="AY219" s="22">
        <v>0.95245400000000002</v>
      </c>
      <c r="AZ219" s="22">
        <v>263.303</v>
      </c>
      <c r="BA219" s="22">
        <v>-1.4975E-2</v>
      </c>
      <c r="BB219" s="22">
        <v>209</v>
      </c>
      <c r="BC219" s="22">
        <v>0.951233</v>
      </c>
      <c r="BD219">
        <f t="shared" si="46"/>
        <v>14.975</v>
      </c>
      <c r="BE219">
        <f t="shared" si="47"/>
        <v>14.26299865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51.17</v>
      </c>
      <c r="I220" s="22">
        <v>-1.5615800000000001E-2</v>
      </c>
      <c r="J220" s="22">
        <v>210</v>
      </c>
      <c r="K220" s="22">
        <v>0.74179099999999998</v>
      </c>
      <c r="L220">
        <f t="shared" si="36"/>
        <v>15.6158</v>
      </c>
      <c r="M220">
        <f t="shared" si="37"/>
        <v>11.594622189399999</v>
      </c>
      <c r="N220" s="9"/>
      <c r="O220" s="22">
        <v>0.95748900000000003</v>
      </c>
      <c r="P220" s="22">
        <v>100.596</v>
      </c>
      <c r="Q220" s="22">
        <v>-1.5258799999999999E-2</v>
      </c>
      <c r="R220" s="22">
        <v>210</v>
      </c>
      <c r="S220" s="22">
        <v>0.95672599999999997</v>
      </c>
      <c r="T220">
        <f t="shared" si="38"/>
        <v>15.258799999999999</v>
      </c>
      <c r="U220">
        <f t="shared" si="39"/>
        <v>14.6101331532</v>
      </c>
      <c r="X220" s="9"/>
      <c r="Y220" s="22">
        <v>0.74249299999999996</v>
      </c>
      <c r="Z220" s="22">
        <v>130.054</v>
      </c>
      <c r="AA220" s="22">
        <v>-1.5484599999999999E-2</v>
      </c>
      <c r="AB220" s="22">
        <v>210</v>
      </c>
      <c r="AC220" s="22">
        <v>0.74185199999999996</v>
      </c>
      <c r="AD220">
        <f t="shared" si="40"/>
        <v>15.484599999999999</v>
      </c>
      <c r="AE220">
        <f t="shared" si="41"/>
        <v>11.497207107799998</v>
      </c>
      <c r="AF220" s="9"/>
      <c r="AG220" s="22">
        <v>0.95748900000000003</v>
      </c>
      <c r="AH220" s="22">
        <v>179.52699999999999</v>
      </c>
      <c r="AI220" s="22">
        <v>-1.51947E-2</v>
      </c>
      <c r="AJ220" s="22">
        <v>210</v>
      </c>
      <c r="AK220" s="22">
        <v>0.95672599999999997</v>
      </c>
      <c r="AL220">
        <f t="shared" si="42"/>
        <v>15.194700000000001</v>
      </c>
      <c r="AM220">
        <f t="shared" si="43"/>
        <v>14.548758108300001</v>
      </c>
      <c r="AP220" s="9"/>
      <c r="AQ220" s="22">
        <v>0.74249299999999996</v>
      </c>
      <c r="AR220" s="22">
        <v>228.97300000000001</v>
      </c>
      <c r="AS220" s="22">
        <v>-1.52283E-2</v>
      </c>
      <c r="AT220" s="22">
        <v>210</v>
      </c>
      <c r="AU220" s="22">
        <v>0.74179099999999998</v>
      </c>
      <c r="AV220">
        <f t="shared" si="44"/>
        <v>15.228300000000001</v>
      </c>
      <c r="AW220">
        <f t="shared" si="45"/>
        <v>11.3069061519</v>
      </c>
      <c r="AX220" s="9"/>
      <c r="AY220" s="22">
        <v>0.95748900000000003</v>
      </c>
      <c r="AZ220" s="22">
        <v>263.31400000000002</v>
      </c>
      <c r="BA220" s="22">
        <v>-1.49628E-2</v>
      </c>
      <c r="BB220" s="22">
        <v>210</v>
      </c>
      <c r="BC220" s="22">
        <v>0.95642099999999997</v>
      </c>
      <c r="BD220">
        <f t="shared" si="46"/>
        <v>14.9628</v>
      </c>
      <c r="BE220">
        <f t="shared" si="47"/>
        <v>14.326716409199999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51.180100000000003</v>
      </c>
      <c r="I221" s="22">
        <v>-1.56189E-2</v>
      </c>
      <c r="J221" s="22">
        <v>211</v>
      </c>
      <c r="K221" s="22">
        <v>0.73678600000000005</v>
      </c>
      <c r="L221">
        <f t="shared" si="36"/>
        <v>15.6189</v>
      </c>
      <c r="M221">
        <f t="shared" si="37"/>
        <v>11.518267137300001</v>
      </c>
      <c r="N221" s="9"/>
      <c r="O221" s="22">
        <v>0.96252400000000005</v>
      </c>
      <c r="P221" s="22">
        <v>100.607</v>
      </c>
      <c r="Q221" s="22">
        <v>-1.5258799999999999E-2</v>
      </c>
      <c r="R221" s="22">
        <v>211</v>
      </c>
      <c r="S221" s="22">
        <v>0.96130400000000005</v>
      </c>
      <c r="T221">
        <f t="shared" si="38"/>
        <v>15.258799999999999</v>
      </c>
      <c r="U221">
        <f t="shared" si="39"/>
        <v>14.6869612112</v>
      </c>
      <c r="X221" s="9"/>
      <c r="Y221" s="22">
        <v>0.73745700000000003</v>
      </c>
      <c r="Z221" s="22">
        <v>130.06399999999999</v>
      </c>
      <c r="AA221" s="22">
        <v>-1.54999E-2</v>
      </c>
      <c r="AB221" s="22">
        <v>211</v>
      </c>
      <c r="AC221" s="22">
        <v>0.73675500000000005</v>
      </c>
      <c r="AD221">
        <f t="shared" si="40"/>
        <v>15.4999</v>
      </c>
      <c r="AE221">
        <f t="shared" si="41"/>
        <v>11.430509754300001</v>
      </c>
      <c r="AF221" s="9"/>
      <c r="AG221" s="22">
        <v>0.96252400000000005</v>
      </c>
      <c r="AH221" s="22">
        <v>179.53700000000001</v>
      </c>
      <c r="AI221" s="22">
        <v>-1.51764E-2</v>
      </c>
      <c r="AJ221" s="22">
        <v>211</v>
      </c>
      <c r="AK221" s="22">
        <v>0.96160900000000005</v>
      </c>
      <c r="AL221">
        <f t="shared" si="42"/>
        <v>15.176399999999999</v>
      </c>
      <c r="AM221">
        <f t="shared" si="43"/>
        <v>14.6076492336</v>
      </c>
      <c r="AP221" s="9"/>
      <c r="AQ221" s="22">
        <v>0.73745700000000003</v>
      </c>
      <c r="AR221" s="22">
        <v>228.983</v>
      </c>
      <c r="AS221" s="22">
        <v>-1.52161E-2</v>
      </c>
      <c r="AT221" s="22">
        <v>211</v>
      </c>
      <c r="AU221" s="22">
        <v>0.73684700000000003</v>
      </c>
      <c r="AV221">
        <f t="shared" si="44"/>
        <v>15.216099999999999</v>
      </c>
      <c r="AW221">
        <f t="shared" si="45"/>
        <v>11.2212194577</v>
      </c>
      <c r="AX221" s="9"/>
      <c r="AY221" s="22">
        <v>0.96252400000000005</v>
      </c>
      <c r="AZ221" s="22">
        <v>263.32400000000001</v>
      </c>
      <c r="BA221" s="22">
        <v>-1.49567E-2</v>
      </c>
      <c r="BB221" s="22">
        <v>211</v>
      </c>
      <c r="BC221" s="22">
        <v>0.96099900000000005</v>
      </c>
      <c r="BD221">
        <f t="shared" si="46"/>
        <v>14.9567</v>
      </c>
      <c r="BE221">
        <f t="shared" si="47"/>
        <v>14.3961827108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51.190199999999997</v>
      </c>
      <c r="I222" s="22">
        <v>-1.5625E-2</v>
      </c>
      <c r="J222" s="22">
        <v>212</v>
      </c>
      <c r="K222" s="22">
        <v>0.73175000000000001</v>
      </c>
      <c r="L222">
        <f t="shared" si="36"/>
        <v>15.625</v>
      </c>
      <c r="M222">
        <f t="shared" si="37"/>
        <v>11.44409375</v>
      </c>
      <c r="N222" s="9"/>
      <c r="O222" s="22">
        <v>0.96755999999999998</v>
      </c>
      <c r="P222" s="22">
        <v>100.617</v>
      </c>
      <c r="Q222" s="22">
        <v>-1.5255700000000001E-2</v>
      </c>
      <c r="R222" s="22">
        <v>212</v>
      </c>
      <c r="S222" s="22">
        <v>0.96649200000000002</v>
      </c>
      <c r="T222">
        <f t="shared" si="38"/>
        <v>15.255700000000001</v>
      </c>
      <c r="U222">
        <f t="shared" si="39"/>
        <v>14.760805092</v>
      </c>
      <c r="X222" s="9"/>
      <c r="Y222" s="22">
        <v>0.73242200000000002</v>
      </c>
      <c r="Z222" s="22">
        <v>130.07400000000001</v>
      </c>
      <c r="AA222" s="22">
        <v>-1.5506000000000001E-2</v>
      </c>
      <c r="AB222" s="22">
        <v>212</v>
      </c>
      <c r="AC222" s="22">
        <v>0.73168900000000003</v>
      </c>
      <c r="AD222">
        <f t="shared" si="40"/>
        <v>15.506</v>
      </c>
      <c r="AE222">
        <f t="shared" si="41"/>
        <v>11.356935532</v>
      </c>
      <c r="AF222" s="9"/>
      <c r="AG222" s="22">
        <v>0.96755999999999998</v>
      </c>
      <c r="AH222" s="22">
        <v>179.547</v>
      </c>
      <c r="AI222" s="22">
        <v>-1.51672E-2</v>
      </c>
      <c r="AJ222" s="22">
        <v>212</v>
      </c>
      <c r="AK222" s="22">
        <v>0.96679700000000002</v>
      </c>
      <c r="AL222">
        <f t="shared" si="42"/>
        <v>15.167200000000001</v>
      </c>
      <c r="AM222">
        <f t="shared" si="43"/>
        <v>14.675176032000001</v>
      </c>
      <c r="AP222" s="9"/>
      <c r="AQ222" s="22">
        <v>0.73242200000000002</v>
      </c>
      <c r="AR222" s="22">
        <v>228.994</v>
      </c>
      <c r="AS222" s="22">
        <v>-1.5219099999999999E-2</v>
      </c>
      <c r="AT222" s="22">
        <v>212</v>
      </c>
      <c r="AU222" s="22">
        <v>0.73168900000000003</v>
      </c>
      <c r="AV222">
        <f t="shared" si="44"/>
        <v>15.219099999999999</v>
      </c>
      <c r="AW222">
        <f t="shared" si="45"/>
        <v>11.1468036602</v>
      </c>
      <c r="AX222" s="9"/>
      <c r="AY222" s="22">
        <v>0.96755999999999998</v>
      </c>
      <c r="AZ222" s="22">
        <v>263.334</v>
      </c>
      <c r="BA222" s="22">
        <v>-1.49567E-2</v>
      </c>
      <c r="BB222" s="22">
        <v>212</v>
      </c>
      <c r="BC222" s="22">
        <v>0.96679700000000002</v>
      </c>
      <c r="BD222">
        <f t="shared" si="46"/>
        <v>14.9567</v>
      </c>
      <c r="BE222">
        <f t="shared" si="47"/>
        <v>14.471504652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51.200299999999999</v>
      </c>
      <c r="I223" s="22">
        <v>-1.5625E-2</v>
      </c>
      <c r="J223" s="22">
        <v>213</v>
      </c>
      <c r="K223" s="22">
        <v>0.726715</v>
      </c>
      <c r="L223">
        <f t="shared" si="36"/>
        <v>15.625</v>
      </c>
      <c r="M223">
        <f t="shared" si="37"/>
        <v>11.365406249999999</v>
      </c>
      <c r="N223" s="9"/>
      <c r="O223" s="22">
        <v>0.97259499999999999</v>
      </c>
      <c r="P223" s="22">
        <v>100.627</v>
      </c>
      <c r="Q223" s="22">
        <v>-1.5246600000000001E-2</v>
      </c>
      <c r="R223" s="22">
        <v>213</v>
      </c>
      <c r="S223" s="22">
        <v>0.97167999999999999</v>
      </c>
      <c r="T223">
        <f t="shared" si="38"/>
        <v>15.246600000000001</v>
      </c>
      <c r="U223">
        <f t="shared" si="39"/>
        <v>14.828766927</v>
      </c>
      <c r="X223" s="9"/>
      <c r="Y223" s="22">
        <v>0.72738599999999998</v>
      </c>
      <c r="Z223" s="22">
        <v>130.084</v>
      </c>
      <c r="AA223" s="22">
        <v>-1.54999E-2</v>
      </c>
      <c r="AB223" s="22">
        <v>213</v>
      </c>
      <c r="AC223" s="22">
        <v>0.72665400000000002</v>
      </c>
      <c r="AD223">
        <f t="shared" si="40"/>
        <v>15.4999</v>
      </c>
      <c r="AE223">
        <f t="shared" si="41"/>
        <v>11.2744102614</v>
      </c>
      <c r="AF223" s="9"/>
      <c r="AG223" s="22">
        <v>0.97259499999999999</v>
      </c>
      <c r="AH223" s="22">
        <v>179.55699999999999</v>
      </c>
      <c r="AI223" s="22">
        <v>-1.5152000000000001E-2</v>
      </c>
      <c r="AJ223" s="22">
        <v>213</v>
      </c>
      <c r="AK223" s="22">
        <v>0.97137499999999999</v>
      </c>
      <c r="AL223">
        <f t="shared" si="42"/>
        <v>15.152000000000001</v>
      </c>
      <c r="AM223">
        <f t="shared" si="43"/>
        <v>14.73675944</v>
      </c>
      <c r="AP223" s="9"/>
      <c r="AQ223" s="22">
        <v>0.72738599999999998</v>
      </c>
      <c r="AR223" s="22">
        <v>229.00399999999999</v>
      </c>
      <c r="AS223" s="22">
        <v>-1.5240500000000001E-2</v>
      </c>
      <c r="AT223" s="22">
        <v>213</v>
      </c>
      <c r="AU223" s="22">
        <v>0.72677599999999998</v>
      </c>
      <c r="AV223">
        <f t="shared" si="44"/>
        <v>15.240500000000001</v>
      </c>
      <c r="AW223">
        <f t="shared" si="45"/>
        <v>11.085726333</v>
      </c>
      <c r="AX223" s="9"/>
      <c r="AY223" s="22">
        <v>0.97259499999999999</v>
      </c>
      <c r="AZ223" s="22">
        <v>263.34399999999999</v>
      </c>
      <c r="BA223" s="22">
        <v>-1.4944499999999999E-2</v>
      </c>
      <c r="BB223" s="22">
        <v>213</v>
      </c>
      <c r="BC223" s="22">
        <v>0.97167999999999999</v>
      </c>
      <c r="BD223">
        <f t="shared" si="46"/>
        <v>14.9445</v>
      </c>
      <c r="BE223">
        <f t="shared" si="47"/>
        <v>14.5349459775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51.210299999999997</v>
      </c>
      <c r="I224" s="22">
        <v>-1.5628099999999999E-2</v>
      </c>
      <c r="J224" s="22">
        <v>214</v>
      </c>
      <c r="K224" s="22">
        <v>0.72170999999999996</v>
      </c>
      <c r="L224">
        <f t="shared" si="36"/>
        <v>15.628099999999998</v>
      </c>
      <c r="M224">
        <f t="shared" si="37"/>
        <v>11.288973663099998</v>
      </c>
      <c r="N224" s="9"/>
      <c r="O224" s="22">
        <v>0.97763100000000003</v>
      </c>
      <c r="P224" s="22">
        <v>100.637</v>
      </c>
      <c r="Q224" s="22">
        <v>-1.52496E-2</v>
      </c>
      <c r="R224" s="22">
        <v>214</v>
      </c>
      <c r="S224" s="22">
        <v>0.97625700000000004</v>
      </c>
      <c r="T224">
        <f t="shared" si="38"/>
        <v>15.249600000000001</v>
      </c>
      <c r="U224">
        <f t="shared" si="39"/>
        <v>14.908481697600001</v>
      </c>
      <c r="X224" s="9"/>
      <c r="Y224" s="22">
        <v>0.72235099999999997</v>
      </c>
      <c r="Z224" s="22">
        <v>130.09399999999999</v>
      </c>
      <c r="AA224" s="22">
        <v>-1.54968E-2</v>
      </c>
      <c r="AB224" s="22">
        <v>214</v>
      </c>
      <c r="AC224" s="22">
        <v>0.72167999999999999</v>
      </c>
      <c r="AD224">
        <f t="shared" si="40"/>
        <v>15.4968</v>
      </c>
      <c r="AE224">
        <f t="shared" si="41"/>
        <v>11.1941289768</v>
      </c>
      <c r="AF224" s="9"/>
      <c r="AG224" s="22">
        <v>0.97763100000000003</v>
      </c>
      <c r="AH224" s="22">
        <v>179.56700000000001</v>
      </c>
      <c r="AI224" s="22">
        <v>-1.5130599999999999E-2</v>
      </c>
      <c r="AJ224" s="22">
        <v>214</v>
      </c>
      <c r="AK224" s="22">
        <v>0.97656299999999996</v>
      </c>
      <c r="AL224">
        <f t="shared" si="42"/>
        <v>15.130599999999999</v>
      </c>
      <c r="AM224">
        <f t="shared" si="43"/>
        <v>14.7921436086</v>
      </c>
      <c r="AP224" s="9"/>
      <c r="AQ224" s="22">
        <v>0.72235099999999997</v>
      </c>
      <c r="AR224" s="22">
        <v>229.01400000000001</v>
      </c>
      <c r="AS224" s="22">
        <v>-1.5252699999999999E-2</v>
      </c>
      <c r="AT224" s="22">
        <v>214</v>
      </c>
      <c r="AU224" s="22">
        <v>0.72164899999999998</v>
      </c>
      <c r="AV224">
        <f t="shared" si="44"/>
        <v>15.252699999999999</v>
      </c>
      <c r="AW224">
        <f t="shared" si="45"/>
        <v>11.017803097699998</v>
      </c>
      <c r="AX224" s="9"/>
      <c r="AY224" s="22">
        <v>0.97763100000000003</v>
      </c>
      <c r="AZ224" s="22">
        <v>263.35399999999998</v>
      </c>
      <c r="BA224" s="22">
        <v>-1.49292E-2</v>
      </c>
      <c r="BB224" s="22">
        <v>214</v>
      </c>
      <c r="BC224" s="22">
        <v>0.97686799999999996</v>
      </c>
      <c r="BD224">
        <f t="shared" si="46"/>
        <v>14.9292</v>
      </c>
      <c r="BE224">
        <f t="shared" si="47"/>
        <v>14.595248725199999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51.220399999999998</v>
      </c>
      <c r="I225" s="22">
        <v>-1.5634200000000001E-2</v>
      </c>
      <c r="J225" s="22">
        <v>215</v>
      </c>
      <c r="K225" s="22">
        <v>0.71667499999999995</v>
      </c>
      <c r="L225">
        <f t="shared" si="36"/>
        <v>15.634200000000002</v>
      </c>
      <c r="M225">
        <f t="shared" si="37"/>
        <v>11.214661807200001</v>
      </c>
      <c r="N225" s="9"/>
      <c r="O225" s="22">
        <v>0.98266600000000004</v>
      </c>
      <c r="P225" s="22">
        <v>100.64700000000001</v>
      </c>
      <c r="Q225" s="22">
        <v>-1.52374E-2</v>
      </c>
      <c r="R225" s="22">
        <v>215</v>
      </c>
      <c r="S225" s="22">
        <v>0.98175000000000001</v>
      </c>
      <c r="T225">
        <f t="shared" si="38"/>
        <v>15.237399999999999</v>
      </c>
      <c r="U225">
        <f t="shared" si="39"/>
        <v>14.973274908400001</v>
      </c>
      <c r="X225" s="9"/>
      <c r="Y225" s="22">
        <v>0.71731599999999995</v>
      </c>
      <c r="Z225" s="22">
        <v>130.10400000000001</v>
      </c>
      <c r="AA225" s="22">
        <v>-1.54999E-2</v>
      </c>
      <c r="AB225" s="22">
        <v>215</v>
      </c>
      <c r="AC225" s="22">
        <v>0.71661399999999997</v>
      </c>
      <c r="AD225">
        <f t="shared" si="40"/>
        <v>15.4999</v>
      </c>
      <c r="AE225">
        <f t="shared" si="41"/>
        <v>11.118326268399999</v>
      </c>
      <c r="AF225" s="9"/>
      <c r="AG225" s="22">
        <v>0.98266600000000004</v>
      </c>
      <c r="AH225" s="22">
        <v>179.577</v>
      </c>
      <c r="AI225" s="22">
        <v>-1.5109300000000001E-2</v>
      </c>
      <c r="AJ225" s="22">
        <v>215</v>
      </c>
      <c r="AK225" s="22">
        <v>0.98175000000000001</v>
      </c>
      <c r="AL225">
        <f t="shared" si="42"/>
        <v>15.109300000000001</v>
      </c>
      <c r="AM225">
        <f t="shared" si="43"/>
        <v>14.847395393800001</v>
      </c>
      <c r="AP225" s="9"/>
      <c r="AQ225" s="22">
        <v>0.71731599999999995</v>
      </c>
      <c r="AR225" s="22">
        <v>229.024</v>
      </c>
      <c r="AS225" s="22">
        <v>-1.5273999999999999E-2</v>
      </c>
      <c r="AT225" s="22">
        <v>215</v>
      </c>
      <c r="AU225" s="22">
        <v>0.71667499999999995</v>
      </c>
      <c r="AV225">
        <f t="shared" si="44"/>
        <v>15.273999999999999</v>
      </c>
      <c r="AW225">
        <f t="shared" si="45"/>
        <v>10.956284583999999</v>
      </c>
      <c r="AX225" s="9"/>
      <c r="AY225" s="22">
        <v>0.98266600000000004</v>
      </c>
      <c r="AZ225" s="22">
        <v>263.36399999999998</v>
      </c>
      <c r="BA225" s="22">
        <v>-1.4919999999999999E-2</v>
      </c>
      <c r="BB225" s="22">
        <v>215</v>
      </c>
      <c r="BC225" s="22">
        <v>0.98175000000000001</v>
      </c>
      <c r="BD225">
        <f t="shared" si="46"/>
        <v>14.92</v>
      </c>
      <c r="BE225">
        <f t="shared" si="47"/>
        <v>14.66137672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51.230499999999999</v>
      </c>
      <c r="I226" s="22">
        <v>-1.56372E-2</v>
      </c>
      <c r="J226" s="22">
        <v>216</v>
      </c>
      <c r="K226" s="22">
        <v>0.71160900000000005</v>
      </c>
      <c r="L226">
        <f t="shared" si="36"/>
        <v>15.6372</v>
      </c>
      <c r="M226">
        <f t="shared" si="37"/>
        <v>11.138064816</v>
      </c>
      <c r="N226" s="9"/>
      <c r="O226" s="22">
        <v>0.98770100000000005</v>
      </c>
      <c r="P226" s="22">
        <v>100.657</v>
      </c>
      <c r="Q226" s="22">
        <v>-1.52313E-2</v>
      </c>
      <c r="R226" s="22">
        <v>216</v>
      </c>
      <c r="S226" s="22">
        <v>0.98693799999999998</v>
      </c>
      <c r="T226">
        <f t="shared" si="38"/>
        <v>15.231299999999999</v>
      </c>
      <c r="U226">
        <f t="shared" si="39"/>
        <v>15.0439702413</v>
      </c>
      <c r="X226" s="9"/>
      <c r="Y226" s="22">
        <v>0.71228000000000002</v>
      </c>
      <c r="Z226" s="22">
        <v>130.114</v>
      </c>
      <c r="AA226" s="22">
        <v>-1.55029E-2</v>
      </c>
      <c r="AB226" s="22">
        <v>216</v>
      </c>
      <c r="AC226" s="22">
        <v>0.71167000000000002</v>
      </c>
      <c r="AD226">
        <f t="shared" si="40"/>
        <v>15.5029</v>
      </c>
      <c r="AE226">
        <f t="shared" si="41"/>
        <v>11.042405612000001</v>
      </c>
      <c r="AF226" s="9"/>
      <c r="AG226" s="22">
        <v>0.98770100000000005</v>
      </c>
      <c r="AH226" s="22">
        <v>179.58699999999999</v>
      </c>
      <c r="AI226" s="22">
        <v>-1.5096999999999999E-2</v>
      </c>
      <c r="AJ226" s="22">
        <v>216</v>
      </c>
      <c r="AK226" s="22">
        <v>0.98693799999999998</v>
      </c>
      <c r="AL226">
        <f t="shared" si="42"/>
        <v>15.097</v>
      </c>
      <c r="AM226">
        <f t="shared" si="43"/>
        <v>14.911321997</v>
      </c>
      <c r="AP226" s="9"/>
      <c r="AQ226" s="22">
        <v>0.71228000000000002</v>
      </c>
      <c r="AR226" s="22">
        <v>229.03399999999999</v>
      </c>
      <c r="AS226" s="22">
        <v>-1.5286299999999999E-2</v>
      </c>
      <c r="AT226" s="22">
        <v>216</v>
      </c>
      <c r="AU226" s="22">
        <v>0.71157800000000004</v>
      </c>
      <c r="AV226">
        <f t="shared" si="44"/>
        <v>15.286299999999999</v>
      </c>
      <c r="AW226">
        <f t="shared" si="45"/>
        <v>10.888125764</v>
      </c>
      <c r="AX226" s="9"/>
      <c r="AY226" s="22">
        <v>0.98770100000000005</v>
      </c>
      <c r="AZ226" s="22">
        <v>263.37400000000002</v>
      </c>
      <c r="BA226" s="22">
        <v>-1.4913900000000001E-2</v>
      </c>
      <c r="BB226" s="22">
        <v>216</v>
      </c>
      <c r="BC226" s="22">
        <v>0.98724400000000001</v>
      </c>
      <c r="BD226">
        <f t="shared" si="46"/>
        <v>14.9139</v>
      </c>
      <c r="BE226">
        <f t="shared" si="47"/>
        <v>14.7304739439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51.240499999999997</v>
      </c>
      <c r="I227" s="22">
        <v>-1.56372E-2</v>
      </c>
      <c r="J227" s="22">
        <v>217</v>
      </c>
      <c r="K227" s="22">
        <v>0.70669599999999999</v>
      </c>
      <c r="L227">
        <f t="shared" si="36"/>
        <v>15.6372</v>
      </c>
      <c r="M227">
        <f t="shared" si="37"/>
        <v>11.059331514</v>
      </c>
      <c r="N227" s="9"/>
      <c r="O227" s="22">
        <v>0.99273699999999998</v>
      </c>
      <c r="P227" s="22">
        <v>100.667</v>
      </c>
      <c r="Q227" s="22">
        <v>-1.52222E-2</v>
      </c>
      <c r="R227" s="22">
        <v>217</v>
      </c>
      <c r="S227" s="22">
        <v>0.99121099999999995</v>
      </c>
      <c r="T227">
        <f t="shared" si="38"/>
        <v>15.222200000000001</v>
      </c>
      <c r="U227">
        <f t="shared" si="39"/>
        <v>15.1116411614</v>
      </c>
      <c r="X227" s="9"/>
      <c r="Y227" s="22">
        <v>0.70724500000000001</v>
      </c>
      <c r="Z227" s="22">
        <v>130.124</v>
      </c>
      <c r="AA227" s="22">
        <v>-1.5512099999999999E-2</v>
      </c>
      <c r="AB227" s="22">
        <v>217</v>
      </c>
      <c r="AC227" s="22">
        <v>0.70663500000000001</v>
      </c>
      <c r="AD227">
        <f t="shared" si="40"/>
        <v>15.512099999999998</v>
      </c>
      <c r="AE227">
        <f t="shared" si="41"/>
        <v>10.9708551645</v>
      </c>
      <c r="AF227" s="9"/>
      <c r="AG227" s="22">
        <v>0.99273699999999998</v>
      </c>
      <c r="AH227" s="22">
        <v>179.59700000000001</v>
      </c>
      <c r="AI227" s="22">
        <v>-1.5096999999999999E-2</v>
      </c>
      <c r="AJ227" s="22">
        <v>217</v>
      </c>
      <c r="AK227" s="22">
        <v>0.99151599999999995</v>
      </c>
      <c r="AL227">
        <f t="shared" si="42"/>
        <v>15.097</v>
      </c>
      <c r="AM227">
        <f t="shared" si="43"/>
        <v>14.987350488999999</v>
      </c>
      <c r="AP227" s="9"/>
      <c r="AQ227" s="22">
        <v>0.70724500000000001</v>
      </c>
      <c r="AR227" s="22">
        <v>229.04400000000001</v>
      </c>
      <c r="AS227" s="22">
        <v>-1.5295400000000001E-2</v>
      </c>
      <c r="AT227" s="22">
        <v>217</v>
      </c>
      <c r="AU227" s="22">
        <v>0.70666499999999999</v>
      </c>
      <c r="AV227">
        <f t="shared" si="44"/>
        <v>15.295400000000001</v>
      </c>
      <c r="AW227">
        <f t="shared" si="45"/>
        <v>10.817595173000001</v>
      </c>
      <c r="AX227" s="9"/>
      <c r="AY227" s="22">
        <v>0.99273699999999998</v>
      </c>
      <c r="AZ227" s="22">
        <v>263.38400000000001</v>
      </c>
      <c r="BA227" s="22">
        <v>-1.4904799999999999E-2</v>
      </c>
      <c r="BB227" s="22">
        <v>217</v>
      </c>
      <c r="BC227" s="22">
        <v>0.99212599999999995</v>
      </c>
      <c r="BD227">
        <f t="shared" si="46"/>
        <v>14.9048</v>
      </c>
      <c r="BE227">
        <f t="shared" si="47"/>
        <v>14.7965464376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51.250599999999999</v>
      </c>
      <c r="I228" s="22">
        <v>-1.5643299999999999E-2</v>
      </c>
      <c r="J228" s="22">
        <v>218</v>
      </c>
      <c r="K228" s="22">
        <v>0.70144700000000004</v>
      </c>
      <c r="L228">
        <f t="shared" si="36"/>
        <v>15.643299999999998</v>
      </c>
      <c r="M228">
        <f t="shared" si="37"/>
        <v>10.984866049699999</v>
      </c>
      <c r="N228" s="9"/>
      <c r="O228" s="22">
        <v>0.99777199999999999</v>
      </c>
      <c r="P228" s="22">
        <v>100.67700000000001</v>
      </c>
      <c r="Q228" s="22">
        <v>-1.5213000000000001E-2</v>
      </c>
      <c r="R228" s="22">
        <v>218</v>
      </c>
      <c r="S228" s="22">
        <v>0.99700900000000003</v>
      </c>
      <c r="T228">
        <f t="shared" si="38"/>
        <v>15.213000000000001</v>
      </c>
      <c r="U228">
        <f t="shared" si="39"/>
        <v>15.179105436</v>
      </c>
      <c r="X228" s="9"/>
      <c r="Y228" s="22">
        <v>0.70220899999999997</v>
      </c>
      <c r="Z228" s="22">
        <v>130.13399999999999</v>
      </c>
      <c r="AA228" s="22">
        <v>-1.5518199999999999E-2</v>
      </c>
      <c r="AB228" s="22">
        <v>218</v>
      </c>
      <c r="AC228" s="22">
        <v>0.70153799999999999</v>
      </c>
      <c r="AD228">
        <f t="shared" si="40"/>
        <v>15.5182</v>
      </c>
      <c r="AE228">
        <f t="shared" si="41"/>
        <v>10.8970197038</v>
      </c>
      <c r="AF228" s="9"/>
      <c r="AG228" s="22">
        <v>0.99777199999999999</v>
      </c>
      <c r="AH228" s="22">
        <v>179.608</v>
      </c>
      <c r="AI228" s="22">
        <v>-1.51062E-2</v>
      </c>
      <c r="AJ228" s="22">
        <v>218</v>
      </c>
      <c r="AK228" s="22">
        <v>0.99700900000000003</v>
      </c>
      <c r="AL228">
        <f t="shared" si="42"/>
        <v>15.106199999999999</v>
      </c>
      <c r="AM228">
        <f t="shared" si="43"/>
        <v>15.0725433864</v>
      </c>
      <c r="AP228" s="9"/>
      <c r="AQ228" s="22">
        <v>0.70220899999999997</v>
      </c>
      <c r="AR228" s="22">
        <v>229.054</v>
      </c>
      <c r="AS228" s="22">
        <v>-1.53107E-2</v>
      </c>
      <c r="AT228" s="22">
        <v>218</v>
      </c>
      <c r="AU228" s="22">
        <v>0.701569</v>
      </c>
      <c r="AV228">
        <f t="shared" si="44"/>
        <v>15.310700000000001</v>
      </c>
      <c r="AW228">
        <f t="shared" si="45"/>
        <v>10.751311336300001</v>
      </c>
      <c r="AX228" s="9"/>
      <c r="AY228" s="22">
        <v>0.99777199999999999</v>
      </c>
      <c r="AZ228" s="22">
        <v>263.39400000000001</v>
      </c>
      <c r="BA228" s="22">
        <v>-1.4904799999999999E-2</v>
      </c>
      <c r="BB228" s="22">
        <v>218</v>
      </c>
      <c r="BC228" s="22">
        <v>0.99700900000000003</v>
      </c>
      <c r="BD228">
        <f t="shared" si="46"/>
        <v>14.9048</v>
      </c>
      <c r="BE228">
        <f t="shared" si="47"/>
        <v>14.8715921056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51.2607</v>
      </c>
      <c r="I229" s="22">
        <v>-1.5649400000000001E-2</v>
      </c>
      <c r="J229" s="22">
        <v>219</v>
      </c>
      <c r="K229" s="22">
        <v>0.69647199999999998</v>
      </c>
      <c r="L229">
        <f t="shared" si="36"/>
        <v>15.6494</v>
      </c>
      <c r="M229">
        <f t="shared" si="37"/>
        <v>10.9103547956</v>
      </c>
      <c r="N229" s="9"/>
      <c r="O229" s="22">
        <v>1.00281</v>
      </c>
      <c r="P229" s="22">
        <v>100.687</v>
      </c>
      <c r="Q229" s="22">
        <v>-1.5203899999999999E-2</v>
      </c>
      <c r="R229" s="22">
        <v>219</v>
      </c>
      <c r="S229" s="22">
        <v>1.0018899999999999</v>
      </c>
      <c r="T229">
        <f t="shared" si="38"/>
        <v>15.203899999999999</v>
      </c>
      <c r="U229">
        <f t="shared" si="39"/>
        <v>15.246622958999998</v>
      </c>
      <c r="X229" s="9"/>
      <c r="Y229" s="22">
        <v>0.69717399999999996</v>
      </c>
      <c r="Z229" s="22">
        <v>130.14400000000001</v>
      </c>
      <c r="AA229" s="22">
        <v>-1.55243E-2</v>
      </c>
      <c r="AB229" s="22">
        <v>219</v>
      </c>
      <c r="AC229" s="22">
        <v>0.69659400000000005</v>
      </c>
      <c r="AD229">
        <f t="shared" si="40"/>
        <v>15.5243</v>
      </c>
      <c r="AE229">
        <f t="shared" si="41"/>
        <v>10.823138328199999</v>
      </c>
      <c r="AF229" s="9"/>
      <c r="AG229" s="22">
        <v>1.00281</v>
      </c>
      <c r="AH229" s="22">
        <v>179.61799999999999</v>
      </c>
      <c r="AI229" s="22">
        <v>-1.5109300000000001E-2</v>
      </c>
      <c r="AJ229" s="22">
        <v>219</v>
      </c>
      <c r="AK229" s="22">
        <v>1.00159</v>
      </c>
      <c r="AL229">
        <f t="shared" si="42"/>
        <v>15.109300000000001</v>
      </c>
      <c r="AM229">
        <f t="shared" si="43"/>
        <v>15.151757133</v>
      </c>
      <c r="AP229" s="9"/>
      <c r="AQ229" s="22">
        <v>0.69717399999999996</v>
      </c>
      <c r="AR229" s="22">
        <v>229.06399999999999</v>
      </c>
      <c r="AS229" s="22">
        <v>-1.5341199999999999E-2</v>
      </c>
      <c r="AT229" s="22">
        <v>219</v>
      </c>
      <c r="AU229" s="22">
        <v>0.69647199999999998</v>
      </c>
      <c r="AV229">
        <f t="shared" si="44"/>
        <v>15.341199999999999</v>
      </c>
      <c r="AW229">
        <f t="shared" si="45"/>
        <v>10.695485768799999</v>
      </c>
      <c r="AX229" s="9"/>
      <c r="AY229" s="22">
        <v>1.00281</v>
      </c>
      <c r="AZ229" s="22">
        <v>263.404</v>
      </c>
      <c r="BA229" s="22">
        <v>-1.4904799999999999E-2</v>
      </c>
      <c r="BB229" s="22">
        <v>219</v>
      </c>
      <c r="BC229" s="22">
        <v>1.0022</v>
      </c>
      <c r="BD229">
        <f t="shared" si="46"/>
        <v>14.9048</v>
      </c>
      <c r="BE229">
        <f t="shared" si="47"/>
        <v>14.946682487999999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51.270800000000001</v>
      </c>
      <c r="I230" s="22">
        <v>-1.5655499999999999E-2</v>
      </c>
      <c r="J230" s="22">
        <v>220</v>
      </c>
      <c r="K230" s="22">
        <v>0.69146700000000005</v>
      </c>
      <c r="L230">
        <f t="shared" si="36"/>
        <v>15.6555</v>
      </c>
      <c r="M230">
        <f t="shared" si="37"/>
        <v>10.835782114499999</v>
      </c>
      <c r="N230" s="9"/>
      <c r="O230" s="22">
        <v>1.0078400000000001</v>
      </c>
      <c r="P230" s="22">
        <v>100.697</v>
      </c>
      <c r="Q230" s="22">
        <v>-1.51886E-2</v>
      </c>
      <c r="R230" s="22">
        <v>220</v>
      </c>
      <c r="S230" s="22">
        <v>1.00708</v>
      </c>
      <c r="T230">
        <f t="shared" si="38"/>
        <v>15.188599999999999</v>
      </c>
      <c r="U230">
        <f t="shared" si="39"/>
        <v>15.307678624000001</v>
      </c>
      <c r="X230" s="9"/>
      <c r="Y230" s="22">
        <v>0.69213899999999995</v>
      </c>
      <c r="Z230" s="22">
        <v>130.154</v>
      </c>
      <c r="AA230" s="22">
        <v>-1.5533399999999999E-2</v>
      </c>
      <c r="AB230" s="22">
        <v>220</v>
      </c>
      <c r="AC230" s="22">
        <v>0.69146700000000005</v>
      </c>
      <c r="AD230">
        <f t="shared" si="40"/>
        <v>15.533399999999999</v>
      </c>
      <c r="AE230">
        <f t="shared" si="41"/>
        <v>10.751271942599999</v>
      </c>
      <c r="AF230" s="9"/>
      <c r="AG230" s="22">
        <v>1.0078400000000001</v>
      </c>
      <c r="AH230" s="22">
        <v>179.62799999999999</v>
      </c>
      <c r="AI230" s="22">
        <v>-1.51062E-2</v>
      </c>
      <c r="AJ230" s="22">
        <v>220</v>
      </c>
      <c r="AK230" s="22">
        <v>1.0061599999999999</v>
      </c>
      <c r="AL230">
        <f t="shared" si="42"/>
        <v>15.106199999999999</v>
      </c>
      <c r="AM230">
        <f t="shared" si="43"/>
        <v>15.224632608</v>
      </c>
      <c r="AP230" s="9"/>
      <c r="AQ230" s="22">
        <v>0.69213899999999995</v>
      </c>
      <c r="AR230" s="22">
        <v>229.07400000000001</v>
      </c>
      <c r="AS230" s="22">
        <v>-1.53595E-2</v>
      </c>
      <c r="AT230" s="22">
        <v>220</v>
      </c>
      <c r="AU230" s="22">
        <v>0.69146700000000005</v>
      </c>
      <c r="AV230">
        <f t="shared" si="44"/>
        <v>15.359500000000001</v>
      </c>
      <c r="AW230">
        <f t="shared" si="45"/>
        <v>10.6309089705</v>
      </c>
      <c r="AX230" s="9"/>
      <c r="AY230" s="22">
        <v>1.0078400000000001</v>
      </c>
      <c r="AZ230" s="22">
        <v>263.41399999999999</v>
      </c>
      <c r="BA230" s="22">
        <v>-1.4898700000000001E-2</v>
      </c>
      <c r="BB230" s="22">
        <v>220</v>
      </c>
      <c r="BC230" s="22">
        <v>1.00739</v>
      </c>
      <c r="BD230">
        <f t="shared" si="46"/>
        <v>14.898700000000002</v>
      </c>
      <c r="BE230">
        <f t="shared" si="47"/>
        <v>15.015505808000002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51.280799999999999</v>
      </c>
      <c r="I231" s="22">
        <v>-1.5658600000000002E-2</v>
      </c>
      <c r="J231" s="22">
        <v>221</v>
      </c>
      <c r="K231" s="22">
        <v>0.68637099999999995</v>
      </c>
      <c r="L231">
        <f t="shared" si="36"/>
        <v>15.658600000000002</v>
      </c>
      <c r="M231">
        <f t="shared" si="37"/>
        <v>10.759071035800002</v>
      </c>
      <c r="N231" s="9"/>
      <c r="O231" s="22">
        <v>1.01288</v>
      </c>
      <c r="P231" s="22">
        <v>100.70699999999999</v>
      </c>
      <c r="Q231" s="22">
        <v>-1.51825E-2</v>
      </c>
      <c r="R231" s="22">
        <v>221</v>
      </c>
      <c r="S231" s="22">
        <v>1.01166</v>
      </c>
      <c r="T231">
        <f t="shared" si="38"/>
        <v>15.182499999999999</v>
      </c>
      <c r="U231">
        <f t="shared" si="39"/>
        <v>15.3780506</v>
      </c>
      <c r="X231" s="9"/>
      <c r="Y231" s="22">
        <v>0.68710300000000002</v>
      </c>
      <c r="Z231" s="22">
        <v>130.16399999999999</v>
      </c>
      <c r="AA231" s="22">
        <v>-1.55426E-2</v>
      </c>
      <c r="AB231" s="22">
        <v>221</v>
      </c>
      <c r="AC231" s="22">
        <v>0.68630999999999998</v>
      </c>
      <c r="AD231">
        <f t="shared" si="40"/>
        <v>15.5426</v>
      </c>
      <c r="AE231">
        <f t="shared" si="41"/>
        <v>10.679367087800001</v>
      </c>
      <c r="AF231" s="9"/>
      <c r="AG231" s="22">
        <v>1.01288</v>
      </c>
      <c r="AH231" s="22">
        <v>179.63800000000001</v>
      </c>
      <c r="AI231" s="22">
        <v>-1.5096999999999999E-2</v>
      </c>
      <c r="AJ231" s="22">
        <v>221</v>
      </c>
      <c r="AK231" s="22">
        <v>1.01196</v>
      </c>
      <c r="AL231">
        <f t="shared" si="42"/>
        <v>15.097</v>
      </c>
      <c r="AM231">
        <f t="shared" si="43"/>
        <v>15.29144936</v>
      </c>
      <c r="AP231" s="9"/>
      <c r="AQ231" s="22">
        <v>0.68710300000000002</v>
      </c>
      <c r="AR231" s="22">
        <v>229.084</v>
      </c>
      <c r="AS231" s="22">
        <v>-1.53595E-2</v>
      </c>
      <c r="AT231" s="22">
        <v>221</v>
      </c>
      <c r="AU231" s="22">
        <v>0.68649300000000002</v>
      </c>
      <c r="AV231">
        <f t="shared" si="44"/>
        <v>15.359500000000001</v>
      </c>
      <c r="AW231">
        <f t="shared" si="45"/>
        <v>10.5535585285</v>
      </c>
      <c r="AX231" s="9"/>
      <c r="AY231" s="22">
        <v>1.01288</v>
      </c>
      <c r="AZ231" s="22">
        <v>263.42399999999998</v>
      </c>
      <c r="BA231" s="22">
        <v>-1.4892600000000001E-2</v>
      </c>
      <c r="BB231" s="22">
        <v>221</v>
      </c>
      <c r="BC231" s="22">
        <v>1.01257</v>
      </c>
      <c r="BD231">
        <f t="shared" si="46"/>
        <v>14.8926</v>
      </c>
      <c r="BE231">
        <f t="shared" si="47"/>
        <v>15.084416687999999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51.290900000000001</v>
      </c>
      <c r="I232" s="22">
        <v>-1.56647E-2</v>
      </c>
      <c r="J232" s="22">
        <v>222</v>
      </c>
      <c r="K232" s="22">
        <v>0.68133500000000002</v>
      </c>
      <c r="L232">
        <f t="shared" si="36"/>
        <v>15.6647</v>
      </c>
      <c r="M232">
        <f t="shared" si="37"/>
        <v>10.6843905996</v>
      </c>
      <c r="N232" s="9"/>
      <c r="O232" s="22">
        <v>1.0179100000000001</v>
      </c>
      <c r="P232" s="22">
        <v>100.717</v>
      </c>
      <c r="Q232" s="22">
        <v>-1.51764E-2</v>
      </c>
      <c r="R232" s="22">
        <v>222</v>
      </c>
      <c r="S232" s="22">
        <v>1.01715</v>
      </c>
      <c r="T232">
        <f t="shared" si="38"/>
        <v>15.176399999999999</v>
      </c>
      <c r="U232">
        <f t="shared" si="39"/>
        <v>15.448209324</v>
      </c>
      <c r="X232" s="9"/>
      <c r="Y232" s="22">
        <v>0.68206800000000001</v>
      </c>
      <c r="Z232" s="22">
        <v>130.17400000000001</v>
      </c>
      <c r="AA232" s="22">
        <v>-1.5551799999999999E-2</v>
      </c>
      <c r="AB232" s="22">
        <v>222</v>
      </c>
      <c r="AC232" s="22">
        <v>0.68127400000000005</v>
      </c>
      <c r="AD232">
        <f t="shared" si="40"/>
        <v>15.5518</v>
      </c>
      <c r="AE232">
        <f t="shared" si="41"/>
        <v>10.6073851224</v>
      </c>
      <c r="AF232" s="9"/>
      <c r="AG232" s="22">
        <v>1.0179100000000001</v>
      </c>
      <c r="AH232" s="22">
        <v>179.648</v>
      </c>
      <c r="AI232" s="22">
        <v>-1.5075699999999999E-2</v>
      </c>
      <c r="AJ232" s="22">
        <v>222</v>
      </c>
      <c r="AK232" s="22">
        <v>1.01715</v>
      </c>
      <c r="AL232">
        <f t="shared" si="42"/>
        <v>15.075699999999999</v>
      </c>
      <c r="AM232">
        <f t="shared" si="43"/>
        <v>15.345705787</v>
      </c>
      <c r="AP232" s="9"/>
      <c r="AQ232" s="22">
        <v>0.68206800000000001</v>
      </c>
      <c r="AR232" s="22">
        <v>229.09399999999999</v>
      </c>
      <c r="AS232" s="22">
        <v>-1.53656E-2</v>
      </c>
      <c r="AT232" s="22">
        <v>222</v>
      </c>
      <c r="AU232" s="22">
        <v>0.68136600000000003</v>
      </c>
      <c r="AV232">
        <f t="shared" si="44"/>
        <v>15.365600000000001</v>
      </c>
      <c r="AW232">
        <f t="shared" si="45"/>
        <v>10.480384060800001</v>
      </c>
      <c r="AX232" s="9"/>
      <c r="AY232" s="22">
        <v>1.0179100000000001</v>
      </c>
      <c r="AZ232" s="22">
        <v>263.43400000000003</v>
      </c>
      <c r="BA232" s="22">
        <v>-1.4892600000000001E-2</v>
      </c>
      <c r="BB232" s="22">
        <v>222</v>
      </c>
      <c r="BC232" s="22">
        <v>1.01685</v>
      </c>
      <c r="BD232">
        <f t="shared" si="46"/>
        <v>14.8926</v>
      </c>
      <c r="BE232">
        <f t="shared" si="47"/>
        <v>15.159326466000001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51.301000000000002</v>
      </c>
      <c r="I233" s="22">
        <v>-1.56647E-2</v>
      </c>
      <c r="J233" s="22">
        <v>223</v>
      </c>
      <c r="K233" s="22">
        <v>0.67642199999999997</v>
      </c>
      <c r="L233">
        <f t="shared" si="36"/>
        <v>15.6647</v>
      </c>
      <c r="M233">
        <f t="shared" si="37"/>
        <v>10.605503170399999</v>
      </c>
      <c r="N233" s="9"/>
      <c r="O233" s="22">
        <v>1.02295</v>
      </c>
      <c r="P233" s="22">
        <v>100.727</v>
      </c>
      <c r="Q233" s="22">
        <v>-1.5179399999999999E-2</v>
      </c>
      <c r="R233" s="22">
        <v>223</v>
      </c>
      <c r="S233" s="22">
        <v>1.02203</v>
      </c>
      <c r="T233">
        <f t="shared" si="38"/>
        <v>15.179399999999999</v>
      </c>
      <c r="U233">
        <f t="shared" si="39"/>
        <v>15.52776723</v>
      </c>
      <c r="X233" s="9"/>
      <c r="Y233" s="22">
        <v>0.67703199999999997</v>
      </c>
      <c r="Z233" s="22">
        <v>130.184</v>
      </c>
      <c r="AA233" s="22">
        <v>-1.5551799999999999E-2</v>
      </c>
      <c r="AB233" s="22">
        <v>223</v>
      </c>
      <c r="AC233" s="22">
        <v>0.67642199999999997</v>
      </c>
      <c r="AD233">
        <f t="shared" si="40"/>
        <v>15.5518</v>
      </c>
      <c r="AE233">
        <f t="shared" si="41"/>
        <v>10.5290662576</v>
      </c>
      <c r="AF233" s="9"/>
      <c r="AG233" s="22">
        <v>1.02295</v>
      </c>
      <c r="AH233" s="22">
        <v>179.65799999999999</v>
      </c>
      <c r="AI233" s="22">
        <v>-1.50543E-2</v>
      </c>
      <c r="AJ233" s="22">
        <v>223</v>
      </c>
      <c r="AK233" s="22">
        <v>1.02203</v>
      </c>
      <c r="AL233">
        <f t="shared" si="42"/>
        <v>15.0543</v>
      </c>
      <c r="AM233">
        <f t="shared" si="43"/>
        <v>15.399796185</v>
      </c>
      <c r="AP233" s="9"/>
      <c r="AQ233" s="22">
        <v>0.67703199999999997</v>
      </c>
      <c r="AR233" s="22">
        <v>229.10400000000001</v>
      </c>
      <c r="AS233" s="22">
        <v>-1.5362499999999999E-2</v>
      </c>
      <c r="AT233" s="22">
        <v>223</v>
      </c>
      <c r="AU233" s="22">
        <v>0.67639199999999999</v>
      </c>
      <c r="AV233">
        <f t="shared" si="44"/>
        <v>15.362499999999999</v>
      </c>
      <c r="AW233">
        <f t="shared" si="45"/>
        <v>10.400904099999998</v>
      </c>
      <c r="AX233" s="9"/>
      <c r="AY233" s="22">
        <v>1.02295</v>
      </c>
      <c r="AZ233" s="22">
        <v>263.44400000000002</v>
      </c>
      <c r="BA233" s="22">
        <v>-1.48956E-2</v>
      </c>
      <c r="BB233" s="22">
        <v>223</v>
      </c>
      <c r="BC233" s="22">
        <v>1.02142</v>
      </c>
      <c r="BD233">
        <f t="shared" si="46"/>
        <v>14.8956</v>
      </c>
      <c r="BE233">
        <f t="shared" si="47"/>
        <v>15.237454019999999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51.311</v>
      </c>
      <c r="I234" s="22">
        <v>-1.56647E-2</v>
      </c>
      <c r="J234" s="22">
        <v>224</v>
      </c>
      <c r="K234" s="22">
        <v>0.67120400000000002</v>
      </c>
      <c r="L234">
        <f t="shared" si="36"/>
        <v>15.6647</v>
      </c>
      <c r="M234">
        <f t="shared" si="37"/>
        <v>10.5266314059</v>
      </c>
      <c r="N234" s="9"/>
      <c r="O234" s="22">
        <v>1.0279799999999999</v>
      </c>
      <c r="P234" s="22">
        <v>100.73699999999999</v>
      </c>
      <c r="Q234" s="22">
        <v>-1.5185499999999999E-2</v>
      </c>
      <c r="R234" s="22">
        <v>224</v>
      </c>
      <c r="S234" s="22">
        <v>1.02722</v>
      </c>
      <c r="T234">
        <f t="shared" si="38"/>
        <v>15.185499999999999</v>
      </c>
      <c r="U234">
        <f t="shared" si="39"/>
        <v>15.610390289999998</v>
      </c>
      <c r="X234" s="9"/>
      <c r="Y234" s="22">
        <v>0.67199699999999996</v>
      </c>
      <c r="Z234" s="22">
        <v>130.19499999999999</v>
      </c>
      <c r="AA234" s="22">
        <v>-1.55579E-2</v>
      </c>
      <c r="AB234" s="22">
        <v>224</v>
      </c>
      <c r="AC234" s="22">
        <v>0.67135599999999995</v>
      </c>
      <c r="AD234">
        <f t="shared" si="40"/>
        <v>15.5579</v>
      </c>
      <c r="AE234">
        <f t="shared" si="41"/>
        <v>10.4548621263</v>
      </c>
      <c r="AF234" s="9"/>
      <c r="AG234" s="22">
        <v>1.0279799999999999</v>
      </c>
      <c r="AH234" s="22">
        <v>179.66800000000001</v>
      </c>
      <c r="AI234" s="22">
        <v>-1.50513E-2</v>
      </c>
      <c r="AJ234" s="22">
        <v>224</v>
      </c>
      <c r="AK234" s="22">
        <v>1.02661</v>
      </c>
      <c r="AL234">
        <f t="shared" si="42"/>
        <v>15.051299999999999</v>
      </c>
      <c r="AM234">
        <f t="shared" si="43"/>
        <v>15.472435373999998</v>
      </c>
      <c r="AP234" s="9"/>
      <c r="AQ234" s="22">
        <v>0.67199699999999996</v>
      </c>
      <c r="AR234" s="22">
        <v>229.114</v>
      </c>
      <c r="AS234" s="22">
        <v>-1.5368700000000001E-2</v>
      </c>
      <c r="AT234" s="22">
        <v>224</v>
      </c>
      <c r="AU234" s="22">
        <v>0.67129499999999998</v>
      </c>
      <c r="AV234">
        <f t="shared" si="44"/>
        <v>15.3687</v>
      </c>
      <c r="AW234">
        <f t="shared" si="45"/>
        <v>10.327720293899999</v>
      </c>
      <c r="AX234" s="9"/>
      <c r="AY234" s="22">
        <v>1.0279799999999999</v>
      </c>
      <c r="AZ234" s="22">
        <v>263.45499999999998</v>
      </c>
      <c r="BA234" s="22">
        <v>-1.48865E-2</v>
      </c>
      <c r="BB234" s="22">
        <v>224</v>
      </c>
      <c r="BC234" s="22">
        <v>1.0269200000000001</v>
      </c>
      <c r="BD234">
        <f t="shared" si="46"/>
        <v>14.8865</v>
      </c>
      <c r="BE234">
        <f t="shared" si="47"/>
        <v>15.303024269999998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51.321100000000001</v>
      </c>
      <c r="I235" s="22">
        <v>-1.5661600000000001E-2</v>
      </c>
      <c r="J235" s="22">
        <v>225</v>
      </c>
      <c r="K235" s="22">
        <v>0.66629000000000005</v>
      </c>
      <c r="L235">
        <f t="shared" si="36"/>
        <v>15.661600000000002</v>
      </c>
      <c r="M235">
        <f t="shared" si="37"/>
        <v>10.445692059200002</v>
      </c>
      <c r="N235" s="9"/>
      <c r="O235" s="22">
        <v>1.03302</v>
      </c>
      <c r="P235" s="22">
        <v>100.748</v>
      </c>
      <c r="Q235" s="22">
        <v>-1.5191700000000001E-2</v>
      </c>
      <c r="R235" s="22">
        <v>225</v>
      </c>
      <c r="S235" s="22">
        <v>1.0318000000000001</v>
      </c>
      <c r="T235">
        <f t="shared" si="38"/>
        <v>15.191700000000001</v>
      </c>
      <c r="U235">
        <f t="shared" si="39"/>
        <v>15.693329934000001</v>
      </c>
      <c r="X235" s="9"/>
      <c r="Y235" s="22">
        <v>0.66696200000000005</v>
      </c>
      <c r="Z235" s="22">
        <v>130.20500000000001</v>
      </c>
      <c r="AA235" s="22">
        <v>-1.55701E-2</v>
      </c>
      <c r="AB235" s="22">
        <v>225</v>
      </c>
      <c r="AC235" s="22">
        <v>0.66632100000000005</v>
      </c>
      <c r="AD235">
        <f t="shared" si="40"/>
        <v>15.5701</v>
      </c>
      <c r="AE235">
        <f t="shared" si="41"/>
        <v>10.384665036200001</v>
      </c>
      <c r="AF235" s="9"/>
      <c r="AG235" s="22">
        <v>1.03302</v>
      </c>
      <c r="AH235" s="22">
        <v>179.678</v>
      </c>
      <c r="AI235" s="22">
        <v>-1.5042099999999999E-2</v>
      </c>
      <c r="AJ235" s="22">
        <v>225</v>
      </c>
      <c r="AK235" s="22">
        <v>1.03271</v>
      </c>
      <c r="AL235">
        <f t="shared" si="42"/>
        <v>15.0421</v>
      </c>
      <c r="AM235">
        <f t="shared" si="43"/>
        <v>15.538790142</v>
      </c>
      <c r="AP235" s="9"/>
      <c r="AQ235" s="22">
        <v>0.66696200000000005</v>
      </c>
      <c r="AR235" s="22">
        <v>229.124</v>
      </c>
      <c r="AS235" s="22">
        <v>-1.53778E-2</v>
      </c>
      <c r="AT235" s="22">
        <v>225</v>
      </c>
      <c r="AU235" s="22">
        <v>0.66629000000000005</v>
      </c>
      <c r="AV235">
        <f t="shared" si="44"/>
        <v>15.377800000000001</v>
      </c>
      <c r="AW235">
        <f t="shared" si="45"/>
        <v>10.256408243600001</v>
      </c>
      <c r="AX235" s="9"/>
      <c r="AY235" s="22">
        <v>1.03302</v>
      </c>
      <c r="AZ235" s="22">
        <v>263.46499999999997</v>
      </c>
      <c r="BA235" s="22">
        <v>-1.4865099999999999E-2</v>
      </c>
      <c r="BB235" s="22">
        <v>225</v>
      </c>
      <c r="BC235" s="22">
        <v>1.0318000000000001</v>
      </c>
      <c r="BD235">
        <f t="shared" si="46"/>
        <v>14.8651</v>
      </c>
      <c r="BE235">
        <f t="shared" si="47"/>
        <v>15.355945602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51.331200000000003</v>
      </c>
      <c r="I236" s="22">
        <v>-1.5658600000000002E-2</v>
      </c>
      <c r="J236" s="22">
        <v>226</v>
      </c>
      <c r="K236" s="22">
        <v>0.66125500000000004</v>
      </c>
      <c r="L236">
        <f t="shared" si="36"/>
        <v>15.658600000000002</v>
      </c>
      <c r="M236">
        <f t="shared" si="37"/>
        <v>10.364834463600001</v>
      </c>
      <c r="N236" s="9"/>
      <c r="O236" s="22">
        <v>1.03806</v>
      </c>
      <c r="P236" s="22">
        <v>100.758</v>
      </c>
      <c r="Q236" s="22">
        <v>-1.5191700000000001E-2</v>
      </c>
      <c r="R236" s="22">
        <v>226</v>
      </c>
      <c r="S236" s="22">
        <v>1.0369900000000001</v>
      </c>
      <c r="T236">
        <f t="shared" si="38"/>
        <v>15.191700000000001</v>
      </c>
      <c r="U236">
        <f t="shared" si="39"/>
        <v>15.769896102000001</v>
      </c>
      <c r="X236" s="9"/>
      <c r="Y236" s="22">
        <v>0.66192600000000001</v>
      </c>
      <c r="Z236" s="22">
        <v>130.215</v>
      </c>
      <c r="AA236" s="22">
        <v>-1.55579E-2</v>
      </c>
      <c r="AB236" s="22">
        <v>226</v>
      </c>
      <c r="AC236" s="22">
        <v>0.66122400000000003</v>
      </c>
      <c r="AD236">
        <f t="shared" si="40"/>
        <v>15.5579</v>
      </c>
      <c r="AE236">
        <f t="shared" si="41"/>
        <v>10.2981785154</v>
      </c>
      <c r="AF236" s="9"/>
      <c r="AG236" s="22">
        <v>1.03806</v>
      </c>
      <c r="AH236" s="22">
        <v>179.68799999999999</v>
      </c>
      <c r="AI236" s="22">
        <v>-1.5029900000000001E-2</v>
      </c>
      <c r="AJ236" s="22">
        <v>226</v>
      </c>
      <c r="AK236" s="22">
        <v>1.03729</v>
      </c>
      <c r="AL236">
        <f t="shared" si="42"/>
        <v>15.029900000000001</v>
      </c>
      <c r="AM236">
        <f t="shared" si="43"/>
        <v>15.601937994000002</v>
      </c>
      <c r="AP236" s="9"/>
      <c r="AQ236" s="22">
        <v>0.66192600000000001</v>
      </c>
      <c r="AR236" s="22">
        <v>229.13499999999999</v>
      </c>
      <c r="AS236" s="22">
        <v>-1.5380899999999999E-2</v>
      </c>
      <c r="AT236" s="22">
        <v>226</v>
      </c>
      <c r="AU236" s="22">
        <v>0.66122400000000003</v>
      </c>
      <c r="AV236">
        <f t="shared" si="44"/>
        <v>15.380899999999999</v>
      </c>
      <c r="AW236">
        <f t="shared" si="45"/>
        <v>10.1810176134</v>
      </c>
      <c r="AX236" s="9"/>
      <c r="AY236" s="22">
        <v>1.03806</v>
      </c>
      <c r="AZ236" s="22">
        <v>263.47500000000002</v>
      </c>
      <c r="BA236" s="22">
        <v>-1.48468E-2</v>
      </c>
      <c r="BB236" s="22">
        <v>226</v>
      </c>
      <c r="BC236" s="22">
        <v>1.03729</v>
      </c>
      <c r="BD236">
        <f t="shared" si="46"/>
        <v>14.8468</v>
      </c>
      <c r="BE236">
        <f t="shared" si="47"/>
        <v>15.411869208000001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51.341299999999997</v>
      </c>
      <c r="I237" s="22">
        <v>-1.5655499999999999E-2</v>
      </c>
      <c r="J237" s="22">
        <v>227</v>
      </c>
      <c r="K237" s="22">
        <v>0.65625</v>
      </c>
      <c r="L237">
        <f t="shared" si="36"/>
        <v>15.6555</v>
      </c>
      <c r="M237">
        <f t="shared" si="37"/>
        <v>10.2839570505</v>
      </c>
      <c r="N237" s="9"/>
      <c r="O237" s="22">
        <v>1.0430900000000001</v>
      </c>
      <c r="P237" s="22">
        <v>100.768</v>
      </c>
      <c r="Q237" s="22">
        <v>-1.5179399999999999E-2</v>
      </c>
      <c r="R237" s="22">
        <v>227</v>
      </c>
      <c r="S237" s="22">
        <v>1.04156</v>
      </c>
      <c r="T237">
        <f t="shared" si="38"/>
        <v>15.179399999999999</v>
      </c>
      <c r="U237">
        <f t="shared" si="39"/>
        <v>15.833480346</v>
      </c>
      <c r="X237" s="9"/>
      <c r="Y237" s="22">
        <v>0.656891</v>
      </c>
      <c r="Z237" s="22">
        <v>130.22499999999999</v>
      </c>
      <c r="AA237" s="22">
        <v>-1.5560900000000001E-2</v>
      </c>
      <c r="AB237" s="22">
        <v>227</v>
      </c>
      <c r="AC237" s="22">
        <v>0.65625</v>
      </c>
      <c r="AD237">
        <f t="shared" si="40"/>
        <v>15.5609</v>
      </c>
      <c r="AE237">
        <f t="shared" si="41"/>
        <v>10.2218151619</v>
      </c>
      <c r="AF237" s="9"/>
      <c r="AG237" s="22">
        <v>1.0430900000000001</v>
      </c>
      <c r="AH237" s="22">
        <v>179.69800000000001</v>
      </c>
      <c r="AI237" s="22">
        <v>-1.5020800000000001E-2</v>
      </c>
      <c r="AJ237" s="22">
        <v>227</v>
      </c>
      <c r="AK237" s="22">
        <v>1.04156</v>
      </c>
      <c r="AL237">
        <f t="shared" si="42"/>
        <v>15.020800000000001</v>
      </c>
      <c r="AM237">
        <f t="shared" si="43"/>
        <v>15.668046272000002</v>
      </c>
      <c r="AP237" s="9"/>
      <c r="AQ237" s="22">
        <v>0.656891</v>
      </c>
      <c r="AR237" s="22">
        <v>229.14500000000001</v>
      </c>
      <c r="AS237" s="22">
        <v>-1.5383900000000001E-2</v>
      </c>
      <c r="AT237" s="22">
        <v>227</v>
      </c>
      <c r="AU237" s="22">
        <v>0.65618900000000002</v>
      </c>
      <c r="AV237">
        <f t="shared" si="44"/>
        <v>15.383900000000001</v>
      </c>
      <c r="AW237">
        <f t="shared" si="45"/>
        <v>10.1055454549</v>
      </c>
      <c r="AX237" s="9"/>
      <c r="AY237" s="22">
        <v>1.0430900000000001</v>
      </c>
      <c r="AZ237" s="22">
        <v>263.48500000000001</v>
      </c>
      <c r="BA237" s="22">
        <v>-1.48346E-2</v>
      </c>
      <c r="BB237" s="22">
        <v>227</v>
      </c>
      <c r="BC237" s="22">
        <v>1.0421800000000001</v>
      </c>
      <c r="BD237">
        <f t="shared" si="46"/>
        <v>14.8346</v>
      </c>
      <c r="BE237">
        <f t="shared" si="47"/>
        <v>15.473822914000001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51.351300000000002</v>
      </c>
      <c r="I238" s="22">
        <v>-1.5649400000000001E-2</v>
      </c>
      <c r="J238" s="22">
        <v>228</v>
      </c>
      <c r="K238" s="22">
        <v>0.65109300000000003</v>
      </c>
      <c r="L238">
        <f t="shared" si="36"/>
        <v>15.6494</v>
      </c>
      <c r="M238">
        <f t="shared" si="37"/>
        <v>10.201139636999999</v>
      </c>
      <c r="N238" s="9"/>
      <c r="O238" s="22">
        <v>1.04813</v>
      </c>
      <c r="P238" s="22">
        <v>100.77800000000001</v>
      </c>
      <c r="Q238" s="22">
        <v>-1.5164199999999999E-2</v>
      </c>
      <c r="R238" s="22">
        <v>228</v>
      </c>
      <c r="S238" s="22">
        <v>1.0473600000000001</v>
      </c>
      <c r="T238">
        <f t="shared" si="38"/>
        <v>15.164199999999999</v>
      </c>
      <c r="U238">
        <f t="shared" si="39"/>
        <v>15.894052945999999</v>
      </c>
      <c r="X238" s="9"/>
      <c r="Y238" s="22">
        <v>0.65185499999999996</v>
      </c>
      <c r="Z238" s="22">
        <v>130.23500000000001</v>
      </c>
      <c r="AA238" s="22">
        <v>-1.5566999999999999E-2</v>
      </c>
      <c r="AB238" s="22">
        <v>228</v>
      </c>
      <c r="AC238" s="22">
        <v>0.65109300000000003</v>
      </c>
      <c r="AD238">
        <f t="shared" si="40"/>
        <v>15.566999999999998</v>
      </c>
      <c r="AE238">
        <f t="shared" si="41"/>
        <v>10.147426784999999</v>
      </c>
      <c r="AF238" s="9"/>
      <c r="AG238" s="22">
        <v>1.04813</v>
      </c>
      <c r="AH238" s="22">
        <v>179.708</v>
      </c>
      <c r="AI238" s="22">
        <v>-1.5008499999999999E-2</v>
      </c>
      <c r="AJ238" s="22">
        <v>228</v>
      </c>
      <c r="AK238" s="22">
        <v>1.0470600000000001</v>
      </c>
      <c r="AL238">
        <f t="shared" si="42"/>
        <v>15.0085</v>
      </c>
      <c r="AM238">
        <f t="shared" si="43"/>
        <v>15.730859105</v>
      </c>
      <c r="AP238" s="9"/>
      <c r="AQ238" s="22">
        <v>0.65185499999999996</v>
      </c>
      <c r="AR238" s="22">
        <v>229.155</v>
      </c>
      <c r="AS238" s="22">
        <v>-1.5389999999999999E-2</v>
      </c>
      <c r="AT238" s="22">
        <v>228</v>
      </c>
      <c r="AU238" s="22">
        <v>0.65112300000000001</v>
      </c>
      <c r="AV238">
        <f t="shared" si="44"/>
        <v>15.389999999999999</v>
      </c>
      <c r="AW238">
        <f t="shared" si="45"/>
        <v>10.032048449999998</v>
      </c>
      <c r="AX238" s="9"/>
      <c r="AY238" s="22">
        <v>1.04813</v>
      </c>
      <c r="AZ238" s="22">
        <v>263.495</v>
      </c>
      <c r="BA238" s="22">
        <v>-1.4816299999999999E-2</v>
      </c>
      <c r="BB238" s="22">
        <v>228</v>
      </c>
      <c r="BC238" s="22">
        <v>1.0470600000000001</v>
      </c>
      <c r="BD238">
        <f t="shared" si="46"/>
        <v>14.8163</v>
      </c>
      <c r="BE238">
        <f t="shared" si="47"/>
        <v>15.529408519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51.361400000000003</v>
      </c>
      <c r="I239" s="22">
        <v>-1.5649400000000001E-2</v>
      </c>
      <c r="J239" s="22">
        <v>229</v>
      </c>
      <c r="K239" s="22">
        <v>0.64611799999999997</v>
      </c>
      <c r="L239">
        <f t="shared" si="36"/>
        <v>15.6494</v>
      </c>
      <c r="M239">
        <f t="shared" si="37"/>
        <v>10.122344907999999</v>
      </c>
      <c r="N239" s="9"/>
      <c r="O239" s="22">
        <v>1.0531600000000001</v>
      </c>
      <c r="P239" s="22">
        <v>100.788</v>
      </c>
      <c r="Q239" s="22">
        <v>-1.5155E-2</v>
      </c>
      <c r="R239" s="22">
        <v>229</v>
      </c>
      <c r="S239" s="22">
        <v>1.0525500000000001</v>
      </c>
      <c r="T239">
        <f t="shared" si="38"/>
        <v>15.154999999999999</v>
      </c>
      <c r="U239">
        <f t="shared" si="39"/>
        <v>15.960639800000001</v>
      </c>
      <c r="X239" s="9"/>
      <c r="Y239" s="22">
        <v>0.64681999999999995</v>
      </c>
      <c r="Z239" s="22">
        <v>130.245</v>
      </c>
      <c r="AA239" s="22">
        <v>-1.5573099999999999E-2</v>
      </c>
      <c r="AB239" s="22">
        <v>229</v>
      </c>
      <c r="AC239" s="22">
        <v>0.64611799999999997</v>
      </c>
      <c r="AD239">
        <f t="shared" si="40"/>
        <v>15.5731</v>
      </c>
      <c r="AE239">
        <f t="shared" si="41"/>
        <v>10.072992542</v>
      </c>
      <c r="AF239" s="9"/>
      <c r="AG239" s="22">
        <v>1.0531600000000001</v>
      </c>
      <c r="AH239" s="22">
        <v>179.71799999999999</v>
      </c>
      <c r="AI239" s="22">
        <v>-1.50055E-2</v>
      </c>
      <c r="AJ239" s="22">
        <v>229</v>
      </c>
      <c r="AK239" s="22">
        <v>1.0519400000000001</v>
      </c>
      <c r="AL239">
        <f t="shared" si="42"/>
        <v>15.0055</v>
      </c>
      <c r="AM239">
        <f t="shared" si="43"/>
        <v>15.80319238</v>
      </c>
      <c r="AP239" s="9"/>
      <c r="AQ239" s="22">
        <v>0.64681999999999995</v>
      </c>
      <c r="AR239" s="22">
        <v>229.16499999999999</v>
      </c>
      <c r="AS239" s="22">
        <v>-1.5387E-2</v>
      </c>
      <c r="AT239" s="22">
        <v>229</v>
      </c>
      <c r="AU239" s="22">
        <v>0.64611799999999997</v>
      </c>
      <c r="AV239">
        <f t="shared" si="44"/>
        <v>15.387</v>
      </c>
      <c r="AW239">
        <f t="shared" si="45"/>
        <v>9.95261934</v>
      </c>
      <c r="AX239" s="9"/>
      <c r="AY239" s="22">
        <v>1.0531600000000001</v>
      </c>
      <c r="AZ239" s="22">
        <v>263.505</v>
      </c>
      <c r="BA239" s="22">
        <v>-1.4804100000000001E-2</v>
      </c>
      <c r="BB239" s="22">
        <v>229</v>
      </c>
      <c r="BC239" s="22">
        <v>1.0522499999999999</v>
      </c>
      <c r="BD239">
        <f t="shared" si="46"/>
        <v>14.8041</v>
      </c>
      <c r="BE239">
        <f t="shared" si="47"/>
        <v>15.591085956000001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51.371499999999997</v>
      </c>
      <c r="I240" s="22">
        <v>-1.56525E-2</v>
      </c>
      <c r="J240" s="22">
        <v>230</v>
      </c>
      <c r="K240" s="22">
        <v>0.64108299999999996</v>
      </c>
      <c r="L240">
        <f t="shared" si="36"/>
        <v>15.6525</v>
      </c>
      <c r="M240">
        <f t="shared" si="37"/>
        <v>10.0455397125</v>
      </c>
      <c r="N240" s="9"/>
      <c r="O240" s="22">
        <v>1.0582</v>
      </c>
      <c r="P240" s="22">
        <v>100.798</v>
      </c>
      <c r="Q240" s="22">
        <v>-1.51398E-2</v>
      </c>
      <c r="R240" s="22">
        <v>230</v>
      </c>
      <c r="S240" s="22">
        <v>1.0568200000000001</v>
      </c>
      <c r="T240">
        <f t="shared" si="38"/>
        <v>15.139799999999999</v>
      </c>
      <c r="U240">
        <f t="shared" si="39"/>
        <v>16.02093636</v>
      </c>
      <c r="X240" s="9"/>
      <c r="Y240" s="22">
        <v>0.64178500000000005</v>
      </c>
      <c r="Z240" s="22">
        <v>130.255</v>
      </c>
      <c r="AA240" s="22">
        <v>-1.55792E-2</v>
      </c>
      <c r="AB240" s="22">
        <v>230</v>
      </c>
      <c r="AC240" s="22">
        <v>0.64105199999999996</v>
      </c>
      <c r="AD240">
        <f t="shared" si="40"/>
        <v>15.5792</v>
      </c>
      <c r="AE240">
        <f t="shared" si="41"/>
        <v>9.9984968720000005</v>
      </c>
      <c r="AF240" s="9"/>
      <c r="AG240" s="22">
        <v>1.0582</v>
      </c>
      <c r="AH240" s="22">
        <v>179.72800000000001</v>
      </c>
      <c r="AI240" s="22">
        <v>-1.49902E-2</v>
      </c>
      <c r="AJ240" s="22">
        <v>230</v>
      </c>
      <c r="AK240" s="22">
        <v>1.0571299999999999</v>
      </c>
      <c r="AL240">
        <f t="shared" si="42"/>
        <v>14.9902</v>
      </c>
      <c r="AM240">
        <f t="shared" si="43"/>
        <v>15.86262964</v>
      </c>
      <c r="AP240" s="9"/>
      <c r="AQ240" s="22">
        <v>0.64178500000000005</v>
      </c>
      <c r="AR240" s="22">
        <v>229.17500000000001</v>
      </c>
      <c r="AS240" s="22">
        <v>-1.5383900000000001E-2</v>
      </c>
      <c r="AT240" s="22">
        <v>230</v>
      </c>
      <c r="AU240" s="22">
        <v>0.64114400000000005</v>
      </c>
      <c r="AV240">
        <f t="shared" si="44"/>
        <v>15.383900000000001</v>
      </c>
      <c r="AW240">
        <f t="shared" si="45"/>
        <v>9.8731562615000019</v>
      </c>
      <c r="AX240" s="9"/>
      <c r="AY240" s="22">
        <v>1.0582</v>
      </c>
      <c r="AZ240" s="22">
        <v>263.51499999999999</v>
      </c>
      <c r="BA240" s="22">
        <v>-1.4798E-2</v>
      </c>
      <c r="BB240" s="22">
        <v>230</v>
      </c>
      <c r="BC240" s="22">
        <v>1.0574300000000001</v>
      </c>
      <c r="BD240">
        <f t="shared" si="46"/>
        <v>14.798</v>
      </c>
      <c r="BE240">
        <f t="shared" si="47"/>
        <v>15.6592436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51.381500000000003</v>
      </c>
      <c r="I241" s="22">
        <v>-1.5658600000000002E-2</v>
      </c>
      <c r="J241" s="22">
        <v>231</v>
      </c>
      <c r="K241" s="22">
        <v>0.63604700000000003</v>
      </c>
      <c r="L241">
        <f t="shared" si="36"/>
        <v>15.658600000000002</v>
      </c>
      <c r="M241">
        <f t="shared" si="37"/>
        <v>9.9705978914000006</v>
      </c>
      <c r="N241" s="9"/>
      <c r="O241" s="22">
        <v>1.0632299999999999</v>
      </c>
      <c r="P241" s="22">
        <v>100.80800000000001</v>
      </c>
      <c r="Q241" s="22">
        <v>-1.51215E-2</v>
      </c>
      <c r="R241" s="22">
        <v>231</v>
      </c>
      <c r="S241" s="22">
        <v>1.0620099999999999</v>
      </c>
      <c r="T241">
        <f t="shared" si="38"/>
        <v>15.121499999999999</v>
      </c>
      <c r="U241">
        <f t="shared" si="39"/>
        <v>16.077632444999999</v>
      </c>
      <c r="X241" s="9"/>
      <c r="Y241" s="22">
        <v>0.63674900000000001</v>
      </c>
      <c r="Z241" s="22">
        <v>130.26499999999999</v>
      </c>
      <c r="AA241" s="22">
        <v>-1.55792E-2</v>
      </c>
      <c r="AB241" s="22">
        <v>231</v>
      </c>
      <c r="AC241" s="22">
        <v>0.63610800000000001</v>
      </c>
      <c r="AD241">
        <f t="shared" si="40"/>
        <v>15.5792</v>
      </c>
      <c r="AE241">
        <f t="shared" si="41"/>
        <v>9.9200400208000001</v>
      </c>
      <c r="AF241" s="9"/>
      <c r="AG241" s="22">
        <v>1.0632299999999999</v>
      </c>
      <c r="AH241" s="22">
        <v>179.738</v>
      </c>
      <c r="AI241" s="22">
        <v>-1.4981100000000001E-2</v>
      </c>
      <c r="AJ241" s="22">
        <v>231</v>
      </c>
      <c r="AK241" s="22">
        <v>1.0626199999999999</v>
      </c>
      <c r="AL241">
        <f t="shared" si="42"/>
        <v>14.981100000000001</v>
      </c>
      <c r="AM241">
        <f t="shared" si="43"/>
        <v>15.928354952999999</v>
      </c>
      <c r="AP241" s="9"/>
      <c r="AQ241" s="22">
        <v>0.63674900000000001</v>
      </c>
      <c r="AR241" s="22">
        <v>229.185</v>
      </c>
      <c r="AS241" s="22">
        <v>-1.5383900000000001E-2</v>
      </c>
      <c r="AT241" s="22">
        <v>231</v>
      </c>
      <c r="AU241" s="22">
        <v>0.63613900000000001</v>
      </c>
      <c r="AV241">
        <f t="shared" si="44"/>
        <v>15.383900000000001</v>
      </c>
      <c r="AW241">
        <f t="shared" si="45"/>
        <v>9.7956829411000008</v>
      </c>
      <c r="AX241" s="9"/>
      <c r="AY241" s="22">
        <v>1.0632299999999999</v>
      </c>
      <c r="AZ241" s="22">
        <v>263.52499999999998</v>
      </c>
      <c r="BA241" s="22">
        <v>-1.4804100000000001E-2</v>
      </c>
      <c r="BB241" s="22">
        <v>231</v>
      </c>
      <c r="BC241" s="22">
        <v>1.0626199999999999</v>
      </c>
      <c r="BD241">
        <f t="shared" si="46"/>
        <v>14.8041</v>
      </c>
      <c r="BE241">
        <f t="shared" si="47"/>
        <v>15.740163242999998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51.391599999999997</v>
      </c>
      <c r="I242" s="22">
        <v>-1.5661600000000001E-2</v>
      </c>
      <c r="J242" s="22">
        <v>232</v>
      </c>
      <c r="K242" s="22">
        <v>0.63098100000000001</v>
      </c>
      <c r="L242">
        <f t="shared" si="36"/>
        <v>15.661600000000002</v>
      </c>
      <c r="M242">
        <f t="shared" si="37"/>
        <v>9.8936519824000015</v>
      </c>
      <c r="N242" s="9"/>
      <c r="O242" s="22">
        <v>1.0682700000000001</v>
      </c>
      <c r="P242" s="22">
        <v>100.818</v>
      </c>
      <c r="Q242" s="22">
        <v>-1.51062E-2</v>
      </c>
      <c r="R242" s="22">
        <v>232</v>
      </c>
      <c r="S242" s="22">
        <v>1.0674999999999999</v>
      </c>
      <c r="T242">
        <f t="shared" si="38"/>
        <v>15.106199999999999</v>
      </c>
      <c r="U242">
        <f t="shared" si="39"/>
        <v>16.137500274000001</v>
      </c>
      <c r="X242" s="9"/>
      <c r="Y242" s="22">
        <v>0.631714</v>
      </c>
      <c r="Z242" s="22">
        <v>130.27500000000001</v>
      </c>
      <c r="AA242" s="22">
        <v>-1.55823E-2</v>
      </c>
      <c r="AB242" s="22">
        <v>232</v>
      </c>
      <c r="AC242" s="22">
        <v>0.63088999999999995</v>
      </c>
      <c r="AD242">
        <f t="shared" si="40"/>
        <v>15.5823</v>
      </c>
      <c r="AE242">
        <f t="shared" si="41"/>
        <v>9.8435570622000004</v>
      </c>
      <c r="AF242" s="9"/>
      <c r="AG242" s="22">
        <v>1.0682700000000001</v>
      </c>
      <c r="AH242" s="22">
        <v>179.749</v>
      </c>
      <c r="AI242" s="22">
        <v>-1.4978E-2</v>
      </c>
      <c r="AJ242" s="22">
        <v>232</v>
      </c>
      <c r="AK242" s="22">
        <v>1.0671999999999999</v>
      </c>
      <c r="AL242">
        <f t="shared" si="42"/>
        <v>14.978</v>
      </c>
      <c r="AM242">
        <f t="shared" si="43"/>
        <v>16.00054806</v>
      </c>
      <c r="AP242" s="9"/>
      <c r="AQ242" s="22">
        <v>0.631714</v>
      </c>
      <c r="AR242" s="22">
        <v>229.19499999999999</v>
      </c>
      <c r="AS242" s="22">
        <v>-1.5389999999999999E-2</v>
      </c>
      <c r="AT242" s="22">
        <v>232</v>
      </c>
      <c r="AU242" s="22">
        <v>0.63104199999999999</v>
      </c>
      <c r="AV242">
        <f t="shared" si="44"/>
        <v>15.389999999999999</v>
      </c>
      <c r="AW242">
        <f t="shared" si="45"/>
        <v>9.7220784599999988</v>
      </c>
      <c r="AX242" s="9"/>
      <c r="AY242" s="22">
        <v>1.0682700000000001</v>
      </c>
      <c r="AZ242" s="22">
        <v>263.53500000000003</v>
      </c>
      <c r="BA242" s="22">
        <v>-1.4804100000000001E-2</v>
      </c>
      <c r="BB242" s="22">
        <v>232</v>
      </c>
      <c r="BC242" s="22">
        <v>1.0668899999999999</v>
      </c>
      <c r="BD242">
        <f t="shared" si="46"/>
        <v>14.8041</v>
      </c>
      <c r="BE242">
        <f t="shared" si="47"/>
        <v>15.814775907000001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51.401699999999998</v>
      </c>
      <c r="I243" s="22">
        <v>-1.56647E-2</v>
      </c>
      <c r="J243" s="22">
        <v>233</v>
      </c>
      <c r="K243" s="22">
        <v>0.62600699999999998</v>
      </c>
      <c r="L243">
        <f t="shared" si="36"/>
        <v>15.6647</v>
      </c>
      <c r="M243">
        <f t="shared" si="37"/>
        <v>9.8167228665999993</v>
      </c>
      <c r="N243" s="9"/>
      <c r="O243" s="22">
        <v>1.0732999999999999</v>
      </c>
      <c r="P243" s="22">
        <v>100.828</v>
      </c>
      <c r="Q243" s="22">
        <v>-1.51062E-2</v>
      </c>
      <c r="R243" s="22">
        <v>233</v>
      </c>
      <c r="S243" s="22">
        <v>1.07178</v>
      </c>
      <c r="T243">
        <f t="shared" si="38"/>
        <v>15.106199999999999</v>
      </c>
      <c r="U243">
        <f t="shared" si="39"/>
        <v>16.213484459999997</v>
      </c>
      <c r="X243" s="9"/>
      <c r="Y243" s="22">
        <v>0.62667799999999996</v>
      </c>
      <c r="Z243" s="22">
        <v>130.285</v>
      </c>
      <c r="AA243" s="22">
        <v>-1.55823E-2</v>
      </c>
      <c r="AB243" s="22">
        <v>233</v>
      </c>
      <c r="AC243" s="22">
        <v>0.62603799999999998</v>
      </c>
      <c r="AD243">
        <f t="shared" si="40"/>
        <v>15.5823</v>
      </c>
      <c r="AE243">
        <f t="shared" si="41"/>
        <v>9.7650845993999997</v>
      </c>
      <c r="AF243" s="9"/>
      <c r="AG243" s="22">
        <v>1.0732999999999999</v>
      </c>
      <c r="AH243" s="22">
        <v>179.75899999999999</v>
      </c>
      <c r="AI243" s="22">
        <v>-1.4978E-2</v>
      </c>
      <c r="AJ243" s="22">
        <v>233</v>
      </c>
      <c r="AK243" s="22">
        <v>1.07178</v>
      </c>
      <c r="AL243">
        <f t="shared" si="42"/>
        <v>14.978</v>
      </c>
      <c r="AM243">
        <f t="shared" si="43"/>
        <v>16.075887399999999</v>
      </c>
      <c r="AP243" s="9"/>
      <c r="AQ243" s="22">
        <v>0.62667799999999996</v>
      </c>
      <c r="AR243" s="22">
        <v>229.20500000000001</v>
      </c>
      <c r="AS243" s="22">
        <v>-1.5396099999999999E-2</v>
      </c>
      <c r="AT243" s="22">
        <v>233</v>
      </c>
      <c r="AU243" s="22">
        <v>0.62600699999999998</v>
      </c>
      <c r="AV243">
        <f t="shared" si="44"/>
        <v>15.396099999999999</v>
      </c>
      <c r="AW243">
        <f t="shared" si="45"/>
        <v>9.6483971557999979</v>
      </c>
      <c r="AX243" s="9"/>
      <c r="AY243" s="22">
        <v>1.0732999999999999</v>
      </c>
      <c r="AZ243" s="22">
        <v>263.54500000000002</v>
      </c>
      <c r="BA243" s="22">
        <v>-1.4801E-2</v>
      </c>
      <c r="BB243" s="22">
        <v>233</v>
      </c>
      <c r="BC243" s="22">
        <v>1.0720799999999999</v>
      </c>
      <c r="BD243">
        <f t="shared" si="46"/>
        <v>14.801</v>
      </c>
      <c r="BE243">
        <f t="shared" si="47"/>
        <v>15.885913299999999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51.411799999999999</v>
      </c>
      <c r="I244" s="22">
        <v>-1.56677E-2</v>
      </c>
      <c r="J244" s="22">
        <v>234</v>
      </c>
      <c r="K244" s="22">
        <v>0.62094099999999997</v>
      </c>
      <c r="L244">
        <f t="shared" si="36"/>
        <v>15.6677</v>
      </c>
      <c r="M244">
        <f t="shared" si="37"/>
        <v>9.7397160310999986</v>
      </c>
      <c r="N244" s="9"/>
      <c r="O244" s="22">
        <v>1.0783400000000001</v>
      </c>
      <c r="P244" s="22">
        <v>100.83799999999999</v>
      </c>
      <c r="Q244" s="22">
        <v>-1.5090900000000001E-2</v>
      </c>
      <c r="R244" s="22">
        <v>234</v>
      </c>
      <c r="S244" s="22">
        <v>1.0772699999999999</v>
      </c>
      <c r="T244">
        <f t="shared" si="38"/>
        <v>15.090900000000001</v>
      </c>
      <c r="U244">
        <f t="shared" si="39"/>
        <v>16.273121106000001</v>
      </c>
      <c r="X244" s="9"/>
      <c r="Y244" s="22">
        <v>0.62164299999999995</v>
      </c>
      <c r="Z244" s="22">
        <v>130.29499999999999</v>
      </c>
      <c r="AA244" s="22">
        <v>-1.55792E-2</v>
      </c>
      <c r="AB244" s="22">
        <v>234</v>
      </c>
      <c r="AC244" s="22">
        <v>0.62094099999999997</v>
      </c>
      <c r="AD244">
        <f t="shared" si="40"/>
        <v>15.5792</v>
      </c>
      <c r="AE244">
        <f t="shared" si="41"/>
        <v>9.6847006255999997</v>
      </c>
      <c r="AF244" s="9"/>
      <c r="AG244" s="22">
        <v>1.0783400000000001</v>
      </c>
      <c r="AH244" s="22">
        <v>179.76900000000001</v>
      </c>
      <c r="AI244" s="22">
        <v>-1.4987199999999999E-2</v>
      </c>
      <c r="AJ244" s="22">
        <v>234</v>
      </c>
      <c r="AK244" s="22">
        <v>1.0772699999999999</v>
      </c>
      <c r="AL244">
        <f t="shared" si="42"/>
        <v>14.9872</v>
      </c>
      <c r="AM244">
        <f t="shared" si="43"/>
        <v>16.161297248</v>
      </c>
      <c r="AP244" s="9"/>
      <c r="AQ244" s="22">
        <v>0.62164299999999995</v>
      </c>
      <c r="AR244" s="22">
        <v>229.215</v>
      </c>
      <c r="AS244" s="22">
        <v>-1.54022E-2</v>
      </c>
      <c r="AT244" s="22">
        <v>234</v>
      </c>
      <c r="AU244" s="22">
        <v>0.62091099999999999</v>
      </c>
      <c r="AV244">
        <f t="shared" si="44"/>
        <v>15.402199999999999</v>
      </c>
      <c r="AW244">
        <f t="shared" si="45"/>
        <v>9.5746698145999982</v>
      </c>
      <c r="AX244" s="9"/>
      <c r="AY244" s="22">
        <v>1.0783400000000001</v>
      </c>
      <c r="AZ244" s="22">
        <v>263.55500000000001</v>
      </c>
      <c r="BA244" s="22">
        <v>-1.47888E-2</v>
      </c>
      <c r="BB244" s="22">
        <v>234</v>
      </c>
      <c r="BC244" s="22">
        <v>1.07697</v>
      </c>
      <c r="BD244">
        <f t="shared" si="46"/>
        <v>14.7888</v>
      </c>
      <c r="BE244">
        <f t="shared" si="47"/>
        <v>15.947354592000002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51.421799999999998</v>
      </c>
      <c r="I245" s="22">
        <v>-1.5673800000000002E-2</v>
      </c>
      <c r="J245" s="22">
        <v>235</v>
      </c>
      <c r="K245" s="22">
        <v>0.61587499999999995</v>
      </c>
      <c r="L245">
        <f t="shared" si="36"/>
        <v>15.673800000000002</v>
      </c>
      <c r="M245">
        <f t="shared" si="37"/>
        <v>9.6645904704000021</v>
      </c>
      <c r="N245" s="9"/>
      <c r="O245" s="22">
        <v>1.0833699999999999</v>
      </c>
      <c r="P245" s="22">
        <v>100.848</v>
      </c>
      <c r="Q245" s="22">
        <v>-1.5075699999999999E-2</v>
      </c>
      <c r="R245" s="22">
        <v>235</v>
      </c>
      <c r="S245" s="22">
        <v>1.08307</v>
      </c>
      <c r="T245">
        <f t="shared" si="38"/>
        <v>15.075699999999999</v>
      </c>
      <c r="U245">
        <f t="shared" si="39"/>
        <v>16.332561109</v>
      </c>
      <c r="X245" s="9"/>
      <c r="Y245" s="22">
        <v>0.61660800000000004</v>
      </c>
      <c r="Z245" s="22">
        <v>130.30500000000001</v>
      </c>
      <c r="AA245" s="22">
        <v>-1.55792E-2</v>
      </c>
      <c r="AB245" s="22">
        <v>235</v>
      </c>
      <c r="AC245" s="22">
        <v>0.61596700000000004</v>
      </c>
      <c r="AD245">
        <f t="shared" si="40"/>
        <v>15.5792</v>
      </c>
      <c r="AE245">
        <f t="shared" si="41"/>
        <v>9.6062593536000005</v>
      </c>
      <c r="AF245" s="9"/>
      <c r="AG245" s="22">
        <v>1.0833699999999999</v>
      </c>
      <c r="AH245" s="22">
        <v>179.779</v>
      </c>
      <c r="AI245" s="22">
        <v>-1.4981100000000001E-2</v>
      </c>
      <c r="AJ245" s="22">
        <v>235</v>
      </c>
      <c r="AK245" s="22">
        <v>1.08185</v>
      </c>
      <c r="AL245">
        <f t="shared" si="42"/>
        <v>14.981100000000001</v>
      </c>
      <c r="AM245">
        <f t="shared" si="43"/>
        <v>16.230074307000002</v>
      </c>
      <c r="AP245" s="9"/>
      <c r="AQ245" s="22">
        <v>0.61660800000000004</v>
      </c>
      <c r="AR245" s="22">
        <v>229.22499999999999</v>
      </c>
      <c r="AS245" s="22">
        <v>-1.54083E-2</v>
      </c>
      <c r="AT245" s="22">
        <v>235</v>
      </c>
      <c r="AU245" s="22">
        <v>0.61596700000000004</v>
      </c>
      <c r="AV245">
        <f t="shared" si="44"/>
        <v>15.408300000000001</v>
      </c>
      <c r="AW245">
        <f t="shared" si="45"/>
        <v>9.5008810464000018</v>
      </c>
      <c r="AX245" s="9"/>
      <c r="AY245" s="22">
        <v>1.0833699999999999</v>
      </c>
      <c r="AZ245" s="22">
        <v>263.565</v>
      </c>
      <c r="BA245" s="22">
        <v>-1.47797E-2</v>
      </c>
      <c r="BB245" s="22">
        <v>235</v>
      </c>
      <c r="BC245" s="22">
        <v>1.0821499999999999</v>
      </c>
      <c r="BD245">
        <f t="shared" si="46"/>
        <v>14.7797</v>
      </c>
      <c r="BE245">
        <f t="shared" si="47"/>
        <v>16.011883589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51.431899999999999</v>
      </c>
      <c r="I246" s="22">
        <v>-1.56799E-2</v>
      </c>
      <c r="J246" s="22">
        <v>236</v>
      </c>
      <c r="K246" s="22">
        <v>0.61099199999999998</v>
      </c>
      <c r="L246">
        <f t="shared" si="36"/>
        <v>15.6799</v>
      </c>
      <c r="M246">
        <f t="shared" si="37"/>
        <v>9.5893878027999992</v>
      </c>
      <c r="N246" s="9"/>
      <c r="O246" s="22">
        <v>1.0884100000000001</v>
      </c>
      <c r="P246" s="22">
        <v>100.858</v>
      </c>
      <c r="Q246" s="22">
        <v>-1.5069600000000001E-2</v>
      </c>
      <c r="R246" s="22">
        <v>236</v>
      </c>
      <c r="S246" s="22">
        <v>1.08765</v>
      </c>
      <c r="T246">
        <f t="shared" si="38"/>
        <v>15.069600000000001</v>
      </c>
      <c r="U246">
        <f t="shared" si="39"/>
        <v>16.401903336000004</v>
      </c>
      <c r="X246" s="9"/>
      <c r="Y246" s="22">
        <v>0.611572</v>
      </c>
      <c r="Z246" s="22">
        <v>130.315</v>
      </c>
      <c r="AA246" s="22">
        <v>-1.55914E-2</v>
      </c>
      <c r="AB246" s="22">
        <v>236</v>
      </c>
      <c r="AC246" s="22">
        <v>0.61087000000000002</v>
      </c>
      <c r="AD246">
        <f t="shared" si="40"/>
        <v>15.5914</v>
      </c>
      <c r="AE246">
        <f t="shared" si="41"/>
        <v>9.5352636808</v>
      </c>
      <c r="AF246" s="9"/>
      <c r="AG246" s="22">
        <v>1.0884100000000001</v>
      </c>
      <c r="AH246" s="22">
        <v>179.78899999999999</v>
      </c>
      <c r="AI246" s="22">
        <v>-1.4978E-2</v>
      </c>
      <c r="AJ246" s="22">
        <v>236</v>
      </c>
      <c r="AK246" s="22">
        <v>1.08704</v>
      </c>
      <c r="AL246">
        <f t="shared" si="42"/>
        <v>14.978</v>
      </c>
      <c r="AM246">
        <f t="shared" si="43"/>
        <v>16.302204980000003</v>
      </c>
      <c r="AP246" s="9"/>
      <c r="AQ246" s="22">
        <v>0.611572</v>
      </c>
      <c r="AR246" s="22">
        <v>229.23500000000001</v>
      </c>
      <c r="AS246" s="22">
        <v>-1.5423600000000001E-2</v>
      </c>
      <c r="AT246" s="22">
        <v>236</v>
      </c>
      <c r="AU246" s="22">
        <v>0.61084000000000005</v>
      </c>
      <c r="AV246">
        <f t="shared" si="44"/>
        <v>15.4236</v>
      </c>
      <c r="AW246">
        <f t="shared" si="45"/>
        <v>9.4326418992000001</v>
      </c>
      <c r="AX246" s="9"/>
      <c r="AY246" s="22">
        <v>1.0884100000000001</v>
      </c>
      <c r="AZ246" s="22">
        <v>263.57499999999999</v>
      </c>
      <c r="BA246" s="22">
        <v>-1.47736E-2</v>
      </c>
      <c r="BB246" s="22">
        <v>236</v>
      </c>
      <c r="BC246" s="22">
        <v>1.08734</v>
      </c>
      <c r="BD246">
        <f t="shared" si="46"/>
        <v>14.7736</v>
      </c>
      <c r="BE246">
        <f t="shared" si="47"/>
        <v>16.079733976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51.442</v>
      </c>
      <c r="I247" s="22">
        <v>-1.56921E-2</v>
      </c>
      <c r="J247" s="22">
        <v>237</v>
      </c>
      <c r="K247" s="22">
        <v>0.60583500000000001</v>
      </c>
      <c r="L247">
        <f t="shared" si="36"/>
        <v>15.6921</v>
      </c>
      <c r="M247">
        <f t="shared" si="37"/>
        <v>9.5178392577000004</v>
      </c>
      <c r="N247" s="9"/>
      <c r="O247" s="22">
        <v>1.09344</v>
      </c>
      <c r="P247" s="22">
        <v>100.86799999999999</v>
      </c>
      <c r="Q247" s="22">
        <v>-1.50787E-2</v>
      </c>
      <c r="R247" s="22">
        <v>237</v>
      </c>
      <c r="S247" s="22">
        <v>1.09283</v>
      </c>
      <c r="T247">
        <f t="shared" si="38"/>
        <v>15.078700000000001</v>
      </c>
      <c r="U247">
        <f t="shared" si="39"/>
        <v>16.487653728000002</v>
      </c>
      <c r="X247" s="9"/>
      <c r="Y247" s="22">
        <v>0.60653699999999999</v>
      </c>
      <c r="Z247" s="22">
        <v>130.32499999999999</v>
      </c>
      <c r="AA247" s="22">
        <v>-1.56036E-2</v>
      </c>
      <c r="AB247" s="22">
        <v>237</v>
      </c>
      <c r="AC247" s="22">
        <v>0.60583500000000001</v>
      </c>
      <c r="AD247">
        <f t="shared" si="40"/>
        <v>15.6036</v>
      </c>
      <c r="AE247">
        <f t="shared" si="41"/>
        <v>9.4641607332</v>
      </c>
      <c r="AF247" s="9"/>
      <c r="AG247" s="22">
        <v>1.09344</v>
      </c>
      <c r="AH247" s="22">
        <v>179.79900000000001</v>
      </c>
      <c r="AI247" s="22">
        <v>-1.49719E-2</v>
      </c>
      <c r="AJ247" s="22">
        <v>237</v>
      </c>
      <c r="AK247" s="22">
        <v>1.09253</v>
      </c>
      <c r="AL247">
        <f t="shared" si="42"/>
        <v>14.9719</v>
      </c>
      <c r="AM247">
        <f t="shared" si="43"/>
        <v>16.370874336</v>
      </c>
      <c r="AP247" s="9"/>
      <c r="AQ247" s="22">
        <v>0.60653699999999999</v>
      </c>
      <c r="AR247" s="22">
        <v>229.245</v>
      </c>
      <c r="AS247" s="22">
        <v>-1.54266E-2</v>
      </c>
      <c r="AT247" s="22">
        <v>237</v>
      </c>
      <c r="AU247" s="22">
        <v>0.60580400000000001</v>
      </c>
      <c r="AV247">
        <f t="shared" si="44"/>
        <v>15.426600000000001</v>
      </c>
      <c r="AW247">
        <f t="shared" si="45"/>
        <v>9.3568036842000009</v>
      </c>
      <c r="AX247" s="9"/>
      <c r="AY247" s="22">
        <v>1.09344</v>
      </c>
      <c r="AZ247" s="22">
        <v>263.58499999999998</v>
      </c>
      <c r="BA247" s="22">
        <v>-1.4761399999999999E-2</v>
      </c>
      <c r="BB247" s="22">
        <v>237</v>
      </c>
      <c r="BC247" s="22">
        <v>1.09253</v>
      </c>
      <c r="BD247">
        <f t="shared" si="46"/>
        <v>14.761399999999998</v>
      </c>
      <c r="BE247">
        <f t="shared" si="47"/>
        <v>16.140705215999997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51.451999999999998</v>
      </c>
      <c r="I248" s="22">
        <v>-1.5698199999999999E-2</v>
      </c>
      <c r="J248" s="22">
        <v>238</v>
      </c>
      <c r="K248" s="22">
        <v>0.60073900000000002</v>
      </c>
      <c r="L248">
        <f t="shared" si="36"/>
        <v>15.698199999999998</v>
      </c>
      <c r="M248">
        <f t="shared" si="37"/>
        <v>9.4424829981999974</v>
      </c>
      <c r="N248" s="9"/>
      <c r="O248" s="22">
        <v>1.0984799999999999</v>
      </c>
      <c r="P248" s="22">
        <v>100.878</v>
      </c>
      <c r="Q248" s="22">
        <v>-1.50787E-2</v>
      </c>
      <c r="R248" s="22">
        <v>238</v>
      </c>
      <c r="S248" s="22">
        <v>1.09741</v>
      </c>
      <c r="T248">
        <f t="shared" si="38"/>
        <v>15.078700000000001</v>
      </c>
      <c r="U248">
        <f t="shared" si="39"/>
        <v>16.563650375999998</v>
      </c>
      <c r="X248" s="9"/>
      <c r="Y248" s="22">
        <v>0.60150099999999995</v>
      </c>
      <c r="Z248" s="22">
        <v>130.33600000000001</v>
      </c>
      <c r="AA248" s="22">
        <v>-1.5609700000000001E-2</v>
      </c>
      <c r="AB248" s="22">
        <v>238</v>
      </c>
      <c r="AC248" s="22">
        <v>0.60082999999999998</v>
      </c>
      <c r="AD248">
        <f t="shared" si="40"/>
        <v>15.6097</v>
      </c>
      <c r="AE248">
        <f t="shared" si="41"/>
        <v>9.3892501596999995</v>
      </c>
      <c r="AF248" s="9"/>
      <c r="AG248" s="22">
        <v>1.0984799999999999</v>
      </c>
      <c r="AH248" s="22">
        <v>179.809</v>
      </c>
      <c r="AI248" s="22">
        <v>-1.49628E-2</v>
      </c>
      <c r="AJ248" s="22">
        <v>238</v>
      </c>
      <c r="AK248" s="22">
        <v>1.09772</v>
      </c>
      <c r="AL248">
        <f t="shared" si="42"/>
        <v>14.9628</v>
      </c>
      <c r="AM248">
        <f t="shared" si="43"/>
        <v>16.436336544</v>
      </c>
      <c r="AP248" s="9"/>
      <c r="AQ248" s="22">
        <v>0.60150099999999995</v>
      </c>
      <c r="AR248" s="22">
        <v>229.255</v>
      </c>
      <c r="AS248" s="22">
        <v>-1.54266E-2</v>
      </c>
      <c r="AT248" s="22">
        <v>238</v>
      </c>
      <c r="AU248" s="22">
        <v>0.60073900000000002</v>
      </c>
      <c r="AV248">
        <f t="shared" si="44"/>
        <v>15.426600000000001</v>
      </c>
      <c r="AW248">
        <f t="shared" si="45"/>
        <v>9.2791153265999995</v>
      </c>
      <c r="AX248" s="9"/>
      <c r="AY248" s="22">
        <v>1.0984799999999999</v>
      </c>
      <c r="AZ248" s="22">
        <v>263.596</v>
      </c>
      <c r="BA248" s="22">
        <v>-1.47552E-2</v>
      </c>
      <c r="BB248" s="22">
        <v>238</v>
      </c>
      <c r="BC248" s="22">
        <v>1.09772</v>
      </c>
      <c r="BD248">
        <f t="shared" si="46"/>
        <v>14.7552</v>
      </c>
      <c r="BE248">
        <f t="shared" si="47"/>
        <v>16.208292095999997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51.4621</v>
      </c>
      <c r="I249" s="22">
        <v>-1.5704300000000001E-2</v>
      </c>
      <c r="J249" s="22">
        <v>239</v>
      </c>
      <c r="K249" s="22">
        <v>0.59570299999999998</v>
      </c>
      <c r="L249">
        <f t="shared" si="36"/>
        <v>15.704300000000002</v>
      </c>
      <c r="M249">
        <f t="shared" si="37"/>
        <v>9.367081003800001</v>
      </c>
      <c r="N249" s="9"/>
      <c r="O249" s="22">
        <v>1.1035200000000001</v>
      </c>
      <c r="P249" s="22">
        <v>100.889</v>
      </c>
      <c r="Q249" s="22">
        <v>-1.5075699999999999E-2</v>
      </c>
      <c r="R249" s="22">
        <v>239</v>
      </c>
      <c r="S249" s="22">
        <v>1.1029100000000001</v>
      </c>
      <c r="T249">
        <f t="shared" si="38"/>
        <v>15.075699999999999</v>
      </c>
      <c r="U249">
        <f t="shared" si="39"/>
        <v>16.636336463999999</v>
      </c>
      <c r="X249" s="9"/>
      <c r="Y249" s="22">
        <v>0.59646600000000005</v>
      </c>
      <c r="Z249" s="22">
        <v>130.346</v>
      </c>
      <c r="AA249" s="22">
        <v>-1.56128E-2</v>
      </c>
      <c r="AB249" s="22">
        <v>239</v>
      </c>
      <c r="AC249" s="22">
        <v>0.59576399999999996</v>
      </c>
      <c r="AD249">
        <f t="shared" si="40"/>
        <v>15.6128</v>
      </c>
      <c r="AE249">
        <f t="shared" si="41"/>
        <v>9.3125043648000005</v>
      </c>
      <c r="AF249" s="9"/>
      <c r="AG249" s="22">
        <v>1.1035200000000001</v>
      </c>
      <c r="AH249" s="22">
        <v>179.81899999999999</v>
      </c>
      <c r="AI249" s="22">
        <v>-1.4959699999999999E-2</v>
      </c>
      <c r="AJ249" s="22">
        <v>239</v>
      </c>
      <c r="AK249" s="22">
        <v>1.1026</v>
      </c>
      <c r="AL249">
        <f t="shared" si="42"/>
        <v>14.9597</v>
      </c>
      <c r="AM249">
        <f t="shared" si="43"/>
        <v>16.508328144</v>
      </c>
      <c r="AP249" s="9"/>
      <c r="AQ249" s="22">
        <v>0.59646600000000005</v>
      </c>
      <c r="AR249" s="22">
        <v>229.26499999999999</v>
      </c>
      <c r="AS249" s="22">
        <v>-1.54205E-2</v>
      </c>
      <c r="AT249" s="22">
        <v>239</v>
      </c>
      <c r="AU249" s="22">
        <v>0.59576399999999996</v>
      </c>
      <c r="AV249">
        <f t="shared" si="44"/>
        <v>15.420500000000001</v>
      </c>
      <c r="AW249">
        <f t="shared" si="45"/>
        <v>9.1978039530000011</v>
      </c>
      <c r="AX249" s="9"/>
      <c r="AY249" s="22">
        <v>1.1035200000000001</v>
      </c>
      <c r="AZ249" s="22">
        <v>263.60599999999999</v>
      </c>
      <c r="BA249" s="22">
        <v>-1.47644E-2</v>
      </c>
      <c r="BB249" s="22">
        <v>239</v>
      </c>
      <c r="BC249" s="22">
        <v>1.1029100000000001</v>
      </c>
      <c r="BD249">
        <f t="shared" si="46"/>
        <v>14.7644</v>
      </c>
      <c r="BE249">
        <f t="shared" si="47"/>
        <v>16.292810687999999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51.472200000000001</v>
      </c>
      <c r="I250" s="22">
        <v>-1.5701300000000001E-2</v>
      </c>
      <c r="J250" s="22">
        <v>240</v>
      </c>
      <c r="K250" s="22">
        <v>0.59075900000000003</v>
      </c>
      <c r="L250">
        <f t="shared" si="36"/>
        <v>15.701300000000002</v>
      </c>
      <c r="M250">
        <f t="shared" si="37"/>
        <v>9.2862355603000015</v>
      </c>
      <c r="N250" s="9"/>
      <c r="O250" s="22">
        <v>1.1085499999999999</v>
      </c>
      <c r="P250" s="22">
        <v>100.899</v>
      </c>
      <c r="Q250" s="22">
        <v>-1.50604E-2</v>
      </c>
      <c r="R250" s="22">
        <v>240</v>
      </c>
      <c r="S250" s="22">
        <v>1.1077900000000001</v>
      </c>
      <c r="T250">
        <f t="shared" si="38"/>
        <v>15.0604</v>
      </c>
      <c r="U250">
        <f t="shared" si="39"/>
        <v>16.695206419999998</v>
      </c>
      <c r="X250" s="9"/>
      <c r="Y250" s="22">
        <v>0.59143100000000004</v>
      </c>
      <c r="Z250" s="22">
        <v>130.35599999999999</v>
      </c>
      <c r="AA250" s="22">
        <v>-1.5615800000000001E-2</v>
      </c>
      <c r="AB250" s="22">
        <v>240</v>
      </c>
      <c r="AC250" s="22">
        <v>0.59075900000000003</v>
      </c>
      <c r="AD250">
        <f t="shared" si="40"/>
        <v>15.6158</v>
      </c>
      <c r="AE250">
        <f t="shared" si="41"/>
        <v>9.2356682098</v>
      </c>
      <c r="AF250" s="9"/>
      <c r="AG250" s="22">
        <v>1.1085499999999999</v>
      </c>
      <c r="AH250" s="22">
        <v>179.82900000000001</v>
      </c>
      <c r="AI250" s="22">
        <v>-1.49628E-2</v>
      </c>
      <c r="AJ250" s="22">
        <v>240</v>
      </c>
      <c r="AK250" s="22">
        <v>1.10809</v>
      </c>
      <c r="AL250">
        <f t="shared" si="42"/>
        <v>14.9628</v>
      </c>
      <c r="AM250">
        <f t="shared" si="43"/>
        <v>16.58701194</v>
      </c>
      <c r="AP250" s="9"/>
      <c r="AQ250" s="22">
        <v>0.59143100000000004</v>
      </c>
      <c r="AR250" s="22">
        <v>229.27500000000001</v>
      </c>
      <c r="AS250" s="22">
        <v>-1.5423600000000001E-2</v>
      </c>
      <c r="AT250" s="22">
        <v>240</v>
      </c>
      <c r="AU250" s="22">
        <v>0.59075900000000003</v>
      </c>
      <c r="AV250">
        <f t="shared" si="44"/>
        <v>15.4236</v>
      </c>
      <c r="AW250">
        <f t="shared" si="45"/>
        <v>9.1219951716000001</v>
      </c>
      <c r="AX250" s="9"/>
      <c r="AY250" s="22">
        <v>1.1085499999999999</v>
      </c>
      <c r="AZ250" s="22">
        <v>263.61599999999999</v>
      </c>
      <c r="BA250" s="22">
        <v>-1.47644E-2</v>
      </c>
      <c r="BB250" s="22">
        <v>240</v>
      </c>
      <c r="BC250" s="22">
        <v>1.10748</v>
      </c>
      <c r="BD250">
        <f t="shared" si="46"/>
        <v>14.7644</v>
      </c>
      <c r="BE250">
        <f t="shared" si="47"/>
        <v>16.367075619999998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51.482199999999999</v>
      </c>
      <c r="I251" s="22">
        <v>-1.5701300000000001E-2</v>
      </c>
      <c r="J251" s="22">
        <v>241</v>
      </c>
      <c r="K251" s="22">
        <v>0.585754</v>
      </c>
      <c r="L251">
        <f t="shared" si="36"/>
        <v>15.701300000000002</v>
      </c>
      <c r="M251">
        <f t="shared" si="37"/>
        <v>9.2071638135000011</v>
      </c>
      <c r="N251" s="9"/>
      <c r="O251" s="22">
        <v>1.1135900000000001</v>
      </c>
      <c r="P251" s="22">
        <v>100.90900000000001</v>
      </c>
      <c r="Q251" s="22">
        <v>-1.50604E-2</v>
      </c>
      <c r="R251" s="22">
        <v>241</v>
      </c>
      <c r="S251" s="22">
        <v>1.11328</v>
      </c>
      <c r="T251">
        <f t="shared" si="38"/>
        <v>15.0604</v>
      </c>
      <c r="U251">
        <f t="shared" si="39"/>
        <v>16.771110836000002</v>
      </c>
      <c r="X251" s="9"/>
      <c r="Y251" s="22">
        <v>0.586395</v>
      </c>
      <c r="Z251" s="22">
        <v>130.36600000000001</v>
      </c>
      <c r="AA251" s="22">
        <v>-1.5615800000000001E-2</v>
      </c>
      <c r="AB251" s="22">
        <v>241</v>
      </c>
      <c r="AC251" s="22">
        <v>0.58572400000000002</v>
      </c>
      <c r="AD251">
        <f t="shared" si="40"/>
        <v>15.6158</v>
      </c>
      <c r="AE251">
        <f t="shared" si="41"/>
        <v>9.1570270409999992</v>
      </c>
      <c r="AF251" s="9"/>
      <c r="AG251" s="22">
        <v>1.1135900000000001</v>
      </c>
      <c r="AH251" s="22">
        <v>179.839</v>
      </c>
      <c r="AI251" s="22">
        <v>-1.4959699999999999E-2</v>
      </c>
      <c r="AJ251" s="22">
        <v>241</v>
      </c>
      <c r="AK251" s="22">
        <v>1.11267</v>
      </c>
      <c r="AL251">
        <f t="shared" si="42"/>
        <v>14.9597</v>
      </c>
      <c r="AM251">
        <f t="shared" si="43"/>
        <v>16.658972323</v>
      </c>
      <c r="AP251" s="9"/>
      <c r="AQ251" s="22">
        <v>0.586395</v>
      </c>
      <c r="AR251" s="22">
        <v>229.286</v>
      </c>
      <c r="AS251" s="22">
        <v>-1.5429699999999999E-2</v>
      </c>
      <c r="AT251" s="22">
        <v>241</v>
      </c>
      <c r="AU251" s="22">
        <v>0.58569300000000002</v>
      </c>
      <c r="AV251">
        <f t="shared" si="44"/>
        <v>15.429699999999999</v>
      </c>
      <c r="AW251">
        <f t="shared" si="45"/>
        <v>9.0478989314999989</v>
      </c>
      <c r="AX251" s="9"/>
      <c r="AY251" s="22">
        <v>1.1135900000000001</v>
      </c>
      <c r="AZ251" s="22">
        <v>263.62599999999998</v>
      </c>
      <c r="BA251" s="22">
        <v>-1.47583E-2</v>
      </c>
      <c r="BB251" s="22">
        <v>241</v>
      </c>
      <c r="BC251" s="22">
        <v>1.1123700000000001</v>
      </c>
      <c r="BD251">
        <f t="shared" si="46"/>
        <v>14.7583</v>
      </c>
      <c r="BE251">
        <f t="shared" si="47"/>
        <v>16.434695297000001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51.4923</v>
      </c>
      <c r="I252" s="22">
        <v>-1.5698199999999999E-2</v>
      </c>
      <c r="J252" s="22">
        <v>242</v>
      </c>
      <c r="K252" s="22">
        <v>0.580627</v>
      </c>
      <c r="L252">
        <f t="shared" si="36"/>
        <v>15.698199999999998</v>
      </c>
      <c r="M252">
        <f t="shared" si="37"/>
        <v>9.126305551999998</v>
      </c>
      <c r="N252" s="9"/>
      <c r="O252" s="22">
        <v>1.1186199999999999</v>
      </c>
      <c r="P252" s="22">
        <v>100.919</v>
      </c>
      <c r="Q252" s="22">
        <v>-1.50665E-2</v>
      </c>
      <c r="R252" s="22">
        <v>242</v>
      </c>
      <c r="S252" s="22">
        <v>1.1178600000000001</v>
      </c>
      <c r="T252">
        <f t="shared" si="38"/>
        <v>15.0665</v>
      </c>
      <c r="U252">
        <f t="shared" si="39"/>
        <v>16.853688229999999</v>
      </c>
      <c r="X252" s="9"/>
      <c r="Y252" s="22">
        <v>0.58135999999999999</v>
      </c>
      <c r="Z252" s="22">
        <v>130.376</v>
      </c>
      <c r="AA252" s="22">
        <v>-1.56189E-2</v>
      </c>
      <c r="AB252" s="22">
        <v>242</v>
      </c>
      <c r="AC252" s="22">
        <v>0.58065800000000001</v>
      </c>
      <c r="AD252">
        <f t="shared" si="40"/>
        <v>15.6189</v>
      </c>
      <c r="AE252">
        <f t="shared" si="41"/>
        <v>9.0802037040000005</v>
      </c>
      <c r="AF252" s="9"/>
      <c r="AG252" s="22">
        <v>1.1186199999999999</v>
      </c>
      <c r="AH252" s="22">
        <v>179.84899999999999</v>
      </c>
      <c r="AI252" s="22">
        <v>-1.4944499999999999E-2</v>
      </c>
      <c r="AJ252" s="22">
        <v>242</v>
      </c>
      <c r="AK252" s="22">
        <v>1.1178600000000001</v>
      </c>
      <c r="AL252">
        <f t="shared" si="42"/>
        <v>14.9445</v>
      </c>
      <c r="AM252">
        <f t="shared" si="43"/>
        <v>16.71721659</v>
      </c>
      <c r="AP252" s="9"/>
      <c r="AQ252" s="22">
        <v>0.58135999999999999</v>
      </c>
      <c r="AR252" s="22">
        <v>229.29599999999999</v>
      </c>
      <c r="AS252" s="22">
        <v>-1.5417500000000001E-2</v>
      </c>
      <c r="AT252" s="22">
        <v>242</v>
      </c>
      <c r="AU252" s="22">
        <v>0.58065800000000001</v>
      </c>
      <c r="AV252">
        <f t="shared" si="44"/>
        <v>15.4175</v>
      </c>
      <c r="AW252">
        <f t="shared" si="45"/>
        <v>8.9631178000000009</v>
      </c>
      <c r="AX252" s="9"/>
      <c r="AY252" s="22">
        <v>1.1186199999999999</v>
      </c>
      <c r="AZ252" s="22">
        <v>263.63600000000002</v>
      </c>
      <c r="BA252" s="22">
        <v>-1.4742999999999999E-2</v>
      </c>
      <c r="BB252" s="22">
        <v>242</v>
      </c>
      <c r="BC252" s="22">
        <v>1.1172500000000001</v>
      </c>
      <c r="BD252">
        <f t="shared" si="46"/>
        <v>14.742999999999999</v>
      </c>
      <c r="BE252">
        <f t="shared" si="47"/>
        <v>16.491814659999999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51.502400000000002</v>
      </c>
      <c r="I253" s="22">
        <v>-1.5701300000000001E-2</v>
      </c>
      <c r="J253" s="22">
        <v>243</v>
      </c>
      <c r="K253" s="22">
        <v>0.575623</v>
      </c>
      <c r="L253">
        <f t="shared" si="36"/>
        <v>15.701300000000002</v>
      </c>
      <c r="M253">
        <f t="shared" si="37"/>
        <v>9.0490360212000009</v>
      </c>
      <c r="N253" s="9"/>
      <c r="O253" s="22">
        <v>1.1236600000000001</v>
      </c>
      <c r="P253" s="22">
        <v>100.929</v>
      </c>
      <c r="Q253" s="22">
        <v>-1.5063500000000001E-2</v>
      </c>
      <c r="R253" s="22">
        <v>243</v>
      </c>
      <c r="S253" s="22">
        <v>1.1233500000000001</v>
      </c>
      <c r="T253">
        <f t="shared" si="38"/>
        <v>15.063500000000001</v>
      </c>
      <c r="U253">
        <f t="shared" si="39"/>
        <v>16.926252410000004</v>
      </c>
      <c r="X253" s="9"/>
      <c r="Y253" s="22">
        <v>0.57632399999999995</v>
      </c>
      <c r="Z253" s="22">
        <v>130.386</v>
      </c>
      <c r="AA253" s="22">
        <v>-1.5621899999999999E-2</v>
      </c>
      <c r="AB253" s="22">
        <v>243</v>
      </c>
      <c r="AC253" s="22">
        <v>0.57568399999999997</v>
      </c>
      <c r="AD253">
        <f t="shared" si="40"/>
        <v>15.6219</v>
      </c>
      <c r="AE253">
        <f t="shared" si="41"/>
        <v>9.0032758955999999</v>
      </c>
      <c r="AF253" s="9"/>
      <c r="AG253" s="22">
        <v>1.1236600000000001</v>
      </c>
      <c r="AH253" s="22">
        <v>179.85900000000001</v>
      </c>
      <c r="AI253" s="22">
        <v>-1.4926099999999999E-2</v>
      </c>
      <c r="AJ253" s="22">
        <v>243</v>
      </c>
      <c r="AK253" s="22">
        <v>1.1230500000000001</v>
      </c>
      <c r="AL253">
        <f t="shared" si="42"/>
        <v>14.9261</v>
      </c>
      <c r="AM253">
        <f t="shared" si="43"/>
        <v>16.771861526000002</v>
      </c>
      <c r="AP253" s="9"/>
      <c r="AQ253" s="22">
        <v>0.57632399999999995</v>
      </c>
      <c r="AR253" s="22">
        <v>229.30600000000001</v>
      </c>
      <c r="AS253" s="22">
        <v>-1.54144E-2</v>
      </c>
      <c r="AT253" s="22">
        <v>243</v>
      </c>
      <c r="AU253" s="22">
        <v>0.57559199999999999</v>
      </c>
      <c r="AV253">
        <f t="shared" si="44"/>
        <v>15.414400000000001</v>
      </c>
      <c r="AW253">
        <f t="shared" si="45"/>
        <v>8.8836886655999994</v>
      </c>
      <c r="AX253" s="9"/>
      <c r="AY253" s="22">
        <v>1.1236600000000001</v>
      </c>
      <c r="AZ253" s="22">
        <v>263.64600000000002</v>
      </c>
      <c r="BA253" s="22">
        <v>-1.47186E-2</v>
      </c>
      <c r="BB253" s="22">
        <v>243</v>
      </c>
      <c r="BC253" s="22">
        <v>1.1230500000000001</v>
      </c>
      <c r="BD253">
        <f t="shared" si="46"/>
        <v>14.7186</v>
      </c>
      <c r="BE253">
        <f t="shared" si="47"/>
        <v>16.538702076000003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51.512500000000003</v>
      </c>
      <c r="I254" s="22">
        <v>-1.5710399999999999E-2</v>
      </c>
      <c r="J254" s="22">
        <v>244</v>
      </c>
      <c r="K254" s="22">
        <v>0.57058699999999996</v>
      </c>
      <c r="L254">
        <f t="shared" si="36"/>
        <v>15.7104</v>
      </c>
      <c r="M254">
        <f t="shared" si="37"/>
        <v>8.9751787056000012</v>
      </c>
      <c r="N254" s="9"/>
      <c r="O254" s="22">
        <v>1.12869</v>
      </c>
      <c r="P254" s="22">
        <v>100.93899999999999</v>
      </c>
      <c r="Q254" s="22">
        <v>-1.50452E-2</v>
      </c>
      <c r="R254" s="22">
        <v>244</v>
      </c>
      <c r="S254" s="22">
        <v>1.1279300000000001</v>
      </c>
      <c r="T254">
        <f t="shared" si="38"/>
        <v>15.045199999999999</v>
      </c>
      <c r="U254">
        <f t="shared" si="39"/>
        <v>16.981366787999999</v>
      </c>
      <c r="X254" s="9"/>
      <c r="Y254" s="22">
        <v>0.57128900000000005</v>
      </c>
      <c r="Z254" s="22">
        <v>130.39599999999999</v>
      </c>
      <c r="AA254" s="22">
        <v>-1.5625E-2</v>
      </c>
      <c r="AB254" s="22">
        <v>244</v>
      </c>
      <c r="AC254" s="22">
        <v>0.57055699999999998</v>
      </c>
      <c r="AD254">
        <f t="shared" si="40"/>
        <v>15.625</v>
      </c>
      <c r="AE254">
        <f t="shared" si="41"/>
        <v>8.9263906250000016</v>
      </c>
      <c r="AF254" s="9"/>
      <c r="AG254" s="22">
        <v>1.12869</v>
      </c>
      <c r="AH254" s="22">
        <v>179.869</v>
      </c>
      <c r="AI254" s="22">
        <v>-1.4904799999999999E-2</v>
      </c>
      <c r="AJ254" s="22">
        <v>244</v>
      </c>
      <c r="AK254" s="22">
        <v>1.1279300000000001</v>
      </c>
      <c r="AL254">
        <f t="shared" si="42"/>
        <v>14.9048</v>
      </c>
      <c r="AM254">
        <f t="shared" si="43"/>
        <v>16.822898712000001</v>
      </c>
      <c r="AP254" s="9"/>
      <c r="AQ254" s="22">
        <v>0.57128900000000005</v>
      </c>
      <c r="AR254" s="22">
        <v>229.316</v>
      </c>
      <c r="AS254" s="22">
        <v>-1.54144E-2</v>
      </c>
      <c r="AT254" s="22">
        <v>244</v>
      </c>
      <c r="AU254" s="22">
        <v>0.57064800000000004</v>
      </c>
      <c r="AV254">
        <f t="shared" si="44"/>
        <v>15.414400000000001</v>
      </c>
      <c r="AW254">
        <f t="shared" si="45"/>
        <v>8.8060771616000011</v>
      </c>
      <c r="AX254" s="9"/>
      <c r="AY254" s="22">
        <v>1.12869</v>
      </c>
      <c r="AZ254" s="22">
        <v>263.65600000000001</v>
      </c>
      <c r="BA254" s="22">
        <v>-1.4688100000000001E-2</v>
      </c>
      <c r="BB254" s="22">
        <v>244</v>
      </c>
      <c r="BC254" s="22">
        <v>1.1279300000000001</v>
      </c>
      <c r="BD254">
        <f t="shared" si="46"/>
        <v>14.6881</v>
      </c>
      <c r="BE254">
        <f t="shared" si="47"/>
        <v>16.578311588999998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51.522500000000001</v>
      </c>
      <c r="I255" s="22">
        <v>-1.57196E-2</v>
      </c>
      <c r="J255" s="22">
        <v>245</v>
      </c>
      <c r="K255" s="22">
        <v>0.56549099999999997</v>
      </c>
      <c r="L255">
        <f t="shared" si="36"/>
        <v>15.7196</v>
      </c>
      <c r="M255">
        <f t="shared" si="37"/>
        <v>8.9012863784</v>
      </c>
      <c r="N255" s="9"/>
      <c r="O255" s="22">
        <v>1.1337299999999999</v>
      </c>
      <c r="P255" s="22">
        <v>100.949</v>
      </c>
      <c r="Q255" s="22">
        <v>-1.5026899999999999E-2</v>
      </c>
      <c r="R255" s="22">
        <v>245</v>
      </c>
      <c r="S255" s="22">
        <v>1.1328100000000001</v>
      </c>
      <c r="T255">
        <f t="shared" si="38"/>
        <v>15.026899999999999</v>
      </c>
      <c r="U255">
        <f t="shared" si="39"/>
        <v>17.036447336999998</v>
      </c>
      <c r="X255" s="9"/>
      <c r="Y255" s="22">
        <v>0.56625400000000004</v>
      </c>
      <c r="Z255" s="22">
        <v>130.40600000000001</v>
      </c>
      <c r="AA255" s="22">
        <v>-1.5628099999999999E-2</v>
      </c>
      <c r="AB255" s="22">
        <v>245</v>
      </c>
      <c r="AC255" s="22">
        <v>0.56555200000000005</v>
      </c>
      <c r="AD255">
        <f t="shared" si="40"/>
        <v>15.628099999999998</v>
      </c>
      <c r="AE255">
        <f t="shared" si="41"/>
        <v>8.8494741373999997</v>
      </c>
      <c r="AF255" s="9"/>
      <c r="AG255" s="22">
        <v>1.1337299999999999</v>
      </c>
      <c r="AH255" s="22">
        <v>179.87899999999999</v>
      </c>
      <c r="AI255" s="22">
        <v>-1.4892600000000001E-2</v>
      </c>
      <c r="AJ255" s="22">
        <v>245</v>
      </c>
      <c r="AK255" s="22">
        <v>1.1328100000000001</v>
      </c>
      <c r="AL255">
        <f t="shared" si="42"/>
        <v>14.8926</v>
      </c>
      <c r="AM255">
        <f t="shared" si="43"/>
        <v>16.884187397999998</v>
      </c>
      <c r="AP255" s="9"/>
      <c r="AQ255" s="22">
        <v>0.56625400000000004</v>
      </c>
      <c r="AR255" s="22">
        <v>229.32599999999999</v>
      </c>
      <c r="AS255" s="22">
        <v>-1.5417500000000001E-2</v>
      </c>
      <c r="AT255" s="22">
        <v>245</v>
      </c>
      <c r="AU255" s="22">
        <v>0.56552100000000005</v>
      </c>
      <c r="AV255">
        <f t="shared" si="44"/>
        <v>15.4175</v>
      </c>
      <c r="AW255">
        <f t="shared" si="45"/>
        <v>8.7302210450000004</v>
      </c>
      <c r="AX255" s="9"/>
      <c r="AY255" s="22">
        <v>1.1337299999999999</v>
      </c>
      <c r="AZ255" s="22">
        <v>263.666</v>
      </c>
      <c r="BA255" s="22">
        <v>-1.46667E-2</v>
      </c>
      <c r="BB255" s="22">
        <v>245</v>
      </c>
      <c r="BC255" s="22">
        <v>1.1331199999999999</v>
      </c>
      <c r="BD255">
        <f t="shared" si="46"/>
        <v>14.666699999999999</v>
      </c>
      <c r="BE255">
        <f t="shared" si="47"/>
        <v>16.628077790999995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51.532600000000002</v>
      </c>
      <c r="I256" s="22">
        <v>-1.5722699999999999E-2</v>
      </c>
      <c r="J256" s="22">
        <v>246</v>
      </c>
      <c r="K256" s="22">
        <v>0.56054700000000002</v>
      </c>
      <c r="L256">
        <f t="shared" si="36"/>
        <v>15.7227</v>
      </c>
      <c r="M256">
        <f t="shared" si="37"/>
        <v>8.8238622485999993</v>
      </c>
      <c r="N256" s="9"/>
      <c r="O256" s="22">
        <v>1.13876</v>
      </c>
      <c r="P256" s="22">
        <v>100.959</v>
      </c>
      <c r="Q256" s="22">
        <v>-1.5014599999999999E-2</v>
      </c>
      <c r="R256" s="22">
        <v>246</v>
      </c>
      <c r="S256" s="22">
        <v>1.1379999999999999</v>
      </c>
      <c r="T256">
        <f t="shared" si="38"/>
        <v>15.0146</v>
      </c>
      <c r="U256">
        <f t="shared" si="39"/>
        <v>17.098025895999999</v>
      </c>
      <c r="X256" s="9"/>
      <c r="Y256" s="22">
        <v>0.56121799999999999</v>
      </c>
      <c r="Z256" s="22">
        <v>130.416</v>
      </c>
      <c r="AA256" s="22">
        <v>-1.5631099999999998E-2</v>
      </c>
      <c r="AB256" s="22">
        <v>246</v>
      </c>
      <c r="AC256" s="22">
        <v>0.56039399999999995</v>
      </c>
      <c r="AD256">
        <f t="shared" si="40"/>
        <v>15.631099999999998</v>
      </c>
      <c r="AE256">
        <f t="shared" si="41"/>
        <v>8.7724546797999992</v>
      </c>
      <c r="AF256" s="9"/>
      <c r="AG256" s="22">
        <v>1.13876</v>
      </c>
      <c r="AH256" s="22">
        <v>179.89</v>
      </c>
      <c r="AI256" s="22">
        <v>-1.48865E-2</v>
      </c>
      <c r="AJ256" s="22">
        <v>246</v>
      </c>
      <c r="AK256" s="22">
        <v>1.1379999999999999</v>
      </c>
      <c r="AL256">
        <f t="shared" si="42"/>
        <v>14.8865</v>
      </c>
      <c r="AM256">
        <f t="shared" si="43"/>
        <v>16.95215074</v>
      </c>
      <c r="AP256" s="9"/>
      <c r="AQ256" s="22">
        <v>0.56121799999999999</v>
      </c>
      <c r="AR256" s="22">
        <v>229.33600000000001</v>
      </c>
      <c r="AS256" s="22">
        <v>-1.54205E-2</v>
      </c>
      <c r="AT256" s="22">
        <v>246</v>
      </c>
      <c r="AU256" s="22">
        <v>0.56057699999999999</v>
      </c>
      <c r="AV256">
        <f t="shared" si="44"/>
        <v>15.420500000000001</v>
      </c>
      <c r="AW256">
        <f t="shared" si="45"/>
        <v>8.6542621690000008</v>
      </c>
      <c r="AX256" s="9"/>
      <c r="AY256" s="22">
        <v>1.13876</v>
      </c>
      <c r="AZ256" s="22">
        <v>263.67599999999999</v>
      </c>
      <c r="BA256" s="22">
        <v>-1.46576E-2</v>
      </c>
      <c r="BB256" s="22">
        <v>246</v>
      </c>
      <c r="BC256" s="22">
        <v>1.1376999999999999</v>
      </c>
      <c r="BD256">
        <f t="shared" si="46"/>
        <v>14.6576</v>
      </c>
      <c r="BE256">
        <f t="shared" si="47"/>
        <v>16.691488576000001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51.542700000000004</v>
      </c>
      <c r="I257" s="22">
        <v>-1.5725699999999999E-2</v>
      </c>
      <c r="J257" s="22">
        <v>247</v>
      </c>
      <c r="K257" s="22">
        <v>0.55542000000000002</v>
      </c>
      <c r="L257">
        <f t="shared" si="36"/>
        <v>15.725699999999998</v>
      </c>
      <c r="M257">
        <f t="shared" si="37"/>
        <v>8.7463670030999978</v>
      </c>
      <c r="N257" s="9"/>
      <c r="O257" s="22">
        <v>1.1437999999999999</v>
      </c>
      <c r="P257" s="22">
        <v>100.96899999999999</v>
      </c>
      <c r="Q257" s="22">
        <v>-1.5008499999999999E-2</v>
      </c>
      <c r="R257" s="22">
        <v>247</v>
      </c>
      <c r="S257" s="22">
        <v>1.1425799999999999</v>
      </c>
      <c r="T257">
        <f t="shared" si="38"/>
        <v>15.0085</v>
      </c>
      <c r="U257">
        <f t="shared" si="39"/>
        <v>17.1667223</v>
      </c>
      <c r="X257" s="9"/>
      <c r="Y257" s="22">
        <v>0.55618299999999998</v>
      </c>
      <c r="Z257" s="22">
        <v>130.42599999999999</v>
      </c>
      <c r="AA257" s="22">
        <v>-1.5628099999999999E-2</v>
      </c>
      <c r="AB257" s="22">
        <v>247</v>
      </c>
      <c r="AC257" s="22">
        <v>0.55545</v>
      </c>
      <c r="AD257">
        <f t="shared" si="40"/>
        <v>15.628099999999998</v>
      </c>
      <c r="AE257">
        <f t="shared" si="41"/>
        <v>8.6920835422999989</v>
      </c>
      <c r="AF257" s="9"/>
      <c r="AG257" s="22">
        <v>1.1437999999999999</v>
      </c>
      <c r="AH257" s="22">
        <v>179.9</v>
      </c>
      <c r="AI257" s="22">
        <v>-1.48834E-2</v>
      </c>
      <c r="AJ257" s="22">
        <v>247</v>
      </c>
      <c r="AK257" s="22">
        <v>1.1428799999999999</v>
      </c>
      <c r="AL257">
        <f t="shared" si="42"/>
        <v>14.8834</v>
      </c>
      <c r="AM257">
        <f t="shared" si="43"/>
        <v>17.023632919999997</v>
      </c>
      <c r="AP257" s="9"/>
      <c r="AQ257" s="22">
        <v>0.55618299999999998</v>
      </c>
      <c r="AR257" s="22">
        <v>229.346</v>
      </c>
      <c r="AS257" s="22">
        <v>-1.5423600000000001E-2</v>
      </c>
      <c r="AT257" s="22">
        <v>247</v>
      </c>
      <c r="AU257" s="22">
        <v>0.55542000000000002</v>
      </c>
      <c r="AV257">
        <f t="shared" si="44"/>
        <v>15.4236</v>
      </c>
      <c r="AW257">
        <f t="shared" si="45"/>
        <v>8.5783441188000005</v>
      </c>
      <c r="AX257" s="9"/>
      <c r="AY257" s="22">
        <v>1.1437999999999999</v>
      </c>
      <c r="AZ257" s="22">
        <v>263.68599999999998</v>
      </c>
      <c r="BA257" s="22">
        <v>-1.46515E-2</v>
      </c>
      <c r="BB257" s="22">
        <v>247</v>
      </c>
      <c r="BC257" s="22">
        <v>1.1434899999999999</v>
      </c>
      <c r="BD257">
        <f t="shared" si="46"/>
        <v>14.6515</v>
      </c>
      <c r="BE257">
        <f t="shared" si="47"/>
        <v>16.758385699999998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51.552700000000002</v>
      </c>
      <c r="I258" s="22">
        <v>-1.5728800000000001E-2</v>
      </c>
      <c r="J258" s="22">
        <v>248</v>
      </c>
      <c r="K258" s="22">
        <v>0.55050699999999997</v>
      </c>
      <c r="L258">
        <f t="shared" si="36"/>
        <v>15.728800000000001</v>
      </c>
      <c r="M258">
        <f t="shared" si="37"/>
        <v>8.6688809336000023</v>
      </c>
      <c r="N258" s="9"/>
      <c r="O258" s="22">
        <v>1.14883</v>
      </c>
      <c r="P258" s="22">
        <v>100.979</v>
      </c>
      <c r="Q258" s="22">
        <v>-1.5002400000000001E-2</v>
      </c>
      <c r="R258" s="22">
        <v>248</v>
      </c>
      <c r="S258" s="22">
        <v>1.14838</v>
      </c>
      <c r="T258">
        <f t="shared" si="38"/>
        <v>15.002400000000002</v>
      </c>
      <c r="U258">
        <f t="shared" si="39"/>
        <v>17.235207192000001</v>
      </c>
      <c r="X258" s="9"/>
      <c r="Y258" s="22">
        <v>0.55114700000000005</v>
      </c>
      <c r="Z258" s="22">
        <v>130.43600000000001</v>
      </c>
      <c r="AA258" s="22">
        <v>-1.56372E-2</v>
      </c>
      <c r="AB258" s="22">
        <v>248</v>
      </c>
      <c r="AC258" s="22">
        <v>0.55050699999999997</v>
      </c>
      <c r="AD258">
        <f t="shared" si="40"/>
        <v>15.6372</v>
      </c>
      <c r="AE258">
        <f t="shared" si="41"/>
        <v>8.6183958684000004</v>
      </c>
      <c r="AF258" s="9"/>
      <c r="AG258" s="22">
        <v>1.14883</v>
      </c>
      <c r="AH258" s="22">
        <v>179.91</v>
      </c>
      <c r="AI258" s="22">
        <v>-1.48865E-2</v>
      </c>
      <c r="AJ258" s="22">
        <v>248</v>
      </c>
      <c r="AK258" s="22">
        <v>1.14838</v>
      </c>
      <c r="AL258">
        <f t="shared" si="42"/>
        <v>14.8865</v>
      </c>
      <c r="AM258">
        <f t="shared" si="43"/>
        <v>17.102057795</v>
      </c>
      <c r="AP258" s="9"/>
      <c r="AQ258" s="22">
        <v>0.55114700000000005</v>
      </c>
      <c r="AR258" s="22">
        <v>229.35599999999999</v>
      </c>
      <c r="AS258" s="22">
        <v>-1.5432700000000001E-2</v>
      </c>
      <c r="AT258" s="22">
        <v>248</v>
      </c>
      <c r="AU258" s="22">
        <v>0.55047599999999997</v>
      </c>
      <c r="AV258">
        <f t="shared" si="44"/>
        <v>15.432700000000001</v>
      </c>
      <c r="AW258">
        <f t="shared" si="45"/>
        <v>8.5056863069000013</v>
      </c>
      <c r="AX258" s="9"/>
      <c r="AY258" s="22">
        <v>1.14883</v>
      </c>
      <c r="AZ258" s="22">
        <v>263.69600000000003</v>
      </c>
      <c r="BA258" s="22">
        <v>-1.46362E-2</v>
      </c>
      <c r="BB258" s="22">
        <v>248</v>
      </c>
      <c r="BC258" s="22">
        <v>1.1480699999999999</v>
      </c>
      <c r="BD258">
        <f t="shared" si="46"/>
        <v>14.636200000000001</v>
      </c>
      <c r="BE258">
        <f t="shared" si="47"/>
        <v>16.814505646000001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51.562800000000003</v>
      </c>
      <c r="I259" s="22">
        <v>-1.5728800000000001E-2</v>
      </c>
      <c r="J259" s="22">
        <v>249</v>
      </c>
      <c r="K259" s="22">
        <v>0.54544099999999995</v>
      </c>
      <c r="L259">
        <f t="shared" si="36"/>
        <v>15.728800000000001</v>
      </c>
      <c r="M259">
        <f t="shared" si="37"/>
        <v>8.5896864256000018</v>
      </c>
      <c r="N259" s="9"/>
      <c r="O259" s="22">
        <v>1.15387</v>
      </c>
      <c r="P259" s="22">
        <v>100.989</v>
      </c>
      <c r="Q259" s="22">
        <v>-1.4981100000000001E-2</v>
      </c>
      <c r="R259" s="22">
        <v>249</v>
      </c>
      <c r="S259" s="22">
        <v>1.1535599999999999</v>
      </c>
      <c r="T259">
        <f t="shared" si="38"/>
        <v>14.981100000000001</v>
      </c>
      <c r="U259">
        <f t="shared" si="39"/>
        <v>17.286241857</v>
      </c>
      <c r="X259" s="9"/>
      <c r="Y259" s="22">
        <v>0.54611200000000004</v>
      </c>
      <c r="Z259" s="22">
        <v>130.446</v>
      </c>
      <c r="AA259" s="22">
        <v>-1.56372E-2</v>
      </c>
      <c r="AB259" s="22">
        <v>249</v>
      </c>
      <c r="AC259" s="22">
        <v>0.54544099999999995</v>
      </c>
      <c r="AD259">
        <f t="shared" si="40"/>
        <v>15.6372</v>
      </c>
      <c r="AE259">
        <f t="shared" si="41"/>
        <v>8.5396625664000005</v>
      </c>
      <c r="AF259" s="9"/>
      <c r="AG259" s="22">
        <v>1.15387</v>
      </c>
      <c r="AH259" s="22">
        <v>179.92</v>
      </c>
      <c r="AI259" s="22">
        <v>-1.48804E-2</v>
      </c>
      <c r="AJ259" s="22">
        <v>249</v>
      </c>
      <c r="AK259" s="22">
        <v>1.1529499999999999</v>
      </c>
      <c r="AL259">
        <f t="shared" si="42"/>
        <v>14.8804</v>
      </c>
      <c r="AM259">
        <f t="shared" si="43"/>
        <v>17.170047147999998</v>
      </c>
      <c r="AP259" s="9"/>
      <c r="AQ259" s="22">
        <v>0.54611200000000004</v>
      </c>
      <c r="AR259" s="22">
        <v>229.36600000000001</v>
      </c>
      <c r="AS259" s="22">
        <v>-1.54358E-2</v>
      </c>
      <c r="AT259" s="22">
        <v>249</v>
      </c>
      <c r="AU259" s="22">
        <v>0.54534899999999997</v>
      </c>
      <c r="AV259">
        <f t="shared" si="44"/>
        <v>15.4358</v>
      </c>
      <c r="AW259">
        <f t="shared" si="45"/>
        <v>8.4296756096000003</v>
      </c>
      <c r="AX259" s="9"/>
      <c r="AY259" s="22">
        <v>1.15387</v>
      </c>
      <c r="AZ259" s="22">
        <v>263.70600000000002</v>
      </c>
      <c r="BA259" s="22">
        <v>-1.4639299999999999E-2</v>
      </c>
      <c r="BB259" s="22">
        <v>249</v>
      </c>
      <c r="BC259" s="22">
        <v>1.1529499999999999</v>
      </c>
      <c r="BD259">
        <f t="shared" si="46"/>
        <v>14.639299999999999</v>
      </c>
      <c r="BE259">
        <f t="shared" si="47"/>
        <v>16.891849090999997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51.572899999999997</v>
      </c>
      <c r="I260" s="22">
        <v>-1.5731800000000001E-2</v>
      </c>
      <c r="J260" s="22">
        <v>250</v>
      </c>
      <c r="K260" s="22">
        <v>0.54034400000000005</v>
      </c>
      <c r="L260">
        <f t="shared" si="36"/>
        <v>15.7318</v>
      </c>
      <c r="M260">
        <f t="shared" si="37"/>
        <v>8.5121151485999995</v>
      </c>
      <c r="N260" s="9"/>
      <c r="O260" s="22">
        <v>1.1589100000000001</v>
      </c>
      <c r="P260" s="22">
        <v>100.999</v>
      </c>
      <c r="Q260" s="22">
        <v>-1.4975E-2</v>
      </c>
      <c r="R260" s="22">
        <v>250</v>
      </c>
      <c r="S260" s="22">
        <v>1.1575299999999999</v>
      </c>
      <c r="T260">
        <f t="shared" si="38"/>
        <v>14.975</v>
      </c>
      <c r="U260">
        <f t="shared" si="39"/>
        <v>17.354677250000002</v>
      </c>
      <c r="X260" s="9"/>
      <c r="Y260" s="22">
        <v>0.54107700000000003</v>
      </c>
      <c r="Z260" s="22">
        <v>130.45599999999999</v>
      </c>
      <c r="AA260" s="22">
        <v>-1.5640299999999999E-2</v>
      </c>
      <c r="AB260" s="22">
        <v>250</v>
      </c>
      <c r="AC260" s="22">
        <v>0.54031399999999996</v>
      </c>
      <c r="AD260">
        <f t="shared" si="40"/>
        <v>15.6403</v>
      </c>
      <c r="AE260">
        <f t="shared" si="41"/>
        <v>8.4626066031000011</v>
      </c>
      <c r="AF260" s="9"/>
      <c r="AG260" s="22">
        <v>1.1589100000000001</v>
      </c>
      <c r="AH260" s="22">
        <v>179.93</v>
      </c>
      <c r="AI260" s="22">
        <v>-1.4859000000000001E-2</v>
      </c>
      <c r="AJ260" s="22">
        <v>250</v>
      </c>
      <c r="AK260" s="22">
        <v>1.1581399999999999</v>
      </c>
      <c r="AL260">
        <f t="shared" si="42"/>
        <v>14.859</v>
      </c>
      <c r="AM260">
        <f t="shared" si="43"/>
        <v>17.22024369</v>
      </c>
      <c r="AP260" s="9"/>
      <c r="AQ260" s="22">
        <v>0.54107700000000003</v>
      </c>
      <c r="AR260" s="22">
        <v>229.376</v>
      </c>
      <c r="AS260" s="22">
        <v>-1.5438800000000001E-2</v>
      </c>
      <c r="AT260" s="22">
        <v>250</v>
      </c>
      <c r="AU260" s="22">
        <v>0.54037500000000005</v>
      </c>
      <c r="AV260">
        <f t="shared" si="44"/>
        <v>15.438800000000001</v>
      </c>
      <c r="AW260">
        <f t="shared" si="45"/>
        <v>8.3535795876000005</v>
      </c>
      <c r="AX260" s="9"/>
      <c r="AY260" s="22">
        <v>1.1589100000000001</v>
      </c>
      <c r="AZ260" s="22">
        <v>263.71600000000001</v>
      </c>
      <c r="BA260" s="22">
        <v>-1.4633200000000001E-2</v>
      </c>
      <c r="BB260" s="22">
        <v>250</v>
      </c>
      <c r="BC260" s="22">
        <v>1.15845</v>
      </c>
      <c r="BD260">
        <f t="shared" si="46"/>
        <v>14.6332</v>
      </c>
      <c r="BE260">
        <f t="shared" si="47"/>
        <v>16.958561812000003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51.582999999999998</v>
      </c>
      <c r="I261" s="22">
        <v>-1.5728800000000001E-2</v>
      </c>
      <c r="J261" s="22">
        <v>251</v>
      </c>
      <c r="K261" s="22">
        <v>0.53524799999999995</v>
      </c>
      <c r="L261">
        <f t="shared" si="36"/>
        <v>15.728800000000001</v>
      </c>
      <c r="M261">
        <f t="shared" si="37"/>
        <v>8.4312816807999997</v>
      </c>
      <c r="N261" s="9"/>
      <c r="O261" s="22">
        <v>1.16394</v>
      </c>
      <c r="P261" s="22">
        <v>101.009</v>
      </c>
      <c r="Q261" s="22">
        <v>-1.49689E-2</v>
      </c>
      <c r="R261" s="22">
        <v>251</v>
      </c>
      <c r="S261" s="22">
        <v>1.1630199999999999</v>
      </c>
      <c r="T261">
        <f t="shared" si="38"/>
        <v>14.9689</v>
      </c>
      <c r="U261">
        <f t="shared" si="39"/>
        <v>17.422901465999999</v>
      </c>
      <c r="X261" s="9"/>
      <c r="Y261" s="22">
        <v>0.53604099999999999</v>
      </c>
      <c r="Z261" s="22">
        <v>130.46600000000001</v>
      </c>
      <c r="AA261" s="22">
        <v>-1.5640299999999999E-2</v>
      </c>
      <c r="AB261" s="22">
        <v>251</v>
      </c>
      <c r="AC261" s="22">
        <v>0.53537000000000001</v>
      </c>
      <c r="AD261">
        <f t="shared" si="40"/>
        <v>15.6403</v>
      </c>
      <c r="AE261">
        <f t="shared" si="41"/>
        <v>8.3838420523000003</v>
      </c>
      <c r="AF261" s="9"/>
      <c r="AG261" s="22">
        <v>1.16394</v>
      </c>
      <c r="AH261" s="22">
        <v>179.94</v>
      </c>
      <c r="AI261" s="22">
        <v>-1.4837599999999999E-2</v>
      </c>
      <c r="AJ261" s="22">
        <v>251</v>
      </c>
      <c r="AK261" s="22">
        <v>1.16333</v>
      </c>
      <c r="AL261">
        <f t="shared" si="42"/>
        <v>14.8376</v>
      </c>
      <c r="AM261">
        <f t="shared" si="43"/>
        <v>17.270076144000001</v>
      </c>
      <c r="AP261" s="9"/>
      <c r="AQ261" s="22">
        <v>0.53604099999999999</v>
      </c>
      <c r="AR261" s="22">
        <v>229.386</v>
      </c>
      <c r="AS261" s="22">
        <v>-1.54419E-2</v>
      </c>
      <c r="AT261" s="22">
        <v>251</v>
      </c>
      <c r="AU261" s="22">
        <v>0.53533900000000001</v>
      </c>
      <c r="AV261">
        <f t="shared" si="44"/>
        <v>15.4419</v>
      </c>
      <c r="AW261">
        <f t="shared" si="45"/>
        <v>8.2774915178999997</v>
      </c>
      <c r="AX261" s="9"/>
      <c r="AY261" s="22">
        <v>1.16394</v>
      </c>
      <c r="AZ261" s="22">
        <v>263.726</v>
      </c>
      <c r="BA261" s="22">
        <v>-1.4633200000000001E-2</v>
      </c>
      <c r="BB261" s="22">
        <v>251</v>
      </c>
      <c r="BC261" s="22">
        <v>1.1630199999999999</v>
      </c>
      <c r="BD261">
        <f t="shared" si="46"/>
        <v>14.6332</v>
      </c>
      <c r="BE261">
        <f t="shared" si="47"/>
        <v>17.032166807999999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51.593000000000004</v>
      </c>
      <c r="I262" s="22">
        <v>-1.57349E-2</v>
      </c>
      <c r="J262" s="22">
        <v>252</v>
      </c>
      <c r="K262" s="22">
        <v>0.53036499999999998</v>
      </c>
      <c r="L262">
        <f t="shared" si="36"/>
        <v>15.7349</v>
      </c>
      <c r="M262">
        <f t="shared" si="37"/>
        <v>8.3553263093999988</v>
      </c>
      <c r="N262" s="9"/>
      <c r="O262" s="22">
        <v>1.1689799999999999</v>
      </c>
      <c r="P262" s="22">
        <v>101.01900000000001</v>
      </c>
      <c r="Q262" s="22">
        <v>-1.49658E-2</v>
      </c>
      <c r="R262" s="22">
        <v>252</v>
      </c>
      <c r="S262" s="22">
        <v>1.1673</v>
      </c>
      <c r="T262">
        <f t="shared" si="38"/>
        <v>14.9658</v>
      </c>
      <c r="U262">
        <f t="shared" si="39"/>
        <v>17.494720883999999</v>
      </c>
      <c r="X262" s="9"/>
      <c r="Y262" s="22">
        <v>0.53100599999999998</v>
      </c>
      <c r="Z262" s="22">
        <v>130.476</v>
      </c>
      <c r="AA262" s="22">
        <v>-1.5640299999999999E-2</v>
      </c>
      <c r="AB262" s="22">
        <v>252</v>
      </c>
      <c r="AC262" s="22">
        <v>0.530304</v>
      </c>
      <c r="AD262">
        <f t="shared" si="40"/>
        <v>15.6403</v>
      </c>
      <c r="AE262">
        <f t="shared" si="41"/>
        <v>8.3050931418000005</v>
      </c>
      <c r="AF262" s="9"/>
      <c r="AG262" s="22">
        <v>1.1689799999999999</v>
      </c>
      <c r="AH262" s="22">
        <v>179.95</v>
      </c>
      <c r="AI262" s="22">
        <v>-1.4819300000000001E-2</v>
      </c>
      <c r="AJ262" s="22">
        <v>252</v>
      </c>
      <c r="AK262" s="22">
        <v>1.1676</v>
      </c>
      <c r="AL262">
        <f t="shared" si="42"/>
        <v>14.8193</v>
      </c>
      <c r="AM262">
        <f t="shared" si="43"/>
        <v>17.323465314</v>
      </c>
      <c r="AP262" s="9"/>
      <c r="AQ262" s="22">
        <v>0.53100599999999998</v>
      </c>
      <c r="AR262" s="22">
        <v>229.39599999999999</v>
      </c>
      <c r="AS262" s="22">
        <v>-1.5444899999999999E-2</v>
      </c>
      <c r="AT262" s="22">
        <v>252</v>
      </c>
      <c r="AU262" s="22">
        <v>0.53027299999999999</v>
      </c>
      <c r="AV262">
        <f t="shared" si="44"/>
        <v>15.444899999999999</v>
      </c>
      <c r="AW262">
        <f t="shared" si="45"/>
        <v>8.2013345693999984</v>
      </c>
      <c r="AX262" s="9"/>
      <c r="AY262" s="22">
        <v>1.1689799999999999</v>
      </c>
      <c r="AZ262" s="22">
        <v>263.73700000000002</v>
      </c>
      <c r="BA262" s="22">
        <v>-1.46301E-2</v>
      </c>
      <c r="BB262" s="22">
        <v>252</v>
      </c>
      <c r="BC262" s="22">
        <v>1.1676</v>
      </c>
      <c r="BD262">
        <f t="shared" si="46"/>
        <v>14.630100000000001</v>
      </c>
      <c r="BE262">
        <f t="shared" si="47"/>
        <v>17.102294298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51.603099999999998</v>
      </c>
      <c r="I263" s="22">
        <v>-1.5741000000000002E-2</v>
      </c>
      <c r="J263" s="22">
        <v>253</v>
      </c>
      <c r="K263" s="22">
        <v>0.52532999999999996</v>
      </c>
      <c r="L263">
        <f t="shared" si="36"/>
        <v>15.741000000000001</v>
      </c>
      <c r="M263">
        <f t="shared" si="37"/>
        <v>8.2792937700000007</v>
      </c>
      <c r="N263" s="9"/>
      <c r="O263" s="22">
        <v>1.17401</v>
      </c>
      <c r="P263" s="22">
        <v>101.03</v>
      </c>
      <c r="Q263" s="22">
        <v>-1.49567E-2</v>
      </c>
      <c r="R263" s="22">
        <v>253</v>
      </c>
      <c r="S263" s="22">
        <v>1.1734</v>
      </c>
      <c r="T263">
        <f t="shared" si="38"/>
        <v>14.9567</v>
      </c>
      <c r="U263">
        <f t="shared" si="39"/>
        <v>17.559315367</v>
      </c>
      <c r="X263" s="9"/>
      <c r="Y263" s="22">
        <v>0.52597000000000005</v>
      </c>
      <c r="Z263" s="22">
        <v>130.48699999999999</v>
      </c>
      <c r="AA263" s="22">
        <v>-1.56372E-2</v>
      </c>
      <c r="AB263" s="22">
        <v>253</v>
      </c>
      <c r="AC263" s="22">
        <v>0.52526899999999999</v>
      </c>
      <c r="AD263">
        <f t="shared" si="40"/>
        <v>15.6372</v>
      </c>
      <c r="AE263">
        <f t="shared" si="41"/>
        <v>8.2246980839999999</v>
      </c>
      <c r="AF263" s="9"/>
      <c r="AG263" s="22">
        <v>1.17401</v>
      </c>
      <c r="AH263" s="22">
        <v>179.96</v>
      </c>
      <c r="AI263" s="22">
        <v>-1.4810200000000001E-2</v>
      </c>
      <c r="AJ263" s="22">
        <v>253</v>
      </c>
      <c r="AK263" s="22">
        <v>1.17279</v>
      </c>
      <c r="AL263">
        <f t="shared" si="42"/>
        <v>14.8102</v>
      </c>
      <c r="AM263">
        <f t="shared" si="43"/>
        <v>17.387322902000001</v>
      </c>
      <c r="AP263" s="9"/>
      <c r="AQ263" s="22">
        <v>0.52597000000000005</v>
      </c>
      <c r="AR263" s="22">
        <v>229.40600000000001</v>
      </c>
      <c r="AS263" s="22">
        <v>-1.5444899999999999E-2</v>
      </c>
      <c r="AT263" s="22">
        <v>253</v>
      </c>
      <c r="AU263" s="22">
        <v>0.52526899999999999</v>
      </c>
      <c r="AV263">
        <f t="shared" si="44"/>
        <v>15.444899999999999</v>
      </c>
      <c r="AW263">
        <f t="shared" si="45"/>
        <v>8.1235540529999994</v>
      </c>
      <c r="AX263" s="9"/>
      <c r="AY263" s="22">
        <v>1.17401</v>
      </c>
      <c r="AZ263" s="22">
        <v>263.74700000000001</v>
      </c>
      <c r="BA263" s="22">
        <v>-1.4627100000000001E-2</v>
      </c>
      <c r="BB263" s="22">
        <v>253</v>
      </c>
      <c r="BC263" s="22">
        <v>1.17279</v>
      </c>
      <c r="BD263">
        <f t="shared" si="46"/>
        <v>14.6271</v>
      </c>
      <c r="BE263">
        <f t="shared" si="47"/>
        <v>17.172361671000001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51.613199999999999</v>
      </c>
      <c r="I264" s="22">
        <v>-1.5741000000000002E-2</v>
      </c>
      <c r="J264" s="22">
        <v>254</v>
      </c>
      <c r="K264" s="22">
        <v>0.52032500000000004</v>
      </c>
      <c r="L264">
        <f t="shared" si="36"/>
        <v>15.741000000000001</v>
      </c>
      <c r="M264">
        <f t="shared" si="37"/>
        <v>8.2000378350000016</v>
      </c>
      <c r="N264" s="9"/>
      <c r="O264" s="22">
        <v>1.1790499999999999</v>
      </c>
      <c r="P264" s="22">
        <v>101.04</v>
      </c>
      <c r="Q264" s="22">
        <v>-1.49506E-2</v>
      </c>
      <c r="R264" s="22">
        <v>254</v>
      </c>
      <c r="S264" s="22">
        <v>1.17798</v>
      </c>
      <c r="T264">
        <f t="shared" si="38"/>
        <v>14.9506</v>
      </c>
      <c r="U264">
        <f t="shared" si="39"/>
        <v>17.627504929999997</v>
      </c>
      <c r="X264" s="9"/>
      <c r="Y264" s="22">
        <v>0.52093500000000004</v>
      </c>
      <c r="Z264" s="22">
        <v>130.49700000000001</v>
      </c>
      <c r="AA264" s="22">
        <v>-1.5643299999999999E-2</v>
      </c>
      <c r="AB264" s="22">
        <v>254</v>
      </c>
      <c r="AC264" s="22">
        <v>0.52023299999999995</v>
      </c>
      <c r="AD264">
        <f t="shared" si="40"/>
        <v>15.643299999999998</v>
      </c>
      <c r="AE264">
        <f t="shared" si="41"/>
        <v>8.1491424854999988</v>
      </c>
      <c r="AF264" s="9"/>
      <c r="AG264" s="22">
        <v>1.1790499999999999</v>
      </c>
      <c r="AH264" s="22">
        <v>179.97</v>
      </c>
      <c r="AI264" s="22">
        <v>-1.47949E-2</v>
      </c>
      <c r="AJ264" s="22">
        <v>254</v>
      </c>
      <c r="AK264" s="22">
        <v>1.17767</v>
      </c>
      <c r="AL264">
        <f t="shared" si="42"/>
        <v>14.7949</v>
      </c>
      <c r="AM264">
        <f t="shared" si="43"/>
        <v>17.443926845</v>
      </c>
      <c r="AP264" s="9"/>
      <c r="AQ264" s="22">
        <v>0.52093500000000004</v>
      </c>
      <c r="AR264" s="22">
        <v>229.416</v>
      </c>
      <c r="AS264" s="22">
        <v>-1.5450999999999999E-2</v>
      </c>
      <c r="AT264" s="22">
        <v>254</v>
      </c>
      <c r="AU264" s="22">
        <v>0.52032500000000004</v>
      </c>
      <c r="AV264">
        <f t="shared" si="44"/>
        <v>15.450999999999999</v>
      </c>
      <c r="AW264">
        <f t="shared" si="45"/>
        <v>8.0489666849999999</v>
      </c>
      <c r="AX264" s="9"/>
      <c r="AY264" s="22">
        <v>1.1790499999999999</v>
      </c>
      <c r="AZ264" s="22">
        <v>263.75700000000001</v>
      </c>
      <c r="BA264" s="22">
        <v>-1.4605699999999999E-2</v>
      </c>
      <c r="BB264" s="22">
        <v>254</v>
      </c>
      <c r="BC264" s="22">
        <v>1.17828</v>
      </c>
      <c r="BD264">
        <f t="shared" si="46"/>
        <v>14.605699999999999</v>
      </c>
      <c r="BE264">
        <f t="shared" si="47"/>
        <v>17.220850584999997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51.623199999999997</v>
      </c>
      <c r="I265" s="22">
        <v>-1.5744000000000001E-2</v>
      </c>
      <c r="J265" s="22">
        <v>255</v>
      </c>
      <c r="K265" s="22">
        <v>0.51519800000000004</v>
      </c>
      <c r="L265">
        <f t="shared" si="36"/>
        <v>15.744000000000002</v>
      </c>
      <c r="M265">
        <f t="shared" si="37"/>
        <v>8.1223296000000005</v>
      </c>
      <c r="N265" s="9"/>
      <c r="O265" s="22">
        <v>1.18408</v>
      </c>
      <c r="P265" s="22">
        <v>101.05</v>
      </c>
      <c r="Q265" s="22">
        <v>-1.4941400000000001E-2</v>
      </c>
      <c r="R265" s="22">
        <v>255</v>
      </c>
      <c r="S265" s="22">
        <v>1.1831700000000001</v>
      </c>
      <c r="T265">
        <f t="shared" si="38"/>
        <v>14.9414</v>
      </c>
      <c r="U265">
        <f t="shared" si="39"/>
        <v>17.691812912</v>
      </c>
      <c r="X265" s="9"/>
      <c r="Y265" s="22">
        <v>0.51590000000000003</v>
      </c>
      <c r="Z265" s="22">
        <v>130.50700000000001</v>
      </c>
      <c r="AA265" s="22">
        <v>-1.5643299999999999E-2</v>
      </c>
      <c r="AB265" s="22">
        <v>255</v>
      </c>
      <c r="AC265" s="22">
        <v>0.51519800000000004</v>
      </c>
      <c r="AD265">
        <f t="shared" si="40"/>
        <v>15.643299999999998</v>
      </c>
      <c r="AE265">
        <f t="shared" si="41"/>
        <v>8.0703784699999996</v>
      </c>
      <c r="AF265" s="9"/>
      <c r="AG265" s="22">
        <v>1.18408</v>
      </c>
      <c r="AH265" s="22">
        <v>179.98</v>
      </c>
      <c r="AI265" s="22">
        <v>-1.4776600000000001E-2</v>
      </c>
      <c r="AJ265" s="22">
        <v>255</v>
      </c>
      <c r="AK265" s="22">
        <v>1.18347</v>
      </c>
      <c r="AL265">
        <f t="shared" si="42"/>
        <v>14.7766</v>
      </c>
      <c r="AM265">
        <f t="shared" si="43"/>
        <v>17.496676528000002</v>
      </c>
      <c r="AP265" s="9"/>
      <c r="AQ265" s="22">
        <v>0.51590000000000003</v>
      </c>
      <c r="AR265" s="22">
        <v>229.42699999999999</v>
      </c>
      <c r="AS265" s="22">
        <v>-1.54541E-2</v>
      </c>
      <c r="AT265" s="22">
        <v>255</v>
      </c>
      <c r="AU265" s="22">
        <v>0.51519800000000004</v>
      </c>
      <c r="AV265">
        <f t="shared" si="44"/>
        <v>15.4541</v>
      </c>
      <c r="AW265">
        <f t="shared" si="45"/>
        <v>7.9727701900000003</v>
      </c>
      <c r="AX265" s="9"/>
      <c r="AY265" s="22">
        <v>1.18408</v>
      </c>
      <c r="AZ265" s="22">
        <v>263.767</v>
      </c>
      <c r="BA265" s="22">
        <v>-1.45874E-2</v>
      </c>
      <c r="BB265" s="22">
        <v>255</v>
      </c>
      <c r="BC265" s="22">
        <v>1.18286</v>
      </c>
      <c r="BD265">
        <f t="shared" si="46"/>
        <v>14.587400000000001</v>
      </c>
      <c r="BE265">
        <f t="shared" si="47"/>
        <v>17.272648591999999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51.633299999999998</v>
      </c>
      <c r="I266" s="22">
        <v>-1.57501E-2</v>
      </c>
      <c r="J266" s="22">
        <v>256</v>
      </c>
      <c r="K266" s="22">
        <v>0.510162</v>
      </c>
      <c r="L266">
        <f t="shared" si="36"/>
        <v>15.7501</v>
      </c>
      <c r="M266">
        <f t="shared" si="37"/>
        <v>8.0461590863999994</v>
      </c>
      <c r="N266" s="9"/>
      <c r="O266" s="22">
        <v>1.18912</v>
      </c>
      <c r="P266" s="22">
        <v>101.06</v>
      </c>
      <c r="Q266" s="22">
        <v>-1.4926099999999999E-2</v>
      </c>
      <c r="R266" s="22">
        <v>256</v>
      </c>
      <c r="S266" s="22">
        <v>1.1880500000000001</v>
      </c>
      <c r="T266">
        <f t="shared" si="38"/>
        <v>14.9261</v>
      </c>
      <c r="U266">
        <f t="shared" si="39"/>
        <v>17.748924031999998</v>
      </c>
      <c r="X266" s="9"/>
      <c r="Y266" s="22">
        <v>0.51086399999999998</v>
      </c>
      <c r="Z266" s="22">
        <v>130.517</v>
      </c>
      <c r="AA266" s="22">
        <v>-1.5649400000000001E-2</v>
      </c>
      <c r="AB266" s="22">
        <v>256</v>
      </c>
      <c r="AC266" s="22">
        <v>0.51013200000000003</v>
      </c>
      <c r="AD266">
        <f t="shared" si="40"/>
        <v>15.6494</v>
      </c>
      <c r="AE266">
        <f t="shared" si="41"/>
        <v>7.9947150815999999</v>
      </c>
      <c r="AF266" s="9"/>
      <c r="AG266" s="22">
        <v>1.18912</v>
      </c>
      <c r="AH266" s="22">
        <v>179.99</v>
      </c>
      <c r="AI266" s="22">
        <v>-1.47552E-2</v>
      </c>
      <c r="AJ266" s="22">
        <v>256</v>
      </c>
      <c r="AK266" s="22">
        <v>1.18835</v>
      </c>
      <c r="AL266">
        <f t="shared" si="42"/>
        <v>14.7552</v>
      </c>
      <c r="AM266">
        <f t="shared" si="43"/>
        <v>17.545703423999999</v>
      </c>
      <c r="AP266" s="9"/>
      <c r="AQ266" s="22">
        <v>0.51086399999999998</v>
      </c>
      <c r="AR266" s="22">
        <v>229.43700000000001</v>
      </c>
      <c r="AS266" s="22">
        <v>-1.54602E-2</v>
      </c>
      <c r="AT266" s="22">
        <v>256</v>
      </c>
      <c r="AU266" s="22">
        <v>0.51022299999999998</v>
      </c>
      <c r="AV266">
        <f t="shared" si="44"/>
        <v>15.4602</v>
      </c>
      <c r="AW266">
        <f t="shared" si="45"/>
        <v>7.8980596128</v>
      </c>
      <c r="AX266" s="9"/>
      <c r="AY266" s="22">
        <v>1.18912</v>
      </c>
      <c r="AZ266" s="22">
        <v>263.77699999999999</v>
      </c>
      <c r="BA266" s="22">
        <v>-1.45691E-2</v>
      </c>
      <c r="BB266" s="22">
        <v>256</v>
      </c>
      <c r="BC266" s="22">
        <v>1.18835</v>
      </c>
      <c r="BD266">
        <f t="shared" si="46"/>
        <v>14.569100000000001</v>
      </c>
      <c r="BE266">
        <f t="shared" si="47"/>
        <v>17.324408192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51.6434</v>
      </c>
      <c r="I267" s="22">
        <v>-1.57593E-2</v>
      </c>
      <c r="J267" s="22">
        <v>257</v>
      </c>
      <c r="K267" s="22">
        <v>0.50512699999999999</v>
      </c>
      <c r="L267">
        <f t="shared" si="36"/>
        <v>15.7593</v>
      </c>
      <c r="M267">
        <f t="shared" si="37"/>
        <v>7.9715109596999998</v>
      </c>
      <c r="N267" s="9"/>
      <c r="O267" s="22">
        <v>1.19415</v>
      </c>
      <c r="P267" s="22">
        <v>101.07</v>
      </c>
      <c r="Q267" s="22">
        <v>-1.4926099999999999E-2</v>
      </c>
      <c r="R267" s="22">
        <v>257</v>
      </c>
      <c r="S267" s="22">
        <v>1.19293</v>
      </c>
      <c r="T267">
        <f t="shared" si="38"/>
        <v>14.9261</v>
      </c>
      <c r="U267">
        <f t="shared" si="39"/>
        <v>17.824002315000001</v>
      </c>
      <c r="X267" s="9"/>
      <c r="Y267" s="22">
        <v>0.50582899999999997</v>
      </c>
      <c r="Z267" s="22">
        <v>130.52699999999999</v>
      </c>
      <c r="AA267" s="22">
        <v>-1.56525E-2</v>
      </c>
      <c r="AB267" s="22">
        <v>257</v>
      </c>
      <c r="AC267" s="22">
        <v>0.50512699999999999</v>
      </c>
      <c r="AD267">
        <f t="shared" si="40"/>
        <v>15.6525</v>
      </c>
      <c r="AE267">
        <f t="shared" si="41"/>
        <v>7.9174884224999991</v>
      </c>
      <c r="AF267" s="9"/>
      <c r="AG267" s="22">
        <v>1.19415</v>
      </c>
      <c r="AH267" s="22">
        <v>180</v>
      </c>
      <c r="AI267" s="22">
        <v>-1.47461E-2</v>
      </c>
      <c r="AJ267" s="22">
        <v>257</v>
      </c>
      <c r="AK267" s="22">
        <v>1.1932400000000001</v>
      </c>
      <c r="AL267">
        <f t="shared" si="42"/>
        <v>14.7461</v>
      </c>
      <c r="AM267">
        <f t="shared" si="43"/>
        <v>17.609055315000003</v>
      </c>
      <c r="AP267" s="9"/>
      <c r="AQ267" s="22">
        <v>0.50582899999999997</v>
      </c>
      <c r="AR267" s="22">
        <v>229.447</v>
      </c>
      <c r="AS267" s="22">
        <v>-1.5466300000000001E-2</v>
      </c>
      <c r="AT267" s="22">
        <v>257</v>
      </c>
      <c r="AU267" s="22">
        <v>0.50512699999999999</v>
      </c>
      <c r="AV267">
        <f t="shared" si="44"/>
        <v>15.4663</v>
      </c>
      <c r="AW267">
        <f t="shared" si="45"/>
        <v>7.8233030627</v>
      </c>
      <c r="AX267" s="9"/>
      <c r="AY267" s="22">
        <v>1.19415</v>
      </c>
      <c r="AZ267" s="22">
        <v>263.78699999999998</v>
      </c>
      <c r="BA267" s="22">
        <v>-1.45477E-2</v>
      </c>
      <c r="BB267" s="22">
        <v>257</v>
      </c>
      <c r="BC267" s="22">
        <v>1.1932400000000001</v>
      </c>
      <c r="BD267">
        <f t="shared" si="46"/>
        <v>14.547700000000001</v>
      </c>
      <c r="BE267">
        <f t="shared" si="47"/>
        <v>17.372135955000001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51.653500000000001</v>
      </c>
      <c r="I268" s="22">
        <v>-1.5768399999999998E-2</v>
      </c>
      <c r="J268" s="22">
        <v>258</v>
      </c>
      <c r="K268" s="22">
        <v>0.50012199999999996</v>
      </c>
      <c r="L268">
        <f t="shared" ref="L268:L331" si="48">-I268/$F$2*1000</f>
        <v>15.768399999999998</v>
      </c>
      <c r="M268">
        <f t="shared" ref="M268:M331" si="49">L268*G268</f>
        <v>7.8967043411999995</v>
      </c>
      <c r="N268" s="9"/>
      <c r="O268" s="22">
        <v>1.19919</v>
      </c>
      <c r="P268" s="22">
        <v>101.08</v>
      </c>
      <c r="Q268" s="22">
        <v>-1.4913900000000001E-2</v>
      </c>
      <c r="R268" s="22">
        <v>258</v>
      </c>
      <c r="S268" s="22">
        <v>1.1984300000000001</v>
      </c>
      <c r="T268">
        <f t="shared" ref="T268:T331" si="50">-Q268/$F$2*1000</f>
        <v>14.9139</v>
      </c>
      <c r="U268">
        <f t="shared" ref="U268:U331" si="51">T268*O268</f>
        <v>17.884599740999999</v>
      </c>
      <c r="X268" s="9"/>
      <c r="Y268" s="22">
        <v>0.50079300000000004</v>
      </c>
      <c r="Z268" s="22">
        <v>130.53700000000001</v>
      </c>
      <c r="AA268" s="22">
        <v>-1.5658600000000002E-2</v>
      </c>
      <c r="AB268" s="22">
        <v>258</v>
      </c>
      <c r="AC268" s="22">
        <v>0.500031</v>
      </c>
      <c r="AD268">
        <f t="shared" ref="AD268:AD331" si="52">-AA268/$F$2*1000</f>
        <v>15.658600000000002</v>
      </c>
      <c r="AE268">
        <f t="shared" ref="AE268:AE331" si="53">AD268*Y268</f>
        <v>7.8417172698000011</v>
      </c>
      <c r="AF268" s="9"/>
      <c r="AG268" s="22">
        <v>1.19919</v>
      </c>
      <c r="AH268" s="22">
        <v>180.01</v>
      </c>
      <c r="AI268" s="22">
        <v>-1.47308E-2</v>
      </c>
      <c r="AJ268" s="22">
        <v>258</v>
      </c>
      <c r="AK268" s="22">
        <v>1.19781</v>
      </c>
      <c r="AL268">
        <f t="shared" ref="AL268:AL331" si="54">-AI268/$F$2*1000</f>
        <v>14.7308</v>
      </c>
      <c r="AM268">
        <f t="shared" ref="AM268:AM331" si="55">AL268*AG268</f>
        <v>17.665028052</v>
      </c>
      <c r="AP268" s="9"/>
      <c r="AQ268" s="22">
        <v>0.50079300000000004</v>
      </c>
      <c r="AR268" s="22">
        <v>229.45699999999999</v>
      </c>
      <c r="AS268" s="22">
        <v>-1.54755E-2</v>
      </c>
      <c r="AT268" s="22">
        <v>258</v>
      </c>
      <c r="AU268" s="22">
        <v>0.50006099999999998</v>
      </c>
      <c r="AV268">
        <f t="shared" ref="AV268:AV331" si="56">-AS268/$F$2*1000</f>
        <v>15.4755</v>
      </c>
      <c r="AW268">
        <f t="shared" ref="AW268:AW331" si="57">AV268*AQ268</f>
        <v>7.750022071500001</v>
      </c>
      <c r="AX268" s="9"/>
      <c r="AY268" s="22">
        <v>1.19919</v>
      </c>
      <c r="AZ268" s="22">
        <v>263.79700000000003</v>
      </c>
      <c r="BA268" s="22">
        <v>-1.45355E-2</v>
      </c>
      <c r="BB268" s="22">
        <v>258</v>
      </c>
      <c r="BC268" s="22">
        <v>1.1984300000000001</v>
      </c>
      <c r="BD268">
        <f t="shared" ref="BD268:BD331" si="58">-BA268/$F$2*1000</f>
        <v>14.535499999999999</v>
      </c>
      <c r="BE268">
        <f t="shared" ref="BE268:BE331" si="59">BD268*AY268</f>
        <v>17.430826244999999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51.663499999999999</v>
      </c>
      <c r="I269" s="22">
        <v>-1.5768399999999998E-2</v>
      </c>
      <c r="J269" s="22">
        <v>259</v>
      </c>
      <c r="K269" s="22">
        <v>0.495056</v>
      </c>
      <c r="L269">
        <f t="shared" si="48"/>
        <v>15.768399999999998</v>
      </c>
      <c r="M269">
        <f t="shared" si="49"/>
        <v>7.8173104471999988</v>
      </c>
      <c r="N269" s="9"/>
      <c r="O269" s="22">
        <v>1.2042200000000001</v>
      </c>
      <c r="P269" s="22">
        <v>101.09</v>
      </c>
      <c r="Q269" s="22">
        <v>-1.48956E-2</v>
      </c>
      <c r="R269" s="22">
        <v>259</v>
      </c>
      <c r="S269" s="22">
        <v>1.2033100000000001</v>
      </c>
      <c r="T269">
        <f t="shared" si="50"/>
        <v>14.8956</v>
      </c>
      <c r="U269">
        <f t="shared" si="51"/>
        <v>17.937579432</v>
      </c>
      <c r="X269" s="9"/>
      <c r="Y269" s="22">
        <v>0.49575799999999998</v>
      </c>
      <c r="Z269" s="22">
        <v>130.547</v>
      </c>
      <c r="AA269" s="22">
        <v>-1.5661600000000001E-2</v>
      </c>
      <c r="AB269" s="22">
        <v>259</v>
      </c>
      <c r="AC269" s="22">
        <v>0.49502600000000002</v>
      </c>
      <c r="AD269">
        <f t="shared" si="52"/>
        <v>15.661600000000002</v>
      </c>
      <c r="AE269">
        <f t="shared" si="53"/>
        <v>7.7643634928000003</v>
      </c>
      <c r="AF269" s="9"/>
      <c r="AG269" s="22">
        <v>1.2042200000000001</v>
      </c>
      <c r="AH269" s="22">
        <v>180.02</v>
      </c>
      <c r="AI269" s="22">
        <v>-1.47125E-2</v>
      </c>
      <c r="AJ269" s="22">
        <v>259</v>
      </c>
      <c r="AK269" s="22">
        <v>1.2033100000000001</v>
      </c>
      <c r="AL269">
        <f t="shared" si="54"/>
        <v>14.7125</v>
      </c>
      <c r="AM269">
        <f t="shared" si="55"/>
        <v>17.71708675</v>
      </c>
      <c r="AP269" s="9"/>
      <c r="AQ269" s="22">
        <v>0.49575799999999998</v>
      </c>
      <c r="AR269" s="22">
        <v>229.46700000000001</v>
      </c>
      <c r="AS269" s="22">
        <v>-1.5472400000000001E-2</v>
      </c>
      <c r="AT269" s="22">
        <v>259</v>
      </c>
      <c r="AU269" s="22">
        <v>0.49511699999999997</v>
      </c>
      <c r="AV269">
        <f t="shared" si="56"/>
        <v>15.4724</v>
      </c>
      <c r="AW269">
        <f t="shared" si="57"/>
        <v>7.6705660791999994</v>
      </c>
      <c r="AX269" s="9"/>
      <c r="AY269" s="22">
        <v>1.2042200000000001</v>
      </c>
      <c r="AZ269" s="22">
        <v>263.80700000000002</v>
      </c>
      <c r="BA269" s="22">
        <v>-1.45264E-2</v>
      </c>
      <c r="BB269" s="22">
        <v>259</v>
      </c>
      <c r="BC269" s="22">
        <v>1.2030000000000001</v>
      </c>
      <c r="BD269">
        <f t="shared" si="58"/>
        <v>14.526400000000001</v>
      </c>
      <c r="BE269">
        <f t="shared" si="59"/>
        <v>17.492981408000002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51.6736</v>
      </c>
      <c r="I270" s="22">
        <v>-1.5768399999999998E-2</v>
      </c>
      <c r="J270" s="22">
        <v>260</v>
      </c>
      <c r="K270" s="22">
        <v>0.49002099999999998</v>
      </c>
      <c r="L270">
        <f t="shared" si="48"/>
        <v>15.768399999999998</v>
      </c>
      <c r="M270">
        <f t="shared" si="49"/>
        <v>7.7379165531999989</v>
      </c>
      <c r="N270" s="9"/>
      <c r="O270" s="22">
        <v>1.20926</v>
      </c>
      <c r="P270" s="22">
        <v>101.1</v>
      </c>
      <c r="Q270" s="22">
        <v>-1.48743E-2</v>
      </c>
      <c r="R270" s="22">
        <v>260</v>
      </c>
      <c r="S270" s="22">
        <v>1.2081900000000001</v>
      </c>
      <c r="T270">
        <f t="shared" si="50"/>
        <v>14.8743</v>
      </c>
      <c r="U270">
        <f t="shared" si="51"/>
        <v>17.986896017999999</v>
      </c>
      <c r="X270" s="9"/>
      <c r="Y270" s="22">
        <v>0.49072300000000002</v>
      </c>
      <c r="Z270" s="22">
        <v>130.55699999999999</v>
      </c>
      <c r="AA270" s="22">
        <v>-1.56647E-2</v>
      </c>
      <c r="AB270" s="22">
        <v>260</v>
      </c>
      <c r="AC270" s="22">
        <v>0.49008200000000002</v>
      </c>
      <c r="AD270">
        <f t="shared" si="52"/>
        <v>15.6647</v>
      </c>
      <c r="AE270">
        <f t="shared" si="53"/>
        <v>7.6870285781000005</v>
      </c>
      <c r="AF270" s="9"/>
      <c r="AG270" s="22">
        <v>1.20926</v>
      </c>
      <c r="AH270" s="22">
        <v>180.03100000000001</v>
      </c>
      <c r="AI270" s="22">
        <v>-1.4694199999999999E-2</v>
      </c>
      <c r="AJ270" s="22">
        <v>260</v>
      </c>
      <c r="AK270" s="22">
        <v>1.2088000000000001</v>
      </c>
      <c r="AL270">
        <f t="shared" si="54"/>
        <v>14.694199999999999</v>
      </c>
      <c r="AM270">
        <f t="shared" si="55"/>
        <v>17.769108291999999</v>
      </c>
      <c r="AP270" s="9"/>
      <c r="AQ270" s="22">
        <v>0.49072300000000002</v>
      </c>
      <c r="AR270" s="22">
        <v>229.477</v>
      </c>
      <c r="AS270" s="22">
        <v>-1.54755E-2</v>
      </c>
      <c r="AT270" s="22">
        <v>260</v>
      </c>
      <c r="AU270" s="22">
        <v>0.49008200000000002</v>
      </c>
      <c r="AV270">
        <f t="shared" si="56"/>
        <v>15.4755</v>
      </c>
      <c r="AW270">
        <f t="shared" si="57"/>
        <v>7.5941837865000004</v>
      </c>
      <c r="AX270" s="9"/>
      <c r="AY270" s="22">
        <v>1.20926</v>
      </c>
      <c r="AZ270" s="22">
        <v>263.81700000000001</v>
      </c>
      <c r="BA270" s="22">
        <v>-1.4511100000000001E-2</v>
      </c>
      <c r="BB270" s="22">
        <v>260</v>
      </c>
      <c r="BC270" s="22">
        <v>1.2084999999999999</v>
      </c>
      <c r="BD270">
        <f t="shared" si="58"/>
        <v>14.511100000000001</v>
      </c>
      <c r="BE270">
        <f t="shared" si="59"/>
        <v>17.547692786000002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51.683700000000002</v>
      </c>
      <c r="I271" s="22">
        <v>-1.5765399999999999E-2</v>
      </c>
      <c r="J271" s="22">
        <v>261</v>
      </c>
      <c r="K271" s="22">
        <v>0.485016</v>
      </c>
      <c r="L271">
        <f t="shared" si="48"/>
        <v>15.7654</v>
      </c>
      <c r="M271">
        <f t="shared" si="49"/>
        <v>7.6570498297999992</v>
      </c>
      <c r="N271" s="9"/>
      <c r="O271" s="22">
        <v>1.2142900000000001</v>
      </c>
      <c r="P271" s="22">
        <v>101.11</v>
      </c>
      <c r="Q271" s="22">
        <v>-1.4843800000000001E-2</v>
      </c>
      <c r="R271" s="22">
        <v>261</v>
      </c>
      <c r="S271" s="22">
        <v>1.2130700000000001</v>
      </c>
      <c r="T271">
        <f t="shared" si="50"/>
        <v>14.8438</v>
      </c>
      <c r="U271">
        <f t="shared" si="51"/>
        <v>18.024677902000001</v>
      </c>
      <c r="X271" s="9"/>
      <c r="Y271" s="22">
        <v>0.48568699999999998</v>
      </c>
      <c r="Z271" s="22">
        <v>130.56700000000001</v>
      </c>
      <c r="AA271" s="22">
        <v>-1.5661600000000001E-2</v>
      </c>
      <c r="AB271" s="22">
        <v>261</v>
      </c>
      <c r="AC271" s="22">
        <v>0.485016</v>
      </c>
      <c r="AD271">
        <f t="shared" si="52"/>
        <v>15.661600000000002</v>
      </c>
      <c r="AE271">
        <f t="shared" si="53"/>
        <v>7.6066355192000001</v>
      </c>
      <c r="AF271" s="9"/>
      <c r="AG271" s="22">
        <v>1.2142900000000001</v>
      </c>
      <c r="AH271" s="22">
        <v>180.041</v>
      </c>
      <c r="AI271" s="22">
        <v>-1.46851E-2</v>
      </c>
      <c r="AJ271" s="22">
        <v>261</v>
      </c>
      <c r="AK271" s="22">
        <v>1.2130700000000001</v>
      </c>
      <c r="AL271">
        <f t="shared" si="54"/>
        <v>14.6851</v>
      </c>
      <c r="AM271">
        <f t="shared" si="55"/>
        <v>17.831970079000001</v>
      </c>
      <c r="AP271" s="9"/>
      <c r="AQ271" s="22">
        <v>0.48568699999999998</v>
      </c>
      <c r="AR271" s="22">
        <v>229.48699999999999</v>
      </c>
      <c r="AS271" s="22">
        <v>-1.5478499999999999E-2</v>
      </c>
      <c r="AT271" s="22">
        <v>261</v>
      </c>
      <c r="AU271" s="22">
        <v>0.484985</v>
      </c>
      <c r="AV271">
        <f t="shared" si="56"/>
        <v>15.478499999999999</v>
      </c>
      <c r="AW271">
        <f t="shared" si="57"/>
        <v>7.517706229499999</v>
      </c>
      <c r="AX271" s="9"/>
      <c r="AY271" s="22">
        <v>1.2142900000000001</v>
      </c>
      <c r="AZ271" s="22">
        <v>263.827</v>
      </c>
      <c r="BA271" s="22">
        <v>-1.44989E-2</v>
      </c>
      <c r="BB271" s="22">
        <v>261</v>
      </c>
      <c r="BC271" s="22">
        <v>1.2136800000000001</v>
      </c>
      <c r="BD271">
        <f t="shared" si="58"/>
        <v>14.498900000000001</v>
      </c>
      <c r="BE271">
        <f t="shared" si="59"/>
        <v>17.605869281000004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51.6937</v>
      </c>
      <c r="I272" s="22">
        <v>-1.5765399999999999E-2</v>
      </c>
      <c r="J272" s="22">
        <v>262</v>
      </c>
      <c r="K272" s="22">
        <v>0.47988900000000001</v>
      </c>
      <c r="L272">
        <f t="shared" si="48"/>
        <v>15.7654</v>
      </c>
      <c r="M272">
        <f t="shared" si="49"/>
        <v>7.5776710408000003</v>
      </c>
      <c r="N272" s="9"/>
      <c r="O272" s="22">
        <v>1.21933</v>
      </c>
      <c r="P272" s="22">
        <v>101.12</v>
      </c>
      <c r="Q272" s="22">
        <v>-1.4822399999999999E-2</v>
      </c>
      <c r="R272" s="22">
        <v>262</v>
      </c>
      <c r="S272" s="22">
        <v>1.2188699999999999</v>
      </c>
      <c r="T272">
        <f t="shared" si="50"/>
        <v>14.8224</v>
      </c>
      <c r="U272">
        <f t="shared" si="51"/>
        <v>18.073396991999999</v>
      </c>
      <c r="X272" s="9"/>
      <c r="Y272" s="22">
        <v>0.48065200000000002</v>
      </c>
      <c r="Z272" s="22">
        <v>130.577</v>
      </c>
      <c r="AA272" s="22">
        <v>-1.5655499999999999E-2</v>
      </c>
      <c r="AB272" s="22">
        <v>262</v>
      </c>
      <c r="AC272" s="22">
        <v>0.48001100000000002</v>
      </c>
      <c r="AD272">
        <f t="shared" si="52"/>
        <v>15.6555</v>
      </c>
      <c r="AE272">
        <f t="shared" si="53"/>
        <v>7.5248473860000002</v>
      </c>
      <c r="AF272" s="9"/>
      <c r="AG272" s="22">
        <v>1.21933</v>
      </c>
      <c r="AH272" s="22">
        <v>180.05099999999999</v>
      </c>
      <c r="AI272" s="22">
        <v>-1.46851E-2</v>
      </c>
      <c r="AJ272" s="22">
        <v>262</v>
      </c>
      <c r="AK272" s="22">
        <v>1.2182599999999999</v>
      </c>
      <c r="AL272">
        <f t="shared" si="54"/>
        <v>14.6851</v>
      </c>
      <c r="AM272">
        <f t="shared" si="55"/>
        <v>17.905982983000001</v>
      </c>
      <c r="AP272" s="9"/>
      <c r="AQ272" s="22">
        <v>0.48065200000000002</v>
      </c>
      <c r="AR272" s="22">
        <v>229.49700000000001</v>
      </c>
      <c r="AS272" s="22">
        <v>-1.5484599999999999E-2</v>
      </c>
      <c r="AT272" s="22">
        <v>262</v>
      </c>
      <c r="AU272" s="22">
        <v>0.47994999999999999</v>
      </c>
      <c r="AV272">
        <f t="shared" si="56"/>
        <v>15.484599999999999</v>
      </c>
      <c r="AW272">
        <f t="shared" si="57"/>
        <v>7.4427039591999993</v>
      </c>
      <c r="AX272" s="9"/>
      <c r="AY272" s="22">
        <v>1.21933</v>
      </c>
      <c r="AZ272" s="22">
        <v>263.83699999999999</v>
      </c>
      <c r="BA272" s="22">
        <v>-1.44867E-2</v>
      </c>
      <c r="BB272" s="22">
        <v>262</v>
      </c>
      <c r="BC272" s="22">
        <v>1.2185699999999999</v>
      </c>
      <c r="BD272">
        <f t="shared" si="58"/>
        <v>14.486700000000001</v>
      </c>
      <c r="BE272">
        <f t="shared" si="59"/>
        <v>17.664067911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51.703800000000001</v>
      </c>
      <c r="I273" s="22">
        <v>-1.5768399999999998E-2</v>
      </c>
      <c r="J273" s="22">
        <v>263</v>
      </c>
      <c r="K273" s="22">
        <v>0.47494500000000001</v>
      </c>
      <c r="L273">
        <f t="shared" si="48"/>
        <v>15.768399999999998</v>
      </c>
      <c r="M273">
        <f t="shared" si="49"/>
        <v>7.4997033343999986</v>
      </c>
      <c r="N273" s="9"/>
      <c r="O273" s="22">
        <v>1.22437</v>
      </c>
      <c r="P273" s="22">
        <v>101.13</v>
      </c>
      <c r="Q273" s="22">
        <v>-1.48071E-2</v>
      </c>
      <c r="R273" s="22">
        <v>263</v>
      </c>
      <c r="S273" s="22">
        <v>1.2240599999999999</v>
      </c>
      <c r="T273">
        <f t="shared" si="50"/>
        <v>14.8071</v>
      </c>
      <c r="U273">
        <f t="shared" si="51"/>
        <v>18.129369026999999</v>
      </c>
      <c r="X273" s="9"/>
      <c r="Y273" s="22">
        <v>0.47561599999999998</v>
      </c>
      <c r="Z273" s="22">
        <v>130.58699999999999</v>
      </c>
      <c r="AA273" s="22">
        <v>-1.5658600000000002E-2</v>
      </c>
      <c r="AB273" s="22">
        <v>263</v>
      </c>
      <c r="AC273" s="22">
        <v>0.47494500000000001</v>
      </c>
      <c r="AD273">
        <f t="shared" si="52"/>
        <v>15.658600000000002</v>
      </c>
      <c r="AE273">
        <f t="shared" si="53"/>
        <v>7.4474806976000005</v>
      </c>
      <c r="AF273" s="9"/>
      <c r="AG273" s="22">
        <v>1.22437</v>
      </c>
      <c r="AH273" s="22">
        <v>180.06100000000001</v>
      </c>
      <c r="AI273" s="22">
        <v>-1.4672899999999999E-2</v>
      </c>
      <c r="AJ273" s="22">
        <v>263</v>
      </c>
      <c r="AK273" s="22">
        <v>1.2234499999999999</v>
      </c>
      <c r="AL273">
        <f t="shared" si="54"/>
        <v>14.672899999999998</v>
      </c>
      <c r="AM273">
        <f t="shared" si="55"/>
        <v>17.965058572999997</v>
      </c>
      <c r="AP273" s="9"/>
      <c r="AQ273" s="22">
        <v>0.47561599999999998</v>
      </c>
      <c r="AR273" s="22">
        <v>229.50700000000001</v>
      </c>
      <c r="AS273" s="22">
        <v>-1.54907E-2</v>
      </c>
      <c r="AT273" s="22">
        <v>263</v>
      </c>
      <c r="AU273" s="22">
        <v>0.47488399999999997</v>
      </c>
      <c r="AV273">
        <f t="shared" si="56"/>
        <v>15.4907</v>
      </c>
      <c r="AW273">
        <f t="shared" si="57"/>
        <v>7.3676247712</v>
      </c>
      <c r="AX273" s="9"/>
      <c r="AY273" s="22">
        <v>1.22437</v>
      </c>
      <c r="AZ273" s="22">
        <v>263.84699999999998</v>
      </c>
      <c r="BA273" s="22">
        <v>-1.4471400000000001E-2</v>
      </c>
      <c r="BB273" s="22">
        <v>263</v>
      </c>
      <c r="BC273" s="22">
        <v>1.2237499999999999</v>
      </c>
      <c r="BD273">
        <f t="shared" si="58"/>
        <v>14.471400000000001</v>
      </c>
      <c r="BE273">
        <f t="shared" si="59"/>
        <v>17.718348018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51.713900000000002</v>
      </c>
      <c r="I274" s="22">
        <v>-1.5768399999999998E-2</v>
      </c>
      <c r="J274" s="22">
        <v>264</v>
      </c>
      <c r="K274" s="22">
        <v>0.46994000000000002</v>
      </c>
      <c r="L274">
        <f t="shared" si="48"/>
        <v>15.768399999999998</v>
      </c>
      <c r="M274">
        <f t="shared" si="49"/>
        <v>7.4203094403999996</v>
      </c>
      <c r="N274" s="9"/>
      <c r="O274" s="22">
        <v>1.2294</v>
      </c>
      <c r="P274" s="22">
        <v>101.14</v>
      </c>
      <c r="Q274" s="22">
        <v>-1.47919E-2</v>
      </c>
      <c r="R274" s="22">
        <v>264</v>
      </c>
      <c r="S274" s="22">
        <v>1.2283299999999999</v>
      </c>
      <c r="T274">
        <f t="shared" si="50"/>
        <v>14.7919</v>
      </c>
      <c r="U274">
        <f t="shared" si="51"/>
        <v>18.185161860000001</v>
      </c>
      <c r="X274" s="9"/>
      <c r="Y274" s="22">
        <v>0.47058100000000003</v>
      </c>
      <c r="Z274" s="22">
        <v>130.59700000000001</v>
      </c>
      <c r="AA274" s="22">
        <v>-1.56525E-2</v>
      </c>
      <c r="AB274" s="22">
        <v>264</v>
      </c>
      <c r="AC274" s="22">
        <v>0.46990999999999999</v>
      </c>
      <c r="AD274">
        <f t="shared" si="52"/>
        <v>15.6525</v>
      </c>
      <c r="AE274">
        <f t="shared" si="53"/>
        <v>7.3657691025000007</v>
      </c>
      <c r="AF274" s="9"/>
      <c r="AG274" s="22">
        <v>1.2294</v>
      </c>
      <c r="AH274" s="22">
        <v>180.071</v>
      </c>
      <c r="AI274" s="22">
        <v>-1.46515E-2</v>
      </c>
      <c r="AJ274" s="22">
        <v>264</v>
      </c>
      <c r="AK274" s="22">
        <v>1.22864</v>
      </c>
      <c r="AL274">
        <f t="shared" si="54"/>
        <v>14.6515</v>
      </c>
      <c r="AM274">
        <f t="shared" si="55"/>
        <v>18.012554100000003</v>
      </c>
      <c r="AP274" s="9"/>
      <c r="AQ274" s="22">
        <v>0.47058100000000003</v>
      </c>
      <c r="AR274" s="22">
        <v>229.517</v>
      </c>
      <c r="AS274" s="22">
        <v>-1.54938E-2</v>
      </c>
      <c r="AT274" s="22">
        <v>264</v>
      </c>
      <c r="AU274" s="22">
        <v>0.46981800000000001</v>
      </c>
      <c r="AV274">
        <f t="shared" si="56"/>
        <v>15.4938</v>
      </c>
      <c r="AW274">
        <f t="shared" si="57"/>
        <v>7.2910878978000007</v>
      </c>
      <c r="AX274" s="9"/>
      <c r="AY274" s="22">
        <v>1.2294</v>
      </c>
      <c r="AZ274" s="22">
        <v>263.85700000000003</v>
      </c>
      <c r="BA274" s="22">
        <v>-1.44501E-2</v>
      </c>
      <c r="BB274" s="22">
        <v>264</v>
      </c>
      <c r="BC274" s="22">
        <v>1.2283299999999999</v>
      </c>
      <c r="BD274">
        <f t="shared" si="58"/>
        <v>14.450100000000001</v>
      </c>
      <c r="BE274">
        <f t="shared" si="59"/>
        <v>17.764952940000001</v>
      </c>
    </row>
    <row r="275" spans="6:101">
      <c r="F275" s="9"/>
      <c r="G275" s="22">
        <v>0.46554600000000002</v>
      </c>
      <c r="H275" s="22">
        <v>51.723999999999997</v>
      </c>
      <c r="I275" s="22">
        <v>-1.5771500000000001E-2</v>
      </c>
      <c r="J275" s="22">
        <v>265</v>
      </c>
      <c r="K275" s="22">
        <v>0.46496599999999999</v>
      </c>
      <c r="L275">
        <f t="shared" si="48"/>
        <v>15.771500000000001</v>
      </c>
      <c r="M275">
        <f t="shared" si="49"/>
        <v>7.3423587390000007</v>
      </c>
      <c r="N275" s="9"/>
      <c r="O275" s="22">
        <v>1.23444</v>
      </c>
      <c r="P275" s="22">
        <v>101.15</v>
      </c>
      <c r="Q275" s="22">
        <v>-1.47736E-2</v>
      </c>
      <c r="R275" s="22">
        <v>265</v>
      </c>
      <c r="S275" s="22">
        <v>1.23322</v>
      </c>
      <c r="T275">
        <f t="shared" si="50"/>
        <v>14.7736</v>
      </c>
      <c r="U275">
        <f t="shared" si="51"/>
        <v>18.237122784</v>
      </c>
      <c r="X275" s="9"/>
      <c r="Y275" s="22">
        <v>0.46554600000000002</v>
      </c>
      <c r="Z275" s="22">
        <v>130.607</v>
      </c>
      <c r="AA275" s="22">
        <v>-1.56525E-2</v>
      </c>
      <c r="AB275" s="22">
        <v>265</v>
      </c>
      <c r="AC275" s="22">
        <v>0.46493499999999999</v>
      </c>
      <c r="AD275">
        <f t="shared" si="52"/>
        <v>15.6525</v>
      </c>
      <c r="AE275">
        <f t="shared" si="53"/>
        <v>7.2869587650000005</v>
      </c>
      <c r="AF275" s="9"/>
      <c r="AG275" s="22">
        <v>1.23444</v>
      </c>
      <c r="AH275" s="22">
        <v>180.08099999999999</v>
      </c>
      <c r="AI275" s="22">
        <v>-1.46362E-2</v>
      </c>
      <c r="AJ275" s="22">
        <v>265</v>
      </c>
      <c r="AK275" s="22">
        <v>1.23383</v>
      </c>
      <c r="AL275">
        <f t="shared" si="54"/>
        <v>14.636200000000001</v>
      </c>
      <c r="AM275">
        <f t="shared" si="55"/>
        <v>18.067510728000002</v>
      </c>
      <c r="AP275" s="9"/>
      <c r="AQ275" s="22">
        <v>0.46554600000000002</v>
      </c>
      <c r="AR275" s="22">
        <v>229.52699999999999</v>
      </c>
      <c r="AS275" s="22">
        <v>-1.54999E-2</v>
      </c>
      <c r="AT275" s="22">
        <v>265</v>
      </c>
      <c r="AU275" s="22">
        <v>0.46490500000000001</v>
      </c>
      <c r="AV275">
        <f t="shared" si="56"/>
        <v>15.4999</v>
      </c>
      <c r="AW275">
        <f t="shared" si="57"/>
        <v>7.2159164454000004</v>
      </c>
      <c r="AX275" s="9"/>
      <c r="AY275" s="22">
        <v>1.23444</v>
      </c>
      <c r="AZ275" s="22">
        <v>263.86700000000002</v>
      </c>
      <c r="BA275" s="22">
        <v>-1.44318E-2</v>
      </c>
      <c r="BB275" s="22">
        <v>265</v>
      </c>
      <c r="BC275" s="22">
        <v>1.23322</v>
      </c>
      <c r="BD275">
        <f t="shared" si="58"/>
        <v>14.431799999999999</v>
      </c>
      <c r="BE275">
        <f t="shared" si="59"/>
        <v>17.815191192</v>
      </c>
    </row>
    <row r="276" spans="6:101">
      <c r="F276" s="9"/>
      <c r="G276" s="22">
        <v>0.46050999999999997</v>
      </c>
      <c r="H276" s="22">
        <v>51.734000000000002</v>
      </c>
      <c r="I276" s="22">
        <v>-1.57745E-2</v>
      </c>
      <c r="J276" s="22">
        <v>266</v>
      </c>
      <c r="K276" s="22">
        <v>0.45993000000000001</v>
      </c>
      <c r="L276">
        <f t="shared" si="48"/>
        <v>15.7745</v>
      </c>
      <c r="M276">
        <f t="shared" si="49"/>
        <v>7.2643149949999994</v>
      </c>
      <c r="N276" s="9"/>
      <c r="O276" s="22">
        <v>1.2394700000000001</v>
      </c>
      <c r="P276" s="22">
        <v>101.16</v>
      </c>
      <c r="Q276" s="22">
        <v>-1.47583E-2</v>
      </c>
      <c r="R276" s="22">
        <v>266</v>
      </c>
      <c r="S276" s="22">
        <v>1.23871</v>
      </c>
      <c r="T276">
        <f t="shared" si="50"/>
        <v>14.7583</v>
      </c>
      <c r="U276">
        <f t="shared" si="51"/>
        <v>18.292470101000003</v>
      </c>
      <c r="X276" s="9"/>
      <c r="Y276" s="22">
        <v>0.46050999999999997</v>
      </c>
      <c r="Z276" s="22">
        <v>130.61699999999999</v>
      </c>
      <c r="AA276" s="22">
        <v>-1.5658600000000002E-2</v>
      </c>
      <c r="AB276" s="22">
        <v>266</v>
      </c>
      <c r="AC276" s="22">
        <v>0.45986900000000003</v>
      </c>
      <c r="AD276">
        <f t="shared" si="52"/>
        <v>15.658600000000002</v>
      </c>
      <c r="AE276">
        <f t="shared" si="53"/>
        <v>7.2109418860000005</v>
      </c>
      <c r="AF276" s="9"/>
      <c r="AG276" s="22">
        <v>1.2394700000000001</v>
      </c>
      <c r="AH276" s="22">
        <v>180.09100000000001</v>
      </c>
      <c r="AI276" s="22">
        <v>-1.46149E-2</v>
      </c>
      <c r="AJ276" s="22">
        <v>266</v>
      </c>
      <c r="AK276" s="22">
        <v>1.23871</v>
      </c>
      <c r="AL276">
        <f t="shared" si="54"/>
        <v>14.6149</v>
      </c>
      <c r="AM276">
        <f t="shared" si="55"/>
        <v>18.114730103000003</v>
      </c>
      <c r="AP276" s="9"/>
      <c r="AQ276" s="22">
        <v>0.46050999999999997</v>
      </c>
      <c r="AR276" s="22">
        <v>229.53700000000001</v>
      </c>
      <c r="AS276" s="22">
        <v>-1.54968E-2</v>
      </c>
      <c r="AT276" s="22">
        <v>266</v>
      </c>
      <c r="AU276" s="22">
        <v>0.459839</v>
      </c>
      <c r="AV276">
        <f t="shared" si="56"/>
        <v>15.4968</v>
      </c>
      <c r="AW276">
        <f t="shared" si="57"/>
        <v>7.1364313679999993</v>
      </c>
      <c r="AX276" s="9"/>
      <c r="AY276" s="22">
        <v>1.2394700000000001</v>
      </c>
      <c r="AZ276" s="22">
        <v>263.87799999999999</v>
      </c>
      <c r="BA276" s="22">
        <v>-1.44165E-2</v>
      </c>
      <c r="BB276" s="22">
        <v>266</v>
      </c>
      <c r="BC276" s="22">
        <v>1.2390099999999999</v>
      </c>
      <c r="BD276">
        <f t="shared" si="58"/>
        <v>14.416500000000001</v>
      </c>
      <c r="BE276">
        <f t="shared" si="59"/>
        <v>17.868819255000002</v>
      </c>
    </row>
    <row r="277" spans="6:101">
      <c r="F277" s="9"/>
      <c r="G277" s="22">
        <v>0.45547500000000002</v>
      </c>
      <c r="H277" s="22">
        <v>51.744100000000003</v>
      </c>
      <c r="I277" s="22">
        <v>-1.5777599999999999E-2</v>
      </c>
      <c r="J277" s="22">
        <v>267</v>
      </c>
      <c r="K277" s="22">
        <v>0.454926</v>
      </c>
      <c r="L277">
        <f t="shared" si="48"/>
        <v>15.7776</v>
      </c>
      <c r="M277">
        <f t="shared" si="49"/>
        <v>7.18630236</v>
      </c>
      <c r="N277" s="9"/>
      <c r="O277" s="22">
        <v>1.24451</v>
      </c>
      <c r="P277" s="22">
        <v>101.17100000000001</v>
      </c>
      <c r="Q277" s="22">
        <v>-1.474E-2</v>
      </c>
      <c r="R277" s="22">
        <v>267</v>
      </c>
      <c r="S277" s="22">
        <v>1.24329</v>
      </c>
      <c r="T277">
        <f t="shared" si="50"/>
        <v>14.74</v>
      </c>
      <c r="U277">
        <f t="shared" si="51"/>
        <v>18.3440774</v>
      </c>
      <c r="X277" s="9"/>
      <c r="Y277" s="22">
        <v>0.45547500000000002</v>
      </c>
      <c r="Z277" s="22">
        <v>130.62799999999999</v>
      </c>
      <c r="AA277" s="22">
        <v>-1.56677E-2</v>
      </c>
      <c r="AB277" s="22">
        <v>267</v>
      </c>
      <c r="AC277" s="22">
        <v>0.45489499999999999</v>
      </c>
      <c r="AD277">
        <f t="shared" si="52"/>
        <v>15.6677</v>
      </c>
      <c r="AE277">
        <f t="shared" si="53"/>
        <v>7.1362456575</v>
      </c>
      <c r="AF277" s="9"/>
      <c r="AG277" s="22">
        <v>1.24451</v>
      </c>
      <c r="AH277" s="22">
        <v>180.101</v>
      </c>
      <c r="AI277" s="22">
        <v>-1.4590499999999999E-2</v>
      </c>
      <c r="AJ277" s="22">
        <v>267</v>
      </c>
      <c r="AK277" s="22">
        <v>1.24359</v>
      </c>
      <c r="AL277">
        <f t="shared" si="54"/>
        <v>14.590499999999999</v>
      </c>
      <c r="AM277">
        <f t="shared" si="55"/>
        <v>18.158023154999999</v>
      </c>
      <c r="AP277" s="9"/>
      <c r="AQ277" s="22">
        <v>0.45547500000000002</v>
      </c>
      <c r="AR277" s="22">
        <v>229.547</v>
      </c>
      <c r="AS277" s="22">
        <v>-1.54999E-2</v>
      </c>
      <c r="AT277" s="22">
        <v>267</v>
      </c>
      <c r="AU277" s="22">
        <v>0.45480300000000001</v>
      </c>
      <c r="AV277">
        <f t="shared" si="56"/>
        <v>15.4999</v>
      </c>
      <c r="AW277">
        <f t="shared" si="57"/>
        <v>7.0598169525000003</v>
      </c>
      <c r="AX277" s="9"/>
      <c r="AY277" s="22">
        <v>1.24451</v>
      </c>
      <c r="AZ277" s="22">
        <v>263.88799999999998</v>
      </c>
      <c r="BA277" s="22">
        <v>-1.4395099999999999E-2</v>
      </c>
      <c r="BB277" s="22">
        <v>267</v>
      </c>
      <c r="BC277" s="22">
        <v>1.24329</v>
      </c>
      <c r="BD277">
        <f t="shared" si="58"/>
        <v>14.395099999999999</v>
      </c>
      <c r="BE277">
        <f t="shared" si="59"/>
        <v>17.914845901</v>
      </c>
    </row>
    <row r="278" spans="6:101">
      <c r="F278" s="9"/>
      <c r="G278" s="22">
        <v>0.45043899999999998</v>
      </c>
      <c r="H278" s="22">
        <v>51.754199999999997</v>
      </c>
      <c r="I278" s="22">
        <v>-1.5777599999999999E-2</v>
      </c>
      <c r="J278" s="22">
        <v>268</v>
      </c>
      <c r="K278" s="22">
        <v>0.44973800000000003</v>
      </c>
      <c r="L278">
        <f t="shared" si="48"/>
        <v>15.7776</v>
      </c>
      <c r="M278">
        <f t="shared" si="49"/>
        <v>7.1068463663999992</v>
      </c>
      <c r="N278" s="9"/>
      <c r="O278" s="22">
        <v>1.2495400000000001</v>
      </c>
      <c r="P278" s="22">
        <v>101.181</v>
      </c>
      <c r="Q278" s="22">
        <v>-1.4715600000000001E-2</v>
      </c>
      <c r="R278" s="22">
        <v>268</v>
      </c>
      <c r="S278" s="22">
        <v>1.24878</v>
      </c>
      <c r="T278">
        <f t="shared" si="50"/>
        <v>14.7156</v>
      </c>
      <c r="U278">
        <f t="shared" si="51"/>
        <v>18.387730824000002</v>
      </c>
      <c r="X278" s="9"/>
      <c r="Y278" s="22">
        <v>0.45043899999999998</v>
      </c>
      <c r="Z278" s="22">
        <v>130.63800000000001</v>
      </c>
      <c r="AA278" s="22">
        <v>-1.5676900000000001E-2</v>
      </c>
      <c r="AB278" s="22">
        <v>268</v>
      </c>
      <c r="AC278" s="22">
        <v>0.44982899999999998</v>
      </c>
      <c r="AD278">
        <f t="shared" si="52"/>
        <v>15.6769</v>
      </c>
      <c r="AE278">
        <f t="shared" si="53"/>
        <v>7.0614871590999995</v>
      </c>
      <c r="AF278" s="9"/>
      <c r="AG278" s="22">
        <v>1.2495400000000001</v>
      </c>
      <c r="AH278" s="22">
        <v>180.11099999999999</v>
      </c>
      <c r="AI278" s="22">
        <v>-1.45813E-2</v>
      </c>
      <c r="AJ278" s="22">
        <v>268</v>
      </c>
      <c r="AK278" s="22">
        <v>1.24878</v>
      </c>
      <c r="AL278">
        <f t="shared" si="54"/>
        <v>14.581300000000001</v>
      </c>
      <c r="AM278">
        <f t="shared" si="55"/>
        <v>18.219917602000002</v>
      </c>
      <c r="AP278" s="9"/>
      <c r="AQ278" s="22">
        <v>0.45043899999999998</v>
      </c>
      <c r="AR278" s="22">
        <v>229.55699999999999</v>
      </c>
      <c r="AS278" s="22">
        <v>-1.55029E-2</v>
      </c>
      <c r="AT278" s="22">
        <v>268</v>
      </c>
      <c r="AU278" s="22">
        <v>0.449768</v>
      </c>
      <c r="AV278">
        <f t="shared" si="56"/>
        <v>15.5029</v>
      </c>
      <c r="AW278">
        <f t="shared" si="57"/>
        <v>6.9831107730999999</v>
      </c>
      <c r="AX278" s="9"/>
      <c r="AY278" s="22">
        <v>1.2495400000000001</v>
      </c>
      <c r="AZ278" s="22">
        <v>263.89800000000002</v>
      </c>
      <c r="BA278" s="22">
        <v>-1.4367700000000001E-2</v>
      </c>
      <c r="BB278" s="22">
        <v>268</v>
      </c>
      <c r="BC278" s="22">
        <v>1.24847</v>
      </c>
      <c r="BD278">
        <f t="shared" si="58"/>
        <v>14.367700000000001</v>
      </c>
      <c r="BE278">
        <f t="shared" si="59"/>
        <v>17.953015858000004</v>
      </c>
    </row>
    <row r="279" spans="6:101">
      <c r="F279" s="9"/>
      <c r="G279" s="22">
        <v>0.44540400000000002</v>
      </c>
      <c r="H279" s="22">
        <v>51.764200000000002</v>
      </c>
      <c r="I279" s="22">
        <v>-1.5786700000000001E-2</v>
      </c>
      <c r="J279" s="22">
        <v>269</v>
      </c>
      <c r="K279" s="22">
        <v>0.44473299999999999</v>
      </c>
      <c r="L279">
        <f t="shared" si="48"/>
        <v>15.786700000000002</v>
      </c>
      <c r="M279">
        <f t="shared" si="49"/>
        <v>7.0314593268000012</v>
      </c>
      <c r="N279" s="9"/>
      <c r="O279" s="22">
        <v>1.25458</v>
      </c>
      <c r="P279" s="22">
        <v>101.191</v>
      </c>
      <c r="Q279" s="22">
        <v>-1.4694199999999999E-2</v>
      </c>
      <c r="R279" s="22">
        <v>269</v>
      </c>
      <c r="S279" s="22">
        <v>1.25397</v>
      </c>
      <c r="T279">
        <f t="shared" si="50"/>
        <v>14.694199999999999</v>
      </c>
      <c r="U279">
        <f t="shared" si="51"/>
        <v>18.435049436</v>
      </c>
      <c r="X279" s="9"/>
      <c r="Y279" s="22">
        <v>0.44540400000000002</v>
      </c>
      <c r="Z279" s="22">
        <v>130.648</v>
      </c>
      <c r="AA279" s="22">
        <v>-1.56799E-2</v>
      </c>
      <c r="AB279" s="22">
        <v>269</v>
      </c>
      <c r="AC279" s="22">
        <v>0.44476300000000002</v>
      </c>
      <c r="AD279">
        <f t="shared" si="52"/>
        <v>15.6799</v>
      </c>
      <c r="AE279">
        <f t="shared" si="53"/>
        <v>6.9838901796000004</v>
      </c>
      <c r="AF279" s="9"/>
      <c r="AG279" s="22">
        <v>1.25458</v>
      </c>
      <c r="AH279" s="22">
        <v>180.12100000000001</v>
      </c>
      <c r="AI279" s="22">
        <v>-1.45752E-2</v>
      </c>
      <c r="AJ279" s="22">
        <v>269</v>
      </c>
      <c r="AK279" s="22">
        <v>1.25397</v>
      </c>
      <c r="AL279">
        <f t="shared" si="54"/>
        <v>14.575200000000001</v>
      </c>
      <c r="AM279">
        <f t="shared" si="55"/>
        <v>18.285754416</v>
      </c>
      <c r="AP279" s="9"/>
      <c r="AQ279" s="22">
        <v>0.44540400000000002</v>
      </c>
      <c r="AR279" s="22">
        <v>229.56800000000001</v>
      </c>
      <c r="AS279" s="22">
        <v>-1.5506000000000001E-2</v>
      </c>
      <c r="AT279" s="22">
        <v>269</v>
      </c>
      <c r="AU279" s="22">
        <v>0.44479400000000002</v>
      </c>
      <c r="AV279">
        <f t="shared" si="56"/>
        <v>15.506</v>
      </c>
      <c r="AW279">
        <f t="shared" si="57"/>
        <v>6.9064344240000004</v>
      </c>
      <c r="AX279" s="9"/>
      <c r="AY279" s="22">
        <v>1.25458</v>
      </c>
      <c r="AZ279" s="22">
        <v>263.90800000000002</v>
      </c>
      <c r="BA279" s="22">
        <v>-1.4346299999999999E-2</v>
      </c>
      <c r="BB279" s="22">
        <v>269</v>
      </c>
      <c r="BC279" s="22">
        <v>1.25397</v>
      </c>
      <c r="BD279">
        <f t="shared" si="58"/>
        <v>14.346299999999999</v>
      </c>
      <c r="BE279">
        <f t="shared" si="59"/>
        <v>17.998581053999999</v>
      </c>
    </row>
    <row r="280" spans="6:101">
      <c r="F280" s="9"/>
      <c r="G280" s="22">
        <v>0.44036900000000001</v>
      </c>
      <c r="H280" s="22">
        <v>51.774299999999997</v>
      </c>
      <c r="I280" s="22">
        <v>-1.5792799999999999E-2</v>
      </c>
      <c r="J280" s="22">
        <v>270</v>
      </c>
      <c r="K280" s="22">
        <v>0.43975799999999998</v>
      </c>
      <c r="L280">
        <f t="shared" si="48"/>
        <v>15.7928</v>
      </c>
      <c r="M280">
        <f t="shared" si="49"/>
        <v>6.9546595432</v>
      </c>
      <c r="N280" s="9"/>
      <c r="O280" s="22">
        <v>1.2596099999999999</v>
      </c>
      <c r="P280" s="22">
        <v>101.20099999999999</v>
      </c>
      <c r="Q280" s="22">
        <v>-1.4678999999999999E-2</v>
      </c>
      <c r="R280" s="22">
        <v>270</v>
      </c>
      <c r="S280" s="22">
        <v>1.25885</v>
      </c>
      <c r="T280">
        <f t="shared" si="50"/>
        <v>14.678999999999998</v>
      </c>
      <c r="U280">
        <f t="shared" si="51"/>
        <v>18.489815189999998</v>
      </c>
      <c r="X280" s="9"/>
      <c r="Y280" s="22">
        <v>0.44036900000000001</v>
      </c>
      <c r="Z280" s="22">
        <v>130.65799999999999</v>
      </c>
      <c r="AA280" s="22">
        <v>-1.56921E-2</v>
      </c>
      <c r="AB280" s="22">
        <v>270</v>
      </c>
      <c r="AC280" s="22">
        <v>0.43972800000000001</v>
      </c>
      <c r="AD280">
        <f t="shared" si="52"/>
        <v>15.6921</v>
      </c>
      <c r="AE280">
        <f t="shared" si="53"/>
        <v>6.9103143849000004</v>
      </c>
      <c r="AF280" s="9"/>
      <c r="AG280" s="22">
        <v>1.2596099999999999</v>
      </c>
      <c r="AH280" s="22">
        <v>180.131</v>
      </c>
      <c r="AI280" s="22">
        <v>-1.4563E-2</v>
      </c>
      <c r="AJ280" s="22">
        <v>270</v>
      </c>
      <c r="AK280" s="22">
        <v>1.25885</v>
      </c>
      <c r="AL280">
        <f t="shared" si="54"/>
        <v>14.562999999999999</v>
      </c>
      <c r="AM280">
        <f t="shared" si="55"/>
        <v>18.343700429999998</v>
      </c>
      <c r="AP280" s="9"/>
      <c r="AQ280" s="22">
        <v>0.44036900000000001</v>
      </c>
      <c r="AR280" s="22">
        <v>229.578</v>
      </c>
      <c r="AS280" s="22">
        <v>-1.5512099999999999E-2</v>
      </c>
      <c r="AT280" s="22">
        <v>270</v>
      </c>
      <c r="AU280" s="22">
        <v>0.43975799999999998</v>
      </c>
      <c r="AV280">
        <f t="shared" si="56"/>
        <v>15.512099999999998</v>
      </c>
      <c r="AW280">
        <f t="shared" si="57"/>
        <v>6.8310479648999998</v>
      </c>
      <c r="AX280" s="9"/>
      <c r="AY280" s="22">
        <v>1.2596099999999999</v>
      </c>
      <c r="AZ280" s="22">
        <v>263.91800000000001</v>
      </c>
      <c r="BA280" s="22">
        <v>-1.43219E-2</v>
      </c>
      <c r="BB280" s="22">
        <v>270</v>
      </c>
      <c r="BC280" s="22">
        <v>1.25885</v>
      </c>
      <c r="BD280">
        <f t="shared" si="58"/>
        <v>14.321899999999999</v>
      </c>
      <c r="BE280">
        <f t="shared" si="59"/>
        <v>18.040008458999999</v>
      </c>
    </row>
    <row r="281" spans="6:101">
      <c r="F281" s="9"/>
      <c r="G281" s="22">
        <v>0.43533300000000003</v>
      </c>
      <c r="H281" s="22">
        <v>51.784399999999998</v>
      </c>
      <c r="I281" s="22">
        <v>-1.5792799999999999E-2</v>
      </c>
      <c r="J281" s="22">
        <v>271</v>
      </c>
      <c r="K281" s="22">
        <v>0.434784</v>
      </c>
      <c r="L281">
        <f t="shared" si="48"/>
        <v>15.7928</v>
      </c>
      <c r="M281">
        <f t="shared" si="49"/>
        <v>6.8751270024000002</v>
      </c>
      <c r="N281" s="9"/>
      <c r="O281" s="22">
        <v>1.2646500000000001</v>
      </c>
      <c r="P281" s="22">
        <v>101.211</v>
      </c>
      <c r="Q281" s="22">
        <v>-1.46667E-2</v>
      </c>
      <c r="R281" s="22">
        <v>271</v>
      </c>
      <c r="S281" s="22">
        <v>1.26373</v>
      </c>
      <c r="T281">
        <f t="shared" si="50"/>
        <v>14.666699999999999</v>
      </c>
      <c r="U281">
        <f t="shared" si="51"/>
        <v>18.548242155000001</v>
      </c>
      <c r="X281" s="9"/>
      <c r="Y281" s="22">
        <v>0.43533300000000003</v>
      </c>
      <c r="Z281" s="22">
        <v>130.66800000000001</v>
      </c>
      <c r="AA281" s="22">
        <v>-1.5695199999999999E-2</v>
      </c>
      <c r="AB281" s="22">
        <v>271</v>
      </c>
      <c r="AC281" s="22">
        <v>0.43466199999999999</v>
      </c>
      <c r="AD281">
        <f t="shared" si="52"/>
        <v>15.6952</v>
      </c>
      <c r="AE281">
        <f t="shared" si="53"/>
        <v>6.8326385016</v>
      </c>
      <c r="AF281" s="9"/>
      <c r="AG281" s="22">
        <v>1.2646500000000001</v>
      </c>
      <c r="AH281" s="22">
        <v>180.14099999999999</v>
      </c>
      <c r="AI281" s="22">
        <v>-1.45355E-2</v>
      </c>
      <c r="AJ281" s="22">
        <v>271</v>
      </c>
      <c r="AK281" s="22">
        <v>1.26434</v>
      </c>
      <c r="AL281">
        <f t="shared" si="54"/>
        <v>14.535499999999999</v>
      </c>
      <c r="AM281">
        <f t="shared" si="55"/>
        <v>18.382320074999999</v>
      </c>
      <c r="AP281" s="9"/>
      <c r="AQ281" s="22">
        <v>0.43533300000000003</v>
      </c>
      <c r="AR281" s="22">
        <v>229.58799999999999</v>
      </c>
      <c r="AS281" s="22">
        <v>-1.5512099999999999E-2</v>
      </c>
      <c r="AT281" s="22">
        <v>271</v>
      </c>
      <c r="AU281" s="22">
        <v>0.43466199999999999</v>
      </c>
      <c r="AV281">
        <f t="shared" si="56"/>
        <v>15.512099999999998</v>
      </c>
      <c r="AW281">
        <f t="shared" si="57"/>
        <v>6.7529290292999997</v>
      </c>
      <c r="AX281" s="9"/>
      <c r="AY281" s="22">
        <v>1.2646500000000001</v>
      </c>
      <c r="AZ281" s="22">
        <v>263.928</v>
      </c>
      <c r="BA281" s="22">
        <v>-1.43097E-2</v>
      </c>
      <c r="BB281" s="22">
        <v>271</v>
      </c>
      <c r="BC281" s="22">
        <v>1.26373</v>
      </c>
      <c r="BD281">
        <f t="shared" si="58"/>
        <v>14.309699999999999</v>
      </c>
      <c r="BE281">
        <f t="shared" si="59"/>
        <v>18.096762105</v>
      </c>
    </row>
    <row r="282" spans="6:101">
      <c r="F282" s="9"/>
      <c r="G282" s="22">
        <v>0.43029800000000001</v>
      </c>
      <c r="H282" s="22">
        <v>51.794400000000003</v>
      </c>
      <c r="I282" s="22">
        <v>-1.5792799999999999E-2</v>
      </c>
      <c r="J282" s="22">
        <v>272</v>
      </c>
      <c r="K282" s="22">
        <v>0.42971799999999999</v>
      </c>
      <c r="L282">
        <f t="shared" si="48"/>
        <v>15.7928</v>
      </c>
      <c r="M282">
        <f t="shared" si="49"/>
        <v>6.7956102543999997</v>
      </c>
      <c r="N282" s="9"/>
      <c r="O282" s="22">
        <v>1.2696799999999999</v>
      </c>
      <c r="P282" s="22">
        <v>101.221</v>
      </c>
      <c r="Q282" s="22">
        <v>-1.46576E-2</v>
      </c>
      <c r="R282" s="22">
        <v>272</v>
      </c>
      <c r="S282" s="22">
        <v>1.2686200000000001</v>
      </c>
      <c r="T282">
        <f t="shared" si="50"/>
        <v>14.6576</v>
      </c>
      <c r="U282">
        <f t="shared" si="51"/>
        <v>18.610461567999998</v>
      </c>
      <c r="X282" s="9"/>
      <c r="Y282" s="22">
        <v>0.43029800000000001</v>
      </c>
      <c r="Z282" s="22">
        <v>130.678</v>
      </c>
      <c r="AA282" s="22">
        <v>-1.5701300000000001E-2</v>
      </c>
      <c r="AB282" s="22">
        <v>272</v>
      </c>
      <c r="AC282" s="22">
        <v>0.42968800000000001</v>
      </c>
      <c r="AD282">
        <f t="shared" si="52"/>
        <v>15.701300000000002</v>
      </c>
      <c r="AE282">
        <f t="shared" si="53"/>
        <v>6.7562379874000005</v>
      </c>
      <c r="AF282" s="9"/>
      <c r="AG282" s="22">
        <v>1.2696799999999999</v>
      </c>
      <c r="AH282" s="22">
        <v>180.15100000000001</v>
      </c>
      <c r="AI282" s="22">
        <v>-1.45264E-2</v>
      </c>
      <c r="AJ282" s="22">
        <v>272</v>
      </c>
      <c r="AK282" s="22">
        <v>1.2692300000000001</v>
      </c>
      <c r="AL282">
        <f t="shared" si="54"/>
        <v>14.526400000000001</v>
      </c>
      <c r="AM282">
        <f t="shared" si="55"/>
        <v>18.443879551999999</v>
      </c>
      <c r="AP282" s="9"/>
      <c r="AQ282" s="22">
        <v>0.43029800000000001</v>
      </c>
      <c r="AR282" s="22">
        <v>229.59800000000001</v>
      </c>
      <c r="AS282" s="22">
        <v>-1.5521200000000001E-2</v>
      </c>
      <c r="AT282" s="22">
        <v>272</v>
      </c>
      <c r="AU282" s="22">
        <v>0.42965700000000001</v>
      </c>
      <c r="AV282">
        <f t="shared" si="56"/>
        <v>15.5212</v>
      </c>
      <c r="AW282">
        <f t="shared" si="57"/>
        <v>6.6787413176000001</v>
      </c>
      <c r="AX282" s="9"/>
      <c r="AY282" s="22">
        <v>1.2696799999999999</v>
      </c>
      <c r="AZ282" s="22">
        <v>263.93799999999999</v>
      </c>
      <c r="BA282" s="22">
        <v>-1.4285300000000001E-2</v>
      </c>
      <c r="BB282" s="22">
        <v>272</v>
      </c>
      <c r="BC282" s="22">
        <v>1.2692300000000001</v>
      </c>
      <c r="BD282">
        <f t="shared" si="58"/>
        <v>14.285300000000001</v>
      </c>
      <c r="BE282">
        <f t="shared" si="59"/>
        <v>18.137759704</v>
      </c>
    </row>
    <row r="283" spans="6:101">
      <c r="F283" s="9"/>
      <c r="G283" s="22">
        <v>0.42526199999999997</v>
      </c>
      <c r="H283" s="22">
        <v>51.804499999999997</v>
      </c>
      <c r="I283" s="22">
        <v>-1.5786700000000001E-2</v>
      </c>
      <c r="J283" s="22">
        <v>273</v>
      </c>
      <c r="K283" s="22">
        <v>0.424622</v>
      </c>
      <c r="L283">
        <f t="shared" si="48"/>
        <v>15.786700000000002</v>
      </c>
      <c r="M283">
        <f t="shared" si="49"/>
        <v>6.7134836154000004</v>
      </c>
      <c r="N283" s="9"/>
      <c r="O283" s="22">
        <v>1.2747200000000001</v>
      </c>
      <c r="P283" s="22">
        <v>101.23099999999999</v>
      </c>
      <c r="Q283" s="22">
        <v>-1.4639299999999999E-2</v>
      </c>
      <c r="R283" s="22">
        <v>273</v>
      </c>
      <c r="S283" s="22">
        <v>1.2741100000000001</v>
      </c>
      <c r="T283">
        <f t="shared" si="50"/>
        <v>14.639299999999999</v>
      </c>
      <c r="U283">
        <f t="shared" si="51"/>
        <v>18.661008496000001</v>
      </c>
      <c r="X283" s="9"/>
      <c r="Y283" s="22">
        <v>0.42526199999999997</v>
      </c>
      <c r="Z283" s="22">
        <v>130.68799999999999</v>
      </c>
      <c r="AA283" s="22">
        <v>-1.5698199999999999E-2</v>
      </c>
      <c r="AB283" s="22">
        <v>273</v>
      </c>
      <c r="AC283" s="22">
        <v>0.424591</v>
      </c>
      <c r="AD283">
        <f t="shared" si="52"/>
        <v>15.698199999999998</v>
      </c>
      <c r="AE283">
        <f t="shared" si="53"/>
        <v>6.6758479283999987</v>
      </c>
      <c r="AF283" s="9"/>
      <c r="AG283" s="22">
        <v>1.2747200000000001</v>
      </c>
      <c r="AH283" s="22">
        <v>180.161</v>
      </c>
      <c r="AI283" s="22">
        <v>-1.4508099999999999E-2</v>
      </c>
      <c r="AJ283" s="22">
        <v>273</v>
      </c>
      <c r="AK283" s="22">
        <v>1.2741100000000001</v>
      </c>
      <c r="AL283">
        <f t="shared" si="54"/>
        <v>14.508099999999999</v>
      </c>
      <c r="AM283">
        <f t="shared" si="55"/>
        <v>18.493765232000001</v>
      </c>
      <c r="AP283" s="9"/>
      <c r="AQ283" s="22">
        <v>0.42526199999999997</v>
      </c>
      <c r="AR283" s="22">
        <v>229.608</v>
      </c>
      <c r="AS283" s="22">
        <v>-1.5521200000000001E-2</v>
      </c>
      <c r="AT283" s="22">
        <v>273</v>
      </c>
      <c r="AU283" s="22">
        <v>0.42471300000000001</v>
      </c>
      <c r="AV283">
        <f t="shared" si="56"/>
        <v>15.5212</v>
      </c>
      <c r="AW283">
        <f t="shared" si="57"/>
        <v>6.6005765543999999</v>
      </c>
      <c r="AX283" s="9"/>
      <c r="AY283" s="22">
        <v>1.2747200000000001</v>
      </c>
      <c r="AZ283" s="22">
        <v>263.94799999999998</v>
      </c>
      <c r="BA283" s="22">
        <v>-1.42609E-2</v>
      </c>
      <c r="BB283" s="22">
        <v>273</v>
      </c>
      <c r="BC283" s="22">
        <v>1.2735000000000001</v>
      </c>
      <c r="BD283">
        <f t="shared" si="58"/>
        <v>14.260899999999999</v>
      </c>
      <c r="BE283">
        <f t="shared" si="59"/>
        <v>18.178654448</v>
      </c>
    </row>
    <row r="284" spans="6:101">
      <c r="F284" s="9"/>
      <c r="G284" s="22">
        <v>0.42022700000000002</v>
      </c>
      <c r="H284" s="22">
        <v>51.814599999999999</v>
      </c>
      <c r="I284" s="22">
        <v>-1.5780599999999999E-2</v>
      </c>
      <c r="J284" s="22">
        <v>274</v>
      </c>
      <c r="K284" s="22">
        <v>0.41955599999999998</v>
      </c>
      <c r="L284">
        <f t="shared" si="48"/>
        <v>15.780599999999998</v>
      </c>
      <c r="M284">
        <f t="shared" si="49"/>
        <v>6.6314341961999999</v>
      </c>
      <c r="N284" s="9"/>
      <c r="O284" s="22">
        <v>1.2797499999999999</v>
      </c>
      <c r="P284" s="22">
        <v>101.241</v>
      </c>
      <c r="Q284" s="22">
        <v>-1.46179E-2</v>
      </c>
      <c r="R284" s="22">
        <v>274</v>
      </c>
      <c r="S284" s="22">
        <v>1.2789900000000001</v>
      </c>
      <c r="T284">
        <f t="shared" si="50"/>
        <v>14.617899999999999</v>
      </c>
      <c r="U284">
        <f t="shared" si="51"/>
        <v>18.707257524999999</v>
      </c>
      <c r="X284" s="9"/>
      <c r="Y284" s="22">
        <v>0.42022700000000002</v>
      </c>
      <c r="Z284" s="22">
        <v>130.69800000000001</v>
      </c>
      <c r="AA284" s="22">
        <v>-1.5698199999999999E-2</v>
      </c>
      <c r="AB284" s="22">
        <v>274</v>
      </c>
      <c r="AC284" s="22">
        <v>0.41961700000000002</v>
      </c>
      <c r="AD284">
        <f t="shared" si="52"/>
        <v>15.698199999999998</v>
      </c>
      <c r="AE284">
        <f t="shared" si="53"/>
        <v>6.5968074913999999</v>
      </c>
      <c r="AF284" s="9"/>
      <c r="AG284" s="22">
        <v>1.2797499999999999</v>
      </c>
      <c r="AH284" s="22">
        <v>180.17099999999999</v>
      </c>
      <c r="AI284" s="22">
        <v>-1.44867E-2</v>
      </c>
      <c r="AJ284" s="22">
        <v>274</v>
      </c>
      <c r="AK284" s="22">
        <v>1.2793000000000001</v>
      </c>
      <c r="AL284">
        <f t="shared" si="54"/>
        <v>14.486700000000001</v>
      </c>
      <c r="AM284">
        <f t="shared" si="55"/>
        <v>18.539354325000001</v>
      </c>
      <c r="AP284" s="9"/>
      <c r="AQ284" s="22">
        <v>0.42022700000000002</v>
      </c>
      <c r="AR284" s="22">
        <v>229.61799999999999</v>
      </c>
      <c r="AS284" s="22">
        <v>-1.5551799999999999E-2</v>
      </c>
      <c r="AT284" s="22">
        <v>274</v>
      </c>
      <c r="AU284" s="22">
        <v>0.41949500000000001</v>
      </c>
      <c r="AV284">
        <f t="shared" si="56"/>
        <v>15.5518</v>
      </c>
      <c r="AW284">
        <f t="shared" si="57"/>
        <v>6.5352862586000002</v>
      </c>
      <c r="AX284" s="9"/>
      <c r="AY284" s="22">
        <v>1.2797499999999999</v>
      </c>
      <c r="AZ284" s="22">
        <v>263.95800000000003</v>
      </c>
      <c r="BA284" s="22">
        <v>-1.42303E-2</v>
      </c>
      <c r="BB284" s="22">
        <v>274</v>
      </c>
      <c r="BC284" s="22">
        <v>1.2786900000000001</v>
      </c>
      <c r="BD284">
        <f t="shared" si="58"/>
        <v>14.2303</v>
      </c>
      <c r="BE284">
        <f t="shared" si="59"/>
        <v>18.211226425</v>
      </c>
    </row>
    <row r="285" spans="6:101">
      <c r="F285" s="9"/>
      <c r="G285" s="22">
        <v>0.41519200000000001</v>
      </c>
      <c r="H285" s="22">
        <v>51.8247</v>
      </c>
      <c r="I285" s="22">
        <v>-1.57745E-2</v>
      </c>
      <c r="J285" s="22">
        <v>275</v>
      </c>
      <c r="K285" s="22">
        <v>0.41461199999999998</v>
      </c>
      <c r="L285">
        <f t="shared" si="48"/>
        <v>15.7745</v>
      </c>
      <c r="M285">
        <f t="shared" si="49"/>
        <v>6.5494462039999997</v>
      </c>
      <c r="N285" s="9"/>
      <c r="O285" s="22">
        <v>1.2847900000000001</v>
      </c>
      <c r="P285" s="22">
        <v>101.251</v>
      </c>
      <c r="Q285" s="22">
        <v>-1.4593500000000001E-2</v>
      </c>
      <c r="R285" s="22">
        <v>275</v>
      </c>
      <c r="S285" s="22">
        <v>1.2841800000000001</v>
      </c>
      <c r="T285">
        <f t="shared" si="50"/>
        <v>14.593500000000001</v>
      </c>
      <c r="U285">
        <f t="shared" si="51"/>
        <v>18.749582865000001</v>
      </c>
      <c r="X285" s="9"/>
      <c r="Y285" s="22">
        <v>0.41519200000000001</v>
      </c>
      <c r="Z285" s="22">
        <v>130.708</v>
      </c>
      <c r="AA285" s="22">
        <v>-1.5701300000000001E-2</v>
      </c>
      <c r="AB285" s="22">
        <v>275</v>
      </c>
      <c r="AC285" s="22">
        <v>0.414551</v>
      </c>
      <c r="AD285">
        <f t="shared" si="52"/>
        <v>15.701300000000002</v>
      </c>
      <c r="AE285">
        <f t="shared" si="53"/>
        <v>6.5190541496000005</v>
      </c>
      <c r="AF285" s="9"/>
      <c r="AG285" s="22">
        <v>1.2847900000000001</v>
      </c>
      <c r="AH285" s="22">
        <v>180.18199999999999</v>
      </c>
      <c r="AI285" s="22">
        <v>-1.44653E-2</v>
      </c>
      <c r="AJ285" s="22">
        <v>275</v>
      </c>
      <c r="AK285" s="22">
        <v>1.2838700000000001</v>
      </c>
      <c r="AL285">
        <f t="shared" si="54"/>
        <v>14.465300000000001</v>
      </c>
      <c r="AM285">
        <f t="shared" si="55"/>
        <v>18.584872787000002</v>
      </c>
      <c r="AP285" s="9"/>
      <c r="AQ285" s="22">
        <v>0.41519200000000001</v>
      </c>
      <c r="AR285" s="22">
        <v>229.62799999999999</v>
      </c>
      <c r="AS285" s="22">
        <v>-1.5551799999999999E-2</v>
      </c>
      <c r="AT285" s="22">
        <v>275</v>
      </c>
      <c r="AU285" s="22">
        <v>0.41449000000000003</v>
      </c>
      <c r="AV285">
        <f t="shared" si="56"/>
        <v>15.5518</v>
      </c>
      <c r="AW285">
        <f t="shared" si="57"/>
        <v>6.4569829456000001</v>
      </c>
      <c r="AX285" s="9"/>
      <c r="AY285" s="22">
        <v>1.2847900000000001</v>
      </c>
      <c r="AZ285" s="22">
        <v>263.96800000000002</v>
      </c>
      <c r="BA285" s="22">
        <v>-1.42059E-2</v>
      </c>
      <c r="BB285" s="22">
        <v>275</v>
      </c>
      <c r="BC285" s="22">
        <v>1.2841800000000001</v>
      </c>
      <c r="BD285">
        <f t="shared" si="58"/>
        <v>14.2059</v>
      </c>
      <c r="BE285">
        <f t="shared" si="59"/>
        <v>18.251598261000002</v>
      </c>
    </row>
    <row r="286" spans="6:101">
      <c r="F286" s="9"/>
      <c r="G286" s="22">
        <v>0.41015600000000002</v>
      </c>
      <c r="H286" s="22">
        <v>51.834699999999998</v>
      </c>
      <c r="I286" s="22">
        <v>-1.57745E-2</v>
      </c>
      <c r="J286" s="22">
        <v>276</v>
      </c>
      <c r="K286" s="22">
        <v>0.40942400000000001</v>
      </c>
      <c r="L286">
        <f t="shared" si="48"/>
        <v>15.7745</v>
      </c>
      <c r="M286">
        <f t="shared" si="49"/>
        <v>6.4700058220000001</v>
      </c>
      <c r="N286" s="9"/>
      <c r="O286" s="22">
        <v>1.28983</v>
      </c>
      <c r="P286" s="22">
        <v>101.261</v>
      </c>
      <c r="Q286" s="22">
        <v>-1.45691E-2</v>
      </c>
      <c r="R286" s="22">
        <v>276</v>
      </c>
      <c r="S286" s="22">
        <v>1.2887599999999999</v>
      </c>
      <c r="T286">
        <f t="shared" si="50"/>
        <v>14.569100000000001</v>
      </c>
      <c r="U286">
        <f t="shared" si="51"/>
        <v>18.791662253000002</v>
      </c>
      <c r="X286" s="9"/>
      <c r="Y286" s="22">
        <v>0.41015600000000002</v>
      </c>
      <c r="Z286" s="22">
        <v>130.71799999999999</v>
      </c>
      <c r="AA286" s="22">
        <v>-1.5704300000000001E-2</v>
      </c>
      <c r="AB286" s="22">
        <v>276</v>
      </c>
      <c r="AC286" s="22">
        <v>0.40945399999999998</v>
      </c>
      <c r="AD286">
        <f t="shared" si="52"/>
        <v>15.704300000000002</v>
      </c>
      <c r="AE286">
        <f t="shared" si="53"/>
        <v>6.4412128708000012</v>
      </c>
      <c r="AF286" s="9"/>
      <c r="AG286" s="22">
        <v>1.28983</v>
      </c>
      <c r="AH286" s="22">
        <v>180.19200000000001</v>
      </c>
      <c r="AI286" s="22">
        <v>-1.44318E-2</v>
      </c>
      <c r="AJ286" s="22">
        <v>276</v>
      </c>
      <c r="AK286" s="22">
        <v>1.2896700000000001</v>
      </c>
      <c r="AL286">
        <f t="shared" si="54"/>
        <v>14.431799999999999</v>
      </c>
      <c r="AM286">
        <f t="shared" si="55"/>
        <v>18.614568593999998</v>
      </c>
      <c r="AP286" s="9"/>
      <c r="AQ286" s="22">
        <v>0.41015600000000002</v>
      </c>
      <c r="AR286" s="22">
        <v>229.63800000000001</v>
      </c>
      <c r="AS286" s="22">
        <v>-1.5551799999999999E-2</v>
      </c>
      <c r="AT286" s="22">
        <v>276</v>
      </c>
      <c r="AU286" s="22">
        <v>0.409607</v>
      </c>
      <c r="AV286">
        <f t="shared" si="56"/>
        <v>15.5518</v>
      </c>
      <c r="AW286">
        <f t="shared" si="57"/>
        <v>6.3786640808000001</v>
      </c>
      <c r="AX286" s="9"/>
      <c r="AY286" s="22">
        <v>1.28983</v>
      </c>
      <c r="AZ286" s="22">
        <v>263.97800000000001</v>
      </c>
      <c r="BA286" s="22">
        <v>-1.41785E-2</v>
      </c>
      <c r="BB286" s="22">
        <v>276</v>
      </c>
      <c r="BC286" s="22">
        <v>1.2887599999999999</v>
      </c>
      <c r="BD286">
        <f t="shared" si="58"/>
        <v>14.1785</v>
      </c>
      <c r="BE286">
        <f t="shared" si="59"/>
        <v>18.287854655</v>
      </c>
    </row>
    <row r="287" spans="6:101">
      <c r="F287" s="9"/>
      <c r="G287" s="22">
        <v>0.40512100000000001</v>
      </c>
      <c r="H287" s="22">
        <v>51.844799999999999</v>
      </c>
      <c r="I287" s="22">
        <v>-1.57745E-2</v>
      </c>
      <c r="J287" s="22">
        <v>277</v>
      </c>
      <c r="K287" s="22">
        <v>0.40460200000000002</v>
      </c>
      <c r="L287">
        <f t="shared" si="48"/>
        <v>15.7745</v>
      </c>
      <c r="M287">
        <f t="shared" si="49"/>
        <v>6.3905812145000001</v>
      </c>
      <c r="N287" s="9"/>
      <c r="O287" s="22">
        <v>1.2948599999999999</v>
      </c>
      <c r="P287" s="22">
        <v>101.271</v>
      </c>
      <c r="Q287" s="22">
        <v>-1.45325E-2</v>
      </c>
      <c r="R287" s="22">
        <v>277</v>
      </c>
      <c r="S287" s="22">
        <v>1.2942499999999999</v>
      </c>
      <c r="T287">
        <f t="shared" si="50"/>
        <v>14.532500000000001</v>
      </c>
      <c r="U287">
        <f t="shared" si="51"/>
        <v>18.81755295</v>
      </c>
      <c r="X287" s="9"/>
      <c r="Y287" s="22">
        <v>0.40512100000000001</v>
      </c>
      <c r="Z287" s="22">
        <v>130.72800000000001</v>
      </c>
      <c r="AA287" s="22">
        <v>-1.57074E-2</v>
      </c>
      <c r="AB287" s="22">
        <v>277</v>
      </c>
      <c r="AC287" s="22">
        <v>0.40448000000000001</v>
      </c>
      <c r="AD287">
        <f t="shared" si="52"/>
        <v>15.7074</v>
      </c>
      <c r="AE287">
        <f t="shared" si="53"/>
        <v>6.3633975954000004</v>
      </c>
      <c r="AF287" s="9"/>
      <c r="AG287" s="22">
        <v>1.2948599999999999</v>
      </c>
      <c r="AH287" s="22">
        <v>180.202</v>
      </c>
      <c r="AI287" s="22">
        <v>-1.4413499999999999E-2</v>
      </c>
      <c r="AJ287" s="22">
        <v>277</v>
      </c>
      <c r="AK287" s="22">
        <v>1.2942499999999999</v>
      </c>
      <c r="AL287">
        <f t="shared" si="54"/>
        <v>14.413499999999999</v>
      </c>
      <c r="AM287">
        <f t="shared" si="55"/>
        <v>18.663464609999998</v>
      </c>
      <c r="AP287" s="9"/>
      <c r="AQ287" s="22">
        <v>0.40512100000000001</v>
      </c>
      <c r="AR287" s="22">
        <v>229.648</v>
      </c>
      <c r="AS287" s="22">
        <v>-1.5560900000000001E-2</v>
      </c>
      <c r="AT287" s="22">
        <v>277</v>
      </c>
      <c r="AU287" s="22">
        <v>0.40448000000000001</v>
      </c>
      <c r="AV287">
        <f t="shared" si="56"/>
        <v>15.5609</v>
      </c>
      <c r="AW287">
        <f t="shared" si="57"/>
        <v>6.3040473689000001</v>
      </c>
      <c r="AX287" s="9"/>
      <c r="AY287" s="22">
        <v>1.2948599999999999</v>
      </c>
      <c r="AZ287" s="22">
        <v>263.988</v>
      </c>
      <c r="BA287" s="22">
        <v>-1.41663E-2</v>
      </c>
      <c r="BB287" s="22">
        <v>277</v>
      </c>
      <c r="BC287" s="22">
        <v>1.2942499999999999</v>
      </c>
      <c r="BD287">
        <f t="shared" si="58"/>
        <v>14.1663</v>
      </c>
      <c r="BE287">
        <f t="shared" si="59"/>
        <v>18.343375217999998</v>
      </c>
    </row>
    <row r="288" spans="6:101">
      <c r="F288" s="9"/>
      <c r="G288" s="22">
        <v>0.40008500000000002</v>
      </c>
      <c r="H288" s="22">
        <v>51.854900000000001</v>
      </c>
      <c r="I288" s="22">
        <v>-1.5780599999999999E-2</v>
      </c>
      <c r="J288" s="22">
        <v>278</v>
      </c>
      <c r="K288" s="22">
        <v>0.39941399999999999</v>
      </c>
      <c r="L288">
        <f t="shared" si="48"/>
        <v>15.780599999999998</v>
      </c>
      <c r="M288">
        <f t="shared" si="49"/>
        <v>6.3135813509999998</v>
      </c>
      <c r="N288" s="9"/>
      <c r="O288" s="22">
        <v>1.2999000000000001</v>
      </c>
      <c r="P288" s="22">
        <v>101.28100000000001</v>
      </c>
      <c r="Q288" s="22">
        <v>-1.44989E-2</v>
      </c>
      <c r="R288" s="22">
        <v>278</v>
      </c>
      <c r="S288" s="22">
        <v>1.2988299999999999</v>
      </c>
      <c r="T288">
        <f t="shared" si="50"/>
        <v>14.498900000000001</v>
      </c>
      <c r="U288">
        <f t="shared" si="51"/>
        <v>18.847120110000002</v>
      </c>
      <c r="X288" s="9"/>
      <c r="Y288" s="22">
        <v>0.40008500000000002</v>
      </c>
      <c r="Z288" s="22">
        <v>130.738</v>
      </c>
      <c r="AA288" s="22">
        <v>-1.5713499999999998E-2</v>
      </c>
      <c r="AB288" s="22">
        <v>278</v>
      </c>
      <c r="AC288" s="22">
        <v>0.39938400000000002</v>
      </c>
      <c r="AD288">
        <f t="shared" si="52"/>
        <v>15.713499999999998</v>
      </c>
      <c r="AE288">
        <f t="shared" si="53"/>
        <v>6.2867356474999996</v>
      </c>
      <c r="AF288" s="9"/>
      <c r="AG288" s="22">
        <v>1.2999000000000001</v>
      </c>
      <c r="AH288" s="22">
        <v>180.21199999999999</v>
      </c>
      <c r="AI288" s="22">
        <v>-1.4385999999999999E-2</v>
      </c>
      <c r="AJ288" s="22">
        <v>278</v>
      </c>
      <c r="AK288" s="22">
        <v>1.2997399999999999</v>
      </c>
      <c r="AL288">
        <f t="shared" si="54"/>
        <v>14.385999999999999</v>
      </c>
      <c r="AM288">
        <f t="shared" si="55"/>
        <v>18.700361399999998</v>
      </c>
      <c r="AP288" s="9"/>
      <c r="AQ288" s="22">
        <v>0.40008500000000002</v>
      </c>
      <c r="AR288" s="22">
        <v>229.65799999999999</v>
      </c>
      <c r="AS288" s="22">
        <v>-1.5560900000000001E-2</v>
      </c>
      <c r="AT288" s="22">
        <v>278</v>
      </c>
      <c r="AU288" s="22">
        <v>0.39944499999999999</v>
      </c>
      <c r="AV288">
        <f t="shared" si="56"/>
        <v>15.5609</v>
      </c>
      <c r="AW288">
        <f t="shared" si="57"/>
        <v>6.2256826765000008</v>
      </c>
      <c r="AX288" s="9"/>
      <c r="AY288" s="22">
        <v>1.2999000000000001</v>
      </c>
      <c r="AZ288" s="22">
        <v>263.99799999999999</v>
      </c>
      <c r="BA288" s="22">
        <v>-1.4151E-2</v>
      </c>
      <c r="BB288" s="22">
        <v>278</v>
      </c>
      <c r="BC288" s="22">
        <v>1.2991299999999999</v>
      </c>
      <c r="BD288">
        <f t="shared" si="58"/>
        <v>14.151</v>
      </c>
      <c r="BE288">
        <f t="shared" si="59"/>
        <v>18.394884900000001</v>
      </c>
    </row>
    <row r="289" spans="6:57">
      <c r="F289" s="9"/>
      <c r="G289" s="22">
        <v>0.39505000000000001</v>
      </c>
      <c r="H289" s="22">
        <v>51.864899999999999</v>
      </c>
      <c r="I289" s="22">
        <v>-1.5783700000000001E-2</v>
      </c>
      <c r="J289" s="22">
        <v>279</v>
      </c>
      <c r="K289" s="22">
        <v>0.39437899999999998</v>
      </c>
      <c r="L289">
        <f t="shared" si="48"/>
        <v>15.783700000000001</v>
      </c>
      <c r="M289">
        <f t="shared" si="49"/>
        <v>6.2353506850000011</v>
      </c>
      <c r="N289" s="9"/>
      <c r="O289" s="22">
        <v>1.3049299999999999</v>
      </c>
      <c r="P289" s="22">
        <v>101.291</v>
      </c>
      <c r="Q289" s="22">
        <v>-1.44745E-2</v>
      </c>
      <c r="R289" s="22">
        <v>279</v>
      </c>
      <c r="S289" s="22">
        <v>1.3037099999999999</v>
      </c>
      <c r="T289">
        <f t="shared" si="50"/>
        <v>14.474499999999999</v>
      </c>
      <c r="U289">
        <f t="shared" si="51"/>
        <v>18.888209284999999</v>
      </c>
      <c r="X289" s="9"/>
      <c r="Y289" s="22">
        <v>0.39505000000000001</v>
      </c>
      <c r="Z289" s="22">
        <v>130.74799999999999</v>
      </c>
      <c r="AA289" s="22">
        <v>-1.57196E-2</v>
      </c>
      <c r="AB289" s="22">
        <v>279</v>
      </c>
      <c r="AC289" s="22">
        <v>0.39450099999999999</v>
      </c>
      <c r="AD289">
        <f t="shared" si="52"/>
        <v>15.7196</v>
      </c>
      <c r="AE289">
        <f t="shared" si="53"/>
        <v>6.2100279800000004</v>
      </c>
      <c r="AF289" s="9"/>
      <c r="AG289" s="22">
        <v>1.3049299999999999</v>
      </c>
      <c r="AH289" s="22">
        <v>180.22200000000001</v>
      </c>
      <c r="AI289" s="22">
        <v>-1.43616E-2</v>
      </c>
      <c r="AJ289" s="22">
        <v>279</v>
      </c>
      <c r="AK289" s="22">
        <v>1.30402</v>
      </c>
      <c r="AL289">
        <f t="shared" si="54"/>
        <v>14.361600000000001</v>
      </c>
      <c r="AM289">
        <f t="shared" si="55"/>
        <v>18.740882687999999</v>
      </c>
      <c r="AP289" s="9"/>
      <c r="AQ289" s="22">
        <v>0.39505000000000001</v>
      </c>
      <c r="AR289" s="22">
        <v>229.66800000000001</v>
      </c>
      <c r="AS289" s="22">
        <v>-1.55701E-2</v>
      </c>
      <c r="AT289" s="22">
        <v>279</v>
      </c>
      <c r="AU289" s="22">
        <v>0.39446999999999999</v>
      </c>
      <c r="AV289">
        <f t="shared" si="56"/>
        <v>15.5701</v>
      </c>
      <c r="AW289">
        <f t="shared" si="57"/>
        <v>6.1509680050000002</v>
      </c>
      <c r="AX289" s="9"/>
      <c r="AY289" s="22">
        <v>1.3049299999999999</v>
      </c>
      <c r="AZ289" s="22">
        <v>264.00799999999998</v>
      </c>
      <c r="BA289" s="22">
        <v>-1.41266E-2</v>
      </c>
      <c r="BB289" s="22">
        <v>279</v>
      </c>
      <c r="BC289" s="22">
        <v>1.3037099999999999</v>
      </c>
      <c r="BD289">
        <f t="shared" si="58"/>
        <v>14.1266</v>
      </c>
      <c r="BE289">
        <f t="shared" si="59"/>
        <v>18.434224137999998</v>
      </c>
    </row>
    <row r="290" spans="6:57">
      <c r="F290" s="9"/>
      <c r="G290" s="22">
        <v>0.390015</v>
      </c>
      <c r="H290" s="22">
        <v>51.875</v>
      </c>
      <c r="I290" s="22">
        <v>-1.5783700000000001E-2</v>
      </c>
      <c r="J290" s="22">
        <v>280</v>
      </c>
      <c r="K290" s="22">
        <v>0.389374</v>
      </c>
      <c r="L290">
        <f t="shared" si="48"/>
        <v>15.783700000000001</v>
      </c>
      <c r="M290">
        <f t="shared" si="49"/>
        <v>6.1558797555000009</v>
      </c>
      <c r="N290" s="9"/>
      <c r="O290" s="22">
        <v>1.3099700000000001</v>
      </c>
      <c r="P290" s="22">
        <v>101.301</v>
      </c>
      <c r="Q290" s="22">
        <v>-1.4444E-2</v>
      </c>
      <c r="R290" s="22">
        <v>280</v>
      </c>
      <c r="S290" s="22">
        <v>1.30951</v>
      </c>
      <c r="T290">
        <f t="shared" si="50"/>
        <v>14.444000000000001</v>
      </c>
      <c r="U290">
        <f t="shared" si="51"/>
        <v>18.921206680000001</v>
      </c>
      <c r="X290" s="9"/>
      <c r="Y290" s="22">
        <v>0.390015</v>
      </c>
      <c r="Z290" s="22">
        <v>130.75800000000001</v>
      </c>
      <c r="AA290" s="22">
        <v>-1.57196E-2</v>
      </c>
      <c r="AB290" s="22">
        <v>280</v>
      </c>
      <c r="AC290" s="22">
        <v>0.38955699999999999</v>
      </c>
      <c r="AD290">
        <f t="shared" si="52"/>
        <v>15.7196</v>
      </c>
      <c r="AE290">
        <f t="shared" si="53"/>
        <v>6.1308797940000002</v>
      </c>
      <c r="AF290" s="9"/>
      <c r="AG290" s="22">
        <v>1.3099700000000001</v>
      </c>
      <c r="AH290" s="22">
        <v>180.232</v>
      </c>
      <c r="AI290" s="22">
        <v>-1.4334100000000001E-2</v>
      </c>
      <c r="AJ290" s="22">
        <v>280</v>
      </c>
      <c r="AK290" s="22">
        <v>1.31012</v>
      </c>
      <c r="AL290">
        <f t="shared" si="54"/>
        <v>14.334100000000001</v>
      </c>
      <c r="AM290">
        <f t="shared" si="55"/>
        <v>18.777240977000002</v>
      </c>
      <c r="AP290" s="9"/>
      <c r="AQ290" s="22">
        <v>0.390015</v>
      </c>
      <c r="AR290" s="22">
        <v>229.678</v>
      </c>
      <c r="AS290" s="22">
        <v>-1.55762E-2</v>
      </c>
      <c r="AT290" s="22">
        <v>280</v>
      </c>
      <c r="AU290" s="22">
        <v>0.38934299999999999</v>
      </c>
      <c r="AV290">
        <f t="shared" si="56"/>
        <v>15.5762</v>
      </c>
      <c r="AW290">
        <f t="shared" si="57"/>
        <v>6.0749516430000003</v>
      </c>
      <c r="AX290" s="9"/>
      <c r="AY290" s="22">
        <v>1.3099700000000001</v>
      </c>
      <c r="AZ290" s="22">
        <v>264.01799999999997</v>
      </c>
      <c r="BA290" s="22">
        <v>-1.40991E-2</v>
      </c>
      <c r="BB290" s="22">
        <v>280</v>
      </c>
      <c r="BC290" s="22">
        <v>1.3085899999999999</v>
      </c>
      <c r="BD290">
        <f t="shared" si="58"/>
        <v>14.0991</v>
      </c>
      <c r="BE290">
        <f t="shared" si="59"/>
        <v>18.469398027</v>
      </c>
    </row>
    <row r="291" spans="6:57">
      <c r="F291" s="9"/>
      <c r="G291" s="22">
        <v>0.38497900000000002</v>
      </c>
      <c r="H291" s="22">
        <v>51.885100000000001</v>
      </c>
      <c r="I291" s="22">
        <v>-1.5780599999999999E-2</v>
      </c>
      <c r="J291" s="22">
        <v>281</v>
      </c>
      <c r="K291" s="22">
        <v>0.38430799999999998</v>
      </c>
      <c r="L291">
        <f t="shared" si="48"/>
        <v>15.780599999999998</v>
      </c>
      <c r="M291">
        <f t="shared" si="49"/>
        <v>6.0751996073999992</v>
      </c>
      <c r="N291" s="9"/>
      <c r="O291" s="22">
        <v>1.3149999999999999</v>
      </c>
      <c r="P291" s="22">
        <v>101.312</v>
      </c>
      <c r="Q291" s="22">
        <v>-1.44043E-2</v>
      </c>
      <c r="R291" s="22">
        <v>281</v>
      </c>
      <c r="S291" s="22">
        <v>1.3149999999999999</v>
      </c>
      <c r="T291">
        <f t="shared" si="50"/>
        <v>14.404299999999999</v>
      </c>
      <c r="U291">
        <f t="shared" si="51"/>
        <v>18.941654499999999</v>
      </c>
      <c r="X291" s="9"/>
      <c r="Y291" s="22">
        <v>0.38497900000000002</v>
      </c>
      <c r="Z291" s="22">
        <v>130.76900000000001</v>
      </c>
      <c r="AA291" s="22">
        <v>-1.5716600000000001E-2</v>
      </c>
      <c r="AB291" s="22">
        <v>281</v>
      </c>
      <c r="AC291" s="22">
        <v>0.38433800000000001</v>
      </c>
      <c r="AD291">
        <f t="shared" si="52"/>
        <v>15.716600000000001</v>
      </c>
      <c r="AE291">
        <f t="shared" si="53"/>
        <v>6.0505609514000005</v>
      </c>
      <c r="AF291" s="9"/>
      <c r="AG291" s="22">
        <v>1.3149999999999999</v>
      </c>
      <c r="AH291" s="22">
        <v>180.24199999999999</v>
      </c>
      <c r="AI291" s="22">
        <v>-1.43036E-2</v>
      </c>
      <c r="AJ291" s="22">
        <v>281</v>
      </c>
      <c r="AK291" s="22">
        <v>1.31409</v>
      </c>
      <c r="AL291">
        <f t="shared" si="54"/>
        <v>14.303599999999999</v>
      </c>
      <c r="AM291">
        <f t="shared" si="55"/>
        <v>18.809234</v>
      </c>
      <c r="AP291" s="9"/>
      <c r="AQ291" s="22">
        <v>0.38497900000000002</v>
      </c>
      <c r="AR291" s="22">
        <v>229.68799999999999</v>
      </c>
      <c r="AS291" s="22">
        <v>-1.55823E-2</v>
      </c>
      <c r="AT291" s="22">
        <v>281</v>
      </c>
      <c r="AU291" s="22">
        <v>0.38433800000000001</v>
      </c>
      <c r="AV291">
        <f t="shared" si="56"/>
        <v>15.5823</v>
      </c>
      <c r="AW291">
        <f t="shared" si="57"/>
        <v>5.9988582717000005</v>
      </c>
      <c r="AX291" s="9"/>
      <c r="AY291" s="22">
        <v>1.3149999999999999</v>
      </c>
      <c r="AZ291" s="22">
        <v>264.029</v>
      </c>
      <c r="BA291" s="22">
        <v>-1.40778E-2</v>
      </c>
      <c r="BB291" s="22">
        <v>281</v>
      </c>
      <c r="BC291" s="22">
        <v>1.31409</v>
      </c>
      <c r="BD291">
        <f t="shared" si="58"/>
        <v>14.0778</v>
      </c>
      <c r="BE291">
        <f t="shared" si="59"/>
        <v>18.512307</v>
      </c>
    </row>
    <row r="292" spans="6:57">
      <c r="F292" s="9"/>
      <c r="G292" s="22">
        <v>0.379944</v>
      </c>
      <c r="H292" s="22">
        <v>51.895200000000003</v>
      </c>
      <c r="I292" s="22">
        <v>-1.5783700000000001E-2</v>
      </c>
      <c r="J292" s="22">
        <v>282</v>
      </c>
      <c r="K292" s="22">
        <v>0.379303</v>
      </c>
      <c r="L292">
        <f t="shared" si="48"/>
        <v>15.783700000000001</v>
      </c>
      <c r="M292">
        <f t="shared" si="49"/>
        <v>5.996922112800001</v>
      </c>
      <c r="N292" s="9"/>
      <c r="O292" s="22">
        <v>1.3200400000000001</v>
      </c>
      <c r="P292" s="22">
        <v>101.322</v>
      </c>
      <c r="Q292" s="22">
        <v>-1.43585E-2</v>
      </c>
      <c r="R292" s="22">
        <v>282</v>
      </c>
      <c r="S292" s="22">
        <v>1.3192699999999999</v>
      </c>
      <c r="T292">
        <f t="shared" si="50"/>
        <v>14.358499999999999</v>
      </c>
      <c r="U292">
        <f t="shared" si="51"/>
        <v>18.953794340000002</v>
      </c>
      <c r="X292" s="9"/>
      <c r="Y292" s="22">
        <v>0.379944</v>
      </c>
      <c r="Z292" s="22">
        <v>130.779</v>
      </c>
      <c r="AA292" s="22">
        <v>-1.57196E-2</v>
      </c>
      <c r="AB292" s="22">
        <v>282</v>
      </c>
      <c r="AC292" s="22">
        <v>0.37933299999999998</v>
      </c>
      <c r="AD292">
        <f t="shared" si="52"/>
        <v>15.7196</v>
      </c>
      <c r="AE292">
        <f t="shared" si="53"/>
        <v>5.9725677024000001</v>
      </c>
      <c r="AF292" s="9"/>
      <c r="AG292" s="22">
        <v>1.3200400000000001</v>
      </c>
      <c r="AH292" s="22">
        <v>180.25200000000001</v>
      </c>
      <c r="AI292" s="22">
        <v>-1.42609E-2</v>
      </c>
      <c r="AJ292" s="22">
        <v>282</v>
      </c>
      <c r="AK292" s="22">
        <v>1.31897</v>
      </c>
      <c r="AL292">
        <f t="shared" si="54"/>
        <v>14.260899999999999</v>
      </c>
      <c r="AM292">
        <f t="shared" si="55"/>
        <v>18.824958435999999</v>
      </c>
      <c r="AP292" s="9"/>
      <c r="AQ292" s="22">
        <v>0.379944</v>
      </c>
      <c r="AR292" s="22">
        <v>229.69800000000001</v>
      </c>
      <c r="AS292" s="22">
        <v>-1.5594500000000001E-2</v>
      </c>
      <c r="AT292" s="22">
        <v>282</v>
      </c>
      <c r="AU292" s="22">
        <v>0.379303</v>
      </c>
      <c r="AV292">
        <f t="shared" si="56"/>
        <v>15.5945</v>
      </c>
      <c r="AW292">
        <f t="shared" si="57"/>
        <v>5.9250367080000004</v>
      </c>
      <c r="AX292" s="9"/>
      <c r="AY292" s="22">
        <v>1.3200400000000001</v>
      </c>
      <c r="AZ292" s="22">
        <v>264.03899999999999</v>
      </c>
      <c r="BA292" s="22">
        <v>-1.4047199999999999E-2</v>
      </c>
      <c r="BB292" s="22">
        <v>282</v>
      </c>
      <c r="BC292" s="22">
        <v>1.31958</v>
      </c>
      <c r="BD292">
        <f t="shared" si="58"/>
        <v>14.0472</v>
      </c>
      <c r="BE292">
        <f t="shared" si="59"/>
        <v>18.542865888000001</v>
      </c>
    </row>
    <row r="293" spans="6:57">
      <c r="F293" s="9"/>
      <c r="G293" s="22">
        <v>0.37490800000000002</v>
      </c>
      <c r="H293" s="22">
        <v>51.905200000000001</v>
      </c>
      <c r="I293" s="22">
        <v>-1.57898E-2</v>
      </c>
      <c r="J293" s="22">
        <v>283</v>
      </c>
      <c r="K293" s="22">
        <v>0.37414599999999998</v>
      </c>
      <c r="L293">
        <f t="shared" si="48"/>
        <v>15.7898</v>
      </c>
      <c r="M293">
        <f t="shared" si="49"/>
        <v>5.9197223383999997</v>
      </c>
      <c r="N293" s="9"/>
      <c r="O293" s="22">
        <v>1.32507</v>
      </c>
      <c r="P293" s="22">
        <v>101.33199999999999</v>
      </c>
      <c r="Q293" s="22">
        <v>-1.4331099999999999E-2</v>
      </c>
      <c r="R293" s="22">
        <v>283</v>
      </c>
      <c r="S293" s="22">
        <v>1.32446</v>
      </c>
      <c r="T293">
        <f t="shared" si="50"/>
        <v>14.331099999999999</v>
      </c>
      <c r="U293">
        <f t="shared" si="51"/>
        <v>18.989710676999998</v>
      </c>
      <c r="X293" s="9"/>
      <c r="Y293" s="22">
        <v>0.37490800000000002</v>
      </c>
      <c r="Z293" s="22">
        <v>130.78899999999999</v>
      </c>
      <c r="AA293" s="22">
        <v>-1.5725699999999999E-2</v>
      </c>
      <c r="AB293" s="22">
        <v>283</v>
      </c>
      <c r="AC293" s="22">
        <v>0.37429800000000002</v>
      </c>
      <c r="AD293">
        <f t="shared" si="52"/>
        <v>15.725699999999998</v>
      </c>
      <c r="AE293">
        <f t="shared" si="53"/>
        <v>5.8956907355999997</v>
      </c>
      <c r="AF293" s="9"/>
      <c r="AG293" s="22">
        <v>1.32507</v>
      </c>
      <c r="AH293" s="22">
        <v>180.262</v>
      </c>
      <c r="AI293" s="22">
        <v>-1.42273E-2</v>
      </c>
      <c r="AJ293" s="22">
        <v>283</v>
      </c>
      <c r="AK293" s="22">
        <v>1.32477</v>
      </c>
      <c r="AL293">
        <f t="shared" si="54"/>
        <v>14.2273</v>
      </c>
      <c r="AM293">
        <f t="shared" si="55"/>
        <v>18.852168410999997</v>
      </c>
      <c r="AP293" s="9"/>
      <c r="AQ293" s="22">
        <v>0.37490800000000002</v>
      </c>
      <c r="AR293" s="22">
        <v>229.709</v>
      </c>
      <c r="AS293" s="22">
        <v>-1.5594500000000001E-2</v>
      </c>
      <c r="AT293" s="22">
        <v>283</v>
      </c>
      <c r="AU293" s="22">
        <v>0.37420700000000001</v>
      </c>
      <c r="AV293">
        <f t="shared" si="56"/>
        <v>15.5945</v>
      </c>
      <c r="AW293">
        <f t="shared" si="57"/>
        <v>5.8465028060000002</v>
      </c>
      <c r="AX293" s="9"/>
      <c r="AY293" s="22">
        <v>1.32507</v>
      </c>
      <c r="AZ293" s="22">
        <v>264.04899999999998</v>
      </c>
      <c r="BA293" s="22">
        <v>-1.40289E-2</v>
      </c>
      <c r="BB293" s="22">
        <v>283</v>
      </c>
      <c r="BC293" s="22">
        <v>1.32446</v>
      </c>
      <c r="BD293">
        <f t="shared" si="58"/>
        <v>14.0289</v>
      </c>
      <c r="BE293">
        <f t="shared" si="59"/>
        <v>18.589274523</v>
      </c>
    </row>
    <row r="294" spans="6:57">
      <c r="F294" s="9"/>
      <c r="G294" s="22">
        <v>0.36987300000000001</v>
      </c>
      <c r="H294" s="22">
        <v>51.915300000000002</v>
      </c>
      <c r="I294" s="22">
        <v>-1.57898E-2</v>
      </c>
      <c r="J294" s="22">
        <v>284</v>
      </c>
      <c r="K294" s="22">
        <v>0.369232</v>
      </c>
      <c r="L294">
        <f t="shared" si="48"/>
        <v>15.7898</v>
      </c>
      <c r="M294">
        <f t="shared" si="49"/>
        <v>5.8402206954000002</v>
      </c>
      <c r="N294" s="9"/>
      <c r="O294" s="22">
        <v>1.3301099999999999</v>
      </c>
      <c r="P294" s="22">
        <v>101.342</v>
      </c>
      <c r="Q294" s="22">
        <v>-1.4306599999999999E-2</v>
      </c>
      <c r="R294" s="22">
        <v>284</v>
      </c>
      <c r="S294" s="22">
        <v>1.32935</v>
      </c>
      <c r="T294">
        <f t="shared" si="50"/>
        <v>14.3066</v>
      </c>
      <c r="U294">
        <f t="shared" si="51"/>
        <v>19.029351725999998</v>
      </c>
      <c r="X294" s="9"/>
      <c r="Y294" s="22">
        <v>0.36987300000000001</v>
      </c>
      <c r="Z294" s="22">
        <v>130.79900000000001</v>
      </c>
      <c r="AA294" s="22">
        <v>-1.5731800000000001E-2</v>
      </c>
      <c r="AB294" s="22">
        <v>284</v>
      </c>
      <c r="AC294" s="22">
        <v>0.36920199999999997</v>
      </c>
      <c r="AD294">
        <f t="shared" si="52"/>
        <v>15.7318</v>
      </c>
      <c r="AE294">
        <f t="shared" si="53"/>
        <v>5.8187680614000001</v>
      </c>
      <c r="AF294" s="9"/>
      <c r="AG294" s="22">
        <v>1.3301099999999999</v>
      </c>
      <c r="AH294" s="22">
        <v>180.27199999999999</v>
      </c>
      <c r="AI294" s="22">
        <v>-1.4190700000000001E-2</v>
      </c>
      <c r="AJ294" s="22">
        <v>284</v>
      </c>
      <c r="AK294" s="22">
        <v>1.32904</v>
      </c>
      <c r="AL294">
        <f t="shared" si="54"/>
        <v>14.1907</v>
      </c>
      <c r="AM294">
        <f t="shared" si="55"/>
        <v>18.875191976999997</v>
      </c>
      <c r="AP294" s="9"/>
      <c r="AQ294" s="22">
        <v>0.36987300000000001</v>
      </c>
      <c r="AR294" s="22">
        <v>229.71899999999999</v>
      </c>
      <c r="AS294" s="22">
        <v>-1.55975E-2</v>
      </c>
      <c r="AT294" s="22">
        <v>284</v>
      </c>
      <c r="AU294" s="22">
        <v>0.36926300000000001</v>
      </c>
      <c r="AV294">
        <f t="shared" si="56"/>
        <v>15.5975</v>
      </c>
      <c r="AW294">
        <f t="shared" si="57"/>
        <v>5.7690941174999999</v>
      </c>
      <c r="AX294" s="9"/>
      <c r="AY294" s="22">
        <v>1.3301099999999999</v>
      </c>
      <c r="AZ294" s="22">
        <v>264.05900000000003</v>
      </c>
      <c r="BA294" s="22">
        <v>-1.3998399999999999E-2</v>
      </c>
      <c r="BB294" s="22">
        <v>284</v>
      </c>
      <c r="BC294" s="22">
        <v>1.32904</v>
      </c>
      <c r="BD294">
        <f t="shared" si="58"/>
        <v>13.9984</v>
      </c>
      <c r="BE294">
        <f t="shared" si="59"/>
        <v>18.619411824</v>
      </c>
    </row>
    <row r="295" spans="6:57">
      <c r="F295" s="9"/>
      <c r="G295" s="22">
        <v>0.364838</v>
      </c>
      <c r="H295" s="22">
        <v>51.925400000000003</v>
      </c>
      <c r="I295" s="22">
        <v>-1.57898E-2</v>
      </c>
      <c r="J295" s="22">
        <v>285</v>
      </c>
      <c r="K295" s="22">
        <v>0.364319</v>
      </c>
      <c r="L295">
        <f t="shared" si="48"/>
        <v>15.7898</v>
      </c>
      <c r="M295">
        <f t="shared" si="49"/>
        <v>5.7607190523999998</v>
      </c>
      <c r="N295" s="9"/>
      <c r="O295" s="22">
        <v>1.33514</v>
      </c>
      <c r="P295" s="22">
        <v>101.352</v>
      </c>
      <c r="Q295" s="22">
        <v>-1.42822E-2</v>
      </c>
      <c r="R295" s="22">
        <v>285</v>
      </c>
      <c r="S295" s="22">
        <v>1.33453</v>
      </c>
      <c r="T295">
        <f t="shared" si="50"/>
        <v>14.2822</v>
      </c>
      <c r="U295">
        <f t="shared" si="51"/>
        <v>19.068736508000001</v>
      </c>
      <c r="X295" s="9"/>
      <c r="Y295" s="22">
        <v>0.364838</v>
      </c>
      <c r="Z295" s="22">
        <v>130.809</v>
      </c>
      <c r="AA295" s="22">
        <v>-1.5737899999999999E-2</v>
      </c>
      <c r="AB295" s="22">
        <v>285</v>
      </c>
      <c r="AC295" s="22">
        <v>0.364288</v>
      </c>
      <c r="AD295">
        <f t="shared" si="52"/>
        <v>15.7379</v>
      </c>
      <c r="AE295">
        <f t="shared" si="53"/>
        <v>5.7417839602000003</v>
      </c>
      <c r="AF295" s="9"/>
      <c r="AG295" s="22">
        <v>1.33514</v>
      </c>
      <c r="AH295" s="22">
        <v>180.28200000000001</v>
      </c>
      <c r="AI295" s="22">
        <v>-1.41479E-2</v>
      </c>
      <c r="AJ295" s="22">
        <v>285</v>
      </c>
      <c r="AK295" s="22">
        <v>1.33453</v>
      </c>
      <c r="AL295">
        <f t="shared" si="54"/>
        <v>14.1479</v>
      </c>
      <c r="AM295">
        <f t="shared" si="55"/>
        <v>18.889427206000001</v>
      </c>
      <c r="AP295" s="9"/>
      <c r="AQ295" s="22">
        <v>0.364838</v>
      </c>
      <c r="AR295" s="22">
        <v>229.72900000000001</v>
      </c>
      <c r="AS295" s="22">
        <v>-1.5594500000000001E-2</v>
      </c>
      <c r="AT295" s="22">
        <v>285</v>
      </c>
      <c r="AU295" s="22">
        <v>0.36419699999999999</v>
      </c>
      <c r="AV295">
        <f t="shared" si="56"/>
        <v>15.5945</v>
      </c>
      <c r="AW295">
        <f t="shared" si="57"/>
        <v>5.6894661910000002</v>
      </c>
      <c r="AX295" s="9"/>
      <c r="AY295" s="22">
        <v>1.33514</v>
      </c>
      <c r="AZ295" s="22">
        <v>264.06900000000002</v>
      </c>
      <c r="BA295" s="22">
        <v>-1.39679E-2</v>
      </c>
      <c r="BB295" s="22">
        <v>285</v>
      </c>
      <c r="BC295" s="22">
        <v>1.33423</v>
      </c>
      <c r="BD295">
        <f t="shared" si="58"/>
        <v>13.9679</v>
      </c>
      <c r="BE295">
        <f t="shared" si="59"/>
        <v>18.649102006</v>
      </c>
    </row>
    <row r="296" spans="6:57">
      <c r="F296" s="9"/>
      <c r="G296" s="22">
        <v>0.35980200000000001</v>
      </c>
      <c r="H296" s="22">
        <v>51.935400000000001</v>
      </c>
      <c r="I296" s="22">
        <v>-1.5792799999999999E-2</v>
      </c>
      <c r="J296" s="22">
        <v>286</v>
      </c>
      <c r="K296" s="22">
        <v>0.35913099999999998</v>
      </c>
      <c r="L296">
        <f t="shared" si="48"/>
        <v>15.7928</v>
      </c>
      <c r="M296">
        <f t="shared" si="49"/>
        <v>5.6822810256</v>
      </c>
      <c r="N296" s="9"/>
      <c r="O296" s="22">
        <v>1.3401799999999999</v>
      </c>
      <c r="P296" s="22">
        <v>101.36199999999999</v>
      </c>
      <c r="Q296" s="22">
        <v>-1.42609E-2</v>
      </c>
      <c r="R296" s="22">
        <v>286</v>
      </c>
      <c r="S296" s="22">
        <v>1.33972</v>
      </c>
      <c r="T296">
        <f t="shared" si="50"/>
        <v>14.260899999999999</v>
      </c>
      <c r="U296">
        <f t="shared" si="51"/>
        <v>19.112172961999999</v>
      </c>
      <c r="X296" s="9"/>
      <c r="Y296" s="22">
        <v>0.35980200000000001</v>
      </c>
      <c r="Z296" s="22">
        <v>130.81899999999999</v>
      </c>
      <c r="AA296" s="22">
        <v>-1.5737899999999999E-2</v>
      </c>
      <c r="AB296" s="22">
        <v>286</v>
      </c>
      <c r="AC296" s="22">
        <v>0.35916100000000001</v>
      </c>
      <c r="AD296">
        <f t="shared" si="52"/>
        <v>15.7379</v>
      </c>
      <c r="AE296">
        <f t="shared" si="53"/>
        <v>5.6625278958000003</v>
      </c>
      <c r="AF296" s="9"/>
      <c r="AG296" s="22">
        <v>1.3401799999999999</v>
      </c>
      <c r="AH296" s="22">
        <v>180.292</v>
      </c>
      <c r="AI296" s="22">
        <v>-1.41052E-2</v>
      </c>
      <c r="AJ296" s="22">
        <v>286</v>
      </c>
      <c r="AK296" s="22">
        <v>1.33911</v>
      </c>
      <c r="AL296">
        <f t="shared" si="54"/>
        <v>14.1052</v>
      </c>
      <c r="AM296">
        <f t="shared" si="55"/>
        <v>18.903506935999999</v>
      </c>
      <c r="AP296" s="9"/>
      <c r="AQ296" s="22">
        <v>0.35980200000000001</v>
      </c>
      <c r="AR296" s="22">
        <v>229.739</v>
      </c>
      <c r="AS296" s="22">
        <v>-1.5594500000000001E-2</v>
      </c>
      <c r="AT296" s="22">
        <v>286</v>
      </c>
      <c r="AU296" s="22">
        <v>0.35913099999999998</v>
      </c>
      <c r="AV296">
        <f t="shared" si="56"/>
        <v>15.5945</v>
      </c>
      <c r="AW296">
        <f t="shared" si="57"/>
        <v>5.610932289</v>
      </c>
      <c r="AX296" s="9"/>
      <c r="AY296" s="22">
        <v>1.3401799999999999</v>
      </c>
      <c r="AZ296" s="22">
        <v>264.07900000000001</v>
      </c>
      <c r="BA296" s="22">
        <v>-1.39343E-2</v>
      </c>
      <c r="BB296" s="22">
        <v>286</v>
      </c>
      <c r="BC296" s="22">
        <v>1.3394200000000001</v>
      </c>
      <c r="BD296">
        <f t="shared" si="58"/>
        <v>13.9343</v>
      </c>
      <c r="BE296">
        <f t="shared" si="59"/>
        <v>18.674470174</v>
      </c>
    </row>
    <row r="297" spans="6:57">
      <c r="F297" s="9"/>
      <c r="G297" s="22">
        <v>0.354767</v>
      </c>
      <c r="H297" s="22">
        <v>51.945500000000003</v>
      </c>
      <c r="I297" s="22">
        <v>-1.5795900000000002E-2</v>
      </c>
      <c r="J297" s="22">
        <v>287</v>
      </c>
      <c r="K297" s="22">
        <v>0.35409499999999999</v>
      </c>
      <c r="L297">
        <f t="shared" si="48"/>
        <v>15.795900000000001</v>
      </c>
      <c r="M297">
        <f t="shared" si="49"/>
        <v>5.6038640553000008</v>
      </c>
      <c r="N297" s="9"/>
      <c r="O297" s="22">
        <v>1.34521</v>
      </c>
      <c r="P297" s="22">
        <v>101.372</v>
      </c>
      <c r="Q297" s="22">
        <v>-1.42334E-2</v>
      </c>
      <c r="R297" s="22">
        <v>287</v>
      </c>
      <c r="S297" s="22">
        <v>1.3443000000000001</v>
      </c>
      <c r="T297">
        <f t="shared" si="50"/>
        <v>14.2334</v>
      </c>
      <c r="U297">
        <f t="shared" si="51"/>
        <v>19.146912013999998</v>
      </c>
      <c r="X297" s="9"/>
      <c r="Y297" s="22">
        <v>0.354767</v>
      </c>
      <c r="Z297" s="22">
        <v>130.82900000000001</v>
      </c>
      <c r="AA297" s="22">
        <v>-1.5728800000000001E-2</v>
      </c>
      <c r="AB297" s="22">
        <v>287</v>
      </c>
      <c r="AC297" s="22">
        <v>0.35415600000000003</v>
      </c>
      <c r="AD297">
        <f t="shared" si="52"/>
        <v>15.728800000000001</v>
      </c>
      <c r="AE297">
        <f t="shared" si="53"/>
        <v>5.5800591896000009</v>
      </c>
      <c r="AF297" s="9"/>
      <c r="AG297" s="22">
        <v>1.34521</v>
      </c>
      <c r="AH297" s="22">
        <v>180.30199999999999</v>
      </c>
      <c r="AI297" s="22">
        <v>-1.4065599999999999E-2</v>
      </c>
      <c r="AJ297" s="22">
        <v>287</v>
      </c>
      <c r="AK297" s="22">
        <v>1.3436900000000001</v>
      </c>
      <c r="AL297">
        <f t="shared" si="54"/>
        <v>14.0656</v>
      </c>
      <c r="AM297">
        <f t="shared" si="55"/>
        <v>18.921185776000002</v>
      </c>
      <c r="AP297" s="9"/>
      <c r="AQ297" s="22">
        <v>0.354767</v>
      </c>
      <c r="AR297" s="22">
        <v>229.749</v>
      </c>
      <c r="AS297" s="22">
        <v>-1.5600599999999999E-2</v>
      </c>
      <c r="AT297" s="22">
        <v>287</v>
      </c>
      <c r="AU297" s="22">
        <v>0.354126</v>
      </c>
      <c r="AV297">
        <f t="shared" si="56"/>
        <v>15.6006</v>
      </c>
      <c r="AW297">
        <f t="shared" si="57"/>
        <v>5.5345780602000003</v>
      </c>
      <c r="AX297" s="9"/>
      <c r="AY297" s="22">
        <v>1.34521</v>
      </c>
      <c r="AZ297" s="22">
        <v>264.089</v>
      </c>
      <c r="BA297" s="22">
        <v>-1.3894699999999999E-2</v>
      </c>
      <c r="BB297" s="22">
        <v>287</v>
      </c>
      <c r="BC297" s="22">
        <v>1.3443000000000001</v>
      </c>
      <c r="BD297">
        <f t="shared" si="58"/>
        <v>13.8947</v>
      </c>
      <c r="BE297">
        <f t="shared" si="59"/>
        <v>18.691289387000001</v>
      </c>
    </row>
    <row r="298" spans="6:57">
      <c r="F298" s="9"/>
      <c r="G298" s="22">
        <v>0.34973100000000001</v>
      </c>
      <c r="H298" s="22">
        <v>51.955599999999997</v>
      </c>
      <c r="I298" s="22">
        <v>-1.5795900000000002E-2</v>
      </c>
      <c r="J298" s="22">
        <v>288</v>
      </c>
      <c r="K298" s="22">
        <v>0.34915200000000002</v>
      </c>
      <c r="L298">
        <f t="shared" si="48"/>
        <v>15.795900000000001</v>
      </c>
      <c r="M298">
        <f t="shared" si="49"/>
        <v>5.5243159029000006</v>
      </c>
      <c r="N298" s="9"/>
      <c r="O298" s="22">
        <v>1.35025</v>
      </c>
      <c r="P298" s="22">
        <v>101.38200000000001</v>
      </c>
      <c r="Q298" s="22">
        <v>-1.4196800000000001E-2</v>
      </c>
      <c r="R298" s="22">
        <v>288</v>
      </c>
      <c r="S298" s="22">
        <v>1.34918</v>
      </c>
      <c r="T298">
        <f t="shared" si="50"/>
        <v>14.196800000000001</v>
      </c>
      <c r="U298">
        <f t="shared" si="51"/>
        <v>19.1692292</v>
      </c>
      <c r="X298" s="9"/>
      <c r="Y298" s="22">
        <v>0.34973100000000001</v>
      </c>
      <c r="Z298" s="22">
        <v>130.839</v>
      </c>
      <c r="AA298" s="22">
        <v>-1.5716600000000001E-2</v>
      </c>
      <c r="AB298" s="22">
        <v>288</v>
      </c>
      <c r="AC298" s="22">
        <v>0.34903000000000001</v>
      </c>
      <c r="AD298">
        <f t="shared" si="52"/>
        <v>15.716600000000001</v>
      </c>
      <c r="AE298">
        <f t="shared" si="53"/>
        <v>5.4965822346000008</v>
      </c>
      <c r="AF298" s="9"/>
      <c r="AG298" s="22">
        <v>1.35025</v>
      </c>
      <c r="AH298" s="22">
        <v>180.31200000000001</v>
      </c>
      <c r="AI298" s="22">
        <v>-1.40228E-2</v>
      </c>
      <c r="AJ298" s="22">
        <v>288</v>
      </c>
      <c r="AK298" s="22">
        <v>1.3488800000000001</v>
      </c>
      <c r="AL298">
        <f t="shared" si="54"/>
        <v>14.0228</v>
      </c>
      <c r="AM298">
        <f t="shared" si="55"/>
        <v>18.9342857</v>
      </c>
      <c r="AP298" s="9"/>
      <c r="AQ298" s="22">
        <v>0.34973100000000001</v>
      </c>
      <c r="AR298" s="22">
        <v>229.75899999999999</v>
      </c>
      <c r="AS298" s="22">
        <v>-1.5600599999999999E-2</v>
      </c>
      <c r="AT298" s="22">
        <v>288</v>
      </c>
      <c r="AU298" s="22">
        <v>0.34903000000000001</v>
      </c>
      <c r="AV298">
        <f t="shared" si="56"/>
        <v>15.6006</v>
      </c>
      <c r="AW298">
        <f t="shared" si="57"/>
        <v>5.4560134386000003</v>
      </c>
      <c r="AX298" s="9"/>
      <c r="AY298" s="22">
        <v>1.35025</v>
      </c>
      <c r="AZ298" s="22">
        <v>264.09899999999999</v>
      </c>
      <c r="BA298" s="22">
        <v>-1.3864100000000001E-2</v>
      </c>
      <c r="BB298" s="22">
        <v>288</v>
      </c>
      <c r="BC298" s="22">
        <v>1.3494900000000001</v>
      </c>
      <c r="BD298">
        <f t="shared" si="58"/>
        <v>13.864100000000001</v>
      </c>
      <c r="BE298">
        <f t="shared" si="59"/>
        <v>18.720001024999998</v>
      </c>
    </row>
    <row r="299" spans="6:57">
      <c r="F299" s="9"/>
      <c r="G299" s="22">
        <v>0.344696</v>
      </c>
      <c r="H299" s="22">
        <v>51.965699999999998</v>
      </c>
      <c r="I299" s="22">
        <v>-1.5795900000000002E-2</v>
      </c>
      <c r="J299" s="22">
        <v>289</v>
      </c>
      <c r="K299" s="22">
        <v>0.34402500000000003</v>
      </c>
      <c r="L299">
        <f t="shared" si="48"/>
        <v>15.795900000000001</v>
      </c>
      <c r="M299">
        <f t="shared" si="49"/>
        <v>5.444783546400001</v>
      </c>
      <c r="N299" s="9"/>
      <c r="O299" s="22">
        <v>1.3552900000000001</v>
      </c>
      <c r="P299" s="22">
        <v>101.392</v>
      </c>
      <c r="Q299" s="22">
        <v>-1.41602E-2</v>
      </c>
      <c r="R299" s="22">
        <v>289</v>
      </c>
      <c r="S299" s="22">
        <v>1.3543700000000001</v>
      </c>
      <c r="T299">
        <f t="shared" si="50"/>
        <v>14.1602</v>
      </c>
      <c r="U299">
        <f t="shared" si="51"/>
        <v>19.191177458000002</v>
      </c>
      <c r="X299" s="9"/>
      <c r="Y299" s="22">
        <v>0.344696</v>
      </c>
      <c r="Z299" s="22">
        <v>130.84899999999999</v>
      </c>
      <c r="AA299" s="22">
        <v>-1.5716600000000001E-2</v>
      </c>
      <c r="AB299" s="22">
        <v>289</v>
      </c>
      <c r="AC299" s="22">
        <v>0.344086</v>
      </c>
      <c r="AD299">
        <f t="shared" si="52"/>
        <v>15.716600000000001</v>
      </c>
      <c r="AE299">
        <f t="shared" si="53"/>
        <v>5.4174491536000007</v>
      </c>
      <c r="AF299" s="9"/>
      <c r="AG299" s="22">
        <v>1.3552900000000001</v>
      </c>
      <c r="AH299" s="22">
        <v>180.32300000000001</v>
      </c>
      <c r="AI299" s="22">
        <v>-1.39893E-2</v>
      </c>
      <c r="AJ299" s="22">
        <v>289</v>
      </c>
      <c r="AK299" s="22">
        <v>1.3543700000000001</v>
      </c>
      <c r="AL299">
        <f t="shared" si="54"/>
        <v>13.9893</v>
      </c>
      <c r="AM299">
        <f t="shared" si="55"/>
        <v>18.959558397000002</v>
      </c>
      <c r="AP299" s="9"/>
      <c r="AQ299" s="22">
        <v>0.344696</v>
      </c>
      <c r="AR299" s="22">
        <v>229.76900000000001</v>
      </c>
      <c r="AS299" s="22">
        <v>-1.5594500000000001E-2</v>
      </c>
      <c r="AT299" s="22">
        <v>289</v>
      </c>
      <c r="AU299" s="22">
        <v>0.344055</v>
      </c>
      <c r="AV299">
        <f t="shared" si="56"/>
        <v>15.5945</v>
      </c>
      <c r="AW299">
        <f t="shared" si="57"/>
        <v>5.3753617719999998</v>
      </c>
      <c r="AX299" s="9"/>
      <c r="AY299" s="22">
        <v>1.3552900000000001</v>
      </c>
      <c r="AZ299" s="22">
        <v>264.10899999999998</v>
      </c>
      <c r="BA299" s="22">
        <v>-1.38184E-2</v>
      </c>
      <c r="BB299" s="22">
        <v>289</v>
      </c>
      <c r="BC299" s="22">
        <v>1.3546800000000001</v>
      </c>
      <c r="BD299">
        <f t="shared" si="58"/>
        <v>13.8184</v>
      </c>
      <c r="BE299">
        <f t="shared" si="59"/>
        <v>18.727939336000002</v>
      </c>
    </row>
    <row r="300" spans="6:57">
      <c r="F300" s="9"/>
      <c r="G300" s="22">
        <v>0.33966099999999999</v>
      </c>
      <c r="H300" s="22">
        <v>51.975700000000003</v>
      </c>
      <c r="I300" s="22">
        <v>-1.5792799999999999E-2</v>
      </c>
      <c r="J300" s="22">
        <v>290</v>
      </c>
      <c r="K300" s="22">
        <v>0.33905000000000002</v>
      </c>
      <c r="L300">
        <f t="shared" si="48"/>
        <v>15.7928</v>
      </c>
      <c r="M300">
        <f t="shared" si="49"/>
        <v>5.3641982407999995</v>
      </c>
      <c r="N300" s="9"/>
      <c r="O300" s="22">
        <v>1.36032</v>
      </c>
      <c r="P300" s="22">
        <v>101.402</v>
      </c>
      <c r="Q300" s="22">
        <v>-1.4129600000000001E-2</v>
      </c>
      <c r="R300" s="22">
        <v>290</v>
      </c>
      <c r="S300" s="22">
        <v>1.3595600000000001</v>
      </c>
      <c r="T300">
        <f t="shared" si="50"/>
        <v>14.129600000000002</v>
      </c>
      <c r="U300">
        <f t="shared" si="51"/>
        <v>19.220777472000002</v>
      </c>
      <c r="X300" s="9"/>
      <c r="Y300" s="22">
        <v>0.33966099999999999</v>
      </c>
      <c r="Z300" s="22">
        <v>130.85900000000001</v>
      </c>
      <c r="AA300" s="22">
        <v>-1.57196E-2</v>
      </c>
      <c r="AB300" s="22">
        <v>290</v>
      </c>
      <c r="AC300" s="22">
        <v>0.33889799999999998</v>
      </c>
      <c r="AD300">
        <f t="shared" si="52"/>
        <v>15.7196</v>
      </c>
      <c r="AE300">
        <f t="shared" si="53"/>
        <v>5.3393350555999994</v>
      </c>
      <c r="AF300" s="9"/>
      <c r="AG300" s="22">
        <v>1.36032</v>
      </c>
      <c r="AH300" s="22">
        <v>180.333</v>
      </c>
      <c r="AI300" s="22">
        <v>-1.3952600000000001E-2</v>
      </c>
      <c r="AJ300" s="22">
        <v>290</v>
      </c>
      <c r="AK300" s="22">
        <v>1.3592500000000001</v>
      </c>
      <c r="AL300">
        <f t="shared" si="54"/>
        <v>13.9526</v>
      </c>
      <c r="AM300">
        <f t="shared" si="55"/>
        <v>18.980000832000002</v>
      </c>
      <c r="AP300" s="9"/>
      <c r="AQ300" s="22">
        <v>0.33966099999999999</v>
      </c>
      <c r="AR300" s="22">
        <v>229.779</v>
      </c>
      <c r="AS300" s="22">
        <v>-1.55914E-2</v>
      </c>
      <c r="AT300" s="22">
        <v>290</v>
      </c>
      <c r="AU300" s="22">
        <v>0.33892800000000001</v>
      </c>
      <c r="AV300">
        <f t="shared" si="56"/>
        <v>15.5914</v>
      </c>
      <c r="AW300">
        <f t="shared" si="57"/>
        <v>5.2957905154000002</v>
      </c>
      <c r="AX300" s="9"/>
      <c r="AY300" s="22">
        <v>1.36032</v>
      </c>
      <c r="AZ300" s="22">
        <v>264.11900000000003</v>
      </c>
      <c r="BA300" s="22">
        <v>-1.37695E-2</v>
      </c>
      <c r="BB300" s="22">
        <v>290</v>
      </c>
      <c r="BC300" s="22">
        <v>1.3601700000000001</v>
      </c>
      <c r="BD300">
        <f t="shared" si="58"/>
        <v>13.769500000000001</v>
      </c>
      <c r="BE300">
        <f t="shared" si="59"/>
        <v>18.730926240000002</v>
      </c>
    </row>
    <row r="301" spans="6:57">
      <c r="F301" s="9"/>
      <c r="G301" s="22">
        <v>0.33462500000000001</v>
      </c>
      <c r="H301" s="22">
        <v>51.985799999999998</v>
      </c>
      <c r="I301" s="22">
        <v>-1.5792799999999999E-2</v>
      </c>
      <c r="J301" s="22">
        <v>291</v>
      </c>
      <c r="K301" s="22">
        <v>0.33404499999999998</v>
      </c>
      <c r="L301">
        <f t="shared" si="48"/>
        <v>15.7928</v>
      </c>
      <c r="M301">
        <f t="shared" si="49"/>
        <v>5.2846656999999997</v>
      </c>
      <c r="N301" s="9"/>
      <c r="O301" s="22">
        <v>1.3653599999999999</v>
      </c>
      <c r="P301" s="22">
        <v>101.41200000000001</v>
      </c>
      <c r="Q301" s="22">
        <v>-1.40991E-2</v>
      </c>
      <c r="R301" s="22">
        <v>291</v>
      </c>
      <c r="S301" s="22">
        <v>1.3650500000000001</v>
      </c>
      <c r="T301">
        <f t="shared" si="50"/>
        <v>14.0991</v>
      </c>
      <c r="U301">
        <f t="shared" si="51"/>
        <v>19.250347175999998</v>
      </c>
      <c r="X301" s="9"/>
      <c r="Y301" s="22">
        <v>0.33462500000000001</v>
      </c>
      <c r="Z301" s="22">
        <v>130.869</v>
      </c>
      <c r="AA301" s="22">
        <v>-1.5725699999999999E-2</v>
      </c>
      <c r="AB301" s="22">
        <v>291</v>
      </c>
      <c r="AC301" s="22">
        <v>0.33395399999999997</v>
      </c>
      <c r="AD301">
        <f t="shared" si="52"/>
        <v>15.725699999999998</v>
      </c>
      <c r="AE301">
        <f t="shared" si="53"/>
        <v>5.2622123624999997</v>
      </c>
      <c r="AF301" s="9"/>
      <c r="AG301" s="22">
        <v>1.3653599999999999</v>
      </c>
      <c r="AH301" s="22">
        <v>180.34299999999999</v>
      </c>
      <c r="AI301" s="22">
        <v>-1.39069E-2</v>
      </c>
      <c r="AJ301" s="22">
        <v>291</v>
      </c>
      <c r="AK301" s="22">
        <v>1.3647499999999999</v>
      </c>
      <c r="AL301">
        <f t="shared" si="54"/>
        <v>13.9069</v>
      </c>
      <c r="AM301">
        <f t="shared" si="55"/>
        <v>18.987924983999999</v>
      </c>
      <c r="AP301" s="9"/>
      <c r="AQ301" s="22">
        <v>0.33462500000000001</v>
      </c>
      <c r="AR301" s="22">
        <v>229.78899999999999</v>
      </c>
      <c r="AS301" s="22">
        <v>-1.55975E-2</v>
      </c>
      <c r="AT301" s="22">
        <v>291</v>
      </c>
      <c r="AU301" s="22">
        <v>0.333984</v>
      </c>
      <c r="AV301">
        <f t="shared" si="56"/>
        <v>15.5975</v>
      </c>
      <c r="AW301">
        <f t="shared" si="57"/>
        <v>5.2193134375000003</v>
      </c>
      <c r="AX301" s="9"/>
      <c r="AY301" s="22">
        <v>1.3653599999999999</v>
      </c>
      <c r="AZ301" s="22">
        <v>264.12900000000002</v>
      </c>
      <c r="BA301" s="22">
        <v>-1.3717699999999999E-2</v>
      </c>
      <c r="BB301" s="22">
        <v>291</v>
      </c>
      <c r="BC301" s="22">
        <v>1.3638300000000001</v>
      </c>
      <c r="BD301">
        <f t="shared" si="58"/>
        <v>13.717699999999999</v>
      </c>
      <c r="BE301">
        <f t="shared" si="59"/>
        <v>18.729598871999997</v>
      </c>
    </row>
    <row r="302" spans="6:57">
      <c r="F302" s="9"/>
      <c r="G302" s="22">
        <v>0.32958999999999999</v>
      </c>
      <c r="H302" s="22">
        <v>51.995899999999999</v>
      </c>
      <c r="I302" s="22">
        <v>-1.57898E-2</v>
      </c>
      <c r="J302" s="22">
        <v>292</v>
      </c>
      <c r="K302" s="22">
        <v>0.32897900000000002</v>
      </c>
      <c r="L302">
        <f t="shared" si="48"/>
        <v>15.7898</v>
      </c>
      <c r="M302">
        <f t="shared" si="49"/>
        <v>5.2041601819999999</v>
      </c>
      <c r="N302" s="9"/>
      <c r="O302" s="22">
        <v>1.37039</v>
      </c>
      <c r="P302" s="22">
        <v>101.422</v>
      </c>
      <c r="Q302" s="22">
        <v>-1.40564E-2</v>
      </c>
      <c r="R302" s="22">
        <v>292</v>
      </c>
      <c r="S302" s="22">
        <v>1.3693200000000001</v>
      </c>
      <c r="T302">
        <f t="shared" si="50"/>
        <v>14.0564</v>
      </c>
      <c r="U302">
        <f t="shared" si="51"/>
        <v>19.262749996</v>
      </c>
      <c r="X302" s="9"/>
      <c r="Y302" s="22">
        <v>0.32958999999999999</v>
      </c>
      <c r="Z302" s="22">
        <v>130.87899999999999</v>
      </c>
      <c r="AA302" s="22">
        <v>-1.5728800000000001E-2</v>
      </c>
      <c r="AB302" s="22">
        <v>292</v>
      </c>
      <c r="AC302" s="22">
        <v>0.32901000000000002</v>
      </c>
      <c r="AD302">
        <f t="shared" si="52"/>
        <v>15.728800000000001</v>
      </c>
      <c r="AE302">
        <f t="shared" si="53"/>
        <v>5.1840551920000006</v>
      </c>
      <c r="AF302" s="9"/>
      <c r="AG302" s="22">
        <v>1.37039</v>
      </c>
      <c r="AH302" s="22">
        <v>180.35300000000001</v>
      </c>
      <c r="AI302" s="22">
        <v>-1.3854999999999999E-2</v>
      </c>
      <c r="AJ302" s="22">
        <v>292</v>
      </c>
      <c r="AK302" s="22">
        <v>1.3699300000000001</v>
      </c>
      <c r="AL302">
        <f t="shared" si="54"/>
        <v>13.854999999999999</v>
      </c>
      <c r="AM302">
        <f t="shared" si="55"/>
        <v>18.986753449999998</v>
      </c>
      <c r="AP302" s="9"/>
      <c r="AQ302" s="22">
        <v>0.32958999999999999</v>
      </c>
      <c r="AR302" s="22">
        <v>229.79900000000001</v>
      </c>
      <c r="AS302" s="22">
        <v>-1.5606699999999999E-2</v>
      </c>
      <c r="AT302" s="22">
        <v>292</v>
      </c>
      <c r="AU302" s="22">
        <v>0.32894899999999999</v>
      </c>
      <c r="AV302">
        <f t="shared" si="56"/>
        <v>15.6067</v>
      </c>
      <c r="AW302">
        <f t="shared" si="57"/>
        <v>5.1438122530000001</v>
      </c>
      <c r="AX302" s="9"/>
      <c r="AY302" s="22">
        <v>1.37039</v>
      </c>
      <c r="AZ302" s="22">
        <v>264.13900000000001</v>
      </c>
      <c r="BA302" s="22">
        <v>-1.36749E-2</v>
      </c>
      <c r="BB302" s="22">
        <v>292</v>
      </c>
      <c r="BC302" s="22">
        <v>1.3696299999999999</v>
      </c>
      <c r="BD302">
        <f t="shared" si="58"/>
        <v>13.674900000000001</v>
      </c>
      <c r="BE302">
        <f t="shared" si="59"/>
        <v>18.739946211000003</v>
      </c>
    </row>
    <row r="303" spans="6:57">
      <c r="F303" s="9"/>
      <c r="G303" s="22">
        <v>0.32455400000000001</v>
      </c>
      <c r="H303" s="22">
        <v>52.005899999999997</v>
      </c>
      <c r="I303" s="22">
        <v>-1.5795900000000002E-2</v>
      </c>
      <c r="J303" s="22">
        <v>293</v>
      </c>
      <c r="K303" s="22">
        <v>0.32394400000000001</v>
      </c>
      <c r="L303">
        <f t="shared" si="48"/>
        <v>15.795900000000001</v>
      </c>
      <c r="M303">
        <f t="shared" si="49"/>
        <v>5.1266225286000005</v>
      </c>
      <c r="N303" s="9"/>
      <c r="O303" s="22">
        <v>1.3754299999999999</v>
      </c>
      <c r="P303" s="22">
        <v>101.432</v>
      </c>
      <c r="Q303" s="22">
        <v>-1.40167E-2</v>
      </c>
      <c r="R303" s="22">
        <v>293</v>
      </c>
      <c r="S303" s="22">
        <v>1.3745099999999999</v>
      </c>
      <c r="T303">
        <f t="shared" si="50"/>
        <v>14.0167</v>
      </c>
      <c r="U303">
        <f t="shared" si="51"/>
        <v>19.278989680999999</v>
      </c>
      <c r="X303" s="9"/>
      <c r="Y303" s="22">
        <v>0.32455400000000001</v>
      </c>
      <c r="Z303" s="22">
        <v>130.88900000000001</v>
      </c>
      <c r="AA303" s="22">
        <v>-1.5731800000000001E-2</v>
      </c>
      <c r="AB303" s="22">
        <v>293</v>
      </c>
      <c r="AC303" s="22">
        <v>0.32388299999999998</v>
      </c>
      <c r="AD303">
        <f t="shared" si="52"/>
        <v>15.7318</v>
      </c>
      <c r="AE303">
        <f t="shared" si="53"/>
        <v>5.1058186171999997</v>
      </c>
      <c r="AF303" s="9"/>
      <c r="AG303" s="22">
        <v>1.3754299999999999</v>
      </c>
      <c r="AH303" s="22">
        <v>180.363</v>
      </c>
      <c r="AI303" s="22">
        <v>-1.3809200000000001E-2</v>
      </c>
      <c r="AJ303" s="22">
        <v>293</v>
      </c>
      <c r="AK303" s="22">
        <v>1.3742099999999999</v>
      </c>
      <c r="AL303">
        <f t="shared" si="54"/>
        <v>13.809200000000001</v>
      </c>
      <c r="AM303">
        <f t="shared" si="55"/>
        <v>18.993587955999999</v>
      </c>
      <c r="AP303" s="9"/>
      <c r="AQ303" s="22">
        <v>0.32455400000000001</v>
      </c>
      <c r="AR303" s="22">
        <v>229.809</v>
      </c>
      <c r="AS303" s="22">
        <v>-1.56128E-2</v>
      </c>
      <c r="AT303" s="22">
        <v>293</v>
      </c>
      <c r="AU303" s="22">
        <v>0.32388299999999998</v>
      </c>
      <c r="AV303">
        <f t="shared" si="56"/>
        <v>15.6128</v>
      </c>
      <c r="AW303">
        <f t="shared" si="57"/>
        <v>5.0671966912000004</v>
      </c>
      <c r="AX303" s="9"/>
      <c r="AY303" s="22">
        <v>1.3754299999999999</v>
      </c>
      <c r="AZ303" s="22">
        <v>264.149</v>
      </c>
      <c r="BA303" s="22">
        <v>-1.3632200000000001E-2</v>
      </c>
      <c r="BB303" s="22">
        <v>293</v>
      </c>
      <c r="BC303" s="22">
        <v>1.3745099999999999</v>
      </c>
      <c r="BD303">
        <f t="shared" si="58"/>
        <v>13.632200000000001</v>
      </c>
      <c r="BE303">
        <f t="shared" si="59"/>
        <v>18.750136846</v>
      </c>
    </row>
    <row r="304" spans="6:57">
      <c r="F304" s="9"/>
      <c r="G304" s="22">
        <v>0.319519</v>
      </c>
      <c r="H304" s="22">
        <v>52.015999999999998</v>
      </c>
      <c r="I304" s="22">
        <v>-1.5799000000000001E-2</v>
      </c>
      <c r="J304" s="22">
        <v>294</v>
      </c>
      <c r="K304" s="22">
        <v>0.31887799999999999</v>
      </c>
      <c r="L304">
        <f t="shared" si="48"/>
        <v>15.799000000000001</v>
      </c>
      <c r="M304">
        <f t="shared" si="49"/>
        <v>5.0480806810000001</v>
      </c>
      <c r="N304" s="9"/>
      <c r="O304" s="22">
        <v>1.38046</v>
      </c>
      <c r="P304" s="22">
        <v>101.44199999999999</v>
      </c>
      <c r="Q304" s="22">
        <v>-1.39679E-2</v>
      </c>
      <c r="R304" s="22">
        <v>294</v>
      </c>
      <c r="S304" s="22">
        <v>1.3793899999999999</v>
      </c>
      <c r="T304">
        <f t="shared" si="50"/>
        <v>13.9679</v>
      </c>
      <c r="U304">
        <f t="shared" si="51"/>
        <v>19.282127234000001</v>
      </c>
      <c r="X304" s="9"/>
      <c r="Y304" s="22">
        <v>0.319519</v>
      </c>
      <c r="Z304" s="22">
        <v>130.899</v>
      </c>
      <c r="AA304" s="22">
        <v>-1.57349E-2</v>
      </c>
      <c r="AB304" s="22">
        <v>294</v>
      </c>
      <c r="AC304" s="22">
        <v>0.31878699999999999</v>
      </c>
      <c r="AD304">
        <f t="shared" si="52"/>
        <v>15.7349</v>
      </c>
      <c r="AE304">
        <f t="shared" si="53"/>
        <v>5.0275995131000002</v>
      </c>
      <c r="AF304" s="9"/>
      <c r="AG304" s="22">
        <v>1.38046</v>
      </c>
      <c r="AH304" s="22">
        <v>180.37299999999999</v>
      </c>
      <c r="AI304" s="22">
        <v>-1.3766499999999999E-2</v>
      </c>
      <c r="AJ304" s="22">
        <v>294</v>
      </c>
      <c r="AK304" s="22">
        <v>1.3790899999999999</v>
      </c>
      <c r="AL304">
        <f t="shared" si="54"/>
        <v>13.766499999999999</v>
      </c>
      <c r="AM304">
        <f t="shared" si="55"/>
        <v>19.004102589999999</v>
      </c>
      <c r="AP304" s="9"/>
      <c r="AQ304" s="22">
        <v>0.319519</v>
      </c>
      <c r="AR304" s="22">
        <v>229.81899999999999</v>
      </c>
      <c r="AS304" s="22">
        <v>-1.56189E-2</v>
      </c>
      <c r="AT304" s="22">
        <v>294</v>
      </c>
      <c r="AU304" s="22">
        <v>0.31887799999999999</v>
      </c>
      <c r="AV304">
        <f t="shared" si="56"/>
        <v>15.6189</v>
      </c>
      <c r="AW304">
        <f t="shared" si="57"/>
        <v>4.9905353091000002</v>
      </c>
      <c r="AX304" s="9"/>
      <c r="AY304" s="22">
        <v>1.38046</v>
      </c>
      <c r="AZ304" s="22">
        <v>264.15899999999999</v>
      </c>
      <c r="BA304" s="22">
        <v>-1.3589499999999999E-2</v>
      </c>
      <c r="BB304" s="22">
        <v>294</v>
      </c>
      <c r="BC304" s="22">
        <v>1.3793899999999999</v>
      </c>
      <c r="BD304">
        <f t="shared" si="58"/>
        <v>13.589499999999999</v>
      </c>
      <c r="BE304">
        <f t="shared" si="59"/>
        <v>18.759761170000001</v>
      </c>
    </row>
    <row r="305" spans="6:57">
      <c r="F305" s="9"/>
      <c r="G305" s="22">
        <v>0.31448399999999999</v>
      </c>
      <c r="H305" s="22">
        <v>52.0261</v>
      </c>
      <c r="I305" s="22">
        <v>-1.5811200000000001E-2</v>
      </c>
      <c r="J305" s="22">
        <v>295</v>
      </c>
      <c r="K305" s="22">
        <v>0.31384299999999998</v>
      </c>
      <c r="L305">
        <f t="shared" si="48"/>
        <v>15.811200000000001</v>
      </c>
      <c r="M305">
        <f t="shared" si="49"/>
        <v>4.9723694207999998</v>
      </c>
      <c r="N305" s="9"/>
      <c r="O305" s="22">
        <v>1.3855</v>
      </c>
      <c r="P305" s="22">
        <v>101.453</v>
      </c>
      <c r="Q305" s="22">
        <v>-1.39221E-2</v>
      </c>
      <c r="R305" s="22">
        <v>295</v>
      </c>
      <c r="S305" s="22">
        <v>1.38489</v>
      </c>
      <c r="T305">
        <f t="shared" si="50"/>
        <v>13.9221</v>
      </c>
      <c r="U305">
        <f t="shared" si="51"/>
        <v>19.289069550000001</v>
      </c>
      <c r="X305" s="9"/>
      <c r="Y305" s="22">
        <v>0.31448399999999999</v>
      </c>
      <c r="Z305" s="22">
        <v>130.91</v>
      </c>
      <c r="AA305" s="22">
        <v>-1.57349E-2</v>
      </c>
      <c r="AB305" s="22">
        <v>295</v>
      </c>
      <c r="AC305" s="22">
        <v>0.31384299999999998</v>
      </c>
      <c r="AD305">
        <f t="shared" si="52"/>
        <v>15.7349</v>
      </c>
      <c r="AE305">
        <f t="shared" si="53"/>
        <v>4.9483742915999995</v>
      </c>
      <c r="AF305" s="9"/>
      <c r="AG305" s="22">
        <v>1.3855</v>
      </c>
      <c r="AH305" s="22">
        <v>180.38300000000001</v>
      </c>
      <c r="AI305" s="22">
        <v>-1.37238E-2</v>
      </c>
      <c r="AJ305" s="22">
        <v>295</v>
      </c>
      <c r="AK305" s="22">
        <v>1.38428</v>
      </c>
      <c r="AL305">
        <f t="shared" si="54"/>
        <v>13.723799999999999</v>
      </c>
      <c r="AM305">
        <f t="shared" si="55"/>
        <v>19.014324899999998</v>
      </c>
      <c r="AP305" s="9"/>
      <c r="AQ305" s="22">
        <v>0.31448399999999999</v>
      </c>
      <c r="AR305" s="22">
        <v>229.82900000000001</v>
      </c>
      <c r="AS305" s="22">
        <v>-1.5625E-2</v>
      </c>
      <c r="AT305" s="22">
        <v>295</v>
      </c>
      <c r="AU305" s="22">
        <v>0.31384299999999998</v>
      </c>
      <c r="AV305">
        <f t="shared" si="56"/>
        <v>15.625</v>
      </c>
      <c r="AW305">
        <f t="shared" si="57"/>
        <v>4.9138124999999997</v>
      </c>
      <c r="AX305" s="9"/>
      <c r="AY305" s="22">
        <v>1.3855</v>
      </c>
      <c r="AZ305" s="22">
        <v>264.17</v>
      </c>
      <c r="BA305" s="22">
        <v>-1.3543700000000001E-2</v>
      </c>
      <c r="BB305" s="22">
        <v>295</v>
      </c>
      <c r="BC305" s="22">
        <v>1.38428</v>
      </c>
      <c r="BD305">
        <f t="shared" si="58"/>
        <v>13.543700000000001</v>
      </c>
      <c r="BE305">
        <f t="shared" si="59"/>
        <v>18.764796350000001</v>
      </c>
    </row>
    <row r="306" spans="6:57">
      <c r="F306" s="9"/>
      <c r="G306" s="22">
        <v>0.309448</v>
      </c>
      <c r="H306" s="22">
        <v>52.036200000000001</v>
      </c>
      <c r="I306" s="22">
        <v>-1.5817299999999999E-2</v>
      </c>
      <c r="J306" s="22">
        <v>296</v>
      </c>
      <c r="K306" s="22">
        <v>0.30868499999999999</v>
      </c>
      <c r="L306">
        <f t="shared" si="48"/>
        <v>15.817299999999999</v>
      </c>
      <c r="M306">
        <f t="shared" si="49"/>
        <v>4.8946318503999997</v>
      </c>
      <c r="N306" s="9"/>
      <c r="O306" s="22">
        <v>1.39053</v>
      </c>
      <c r="P306" s="22">
        <v>101.46299999999999</v>
      </c>
      <c r="Q306" s="22">
        <v>-1.3876299999999999E-2</v>
      </c>
      <c r="R306" s="22">
        <v>296</v>
      </c>
      <c r="S306" s="22">
        <v>1.38947</v>
      </c>
      <c r="T306">
        <f t="shared" si="50"/>
        <v>13.876299999999999</v>
      </c>
      <c r="U306">
        <f t="shared" si="51"/>
        <v>19.295411438999999</v>
      </c>
      <c r="X306" s="9"/>
      <c r="Y306" s="22">
        <v>0.309448</v>
      </c>
      <c r="Z306" s="22">
        <v>130.91999999999999</v>
      </c>
      <c r="AA306" s="22">
        <v>-1.57349E-2</v>
      </c>
      <c r="AB306" s="22">
        <v>296</v>
      </c>
      <c r="AC306" s="22">
        <v>0.30877700000000002</v>
      </c>
      <c r="AD306">
        <f t="shared" si="52"/>
        <v>15.7349</v>
      </c>
      <c r="AE306">
        <f t="shared" si="53"/>
        <v>4.8691333351999999</v>
      </c>
      <c r="AF306" s="9"/>
      <c r="AG306" s="22">
        <v>1.39053</v>
      </c>
      <c r="AH306" s="22">
        <v>180.393</v>
      </c>
      <c r="AI306" s="22">
        <v>-1.36749E-2</v>
      </c>
      <c r="AJ306" s="22">
        <v>296</v>
      </c>
      <c r="AK306" s="22">
        <v>1.3897699999999999</v>
      </c>
      <c r="AL306">
        <f t="shared" si="54"/>
        <v>13.674900000000001</v>
      </c>
      <c r="AM306">
        <f t="shared" si="55"/>
        <v>19.015358697000003</v>
      </c>
      <c r="AP306" s="9"/>
      <c r="AQ306" s="22">
        <v>0.309448</v>
      </c>
      <c r="AR306" s="22">
        <v>229.839</v>
      </c>
      <c r="AS306" s="22">
        <v>-1.5634200000000001E-2</v>
      </c>
      <c r="AT306" s="22">
        <v>296</v>
      </c>
      <c r="AU306" s="22">
        <v>0.308807</v>
      </c>
      <c r="AV306">
        <f t="shared" si="56"/>
        <v>15.634200000000002</v>
      </c>
      <c r="AW306">
        <f t="shared" si="57"/>
        <v>4.8379719216000003</v>
      </c>
      <c r="AX306" s="9"/>
      <c r="AY306" s="22">
        <v>1.39053</v>
      </c>
      <c r="AZ306" s="22">
        <v>264.18</v>
      </c>
      <c r="BA306" s="22">
        <v>-1.3494900000000001E-2</v>
      </c>
      <c r="BB306" s="22">
        <v>296</v>
      </c>
      <c r="BC306" s="22">
        <v>1.3897699999999999</v>
      </c>
      <c r="BD306">
        <f t="shared" si="58"/>
        <v>13.494900000000001</v>
      </c>
      <c r="BE306">
        <f t="shared" si="59"/>
        <v>18.765063297000001</v>
      </c>
    </row>
    <row r="307" spans="6:57">
      <c r="F307" s="9"/>
      <c r="G307" s="22">
        <v>0.30441299999999999</v>
      </c>
      <c r="H307" s="22">
        <v>52.046199999999999</v>
      </c>
      <c r="I307" s="22">
        <v>-1.5820299999999999E-2</v>
      </c>
      <c r="J307" s="22">
        <v>297</v>
      </c>
      <c r="K307" s="22">
        <v>0.30377199999999999</v>
      </c>
      <c r="L307">
        <f t="shared" si="48"/>
        <v>15.8203</v>
      </c>
      <c r="M307">
        <f t="shared" si="49"/>
        <v>4.8159049838999994</v>
      </c>
      <c r="N307" s="9"/>
      <c r="O307" s="22">
        <v>1.39557</v>
      </c>
      <c r="P307" s="22">
        <v>101.473</v>
      </c>
      <c r="Q307" s="22">
        <v>-1.38275E-2</v>
      </c>
      <c r="R307" s="22">
        <v>297</v>
      </c>
      <c r="S307" s="22">
        <v>1.3940399999999999</v>
      </c>
      <c r="T307">
        <f t="shared" si="50"/>
        <v>13.827499999999999</v>
      </c>
      <c r="U307">
        <f t="shared" si="51"/>
        <v>19.297244174999999</v>
      </c>
      <c r="X307" s="9"/>
      <c r="Y307" s="22">
        <v>0.30441299999999999</v>
      </c>
      <c r="Z307" s="22">
        <v>130.93</v>
      </c>
      <c r="AA307" s="22">
        <v>-1.57349E-2</v>
      </c>
      <c r="AB307" s="22">
        <v>297</v>
      </c>
      <c r="AC307" s="22">
        <v>0.30377199999999999</v>
      </c>
      <c r="AD307">
        <f t="shared" si="52"/>
        <v>15.7349</v>
      </c>
      <c r="AE307">
        <f t="shared" si="53"/>
        <v>4.7899081137000001</v>
      </c>
      <c r="AF307" s="9"/>
      <c r="AG307" s="22">
        <v>1.39557</v>
      </c>
      <c r="AH307" s="22">
        <v>180.40299999999999</v>
      </c>
      <c r="AI307" s="22">
        <v>-1.3623E-2</v>
      </c>
      <c r="AJ307" s="22">
        <v>297</v>
      </c>
      <c r="AK307" s="22">
        <v>1.3946499999999999</v>
      </c>
      <c r="AL307">
        <f t="shared" si="54"/>
        <v>13.622999999999999</v>
      </c>
      <c r="AM307">
        <f t="shared" si="55"/>
        <v>19.011850109999997</v>
      </c>
      <c r="AP307" s="9"/>
      <c r="AQ307" s="22">
        <v>0.30441299999999999</v>
      </c>
      <c r="AR307" s="22">
        <v>229.85</v>
      </c>
      <c r="AS307" s="22">
        <v>-1.5640299999999999E-2</v>
      </c>
      <c r="AT307" s="22">
        <v>297</v>
      </c>
      <c r="AU307" s="22">
        <v>0.30380200000000002</v>
      </c>
      <c r="AV307">
        <f t="shared" si="56"/>
        <v>15.6403</v>
      </c>
      <c r="AW307">
        <f t="shared" si="57"/>
        <v>4.7611106438999995</v>
      </c>
      <c r="AX307" s="9"/>
      <c r="AY307" s="22">
        <v>1.39557</v>
      </c>
      <c r="AZ307" s="22">
        <v>264.19</v>
      </c>
      <c r="BA307" s="22">
        <v>-1.34552E-2</v>
      </c>
      <c r="BB307" s="22">
        <v>297</v>
      </c>
      <c r="BC307" s="22">
        <v>1.39496</v>
      </c>
      <c r="BD307">
        <f t="shared" si="58"/>
        <v>13.455200000000001</v>
      </c>
      <c r="BE307">
        <f t="shared" si="59"/>
        <v>18.777673464000003</v>
      </c>
    </row>
    <row r="308" spans="6:57">
      <c r="F308" s="9"/>
      <c r="G308" s="22">
        <v>0.299377</v>
      </c>
      <c r="H308" s="22">
        <v>52.0563</v>
      </c>
      <c r="I308" s="22">
        <v>-1.5823400000000001E-2</v>
      </c>
      <c r="J308" s="22">
        <v>298</v>
      </c>
      <c r="K308" s="22">
        <v>0.298676</v>
      </c>
      <c r="L308">
        <f t="shared" si="48"/>
        <v>15.823400000000001</v>
      </c>
      <c r="M308">
        <f t="shared" si="49"/>
        <v>4.7371620218000006</v>
      </c>
      <c r="N308" s="9"/>
      <c r="O308" s="22">
        <v>1.4006000000000001</v>
      </c>
      <c r="P308" s="22">
        <v>101.483</v>
      </c>
      <c r="Q308" s="22">
        <v>-1.37787E-2</v>
      </c>
      <c r="R308" s="22">
        <v>298</v>
      </c>
      <c r="S308" s="22">
        <v>1.39954</v>
      </c>
      <c r="T308">
        <f t="shared" si="50"/>
        <v>13.778699999999999</v>
      </c>
      <c r="U308">
        <f t="shared" si="51"/>
        <v>19.29844722</v>
      </c>
      <c r="X308" s="9"/>
      <c r="Y308" s="22">
        <v>0.299377</v>
      </c>
      <c r="Z308" s="22">
        <v>130.94</v>
      </c>
      <c r="AA308" s="22">
        <v>-1.57349E-2</v>
      </c>
      <c r="AB308" s="22">
        <v>298</v>
      </c>
      <c r="AC308" s="22">
        <v>0.29882799999999998</v>
      </c>
      <c r="AD308">
        <f t="shared" si="52"/>
        <v>15.7349</v>
      </c>
      <c r="AE308">
        <f t="shared" si="53"/>
        <v>4.7106671572999996</v>
      </c>
      <c r="AF308" s="9"/>
      <c r="AG308" s="22">
        <v>1.4006000000000001</v>
      </c>
      <c r="AH308" s="22">
        <v>180.41300000000001</v>
      </c>
      <c r="AI308" s="22">
        <v>-1.35773E-2</v>
      </c>
      <c r="AJ308" s="22">
        <v>298</v>
      </c>
      <c r="AK308" s="22">
        <v>1.39954</v>
      </c>
      <c r="AL308">
        <f t="shared" si="54"/>
        <v>13.577300000000001</v>
      </c>
      <c r="AM308">
        <f t="shared" si="55"/>
        <v>19.016366380000001</v>
      </c>
      <c r="AP308" s="9"/>
      <c r="AQ308" s="22">
        <v>0.299377</v>
      </c>
      <c r="AR308" s="22">
        <v>229.86</v>
      </c>
      <c r="AS308" s="22">
        <v>-1.5646400000000001E-2</v>
      </c>
      <c r="AT308" s="22">
        <v>298</v>
      </c>
      <c r="AU308" s="22">
        <v>0.29873699999999997</v>
      </c>
      <c r="AV308">
        <f t="shared" si="56"/>
        <v>15.646400000000002</v>
      </c>
      <c r="AW308">
        <f t="shared" si="57"/>
        <v>4.6841722928000005</v>
      </c>
      <c r="AX308" s="9"/>
      <c r="AY308" s="22">
        <v>1.4006000000000001</v>
      </c>
      <c r="AZ308" s="22">
        <v>264.2</v>
      </c>
      <c r="BA308" s="22">
        <v>-1.34094E-2</v>
      </c>
      <c r="BB308" s="22">
        <v>298</v>
      </c>
      <c r="BC308" s="22">
        <v>1.39984</v>
      </c>
      <c r="BD308">
        <f t="shared" si="58"/>
        <v>13.4094</v>
      </c>
      <c r="BE308">
        <f t="shared" si="59"/>
        <v>18.78120564</v>
      </c>
    </row>
    <row r="309" spans="6:57">
      <c r="F309" s="9"/>
      <c r="G309" s="22">
        <v>0.29434199999999999</v>
      </c>
      <c r="H309" s="22">
        <v>52.066400000000002</v>
      </c>
      <c r="I309" s="22">
        <v>-1.5823400000000001E-2</v>
      </c>
      <c r="J309" s="22">
        <v>299</v>
      </c>
      <c r="K309" s="22">
        <v>0.29370099999999999</v>
      </c>
      <c r="L309">
        <f t="shared" si="48"/>
        <v>15.823400000000001</v>
      </c>
      <c r="M309">
        <f t="shared" si="49"/>
        <v>4.6574912028000002</v>
      </c>
      <c r="N309" s="9"/>
      <c r="O309" s="22">
        <v>1.40564</v>
      </c>
      <c r="P309" s="22">
        <v>101.49299999999999</v>
      </c>
      <c r="Q309" s="22">
        <v>-1.3726800000000001E-2</v>
      </c>
      <c r="R309" s="22">
        <v>299</v>
      </c>
      <c r="S309" s="22">
        <v>1.40503</v>
      </c>
      <c r="T309">
        <f t="shared" si="50"/>
        <v>13.726800000000001</v>
      </c>
      <c r="U309">
        <f t="shared" si="51"/>
        <v>19.294939152000001</v>
      </c>
      <c r="X309" s="9"/>
      <c r="Y309" s="22">
        <v>0.29434199999999999</v>
      </c>
      <c r="Z309" s="22">
        <v>130.94999999999999</v>
      </c>
      <c r="AA309" s="22">
        <v>-1.57349E-2</v>
      </c>
      <c r="AB309" s="22">
        <v>299</v>
      </c>
      <c r="AC309" s="22">
        <v>0.29376200000000002</v>
      </c>
      <c r="AD309">
        <f t="shared" si="52"/>
        <v>15.7349</v>
      </c>
      <c r="AE309">
        <f t="shared" si="53"/>
        <v>4.6314419357999999</v>
      </c>
      <c r="AF309" s="9"/>
      <c r="AG309" s="22">
        <v>1.40564</v>
      </c>
      <c r="AH309" s="22">
        <v>180.423</v>
      </c>
      <c r="AI309" s="22">
        <v>-1.3528399999999999E-2</v>
      </c>
      <c r="AJ309" s="22">
        <v>299</v>
      </c>
      <c r="AK309" s="22">
        <v>1.40472</v>
      </c>
      <c r="AL309">
        <f t="shared" si="54"/>
        <v>13.5284</v>
      </c>
      <c r="AM309">
        <f t="shared" si="55"/>
        <v>19.016060176</v>
      </c>
      <c r="AP309" s="9"/>
      <c r="AQ309" s="22">
        <v>0.29434199999999999</v>
      </c>
      <c r="AR309" s="22">
        <v>229.87</v>
      </c>
      <c r="AS309" s="22">
        <v>-1.5640299999999999E-2</v>
      </c>
      <c r="AT309" s="22">
        <v>299</v>
      </c>
      <c r="AU309" s="22">
        <v>0.29376200000000002</v>
      </c>
      <c r="AV309">
        <f t="shared" si="56"/>
        <v>15.6403</v>
      </c>
      <c r="AW309">
        <f t="shared" si="57"/>
        <v>4.6035971825999997</v>
      </c>
      <c r="AX309" s="9"/>
      <c r="AY309" s="22">
        <v>1.40564</v>
      </c>
      <c r="AZ309" s="22">
        <v>264.20999999999998</v>
      </c>
      <c r="BA309" s="22">
        <v>-1.33606E-2</v>
      </c>
      <c r="BB309" s="22">
        <v>299</v>
      </c>
      <c r="BC309" s="22">
        <v>1.40472</v>
      </c>
      <c r="BD309">
        <f t="shared" si="58"/>
        <v>13.3606</v>
      </c>
      <c r="BE309">
        <f t="shared" si="59"/>
        <v>18.780193784000002</v>
      </c>
    </row>
    <row r="310" spans="6:57">
      <c r="F310" s="9"/>
      <c r="G310" s="22">
        <v>0.28930699999999998</v>
      </c>
      <c r="H310" s="22">
        <v>52.0764</v>
      </c>
      <c r="I310" s="22">
        <v>-1.5820299999999999E-2</v>
      </c>
      <c r="J310" s="22">
        <v>300</v>
      </c>
      <c r="K310" s="22">
        <v>0.28869600000000001</v>
      </c>
      <c r="L310">
        <f t="shared" si="48"/>
        <v>15.8203</v>
      </c>
      <c r="M310">
        <f t="shared" si="49"/>
        <v>4.5769235320999995</v>
      </c>
      <c r="N310" s="9"/>
      <c r="O310" s="22">
        <v>1.4106799999999999</v>
      </c>
      <c r="P310" s="22">
        <v>101.503</v>
      </c>
      <c r="Q310" s="22">
        <v>-1.3677999999999999E-2</v>
      </c>
      <c r="R310" s="22">
        <v>300</v>
      </c>
      <c r="S310" s="22">
        <v>1.40991</v>
      </c>
      <c r="T310">
        <f t="shared" si="50"/>
        <v>13.677999999999999</v>
      </c>
      <c r="U310">
        <f t="shared" si="51"/>
        <v>19.295281039999999</v>
      </c>
      <c r="X310" s="9"/>
      <c r="Y310" s="22">
        <v>0.28930699999999998</v>
      </c>
      <c r="Z310" s="22">
        <v>130.96</v>
      </c>
      <c r="AA310" s="22">
        <v>-1.57349E-2</v>
      </c>
      <c r="AB310" s="22">
        <v>300</v>
      </c>
      <c r="AC310" s="22">
        <v>0.28875699999999999</v>
      </c>
      <c r="AD310">
        <f t="shared" si="52"/>
        <v>15.7349</v>
      </c>
      <c r="AE310">
        <f t="shared" si="53"/>
        <v>4.5522167142999992</v>
      </c>
      <c r="AF310" s="9"/>
      <c r="AG310" s="22">
        <v>1.4106799999999999</v>
      </c>
      <c r="AH310" s="22">
        <v>180.43299999999999</v>
      </c>
      <c r="AI310" s="22">
        <v>-1.3473499999999999E-2</v>
      </c>
      <c r="AJ310" s="22">
        <v>300</v>
      </c>
      <c r="AK310" s="22">
        <v>1.40961</v>
      </c>
      <c r="AL310">
        <f t="shared" si="54"/>
        <v>13.4735</v>
      </c>
      <c r="AM310">
        <f t="shared" si="55"/>
        <v>19.006796979999997</v>
      </c>
      <c r="AP310" s="9"/>
      <c r="AQ310" s="22">
        <v>0.28930699999999998</v>
      </c>
      <c r="AR310" s="22">
        <v>229.88</v>
      </c>
      <c r="AS310" s="22">
        <v>-1.5640299999999999E-2</v>
      </c>
      <c r="AT310" s="22">
        <v>300</v>
      </c>
      <c r="AU310" s="22">
        <v>0.28869600000000001</v>
      </c>
      <c r="AV310">
        <f t="shared" si="56"/>
        <v>15.6403</v>
      </c>
      <c r="AW310">
        <f t="shared" si="57"/>
        <v>4.5248482720999998</v>
      </c>
      <c r="AX310" s="9"/>
      <c r="AY310" s="22">
        <v>1.4106799999999999</v>
      </c>
      <c r="AZ310" s="22">
        <v>264.22000000000003</v>
      </c>
      <c r="BA310" s="22">
        <v>-1.33057E-2</v>
      </c>
      <c r="BB310" s="22">
        <v>300</v>
      </c>
      <c r="BC310" s="22">
        <v>1.40991</v>
      </c>
      <c r="BD310">
        <f t="shared" si="58"/>
        <v>13.3057</v>
      </c>
      <c r="BE310">
        <f t="shared" si="59"/>
        <v>18.770084875999999</v>
      </c>
    </row>
    <row r="311" spans="6:57">
      <c r="F311" s="9"/>
      <c r="G311" s="22">
        <v>0.284271</v>
      </c>
      <c r="H311" s="22">
        <v>52.086500000000001</v>
      </c>
      <c r="I311" s="22">
        <v>-1.5823400000000001E-2</v>
      </c>
      <c r="J311" s="22">
        <v>301</v>
      </c>
      <c r="K311" s="22">
        <v>0.28362999999999999</v>
      </c>
      <c r="L311">
        <f t="shared" si="48"/>
        <v>15.823400000000001</v>
      </c>
      <c r="M311">
        <f t="shared" si="49"/>
        <v>4.4981337414000002</v>
      </c>
      <c r="N311" s="9"/>
      <c r="O311" s="22">
        <v>1.41571</v>
      </c>
      <c r="P311" s="22">
        <v>101.51300000000001</v>
      </c>
      <c r="Q311" s="22">
        <v>-1.362E-2</v>
      </c>
      <c r="R311" s="22">
        <v>301</v>
      </c>
      <c r="S311" s="22">
        <v>1.41479</v>
      </c>
      <c r="T311">
        <f t="shared" si="50"/>
        <v>13.620000000000001</v>
      </c>
      <c r="U311">
        <f t="shared" si="51"/>
        <v>19.281970200000004</v>
      </c>
      <c r="X311" s="9"/>
      <c r="Y311" s="22">
        <v>0.284271</v>
      </c>
      <c r="Z311" s="22">
        <v>130.97</v>
      </c>
      <c r="AA311" s="22">
        <v>-1.5737899999999999E-2</v>
      </c>
      <c r="AB311" s="22">
        <v>301</v>
      </c>
      <c r="AC311" s="22">
        <v>0.283661</v>
      </c>
      <c r="AD311">
        <f t="shared" si="52"/>
        <v>15.7379</v>
      </c>
      <c r="AE311">
        <f t="shared" si="53"/>
        <v>4.4738285709000003</v>
      </c>
      <c r="AF311" s="9"/>
      <c r="AG311" s="22">
        <v>1.41571</v>
      </c>
      <c r="AH311" s="22">
        <v>180.44300000000001</v>
      </c>
      <c r="AI311" s="22">
        <v>-1.3421600000000001E-2</v>
      </c>
      <c r="AJ311" s="22">
        <v>301</v>
      </c>
      <c r="AK311" s="22">
        <v>1.4151</v>
      </c>
      <c r="AL311">
        <f t="shared" si="54"/>
        <v>13.4216</v>
      </c>
      <c r="AM311">
        <f t="shared" si="55"/>
        <v>19.001093336</v>
      </c>
      <c r="AP311" s="9"/>
      <c r="AQ311" s="22">
        <v>0.284271</v>
      </c>
      <c r="AR311" s="22">
        <v>229.89</v>
      </c>
      <c r="AS311" s="22">
        <v>-1.5640299999999999E-2</v>
      </c>
      <c r="AT311" s="22">
        <v>301</v>
      </c>
      <c r="AU311" s="22">
        <v>0.28362999999999999</v>
      </c>
      <c r="AV311">
        <f t="shared" si="56"/>
        <v>15.6403</v>
      </c>
      <c r="AW311">
        <f t="shared" si="57"/>
        <v>4.4460837213</v>
      </c>
      <c r="AX311" s="9"/>
      <c r="AY311" s="22">
        <v>1.41571</v>
      </c>
      <c r="AZ311" s="22">
        <v>264.23</v>
      </c>
      <c r="BA311" s="22">
        <v>-1.3250700000000001E-2</v>
      </c>
      <c r="BB311" s="22">
        <v>301</v>
      </c>
      <c r="BC311" s="22">
        <v>1.41479</v>
      </c>
      <c r="BD311">
        <f t="shared" si="58"/>
        <v>13.2507</v>
      </c>
      <c r="BE311">
        <f t="shared" si="59"/>
        <v>18.759148497000002</v>
      </c>
    </row>
    <row r="312" spans="6:57">
      <c r="F312" s="9"/>
      <c r="G312" s="22">
        <v>0.27923599999999998</v>
      </c>
      <c r="H312" s="22">
        <v>52.096600000000002</v>
      </c>
      <c r="I312" s="22">
        <v>-1.58295E-2</v>
      </c>
      <c r="J312" s="22">
        <v>302</v>
      </c>
      <c r="K312" s="22">
        <v>0.27856399999999998</v>
      </c>
      <c r="L312">
        <f t="shared" si="48"/>
        <v>15.829499999999999</v>
      </c>
      <c r="M312">
        <f t="shared" si="49"/>
        <v>4.4201662619999995</v>
      </c>
      <c r="N312" s="9"/>
      <c r="O312" s="22">
        <v>1.42075</v>
      </c>
      <c r="P312" s="22">
        <v>101.523</v>
      </c>
      <c r="Q312" s="22">
        <v>-1.3555899999999999E-2</v>
      </c>
      <c r="R312" s="22">
        <v>302</v>
      </c>
      <c r="S312" s="22">
        <v>1.41998</v>
      </c>
      <c r="T312">
        <f t="shared" si="50"/>
        <v>13.555899999999999</v>
      </c>
      <c r="U312">
        <f t="shared" si="51"/>
        <v>19.259544925</v>
      </c>
      <c r="X312" s="9"/>
      <c r="Y312" s="22">
        <v>0.27923599999999998</v>
      </c>
      <c r="Z312" s="22">
        <v>130.97999999999999</v>
      </c>
      <c r="AA312" s="22">
        <v>-1.5741000000000002E-2</v>
      </c>
      <c r="AB312" s="22">
        <v>302</v>
      </c>
      <c r="AC312" s="22">
        <v>0.27859499999999998</v>
      </c>
      <c r="AD312">
        <f t="shared" si="52"/>
        <v>15.741000000000001</v>
      </c>
      <c r="AE312">
        <f t="shared" si="53"/>
        <v>4.3954538760000004</v>
      </c>
      <c r="AF312" s="9"/>
      <c r="AG312" s="22">
        <v>1.42075</v>
      </c>
      <c r="AH312" s="22">
        <v>180.453</v>
      </c>
      <c r="AI312" s="22">
        <v>-1.33606E-2</v>
      </c>
      <c r="AJ312" s="22">
        <v>302</v>
      </c>
      <c r="AK312" s="22">
        <v>1.41998</v>
      </c>
      <c r="AL312">
        <f t="shared" si="54"/>
        <v>13.3606</v>
      </c>
      <c r="AM312">
        <f t="shared" si="55"/>
        <v>18.98207245</v>
      </c>
      <c r="AP312" s="9"/>
      <c r="AQ312" s="22">
        <v>0.27923599999999998</v>
      </c>
      <c r="AR312" s="22">
        <v>229.9</v>
      </c>
      <c r="AS312" s="22">
        <v>-1.56372E-2</v>
      </c>
      <c r="AT312" s="22">
        <v>302</v>
      </c>
      <c r="AU312" s="22">
        <v>0.27871699999999999</v>
      </c>
      <c r="AV312">
        <f t="shared" si="56"/>
        <v>15.6372</v>
      </c>
      <c r="AW312">
        <f t="shared" si="57"/>
        <v>4.3664691792000001</v>
      </c>
      <c r="AX312" s="9"/>
      <c r="AY312" s="22">
        <v>1.42075</v>
      </c>
      <c r="AZ312" s="22">
        <v>264.24</v>
      </c>
      <c r="BA312" s="22">
        <v>-1.31927E-2</v>
      </c>
      <c r="BB312" s="22">
        <v>302</v>
      </c>
      <c r="BC312" s="22">
        <v>1.4196800000000001</v>
      </c>
      <c r="BD312">
        <f t="shared" si="58"/>
        <v>13.1927</v>
      </c>
      <c r="BE312">
        <f t="shared" si="59"/>
        <v>18.743528524999999</v>
      </c>
    </row>
    <row r="313" spans="6:57">
      <c r="F313" s="9"/>
      <c r="G313" s="22">
        <v>0.2742</v>
      </c>
      <c r="H313" s="22">
        <v>52.1066</v>
      </c>
      <c r="I313" s="22">
        <v>-1.5832499999999999E-2</v>
      </c>
      <c r="J313" s="22">
        <v>303</v>
      </c>
      <c r="K313" s="22">
        <v>0.273621</v>
      </c>
      <c r="L313">
        <f t="shared" si="48"/>
        <v>15.8325</v>
      </c>
      <c r="M313">
        <f t="shared" si="49"/>
        <v>4.3412714999999995</v>
      </c>
      <c r="N313" s="9"/>
      <c r="O313" s="22">
        <v>1.42578</v>
      </c>
      <c r="P313" s="22">
        <v>101.533</v>
      </c>
      <c r="Q313" s="22">
        <v>-1.34979E-2</v>
      </c>
      <c r="R313" s="22">
        <v>303</v>
      </c>
      <c r="S313" s="22">
        <v>1.42517</v>
      </c>
      <c r="T313">
        <f t="shared" si="50"/>
        <v>13.4979</v>
      </c>
      <c r="U313">
        <f t="shared" si="51"/>
        <v>19.245035862000002</v>
      </c>
      <c r="X313" s="9"/>
      <c r="Y313" s="22">
        <v>0.2742</v>
      </c>
      <c r="Z313" s="22">
        <v>130.99</v>
      </c>
      <c r="AA313" s="22">
        <v>-1.57471E-2</v>
      </c>
      <c r="AB313" s="22">
        <v>303</v>
      </c>
      <c r="AC313" s="22">
        <v>0.27356000000000003</v>
      </c>
      <c r="AD313">
        <f t="shared" si="52"/>
        <v>15.7471</v>
      </c>
      <c r="AE313">
        <f t="shared" si="53"/>
        <v>4.31785482</v>
      </c>
      <c r="AF313" s="9"/>
      <c r="AG313" s="22">
        <v>1.42578</v>
      </c>
      <c r="AH313" s="22">
        <v>180.464</v>
      </c>
      <c r="AI313" s="22">
        <v>-1.3296499999999999E-2</v>
      </c>
      <c r="AJ313" s="22">
        <v>303</v>
      </c>
      <c r="AK313" s="22">
        <v>1.42456</v>
      </c>
      <c r="AL313">
        <f t="shared" si="54"/>
        <v>13.2965</v>
      </c>
      <c r="AM313">
        <f t="shared" si="55"/>
        <v>18.957883770000002</v>
      </c>
      <c r="AP313" s="9"/>
      <c r="AQ313" s="22">
        <v>0.2742</v>
      </c>
      <c r="AR313" s="22">
        <v>229.91</v>
      </c>
      <c r="AS313" s="22">
        <v>-1.5631099999999998E-2</v>
      </c>
      <c r="AT313" s="22">
        <v>303</v>
      </c>
      <c r="AU313" s="22">
        <v>0.273621</v>
      </c>
      <c r="AV313">
        <f t="shared" si="56"/>
        <v>15.631099999999998</v>
      </c>
      <c r="AW313">
        <f t="shared" si="57"/>
        <v>4.2860476199999997</v>
      </c>
      <c r="AX313" s="9"/>
      <c r="AY313" s="22">
        <v>1.42578</v>
      </c>
      <c r="AZ313" s="22">
        <v>264.25</v>
      </c>
      <c r="BA313" s="22">
        <v>-1.31226E-2</v>
      </c>
      <c r="BB313" s="22">
        <v>303</v>
      </c>
      <c r="BC313" s="22">
        <v>1.42517</v>
      </c>
      <c r="BD313">
        <f t="shared" si="58"/>
        <v>13.1226</v>
      </c>
      <c r="BE313">
        <f t="shared" si="59"/>
        <v>18.709940628000002</v>
      </c>
    </row>
    <row r="314" spans="6:57">
      <c r="F314" s="9"/>
      <c r="G314" s="22">
        <v>0.26916499999999999</v>
      </c>
      <c r="H314" s="22">
        <v>52.116700000000002</v>
      </c>
      <c r="I314" s="22">
        <v>-1.5835599999999998E-2</v>
      </c>
      <c r="J314" s="22">
        <v>304</v>
      </c>
      <c r="K314" s="22">
        <v>0.26843299999999998</v>
      </c>
      <c r="L314">
        <f t="shared" si="48"/>
        <v>15.835599999999998</v>
      </c>
      <c r="M314">
        <f t="shared" si="49"/>
        <v>4.2623892739999993</v>
      </c>
      <c r="N314" s="9"/>
      <c r="O314" s="22">
        <v>1.43082</v>
      </c>
      <c r="P314" s="22">
        <v>101.54300000000001</v>
      </c>
      <c r="Q314" s="22">
        <v>-1.3421600000000001E-2</v>
      </c>
      <c r="R314" s="22">
        <v>304</v>
      </c>
      <c r="S314" s="22">
        <v>1.4297500000000001</v>
      </c>
      <c r="T314">
        <f t="shared" si="50"/>
        <v>13.4216</v>
      </c>
      <c r="U314">
        <f t="shared" si="51"/>
        <v>19.203893711999999</v>
      </c>
      <c r="X314" s="9"/>
      <c r="Y314" s="22">
        <v>0.26916499999999999</v>
      </c>
      <c r="Z314" s="22">
        <v>131</v>
      </c>
      <c r="AA314" s="22">
        <v>-1.5753199999999998E-2</v>
      </c>
      <c r="AB314" s="22">
        <v>304</v>
      </c>
      <c r="AC314" s="22">
        <v>0.26849400000000001</v>
      </c>
      <c r="AD314">
        <f t="shared" si="52"/>
        <v>15.753199999999998</v>
      </c>
      <c r="AE314">
        <f t="shared" si="53"/>
        <v>4.2402100779999996</v>
      </c>
      <c r="AF314" s="9"/>
      <c r="AG314" s="22">
        <v>1.43082</v>
      </c>
      <c r="AH314" s="22">
        <v>180.47399999999999</v>
      </c>
      <c r="AI314" s="22">
        <v>-1.32263E-2</v>
      </c>
      <c r="AJ314" s="22">
        <v>304</v>
      </c>
      <c r="AK314" s="22">
        <v>1.4297500000000001</v>
      </c>
      <c r="AL314">
        <f t="shared" si="54"/>
        <v>13.2263</v>
      </c>
      <c r="AM314">
        <f t="shared" si="55"/>
        <v>18.924454566000001</v>
      </c>
      <c r="AP314" s="9"/>
      <c r="AQ314" s="22">
        <v>0.26916499999999999</v>
      </c>
      <c r="AR314" s="22">
        <v>229.92</v>
      </c>
      <c r="AS314" s="22">
        <v>-1.5628099999999999E-2</v>
      </c>
      <c r="AT314" s="22">
        <v>304</v>
      </c>
      <c r="AU314" s="22">
        <v>0.26858500000000002</v>
      </c>
      <c r="AV314">
        <f t="shared" si="56"/>
        <v>15.628099999999998</v>
      </c>
      <c r="AW314">
        <f t="shared" si="57"/>
        <v>4.2065375364999991</v>
      </c>
      <c r="AX314" s="9"/>
      <c r="AY314" s="22">
        <v>1.43082</v>
      </c>
      <c r="AZ314" s="22">
        <v>264.26</v>
      </c>
      <c r="BA314" s="22">
        <v>-1.30554E-2</v>
      </c>
      <c r="BB314" s="22">
        <v>304</v>
      </c>
      <c r="BC314" s="22">
        <v>1.4297500000000001</v>
      </c>
      <c r="BD314">
        <f t="shared" si="58"/>
        <v>13.055400000000001</v>
      </c>
      <c r="BE314">
        <f t="shared" si="59"/>
        <v>18.679927427999999</v>
      </c>
    </row>
    <row r="315" spans="6:57">
      <c r="F315" s="9"/>
      <c r="G315" s="22">
        <v>0.26412999999999998</v>
      </c>
      <c r="H315" s="22">
        <v>52.126800000000003</v>
      </c>
      <c r="I315" s="22">
        <v>-1.5832499999999999E-2</v>
      </c>
      <c r="J315" s="22">
        <v>305</v>
      </c>
      <c r="K315" s="22">
        <v>0.26345800000000003</v>
      </c>
      <c r="L315">
        <f t="shared" si="48"/>
        <v>15.8325</v>
      </c>
      <c r="M315">
        <f t="shared" si="49"/>
        <v>4.1818382249999999</v>
      </c>
      <c r="N315" s="9"/>
      <c r="O315" s="22">
        <v>1.4358500000000001</v>
      </c>
      <c r="P315" s="22">
        <v>101.553</v>
      </c>
      <c r="Q315" s="22">
        <v>-1.3339200000000001E-2</v>
      </c>
      <c r="R315" s="22">
        <v>305</v>
      </c>
      <c r="S315" s="22">
        <v>1.4346300000000001</v>
      </c>
      <c r="T315">
        <f t="shared" si="50"/>
        <v>13.3392</v>
      </c>
      <c r="U315">
        <f t="shared" si="51"/>
        <v>19.15309032</v>
      </c>
      <c r="X315" s="9"/>
      <c r="Y315" s="22">
        <v>0.26412999999999998</v>
      </c>
      <c r="Z315" s="22">
        <v>131.01</v>
      </c>
      <c r="AA315" s="22">
        <v>-1.5753199999999998E-2</v>
      </c>
      <c r="AB315" s="22">
        <v>305</v>
      </c>
      <c r="AC315" s="22">
        <v>0.263519</v>
      </c>
      <c r="AD315">
        <f t="shared" si="52"/>
        <v>15.753199999999998</v>
      </c>
      <c r="AE315">
        <f t="shared" si="53"/>
        <v>4.1608927159999993</v>
      </c>
      <c r="AF315" s="9"/>
      <c r="AG315" s="22">
        <v>1.4358500000000001</v>
      </c>
      <c r="AH315" s="22">
        <v>180.48400000000001</v>
      </c>
      <c r="AI315" s="22">
        <v>-1.3162200000000001E-2</v>
      </c>
      <c r="AJ315" s="22">
        <v>305</v>
      </c>
      <c r="AK315" s="22">
        <v>1.4352400000000001</v>
      </c>
      <c r="AL315">
        <f t="shared" si="54"/>
        <v>13.1622</v>
      </c>
      <c r="AM315">
        <f t="shared" si="55"/>
        <v>18.898944870000001</v>
      </c>
      <c r="AP315" s="9"/>
      <c r="AQ315" s="22">
        <v>0.26412999999999998</v>
      </c>
      <c r="AR315" s="22">
        <v>229.93</v>
      </c>
      <c r="AS315" s="22">
        <v>-1.5634200000000001E-2</v>
      </c>
      <c r="AT315" s="22">
        <v>305</v>
      </c>
      <c r="AU315" s="22">
        <v>0.26348899999999997</v>
      </c>
      <c r="AV315">
        <f t="shared" si="56"/>
        <v>15.634200000000002</v>
      </c>
      <c r="AW315">
        <f t="shared" si="57"/>
        <v>4.129461246</v>
      </c>
      <c r="AX315" s="9"/>
      <c r="AY315" s="22">
        <v>1.4358500000000001</v>
      </c>
      <c r="AZ315" s="22">
        <v>264.27</v>
      </c>
      <c r="BA315" s="22">
        <v>-1.30005E-2</v>
      </c>
      <c r="BB315" s="22">
        <v>305</v>
      </c>
      <c r="BC315" s="22">
        <v>1.4349400000000001</v>
      </c>
      <c r="BD315">
        <f t="shared" si="58"/>
        <v>13.000500000000001</v>
      </c>
      <c r="BE315">
        <f t="shared" si="59"/>
        <v>18.666767925000002</v>
      </c>
    </row>
    <row r="316" spans="6:57">
      <c r="F316" s="9"/>
      <c r="G316" s="22">
        <v>0.25909399999999999</v>
      </c>
      <c r="H316" s="22">
        <v>52.136899999999997</v>
      </c>
      <c r="I316" s="22">
        <v>-1.5832499999999999E-2</v>
      </c>
      <c r="J316" s="22">
        <v>306</v>
      </c>
      <c r="K316" s="22">
        <v>0.25845299999999999</v>
      </c>
      <c r="L316">
        <f t="shared" si="48"/>
        <v>15.8325</v>
      </c>
      <c r="M316">
        <f t="shared" si="49"/>
        <v>4.1021057550000002</v>
      </c>
      <c r="N316" s="9"/>
      <c r="O316" s="22">
        <v>1.44089</v>
      </c>
      <c r="P316" s="22">
        <v>101.563</v>
      </c>
      <c r="Q316" s="22">
        <v>-1.32721E-2</v>
      </c>
      <c r="R316" s="22">
        <v>306</v>
      </c>
      <c r="S316" s="22">
        <v>1.4395100000000001</v>
      </c>
      <c r="T316">
        <f t="shared" si="50"/>
        <v>13.2721</v>
      </c>
      <c r="U316">
        <f t="shared" si="51"/>
        <v>19.123636169000001</v>
      </c>
      <c r="X316" s="9"/>
      <c r="Y316" s="22">
        <v>0.25909399999999999</v>
      </c>
      <c r="Z316" s="22">
        <v>131.02000000000001</v>
      </c>
      <c r="AA316" s="22">
        <v>-1.57501E-2</v>
      </c>
      <c r="AB316" s="22">
        <v>306</v>
      </c>
      <c r="AC316" s="22">
        <v>0.25842300000000001</v>
      </c>
      <c r="AD316">
        <f t="shared" si="52"/>
        <v>15.7501</v>
      </c>
      <c r="AE316">
        <f t="shared" si="53"/>
        <v>4.0807564094000002</v>
      </c>
      <c r="AF316" s="9"/>
      <c r="AG316" s="22">
        <v>1.44089</v>
      </c>
      <c r="AH316" s="22">
        <v>180.494</v>
      </c>
      <c r="AI316" s="22">
        <v>-1.3089E-2</v>
      </c>
      <c r="AJ316" s="22">
        <v>306</v>
      </c>
      <c r="AK316" s="22">
        <v>1.4401200000000001</v>
      </c>
      <c r="AL316">
        <f t="shared" si="54"/>
        <v>13.089</v>
      </c>
      <c r="AM316">
        <f t="shared" si="55"/>
        <v>18.859809210000002</v>
      </c>
      <c r="AP316" s="9"/>
      <c r="AQ316" s="22">
        <v>0.25909399999999999</v>
      </c>
      <c r="AR316" s="22">
        <v>229.94</v>
      </c>
      <c r="AS316" s="22">
        <v>-1.5643299999999999E-2</v>
      </c>
      <c r="AT316" s="22">
        <v>306</v>
      </c>
      <c r="AU316" s="22">
        <v>0.25851400000000002</v>
      </c>
      <c r="AV316">
        <f t="shared" si="56"/>
        <v>15.643299999999998</v>
      </c>
      <c r="AW316">
        <f t="shared" si="57"/>
        <v>4.0530851701999993</v>
      </c>
      <c r="AX316" s="9"/>
      <c r="AY316" s="22">
        <v>1.44089</v>
      </c>
      <c r="AZ316" s="22">
        <v>264.27999999999997</v>
      </c>
      <c r="BA316" s="22">
        <v>-1.29395E-2</v>
      </c>
      <c r="BB316" s="22">
        <v>306</v>
      </c>
      <c r="BC316" s="22">
        <v>1.4404300000000001</v>
      </c>
      <c r="BD316">
        <f t="shared" si="58"/>
        <v>12.939499999999999</v>
      </c>
      <c r="BE316">
        <f t="shared" si="59"/>
        <v>18.644396154999999</v>
      </c>
    </row>
    <row r="317" spans="6:57">
      <c r="F317" s="9"/>
      <c r="G317" s="22">
        <v>0.25405899999999998</v>
      </c>
      <c r="H317" s="22">
        <v>52.146900000000002</v>
      </c>
      <c r="I317" s="22">
        <v>-1.58295E-2</v>
      </c>
      <c r="J317" s="22">
        <v>307</v>
      </c>
      <c r="K317" s="22">
        <v>0.25344800000000001</v>
      </c>
      <c r="L317">
        <f t="shared" si="48"/>
        <v>15.829499999999999</v>
      </c>
      <c r="M317">
        <f t="shared" si="49"/>
        <v>4.0216269404999991</v>
      </c>
      <c r="N317" s="9"/>
      <c r="O317" s="22">
        <v>1.4459200000000001</v>
      </c>
      <c r="P317" s="22">
        <v>101.57299999999999</v>
      </c>
      <c r="Q317" s="22">
        <v>-1.3195800000000001E-2</v>
      </c>
      <c r="R317" s="22">
        <v>307</v>
      </c>
      <c r="S317" s="22">
        <v>1.4459200000000001</v>
      </c>
      <c r="T317">
        <f t="shared" si="50"/>
        <v>13.1958</v>
      </c>
      <c r="U317">
        <f t="shared" si="51"/>
        <v>19.080071136000001</v>
      </c>
      <c r="X317" s="9"/>
      <c r="Y317" s="22">
        <v>0.25405899999999998</v>
      </c>
      <c r="Z317" s="22">
        <v>131.03</v>
      </c>
      <c r="AA317" s="22">
        <v>-1.57501E-2</v>
      </c>
      <c r="AB317" s="22">
        <v>307</v>
      </c>
      <c r="AC317" s="22">
        <v>0.253357</v>
      </c>
      <c r="AD317">
        <f t="shared" si="52"/>
        <v>15.7501</v>
      </c>
      <c r="AE317">
        <f t="shared" si="53"/>
        <v>4.0014546558999999</v>
      </c>
      <c r="AF317" s="9"/>
      <c r="AG317" s="22">
        <v>1.4459200000000001</v>
      </c>
      <c r="AH317" s="22">
        <v>180.50399999999999</v>
      </c>
      <c r="AI317" s="22">
        <v>-1.30096E-2</v>
      </c>
      <c r="AJ317" s="22">
        <v>307</v>
      </c>
      <c r="AK317" s="22">
        <v>1.4453100000000001</v>
      </c>
      <c r="AL317">
        <f t="shared" si="54"/>
        <v>13.009599999999999</v>
      </c>
      <c r="AM317">
        <f t="shared" si="55"/>
        <v>18.810840832</v>
      </c>
      <c r="AP317" s="9"/>
      <c r="AQ317" s="22">
        <v>0.25405899999999998</v>
      </c>
      <c r="AR317" s="22">
        <v>229.95</v>
      </c>
      <c r="AS317" s="22">
        <v>-1.5649400000000001E-2</v>
      </c>
      <c r="AT317" s="22">
        <v>307</v>
      </c>
      <c r="AU317" s="22">
        <v>0.25341799999999998</v>
      </c>
      <c r="AV317">
        <f t="shared" si="56"/>
        <v>15.6494</v>
      </c>
      <c r="AW317">
        <f t="shared" si="57"/>
        <v>3.9758709145999998</v>
      </c>
      <c r="AX317" s="9"/>
      <c r="AY317" s="22">
        <v>1.4459200000000001</v>
      </c>
      <c r="AZ317" s="22">
        <v>264.29000000000002</v>
      </c>
      <c r="BA317" s="22">
        <v>-1.28754E-2</v>
      </c>
      <c r="BB317" s="22">
        <v>307</v>
      </c>
      <c r="BC317" s="22">
        <v>1.4456199999999999</v>
      </c>
      <c r="BD317">
        <f t="shared" si="58"/>
        <v>12.875400000000001</v>
      </c>
      <c r="BE317">
        <f t="shared" si="59"/>
        <v>18.616798368000001</v>
      </c>
    </row>
    <row r="318" spans="6:57">
      <c r="F318" s="9"/>
      <c r="G318" s="22">
        <v>0.24902299999999999</v>
      </c>
      <c r="H318" s="22">
        <v>52.156999999999996</v>
      </c>
      <c r="I318" s="22">
        <v>-1.58295E-2</v>
      </c>
      <c r="J318" s="22">
        <v>308</v>
      </c>
      <c r="K318" s="22">
        <v>0.24838299999999999</v>
      </c>
      <c r="L318">
        <f t="shared" si="48"/>
        <v>15.829499999999999</v>
      </c>
      <c r="M318">
        <f t="shared" si="49"/>
        <v>3.9419095784999998</v>
      </c>
      <c r="N318" s="9"/>
      <c r="O318" s="22">
        <v>1.45096</v>
      </c>
      <c r="P318" s="22">
        <v>101.583</v>
      </c>
      <c r="Q318" s="22">
        <v>-1.31165E-2</v>
      </c>
      <c r="R318" s="22">
        <v>308</v>
      </c>
      <c r="S318" s="22">
        <v>1.4504999999999999</v>
      </c>
      <c r="T318">
        <f t="shared" si="50"/>
        <v>13.1165</v>
      </c>
      <c r="U318">
        <f t="shared" si="51"/>
        <v>19.031516840000002</v>
      </c>
      <c r="X318" s="9"/>
      <c r="Y318" s="22">
        <v>0.24902299999999999</v>
      </c>
      <c r="Z318" s="22">
        <v>131.04</v>
      </c>
      <c r="AA318" s="22">
        <v>-1.5753199999999998E-2</v>
      </c>
      <c r="AB318" s="22">
        <v>308</v>
      </c>
      <c r="AC318" s="22">
        <v>0.248444</v>
      </c>
      <c r="AD318">
        <f t="shared" si="52"/>
        <v>15.753199999999998</v>
      </c>
      <c r="AE318">
        <f t="shared" si="53"/>
        <v>3.9229091235999993</v>
      </c>
      <c r="AF318" s="9"/>
      <c r="AG318" s="22">
        <v>1.45096</v>
      </c>
      <c r="AH318" s="22">
        <v>180.51400000000001</v>
      </c>
      <c r="AI318" s="22">
        <v>-1.29333E-2</v>
      </c>
      <c r="AJ318" s="22">
        <v>308</v>
      </c>
      <c r="AK318" s="22">
        <v>1.4501999999999999</v>
      </c>
      <c r="AL318">
        <f t="shared" si="54"/>
        <v>12.933299999999999</v>
      </c>
      <c r="AM318">
        <f t="shared" si="55"/>
        <v>18.765700967999997</v>
      </c>
      <c r="AP318" s="9"/>
      <c r="AQ318" s="22">
        <v>0.24902299999999999</v>
      </c>
      <c r="AR318" s="22">
        <v>229.96</v>
      </c>
      <c r="AS318" s="22">
        <v>-1.5649400000000001E-2</v>
      </c>
      <c r="AT318" s="22">
        <v>308</v>
      </c>
      <c r="AU318" s="22">
        <v>0.248444</v>
      </c>
      <c r="AV318">
        <f t="shared" si="56"/>
        <v>15.6494</v>
      </c>
      <c r="AW318">
        <f t="shared" si="57"/>
        <v>3.8970605361999997</v>
      </c>
      <c r="AX318" s="9"/>
      <c r="AY318" s="22">
        <v>1.45096</v>
      </c>
      <c r="AZ318" s="22">
        <v>264.3</v>
      </c>
      <c r="BA318" s="22">
        <v>-1.28021E-2</v>
      </c>
      <c r="BB318" s="22">
        <v>308</v>
      </c>
      <c r="BC318" s="22">
        <v>1.4501999999999999</v>
      </c>
      <c r="BD318">
        <f t="shared" si="58"/>
        <v>12.802100000000001</v>
      </c>
      <c r="BE318">
        <f t="shared" si="59"/>
        <v>18.575335016</v>
      </c>
    </row>
    <row r="319" spans="6:57">
      <c r="F319" s="9"/>
      <c r="G319" s="22">
        <v>0.24398800000000001</v>
      </c>
      <c r="H319" s="22">
        <v>52.167099999999998</v>
      </c>
      <c r="I319" s="22">
        <v>-1.58295E-2</v>
      </c>
      <c r="J319" s="22">
        <v>309</v>
      </c>
      <c r="K319" s="22">
        <v>0.243225</v>
      </c>
      <c r="L319">
        <f t="shared" si="48"/>
        <v>15.829499999999999</v>
      </c>
      <c r="M319">
        <f t="shared" si="49"/>
        <v>3.8622080460000001</v>
      </c>
      <c r="N319" s="9"/>
      <c r="O319" s="22">
        <v>1.4559899999999999</v>
      </c>
      <c r="P319" s="22">
        <v>101.593</v>
      </c>
      <c r="Q319" s="22">
        <v>-1.30341E-2</v>
      </c>
      <c r="R319" s="22">
        <v>309</v>
      </c>
      <c r="S319" s="22">
        <v>1.4553799999999999</v>
      </c>
      <c r="T319">
        <f t="shared" si="50"/>
        <v>13.0341</v>
      </c>
      <c r="U319">
        <f t="shared" si="51"/>
        <v>18.977519259000001</v>
      </c>
      <c r="X319" s="9"/>
      <c r="Y319" s="22">
        <v>0.24398800000000001</v>
      </c>
      <c r="Z319" s="22">
        <v>131.05099999999999</v>
      </c>
      <c r="AA319" s="22">
        <v>-1.5756200000000001E-2</v>
      </c>
      <c r="AB319" s="22">
        <v>309</v>
      </c>
      <c r="AC319" s="22">
        <v>0.24334700000000001</v>
      </c>
      <c r="AD319">
        <f t="shared" si="52"/>
        <v>15.756200000000002</v>
      </c>
      <c r="AE319">
        <f t="shared" si="53"/>
        <v>3.8443237256000007</v>
      </c>
      <c r="AF319" s="9"/>
      <c r="AG319" s="22">
        <v>1.4559899999999999</v>
      </c>
      <c r="AH319" s="22">
        <v>180.524</v>
      </c>
      <c r="AI319" s="22">
        <v>-1.28418E-2</v>
      </c>
      <c r="AJ319" s="22">
        <v>309</v>
      </c>
      <c r="AK319" s="22">
        <v>1.4553799999999999</v>
      </c>
      <c r="AL319">
        <f t="shared" si="54"/>
        <v>12.841800000000001</v>
      </c>
      <c r="AM319">
        <f t="shared" si="55"/>
        <v>18.697532381999999</v>
      </c>
      <c r="AP319" s="9"/>
      <c r="AQ319" s="22">
        <v>0.24398800000000001</v>
      </c>
      <c r="AR319" s="22">
        <v>229.97</v>
      </c>
      <c r="AS319" s="22">
        <v>-1.5649400000000001E-2</v>
      </c>
      <c r="AT319" s="22">
        <v>309</v>
      </c>
      <c r="AU319" s="22">
        <v>0.243286</v>
      </c>
      <c r="AV319">
        <f t="shared" si="56"/>
        <v>15.6494</v>
      </c>
      <c r="AW319">
        <f t="shared" si="57"/>
        <v>3.8182658072</v>
      </c>
      <c r="AX319" s="9"/>
      <c r="AY319" s="22">
        <v>1.4559899999999999</v>
      </c>
      <c r="AZ319" s="22">
        <v>264.31099999999998</v>
      </c>
      <c r="BA319" s="22">
        <v>-1.2722799999999999E-2</v>
      </c>
      <c r="BB319" s="22">
        <v>309</v>
      </c>
      <c r="BC319" s="22">
        <v>1.4553799999999999</v>
      </c>
      <c r="BD319">
        <f t="shared" si="58"/>
        <v>12.722799999999999</v>
      </c>
      <c r="BE319">
        <f t="shared" si="59"/>
        <v>18.524269571999998</v>
      </c>
    </row>
    <row r="320" spans="6:57">
      <c r="F320" s="9"/>
      <c r="G320" s="22">
        <v>0.238953</v>
      </c>
      <c r="H320" s="22">
        <v>52.177100000000003</v>
      </c>
      <c r="I320" s="22">
        <v>-1.5832499999999999E-2</v>
      </c>
      <c r="J320" s="22">
        <v>310</v>
      </c>
      <c r="K320" s="22">
        <v>0.238342</v>
      </c>
      <c r="L320">
        <f t="shared" si="48"/>
        <v>15.8325</v>
      </c>
      <c r="M320">
        <f t="shared" si="49"/>
        <v>3.7832233724999997</v>
      </c>
      <c r="N320" s="9"/>
      <c r="O320" s="22">
        <v>1.4610300000000001</v>
      </c>
      <c r="P320" s="22">
        <v>101.604</v>
      </c>
      <c r="Q320" s="22">
        <v>-1.2948599999999999E-2</v>
      </c>
      <c r="R320" s="22">
        <v>310</v>
      </c>
      <c r="S320" s="22">
        <v>1.46027</v>
      </c>
      <c r="T320">
        <f t="shared" si="50"/>
        <v>12.948599999999999</v>
      </c>
      <c r="U320">
        <f t="shared" si="51"/>
        <v>18.918293058</v>
      </c>
      <c r="X320" s="9"/>
      <c r="Y320" s="22">
        <v>0.238953</v>
      </c>
      <c r="Z320" s="22">
        <v>131.06100000000001</v>
      </c>
      <c r="AA320" s="22">
        <v>-1.57593E-2</v>
      </c>
      <c r="AB320" s="22">
        <v>310</v>
      </c>
      <c r="AC320" s="22">
        <v>0.238373</v>
      </c>
      <c r="AD320">
        <f t="shared" si="52"/>
        <v>15.7593</v>
      </c>
      <c r="AE320">
        <f t="shared" si="53"/>
        <v>3.7657320129</v>
      </c>
      <c r="AF320" s="9"/>
      <c r="AG320" s="22">
        <v>1.4610300000000001</v>
      </c>
      <c r="AH320" s="22">
        <v>180.53399999999999</v>
      </c>
      <c r="AI320" s="22">
        <v>-1.27533E-2</v>
      </c>
      <c r="AJ320" s="22">
        <v>310</v>
      </c>
      <c r="AK320" s="22">
        <v>1.4605699999999999</v>
      </c>
      <c r="AL320">
        <f t="shared" si="54"/>
        <v>12.753300000000001</v>
      </c>
      <c r="AM320">
        <f t="shared" si="55"/>
        <v>18.632953899000004</v>
      </c>
      <c r="AP320" s="9"/>
      <c r="AQ320" s="22">
        <v>0.238953</v>
      </c>
      <c r="AR320" s="22">
        <v>229.98</v>
      </c>
      <c r="AS320" s="22">
        <v>-1.5655499999999999E-2</v>
      </c>
      <c r="AT320" s="22">
        <v>310</v>
      </c>
      <c r="AU320" s="22">
        <v>0.238373</v>
      </c>
      <c r="AV320">
        <f t="shared" si="56"/>
        <v>15.6555</v>
      </c>
      <c r="AW320">
        <f t="shared" si="57"/>
        <v>3.7409286915000002</v>
      </c>
      <c r="AX320" s="9"/>
      <c r="AY320" s="22">
        <v>1.4610300000000001</v>
      </c>
      <c r="AZ320" s="22">
        <v>264.32100000000003</v>
      </c>
      <c r="BA320" s="22">
        <v>-1.2634299999999999E-2</v>
      </c>
      <c r="BB320" s="22">
        <v>310</v>
      </c>
      <c r="BC320" s="22">
        <v>1.46027</v>
      </c>
      <c r="BD320">
        <f t="shared" si="58"/>
        <v>12.6343</v>
      </c>
      <c r="BE320">
        <f t="shared" si="59"/>
        <v>18.459091329</v>
      </c>
    </row>
    <row r="321" spans="6:57">
      <c r="F321" s="9"/>
      <c r="G321" s="22">
        <v>0.23391700000000001</v>
      </c>
      <c r="H321" s="22">
        <v>52.187199999999997</v>
      </c>
      <c r="I321" s="22">
        <v>-1.5838600000000001E-2</v>
      </c>
      <c r="J321" s="22">
        <v>311</v>
      </c>
      <c r="K321" s="22">
        <v>0.23333699999999999</v>
      </c>
      <c r="L321">
        <f t="shared" si="48"/>
        <v>15.838600000000001</v>
      </c>
      <c r="M321">
        <f t="shared" si="49"/>
        <v>3.7049177962000006</v>
      </c>
      <c r="N321" s="9"/>
      <c r="O321" s="22">
        <v>1.4660599999999999</v>
      </c>
      <c r="P321" s="22">
        <v>101.614</v>
      </c>
      <c r="Q321" s="22">
        <v>-1.2854000000000001E-2</v>
      </c>
      <c r="R321" s="22">
        <v>311</v>
      </c>
      <c r="S321" s="22">
        <v>1.4654499999999999</v>
      </c>
      <c r="T321">
        <f t="shared" si="50"/>
        <v>12.854000000000001</v>
      </c>
      <c r="U321">
        <f t="shared" si="51"/>
        <v>18.844735240000002</v>
      </c>
      <c r="X321" s="9"/>
      <c r="Y321" s="22">
        <v>0.23391700000000001</v>
      </c>
      <c r="Z321" s="22">
        <v>131.071</v>
      </c>
      <c r="AA321" s="22">
        <v>-1.57623E-2</v>
      </c>
      <c r="AB321" s="22">
        <v>311</v>
      </c>
      <c r="AC321" s="22">
        <v>0.233429</v>
      </c>
      <c r="AD321">
        <f t="shared" si="52"/>
        <v>15.7623</v>
      </c>
      <c r="AE321">
        <f t="shared" si="53"/>
        <v>3.6870699291000002</v>
      </c>
      <c r="AF321" s="9"/>
      <c r="AG321" s="22">
        <v>1.4660599999999999</v>
      </c>
      <c r="AH321" s="22">
        <v>180.54400000000001</v>
      </c>
      <c r="AI321" s="22">
        <v>-1.26678E-2</v>
      </c>
      <c r="AJ321" s="22">
        <v>311</v>
      </c>
      <c r="AK321" s="22">
        <v>1.4654499999999999</v>
      </c>
      <c r="AL321">
        <f t="shared" si="54"/>
        <v>12.6678</v>
      </c>
      <c r="AM321">
        <f t="shared" si="55"/>
        <v>18.571754867999999</v>
      </c>
      <c r="AP321" s="9"/>
      <c r="AQ321" s="22">
        <v>0.23391700000000001</v>
      </c>
      <c r="AR321" s="22">
        <v>229.99100000000001</v>
      </c>
      <c r="AS321" s="22">
        <v>-1.56647E-2</v>
      </c>
      <c r="AT321" s="22">
        <v>311</v>
      </c>
      <c r="AU321" s="22">
        <v>0.23336799999999999</v>
      </c>
      <c r="AV321">
        <f t="shared" si="56"/>
        <v>15.6647</v>
      </c>
      <c r="AW321">
        <f t="shared" si="57"/>
        <v>3.6642396299</v>
      </c>
      <c r="AX321" s="9"/>
      <c r="AY321" s="22">
        <v>1.4660599999999999</v>
      </c>
      <c r="AZ321" s="22">
        <v>264.33100000000002</v>
      </c>
      <c r="BA321" s="22">
        <v>-1.2545799999999999E-2</v>
      </c>
      <c r="BB321" s="22">
        <v>311</v>
      </c>
      <c r="BC321" s="22">
        <v>1.4648399999999999</v>
      </c>
      <c r="BD321">
        <f t="shared" si="58"/>
        <v>12.5458</v>
      </c>
      <c r="BE321">
        <f t="shared" si="59"/>
        <v>18.392895547999998</v>
      </c>
    </row>
    <row r="322" spans="6:57">
      <c r="F322" s="9"/>
      <c r="G322" s="22">
        <v>0.228882</v>
      </c>
      <c r="H322" s="22">
        <v>52.197299999999998</v>
      </c>
      <c r="I322" s="22">
        <v>-1.5838600000000001E-2</v>
      </c>
      <c r="J322" s="22">
        <v>312</v>
      </c>
      <c r="K322" s="22">
        <v>0.22821</v>
      </c>
      <c r="L322">
        <f t="shared" si="48"/>
        <v>15.838600000000001</v>
      </c>
      <c r="M322">
        <f t="shared" si="49"/>
        <v>3.6251704452000002</v>
      </c>
      <c r="N322" s="9"/>
      <c r="O322" s="22">
        <v>1.4711000000000001</v>
      </c>
      <c r="P322" s="22">
        <v>101.624</v>
      </c>
      <c r="Q322" s="22">
        <v>-1.2765500000000001E-2</v>
      </c>
      <c r="R322" s="22">
        <v>312</v>
      </c>
      <c r="S322" s="22">
        <v>1.4706399999999999</v>
      </c>
      <c r="T322">
        <f t="shared" si="50"/>
        <v>12.765500000000001</v>
      </c>
      <c r="U322">
        <f t="shared" si="51"/>
        <v>18.779327050000003</v>
      </c>
      <c r="X322" s="9"/>
      <c r="Y322" s="22">
        <v>0.228882</v>
      </c>
      <c r="Z322" s="22">
        <v>131.08099999999999</v>
      </c>
      <c r="AA322" s="22">
        <v>-1.5768399999999998E-2</v>
      </c>
      <c r="AB322" s="22">
        <v>312</v>
      </c>
      <c r="AC322" s="22">
        <v>0.228271</v>
      </c>
      <c r="AD322">
        <f t="shared" si="52"/>
        <v>15.768399999999998</v>
      </c>
      <c r="AE322">
        <f t="shared" si="53"/>
        <v>3.6091029287999996</v>
      </c>
      <c r="AF322" s="9"/>
      <c r="AG322" s="22">
        <v>1.4711000000000001</v>
      </c>
      <c r="AH322" s="22">
        <v>180.554</v>
      </c>
      <c r="AI322" s="22">
        <v>-1.25854E-2</v>
      </c>
      <c r="AJ322" s="22">
        <v>312</v>
      </c>
      <c r="AK322" s="22">
        <v>1.47034</v>
      </c>
      <c r="AL322">
        <f t="shared" si="54"/>
        <v>12.5854</v>
      </c>
      <c r="AM322">
        <f t="shared" si="55"/>
        <v>18.51438194</v>
      </c>
      <c r="AP322" s="9"/>
      <c r="AQ322" s="22">
        <v>0.228882</v>
      </c>
      <c r="AR322" s="22">
        <v>230.001</v>
      </c>
      <c r="AS322" s="22">
        <v>-1.5673800000000002E-2</v>
      </c>
      <c r="AT322" s="22">
        <v>312</v>
      </c>
      <c r="AU322" s="22">
        <v>0.228271</v>
      </c>
      <c r="AV322">
        <f t="shared" si="56"/>
        <v>15.673800000000002</v>
      </c>
      <c r="AW322">
        <f t="shared" si="57"/>
        <v>3.5874506916000004</v>
      </c>
      <c r="AX322" s="9"/>
      <c r="AY322" s="22">
        <v>1.4711000000000001</v>
      </c>
      <c r="AZ322" s="22">
        <v>264.34100000000001</v>
      </c>
      <c r="BA322" s="22">
        <v>-1.2457299999999999E-2</v>
      </c>
      <c r="BB322" s="22">
        <v>312</v>
      </c>
      <c r="BC322" s="22">
        <v>1.4706399999999999</v>
      </c>
      <c r="BD322">
        <f t="shared" si="58"/>
        <v>12.4573</v>
      </c>
      <c r="BE322">
        <f t="shared" si="59"/>
        <v>18.325934030000003</v>
      </c>
    </row>
    <row r="323" spans="6:57">
      <c r="F323" s="9"/>
      <c r="G323" s="22">
        <v>0.22384599999999999</v>
      </c>
      <c r="H323" s="22">
        <v>52.2074</v>
      </c>
      <c r="I323" s="22">
        <v>-1.58417E-2</v>
      </c>
      <c r="J323" s="22">
        <v>313</v>
      </c>
      <c r="K323" s="22">
        <v>0.22323599999999999</v>
      </c>
      <c r="L323">
        <f t="shared" si="48"/>
        <v>15.841699999999999</v>
      </c>
      <c r="M323">
        <f t="shared" si="49"/>
        <v>3.5461011781999998</v>
      </c>
      <c r="N323" s="9"/>
      <c r="O323" s="22">
        <v>1.47614</v>
      </c>
      <c r="P323" s="22">
        <v>101.634</v>
      </c>
      <c r="Q323" s="22">
        <v>-1.2674E-2</v>
      </c>
      <c r="R323" s="22">
        <v>313</v>
      </c>
      <c r="S323" s="22">
        <v>1.47522</v>
      </c>
      <c r="T323">
        <f t="shared" si="50"/>
        <v>12.673999999999999</v>
      </c>
      <c r="U323">
        <f t="shared" si="51"/>
        <v>18.70859836</v>
      </c>
      <c r="X323" s="9"/>
      <c r="Y323" s="22">
        <v>0.22384599999999999</v>
      </c>
      <c r="Z323" s="22">
        <v>131.09100000000001</v>
      </c>
      <c r="AA323" s="22">
        <v>-1.5771500000000001E-2</v>
      </c>
      <c r="AB323" s="22">
        <v>313</v>
      </c>
      <c r="AC323" s="22">
        <v>0.22323599999999999</v>
      </c>
      <c r="AD323">
        <f t="shared" si="52"/>
        <v>15.771500000000001</v>
      </c>
      <c r="AE323">
        <f t="shared" si="53"/>
        <v>3.5303871890000003</v>
      </c>
      <c r="AF323" s="9"/>
      <c r="AG323" s="22">
        <v>1.47614</v>
      </c>
      <c r="AH323" s="22">
        <v>180.56399999999999</v>
      </c>
      <c r="AI323" s="22">
        <v>-1.24969E-2</v>
      </c>
      <c r="AJ323" s="22">
        <v>313</v>
      </c>
      <c r="AK323" s="22">
        <v>1.4755199999999999</v>
      </c>
      <c r="AL323">
        <f t="shared" si="54"/>
        <v>12.4969</v>
      </c>
      <c r="AM323">
        <f t="shared" si="55"/>
        <v>18.447173966000001</v>
      </c>
      <c r="AP323" s="9"/>
      <c r="AQ323" s="22">
        <v>0.22384599999999999</v>
      </c>
      <c r="AR323" s="22">
        <v>230.011</v>
      </c>
      <c r="AS323" s="22">
        <v>-1.5676900000000001E-2</v>
      </c>
      <c r="AT323" s="22">
        <v>313</v>
      </c>
      <c r="AU323" s="22">
        <v>0.22317500000000001</v>
      </c>
      <c r="AV323">
        <f t="shared" si="56"/>
        <v>15.6769</v>
      </c>
      <c r="AW323">
        <f t="shared" si="57"/>
        <v>3.5092113573999999</v>
      </c>
      <c r="AX323" s="9"/>
      <c r="AY323" s="22">
        <v>1.47614</v>
      </c>
      <c r="AZ323" s="22">
        <v>264.351</v>
      </c>
      <c r="BA323" s="22">
        <v>-1.2362700000000001E-2</v>
      </c>
      <c r="BB323" s="22">
        <v>313</v>
      </c>
      <c r="BC323" s="22">
        <v>1.4755199999999999</v>
      </c>
      <c r="BD323">
        <f t="shared" si="58"/>
        <v>12.3627</v>
      </c>
      <c r="BE323">
        <f t="shared" si="59"/>
        <v>18.249075978</v>
      </c>
    </row>
    <row r="324" spans="6:57">
      <c r="F324" s="9"/>
      <c r="G324" s="22">
        <v>0.21881100000000001</v>
      </c>
      <c r="H324" s="22">
        <v>52.217399999999998</v>
      </c>
      <c r="I324" s="22">
        <v>-1.5835599999999998E-2</v>
      </c>
      <c r="J324" s="22">
        <v>314</v>
      </c>
      <c r="K324" s="22">
        <v>0.21826200000000001</v>
      </c>
      <c r="L324">
        <f t="shared" si="48"/>
        <v>15.835599999999998</v>
      </c>
      <c r="M324">
        <f t="shared" si="49"/>
        <v>3.4650034715999998</v>
      </c>
      <c r="N324" s="9"/>
      <c r="O324" s="22">
        <v>1.4811700000000001</v>
      </c>
      <c r="P324" s="22">
        <v>101.64400000000001</v>
      </c>
      <c r="Q324" s="22">
        <v>-1.25763E-2</v>
      </c>
      <c r="R324" s="22">
        <v>314</v>
      </c>
      <c r="S324" s="22">
        <v>1.48041</v>
      </c>
      <c r="T324">
        <f t="shared" si="50"/>
        <v>12.5763</v>
      </c>
      <c r="U324">
        <f t="shared" si="51"/>
        <v>18.627638271000002</v>
      </c>
      <c r="X324" s="9"/>
      <c r="Y324" s="22">
        <v>0.21881100000000001</v>
      </c>
      <c r="Z324" s="22">
        <v>131.101</v>
      </c>
      <c r="AA324" s="22">
        <v>-1.5777599999999999E-2</v>
      </c>
      <c r="AB324" s="22">
        <v>314</v>
      </c>
      <c r="AC324" s="22">
        <v>0.21826200000000001</v>
      </c>
      <c r="AD324">
        <f t="shared" si="52"/>
        <v>15.7776</v>
      </c>
      <c r="AE324">
        <f t="shared" si="53"/>
        <v>3.4523124336</v>
      </c>
      <c r="AF324" s="9"/>
      <c r="AG324" s="22">
        <v>1.4811700000000001</v>
      </c>
      <c r="AH324" s="22">
        <v>180.57400000000001</v>
      </c>
      <c r="AI324" s="22">
        <v>-1.24054E-2</v>
      </c>
      <c r="AJ324" s="22">
        <v>314</v>
      </c>
      <c r="AK324" s="22">
        <v>1.48041</v>
      </c>
      <c r="AL324">
        <f t="shared" si="54"/>
        <v>12.4054</v>
      </c>
      <c r="AM324">
        <f t="shared" si="55"/>
        <v>18.374506318000002</v>
      </c>
      <c r="AP324" s="9"/>
      <c r="AQ324" s="22">
        <v>0.21881100000000001</v>
      </c>
      <c r="AR324" s="22">
        <v>230.02099999999999</v>
      </c>
      <c r="AS324" s="22">
        <v>-1.56799E-2</v>
      </c>
      <c r="AT324" s="22">
        <v>314</v>
      </c>
      <c r="AU324" s="22">
        <v>0.21817</v>
      </c>
      <c r="AV324">
        <f t="shared" si="56"/>
        <v>15.6799</v>
      </c>
      <c r="AW324">
        <f t="shared" si="57"/>
        <v>3.4309345989</v>
      </c>
      <c r="AX324" s="9"/>
      <c r="AY324" s="22">
        <v>1.4811700000000001</v>
      </c>
      <c r="AZ324" s="22">
        <v>264.36099999999999</v>
      </c>
      <c r="BA324" s="22">
        <v>-1.22711E-2</v>
      </c>
      <c r="BB324" s="22">
        <v>314</v>
      </c>
      <c r="BC324" s="22">
        <v>1.48071</v>
      </c>
      <c r="BD324">
        <f t="shared" si="58"/>
        <v>12.271100000000001</v>
      </c>
      <c r="BE324">
        <f t="shared" si="59"/>
        <v>18.175585187000003</v>
      </c>
    </row>
    <row r="325" spans="6:57">
      <c r="F325" s="9"/>
      <c r="G325" s="22">
        <v>0.21377599999999999</v>
      </c>
      <c r="H325" s="22">
        <v>52.227499999999999</v>
      </c>
      <c r="I325" s="22">
        <v>-1.5832499999999999E-2</v>
      </c>
      <c r="J325" s="22">
        <v>315</v>
      </c>
      <c r="K325" s="22">
        <v>0.213287</v>
      </c>
      <c r="L325">
        <f t="shared" si="48"/>
        <v>15.8325</v>
      </c>
      <c r="M325">
        <f t="shared" si="49"/>
        <v>3.38460852</v>
      </c>
      <c r="N325" s="9"/>
      <c r="O325" s="22">
        <v>1.48621</v>
      </c>
      <c r="P325" s="22">
        <v>101.654</v>
      </c>
      <c r="Q325" s="22">
        <v>-1.2478599999999999E-2</v>
      </c>
      <c r="R325" s="22">
        <v>315</v>
      </c>
      <c r="S325" s="22">
        <v>1.4856</v>
      </c>
      <c r="T325">
        <f t="shared" si="50"/>
        <v>12.4786</v>
      </c>
      <c r="U325">
        <f t="shared" si="51"/>
        <v>18.545820106000001</v>
      </c>
      <c r="X325" s="9"/>
      <c r="Y325" s="22">
        <v>0.21377599999999999</v>
      </c>
      <c r="Z325" s="22">
        <v>131.11099999999999</v>
      </c>
      <c r="AA325" s="22">
        <v>-1.5777599999999999E-2</v>
      </c>
      <c r="AB325" s="22">
        <v>315</v>
      </c>
      <c r="AC325" s="22">
        <v>0.213257</v>
      </c>
      <c r="AD325">
        <f t="shared" si="52"/>
        <v>15.7776</v>
      </c>
      <c r="AE325">
        <f t="shared" si="53"/>
        <v>3.3728722175999999</v>
      </c>
      <c r="AF325" s="9"/>
      <c r="AG325" s="22">
        <v>1.48621</v>
      </c>
      <c r="AH325" s="22">
        <v>180.584</v>
      </c>
      <c r="AI325" s="22">
        <v>-1.23047E-2</v>
      </c>
      <c r="AJ325" s="22">
        <v>315</v>
      </c>
      <c r="AK325" s="22">
        <v>1.48529</v>
      </c>
      <c r="AL325">
        <f t="shared" si="54"/>
        <v>12.3047</v>
      </c>
      <c r="AM325">
        <f t="shared" si="55"/>
        <v>18.287368187000002</v>
      </c>
      <c r="AP325" s="9"/>
      <c r="AQ325" s="22">
        <v>0.21377599999999999</v>
      </c>
      <c r="AR325" s="22">
        <v>230.03100000000001</v>
      </c>
      <c r="AS325" s="22">
        <v>-1.56799E-2</v>
      </c>
      <c r="AT325" s="22">
        <v>315</v>
      </c>
      <c r="AU325" s="22">
        <v>0.21310399999999999</v>
      </c>
      <c r="AV325">
        <f t="shared" si="56"/>
        <v>15.6799</v>
      </c>
      <c r="AW325">
        <f t="shared" si="57"/>
        <v>3.3519863023999998</v>
      </c>
      <c r="AX325" s="9"/>
      <c r="AY325" s="22">
        <v>1.48621</v>
      </c>
      <c r="AZ325" s="22">
        <v>264.37099999999998</v>
      </c>
      <c r="BA325" s="22">
        <v>-1.2164299999999999E-2</v>
      </c>
      <c r="BB325" s="22">
        <v>315</v>
      </c>
      <c r="BC325" s="22">
        <v>1.4856</v>
      </c>
      <c r="BD325">
        <f t="shared" si="58"/>
        <v>12.164299999999999</v>
      </c>
      <c r="BE325">
        <f t="shared" si="59"/>
        <v>18.078704302999999</v>
      </c>
    </row>
    <row r="326" spans="6:57">
      <c r="F326" s="9"/>
      <c r="G326" s="22">
        <v>0.20874000000000001</v>
      </c>
      <c r="H326" s="22">
        <v>52.2376</v>
      </c>
      <c r="I326" s="22">
        <v>-1.5832499999999999E-2</v>
      </c>
      <c r="J326" s="22">
        <v>316</v>
      </c>
      <c r="K326" s="22">
        <v>0.20819099999999999</v>
      </c>
      <c r="L326">
        <f t="shared" si="48"/>
        <v>15.8325</v>
      </c>
      <c r="M326">
        <f t="shared" si="49"/>
        <v>3.3048760499999998</v>
      </c>
      <c r="N326" s="9"/>
      <c r="O326" s="22">
        <v>1.4912399999999999</v>
      </c>
      <c r="P326" s="22">
        <v>101.664</v>
      </c>
      <c r="Q326" s="22">
        <v>-1.2368799999999999E-2</v>
      </c>
      <c r="R326" s="22">
        <v>316</v>
      </c>
      <c r="S326" s="22">
        <v>1.49078</v>
      </c>
      <c r="T326">
        <f t="shared" si="50"/>
        <v>12.368799999999998</v>
      </c>
      <c r="U326">
        <f t="shared" si="51"/>
        <v>18.444849311999995</v>
      </c>
      <c r="X326" s="9"/>
      <c r="Y326" s="22">
        <v>0.20874000000000001</v>
      </c>
      <c r="Z326" s="22">
        <v>131.12100000000001</v>
      </c>
      <c r="AA326" s="22">
        <v>-1.5780599999999999E-2</v>
      </c>
      <c r="AB326" s="22">
        <v>316</v>
      </c>
      <c r="AC326" s="22">
        <v>0.20819099999999999</v>
      </c>
      <c r="AD326">
        <f t="shared" si="52"/>
        <v>15.780599999999998</v>
      </c>
      <c r="AE326">
        <f t="shared" si="53"/>
        <v>3.2940424439999996</v>
      </c>
      <c r="AF326" s="9"/>
      <c r="AG326" s="22">
        <v>1.4912399999999999</v>
      </c>
      <c r="AH326" s="22">
        <v>180.59399999999999</v>
      </c>
      <c r="AI326" s="22">
        <v>-1.2200900000000001E-2</v>
      </c>
      <c r="AJ326" s="22">
        <v>316</v>
      </c>
      <c r="AK326" s="22">
        <v>1.48987</v>
      </c>
      <c r="AL326">
        <f t="shared" si="54"/>
        <v>12.200900000000001</v>
      </c>
      <c r="AM326">
        <f t="shared" si="55"/>
        <v>18.194470116000002</v>
      </c>
      <c r="AP326" s="9"/>
      <c r="AQ326" s="22">
        <v>0.20874000000000001</v>
      </c>
      <c r="AR326" s="22">
        <v>230.041</v>
      </c>
      <c r="AS326" s="22">
        <v>-1.5682999999999999E-2</v>
      </c>
      <c r="AT326" s="22">
        <v>316</v>
      </c>
      <c r="AU326" s="22">
        <v>0.20819099999999999</v>
      </c>
      <c r="AV326">
        <f t="shared" si="56"/>
        <v>15.683</v>
      </c>
      <c r="AW326">
        <f t="shared" si="57"/>
        <v>3.2736694200000001</v>
      </c>
      <c r="AX326" s="9"/>
      <c r="AY326" s="22">
        <v>1.4912399999999999</v>
      </c>
      <c r="AZ326" s="22">
        <v>264.38099999999997</v>
      </c>
      <c r="BA326" s="22">
        <v>-1.20483E-2</v>
      </c>
      <c r="BB326" s="22">
        <v>316</v>
      </c>
      <c r="BC326" s="22">
        <v>1.49048</v>
      </c>
      <c r="BD326">
        <f t="shared" si="58"/>
        <v>12.048299999999999</v>
      </c>
      <c r="BE326">
        <f t="shared" si="59"/>
        <v>17.966906891999997</v>
      </c>
    </row>
    <row r="327" spans="6:57">
      <c r="F327" s="9"/>
      <c r="G327" s="22">
        <v>0.203705</v>
      </c>
      <c r="H327" s="22">
        <v>52.247599999999998</v>
      </c>
      <c r="I327" s="22">
        <v>-1.58295E-2</v>
      </c>
      <c r="J327" s="22">
        <v>317</v>
      </c>
      <c r="K327" s="22">
        <v>0.20300299999999999</v>
      </c>
      <c r="L327">
        <f t="shared" si="48"/>
        <v>15.829499999999999</v>
      </c>
      <c r="M327">
        <f t="shared" si="49"/>
        <v>3.2245482974999997</v>
      </c>
      <c r="N327" s="9"/>
      <c r="O327" s="22">
        <v>1.4962800000000001</v>
      </c>
      <c r="P327" s="22">
        <v>101.67400000000001</v>
      </c>
      <c r="Q327" s="22">
        <v>-1.22589E-2</v>
      </c>
      <c r="R327" s="22">
        <v>317</v>
      </c>
      <c r="S327" s="22">
        <v>1.4950600000000001</v>
      </c>
      <c r="T327">
        <f t="shared" si="50"/>
        <v>12.258899999999999</v>
      </c>
      <c r="U327">
        <f t="shared" si="51"/>
        <v>18.342746891999997</v>
      </c>
      <c r="X327" s="9"/>
      <c r="Y327" s="22">
        <v>0.203705</v>
      </c>
      <c r="Z327" s="22">
        <v>131.131</v>
      </c>
      <c r="AA327" s="22">
        <v>-1.5777599999999999E-2</v>
      </c>
      <c r="AB327" s="22">
        <v>317</v>
      </c>
      <c r="AC327" s="22">
        <v>0.203156</v>
      </c>
      <c r="AD327">
        <f t="shared" si="52"/>
        <v>15.7776</v>
      </c>
      <c r="AE327">
        <f t="shared" si="53"/>
        <v>3.2139760079999999</v>
      </c>
      <c r="AF327" s="9"/>
      <c r="AG327" s="22">
        <v>1.4962800000000001</v>
      </c>
      <c r="AH327" s="22">
        <v>180.60499999999999</v>
      </c>
      <c r="AI327" s="22">
        <v>-1.2097200000000001E-2</v>
      </c>
      <c r="AJ327" s="22">
        <v>317</v>
      </c>
      <c r="AK327" s="22">
        <v>1.49597</v>
      </c>
      <c r="AL327">
        <f t="shared" si="54"/>
        <v>12.097200000000001</v>
      </c>
      <c r="AM327">
        <f t="shared" si="55"/>
        <v>18.100798416000003</v>
      </c>
      <c r="AP327" s="9"/>
      <c r="AQ327" s="22">
        <v>0.203705</v>
      </c>
      <c r="AR327" s="22">
        <v>230.05099999999999</v>
      </c>
      <c r="AS327" s="22">
        <v>-1.5682999999999999E-2</v>
      </c>
      <c r="AT327" s="22">
        <v>317</v>
      </c>
      <c r="AU327" s="22">
        <v>0.203094</v>
      </c>
      <c r="AV327">
        <f t="shared" si="56"/>
        <v>15.683</v>
      </c>
      <c r="AW327">
        <f t="shared" si="57"/>
        <v>3.1947055149999999</v>
      </c>
      <c r="AX327" s="9"/>
      <c r="AY327" s="22">
        <v>1.4962800000000001</v>
      </c>
      <c r="AZ327" s="22">
        <v>264.39100000000002</v>
      </c>
      <c r="BA327" s="22">
        <v>-1.19232E-2</v>
      </c>
      <c r="BB327" s="22">
        <v>317</v>
      </c>
      <c r="BC327" s="22">
        <v>1.49536</v>
      </c>
      <c r="BD327">
        <f t="shared" si="58"/>
        <v>11.9232</v>
      </c>
      <c r="BE327">
        <f t="shared" si="59"/>
        <v>17.840445696</v>
      </c>
    </row>
    <row r="328" spans="6:57">
      <c r="F328" s="9"/>
      <c r="G328" s="22">
        <v>0.19866900000000001</v>
      </c>
      <c r="H328" s="22">
        <v>52.2577</v>
      </c>
      <c r="I328" s="22">
        <v>-1.5835599999999998E-2</v>
      </c>
      <c r="J328" s="22">
        <v>318</v>
      </c>
      <c r="K328" s="22">
        <v>0.19815099999999999</v>
      </c>
      <c r="L328">
        <f t="shared" si="48"/>
        <v>15.835599999999998</v>
      </c>
      <c r="M328">
        <f t="shared" si="49"/>
        <v>3.1460428163999996</v>
      </c>
      <c r="N328" s="9"/>
      <c r="O328" s="22">
        <v>1.5013099999999999</v>
      </c>
      <c r="P328" s="22">
        <v>101.684</v>
      </c>
      <c r="Q328" s="22">
        <v>-1.2149E-2</v>
      </c>
      <c r="R328" s="22">
        <v>318</v>
      </c>
      <c r="S328" s="22">
        <v>1.5005500000000001</v>
      </c>
      <c r="T328">
        <f t="shared" si="50"/>
        <v>12.149000000000001</v>
      </c>
      <c r="U328">
        <f t="shared" si="51"/>
        <v>18.239415189999999</v>
      </c>
      <c r="X328" s="9"/>
      <c r="Y328" s="22">
        <v>0.19866900000000001</v>
      </c>
      <c r="Z328" s="22">
        <v>131.14099999999999</v>
      </c>
      <c r="AA328" s="22">
        <v>-1.5780599999999999E-2</v>
      </c>
      <c r="AB328" s="22">
        <v>318</v>
      </c>
      <c r="AC328" s="22">
        <v>0.19811999999999999</v>
      </c>
      <c r="AD328">
        <f t="shared" si="52"/>
        <v>15.780599999999998</v>
      </c>
      <c r="AE328">
        <f t="shared" si="53"/>
        <v>3.1351160214</v>
      </c>
      <c r="AF328" s="9"/>
      <c r="AG328" s="22">
        <v>1.5013099999999999</v>
      </c>
      <c r="AH328" s="22">
        <v>180.61500000000001</v>
      </c>
      <c r="AI328" s="22">
        <v>-1.19995E-2</v>
      </c>
      <c r="AJ328" s="22">
        <v>318</v>
      </c>
      <c r="AK328" s="22">
        <v>1.5005500000000001</v>
      </c>
      <c r="AL328">
        <f t="shared" si="54"/>
        <v>11.999499999999999</v>
      </c>
      <c r="AM328">
        <f t="shared" si="55"/>
        <v>18.014969344999997</v>
      </c>
      <c r="AP328" s="9"/>
      <c r="AQ328" s="22">
        <v>0.19866900000000001</v>
      </c>
      <c r="AR328" s="22">
        <v>230.06100000000001</v>
      </c>
      <c r="AS328" s="22">
        <v>-1.5682999999999999E-2</v>
      </c>
      <c r="AT328" s="22">
        <v>318</v>
      </c>
      <c r="AU328" s="22">
        <v>0.19811999999999999</v>
      </c>
      <c r="AV328">
        <f t="shared" si="56"/>
        <v>15.683</v>
      </c>
      <c r="AW328">
        <f t="shared" si="57"/>
        <v>3.1157259270000002</v>
      </c>
      <c r="AX328" s="9"/>
      <c r="AY328" s="22">
        <v>1.5013099999999999</v>
      </c>
      <c r="AZ328" s="22">
        <v>264.40100000000001</v>
      </c>
      <c r="BA328" s="22">
        <v>-1.1804200000000001E-2</v>
      </c>
      <c r="BB328" s="22">
        <v>318</v>
      </c>
      <c r="BC328" s="22">
        <v>1.5005500000000001</v>
      </c>
      <c r="BD328">
        <f t="shared" si="58"/>
        <v>11.804200000000002</v>
      </c>
      <c r="BE328">
        <f t="shared" si="59"/>
        <v>17.721763502000002</v>
      </c>
    </row>
    <row r="329" spans="6:57">
      <c r="F329" s="9"/>
      <c r="G329" s="22">
        <v>0.193634</v>
      </c>
      <c r="H329" s="22">
        <v>52.267800000000001</v>
      </c>
      <c r="I329" s="22">
        <v>-1.5838600000000001E-2</v>
      </c>
      <c r="J329" s="22">
        <v>319</v>
      </c>
      <c r="K329" s="22">
        <v>0.19293199999999999</v>
      </c>
      <c r="L329">
        <f t="shared" si="48"/>
        <v>15.838600000000001</v>
      </c>
      <c r="M329">
        <f t="shared" si="49"/>
        <v>3.0668914724000005</v>
      </c>
      <c r="N329" s="9"/>
      <c r="O329" s="22">
        <v>1.5063500000000001</v>
      </c>
      <c r="P329" s="22">
        <v>101.694</v>
      </c>
      <c r="Q329" s="22">
        <v>-1.2036099999999999E-2</v>
      </c>
      <c r="R329" s="22">
        <v>319</v>
      </c>
      <c r="S329" s="22">
        <v>1.5057400000000001</v>
      </c>
      <c r="T329">
        <f t="shared" si="50"/>
        <v>12.036099999999999</v>
      </c>
      <c r="U329">
        <f t="shared" si="51"/>
        <v>18.130579234999999</v>
      </c>
      <c r="X329" s="9"/>
      <c r="Y329" s="22">
        <v>0.193634</v>
      </c>
      <c r="Z329" s="22">
        <v>131.15100000000001</v>
      </c>
      <c r="AA329" s="22">
        <v>-1.5786700000000001E-2</v>
      </c>
      <c r="AB329" s="22">
        <v>319</v>
      </c>
      <c r="AC329" s="22">
        <v>0.19308500000000001</v>
      </c>
      <c r="AD329">
        <f t="shared" si="52"/>
        <v>15.786700000000002</v>
      </c>
      <c r="AE329">
        <f t="shared" si="53"/>
        <v>3.0568418678000002</v>
      </c>
      <c r="AF329" s="9"/>
      <c r="AG329" s="22">
        <v>1.5063500000000001</v>
      </c>
      <c r="AH329" s="22">
        <v>180.625</v>
      </c>
      <c r="AI329" s="22">
        <v>-1.1898799999999999E-2</v>
      </c>
      <c r="AJ329" s="22">
        <v>319</v>
      </c>
      <c r="AK329" s="22">
        <v>1.50543</v>
      </c>
      <c r="AL329">
        <f t="shared" si="54"/>
        <v>11.8988</v>
      </c>
      <c r="AM329">
        <f t="shared" si="55"/>
        <v>17.923757380000001</v>
      </c>
      <c r="AP329" s="9"/>
      <c r="AQ329" s="22">
        <v>0.193634</v>
      </c>
      <c r="AR329" s="22">
        <v>230.071</v>
      </c>
      <c r="AS329" s="22">
        <v>-1.5682999999999999E-2</v>
      </c>
      <c r="AT329" s="22">
        <v>319</v>
      </c>
      <c r="AU329" s="22">
        <v>0.193054</v>
      </c>
      <c r="AV329">
        <f t="shared" si="56"/>
        <v>15.683</v>
      </c>
      <c r="AW329">
        <f t="shared" si="57"/>
        <v>3.036762022</v>
      </c>
      <c r="AX329" s="9"/>
      <c r="AY329" s="22">
        <v>1.5063500000000001</v>
      </c>
      <c r="AZ329" s="22">
        <v>264.411</v>
      </c>
      <c r="BA329" s="22">
        <v>-1.1688199999999999E-2</v>
      </c>
      <c r="BB329" s="22">
        <v>319</v>
      </c>
      <c r="BC329" s="22">
        <v>1.5057400000000001</v>
      </c>
      <c r="BD329">
        <f t="shared" si="58"/>
        <v>11.6882</v>
      </c>
      <c r="BE329">
        <f t="shared" si="59"/>
        <v>17.606520070000002</v>
      </c>
    </row>
    <row r="330" spans="6:57">
      <c r="F330" s="9"/>
      <c r="G330" s="22">
        <v>0.18859899999999999</v>
      </c>
      <c r="H330" s="22">
        <v>52.277900000000002</v>
      </c>
      <c r="I330" s="22">
        <v>-1.58447E-2</v>
      </c>
      <c r="J330" s="22">
        <v>320</v>
      </c>
      <c r="K330" s="22">
        <v>0.18798799999999999</v>
      </c>
      <c r="L330">
        <f t="shared" si="48"/>
        <v>15.8447</v>
      </c>
      <c r="M330">
        <f t="shared" si="49"/>
        <v>2.9882945752999999</v>
      </c>
      <c r="N330" s="9"/>
      <c r="O330" s="22">
        <v>1.5113799999999999</v>
      </c>
      <c r="P330" s="22">
        <v>101.70399999999999</v>
      </c>
      <c r="Q330" s="22">
        <v>-1.19171E-2</v>
      </c>
      <c r="R330" s="22">
        <v>320</v>
      </c>
      <c r="S330" s="22">
        <v>1.5106200000000001</v>
      </c>
      <c r="T330">
        <f t="shared" si="50"/>
        <v>11.9171</v>
      </c>
      <c r="U330">
        <f t="shared" si="51"/>
        <v>18.011266597999999</v>
      </c>
      <c r="X330" s="9"/>
      <c r="Y330" s="22">
        <v>0.18859899999999999</v>
      </c>
      <c r="Z330" s="22">
        <v>131.161</v>
      </c>
      <c r="AA330" s="22">
        <v>-1.57898E-2</v>
      </c>
      <c r="AB330" s="22">
        <v>320</v>
      </c>
      <c r="AC330" s="22">
        <v>0.18792700000000001</v>
      </c>
      <c r="AD330">
        <f t="shared" si="52"/>
        <v>15.7898</v>
      </c>
      <c r="AE330">
        <f t="shared" si="53"/>
        <v>2.9779404902</v>
      </c>
      <c r="AF330" s="9"/>
      <c r="AG330" s="22">
        <v>1.5113799999999999</v>
      </c>
      <c r="AH330" s="22">
        <v>180.63499999999999</v>
      </c>
      <c r="AI330" s="22">
        <v>-1.17859E-2</v>
      </c>
      <c r="AJ330" s="22">
        <v>320</v>
      </c>
      <c r="AK330" s="22">
        <v>1.5106200000000001</v>
      </c>
      <c r="AL330">
        <f t="shared" si="54"/>
        <v>11.7859</v>
      </c>
      <c r="AM330">
        <f t="shared" si="55"/>
        <v>17.812973541999998</v>
      </c>
      <c r="AP330" s="9"/>
      <c r="AQ330" s="22">
        <v>0.18859899999999999</v>
      </c>
      <c r="AR330" s="22">
        <v>230.08099999999999</v>
      </c>
      <c r="AS330" s="22">
        <v>-1.56799E-2</v>
      </c>
      <c r="AT330" s="22">
        <v>320</v>
      </c>
      <c r="AU330" s="22">
        <v>0.18801899999999999</v>
      </c>
      <c r="AV330">
        <f t="shared" si="56"/>
        <v>15.6799</v>
      </c>
      <c r="AW330">
        <f t="shared" si="57"/>
        <v>2.9572134600999997</v>
      </c>
      <c r="AX330" s="9"/>
      <c r="AY330" s="22">
        <v>1.5113799999999999</v>
      </c>
      <c r="AZ330" s="22">
        <v>264.42099999999999</v>
      </c>
      <c r="BA330" s="22">
        <v>-1.15662E-2</v>
      </c>
      <c r="BB330" s="22">
        <v>320</v>
      </c>
      <c r="BC330" s="22">
        <v>1.5106200000000001</v>
      </c>
      <c r="BD330">
        <f t="shared" si="58"/>
        <v>11.5662</v>
      </c>
      <c r="BE330">
        <f t="shared" si="59"/>
        <v>17.480923355999998</v>
      </c>
    </row>
    <row r="331" spans="6:57">
      <c r="F331" s="9"/>
      <c r="G331" s="22">
        <v>0.183563</v>
      </c>
      <c r="H331" s="22">
        <v>52.2879</v>
      </c>
      <c r="I331" s="22">
        <v>-1.5853900000000001E-2</v>
      </c>
      <c r="J331" s="22">
        <v>321</v>
      </c>
      <c r="K331" s="22">
        <v>0.18298300000000001</v>
      </c>
      <c r="L331">
        <f t="shared" si="48"/>
        <v>15.853900000000001</v>
      </c>
      <c r="M331">
        <f t="shared" si="49"/>
        <v>2.9101894457000004</v>
      </c>
      <c r="N331" s="9"/>
      <c r="O331" s="22">
        <v>1.5164200000000001</v>
      </c>
      <c r="P331" s="22">
        <v>101.714</v>
      </c>
      <c r="Q331" s="22">
        <v>-1.1792E-2</v>
      </c>
      <c r="R331" s="22">
        <v>321</v>
      </c>
      <c r="S331" s="22">
        <v>1.5158100000000001</v>
      </c>
      <c r="T331">
        <f t="shared" si="50"/>
        <v>11.792</v>
      </c>
      <c r="U331">
        <f t="shared" si="51"/>
        <v>17.881624640000002</v>
      </c>
      <c r="X331" s="9"/>
      <c r="Y331" s="22">
        <v>0.183563</v>
      </c>
      <c r="Z331" s="22">
        <v>131.17099999999999</v>
      </c>
      <c r="AA331" s="22">
        <v>-1.5786700000000001E-2</v>
      </c>
      <c r="AB331" s="22">
        <v>321</v>
      </c>
      <c r="AC331" s="22">
        <v>0.182953</v>
      </c>
      <c r="AD331">
        <f t="shared" si="52"/>
        <v>15.786700000000002</v>
      </c>
      <c r="AE331">
        <f t="shared" si="53"/>
        <v>2.8978540121000003</v>
      </c>
      <c r="AF331" s="9"/>
      <c r="AG331" s="22">
        <v>1.5164200000000001</v>
      </c>
      <c r="AH331" s="22">
        <v>180.64500000000001</v>
      </c>
      <c r="AI331" s="22">
        <v>-1.1672999999999999E-2</v>
      </c>
      <c r="AJ331" s="22">
        <v>321</v>
      </c>
      <c r="AK331" s="22">
        <v>1.5161100000000001</v>
      </c>
      <c r="AL331">
        <f t="shared" si="54"/>
        <v>11.673</v>
      </c>
      <c r="AM331">
        <f t="shared" si="55"/>
        <v>17.701170660000002</v>
      </c>
      <c r="AP331" s="9"/>
      <c r="AQ331" s="22">
        <v>0.183563</v>
      </c>
      <c r="AR331" s="22">
        <v>230.09100000000001</v>
      </c>
      <c r="AS331" s="22">
        <v>-1.56799E-2</v>
      </c>
      <c r="AT331" s="22">
        <v>321</v>
      </c>
      <c r="AU331" s="22">
        <v>0.18298300000000001</v>
      </c>
      <c r="AV331">
        <f t="shared" si="56"/>
        <v>15.6799</v>
      </c>
      <c r="AW331">
        <f t="shared" si="57"/>
        <v>2.8782494836999999</v>
      </c>
      <c r="AX331" s="9"/>
      <c r="AY331" s="22">
        <v>1.5164200000000001</v>
      </c>
      <c r="AZ331" s="22">
        <v>264.43099999999998</v>
      </c>
      <c r="BA331" s="22">
        <v>-1.14441E-2</v>
      </c>
      <c r="BB331" s="22">
        <v>321</v>
      </c>
      <c r="BC331" s="22">
        <v>1.5158100000000001</v>
      </c>
      <c r="BD331">
        <f t="shared" si="58"/>
        <v>11.444100000000001</v>
      </c>
      <c r="BE331">
        <f t="shared" si="59"/>
        <v>17.354062122000002</v>
      </c>
    </row>
    <row r="332" spans="6:57">
      <c r="F332" s="9"/>
      <c r="G332" s="22">
        <v>0.17852799999999999</v>
      </c>
      <c r="H332" s="22">
        <v>52.298000000000002</v>
      </c>
      <c r="I332" s="22">
        <v>-1.5866100000000001E-2</v>
      </c>
      <c r="J332" s="22">
        <v>322</v>
      </c>
      <c r="K332" s="22">
        <v>0.178009</v>
      </c>
      <c r="L332">
        <f t="shared" ref="L332:L388" si="60">-I332/$F$2*1000</f>
        <v>15.866100000000001</v>
      </c>
      <c r="M332">
        <f t="shared" ref="M332:M388" si="61">L332*G332</f>
        <v>2.8325431008000002</v>
      </c>
      <c r="N332" s="9"/>
      <c r="O332" s="22">
        <v>1.52145</v>
      </c>
      <c r="P332" s="22">
        <v>101.724</v>
      </c>
      <c r="Q332" s="22">
        <v>-1.1660800000000001E-2</v>
      </c>
      <c r="R332" s="22">
        <v>322</v>
      </c>
      <c r="S332" s="22">
        <v>1.5206900000000001</v>
      </c>
      <c r="T332">
        <f t="shared" ref="T332:T388" si="62">-Q332/$F$2*1000</f>
        <v>11.6608</v>
      </c>
      <c r="U332">
        <f t="shared" ref="U332:U388" si="63">T332*O332</f>
        <v>17.741324160000001</v>
      </c>
      <c r="X332" s="9"/>
      <c r="Y332" s="22">
        <v>0.17852799999999999</v>
      </c>
      <c r="Z332" s="22">
        <v>131.18100000000001</v>
      </c>
      <c r="AA332" s="22">
        <v>-1.5786700000000001E-2</v>
      </c>
      <c r="AB332" s="22">
        <v>322</v>
      </c>
      <c r="AC332" s="22">
        <v>0.178009</v>
      </c>
      <c r="AD332">
        <f t="shared" ref="AD332:AD388" si="64">-AA332/$F$2*1000</f>
        <v>15.786700000000002</v>
      </c>
      <c r="AE332">
        <f t="shared" ref="AE332:AE388" si="65">AD332*Y332</f>
        <v>2.8183679776000004</v>
      </c>
      <c r="AF332" s="9"/>
      <c r="AG332" s="22">
        <v>1.52145</v>
      </c>
      <c r="AH332" s="22">
        <v>180.655</v>
      </c>
      <c r="AI332" s="22">
        <v>-1.15601E-2</v>
      </c>
      <c r="AJ332" s="22">
        <v>322</v>
      </c>
      <c r="AK332" s="22">
        <v>1.5206900000000001</v>
      </c>
      <c r="AL332">
        <f t="shared" ref="AL332:AL388" si="66">-AI332/$F$2*1000</f>
        <v>11.5601</v>
      </c>
      <c r="AM332">
        <f t="shared" ref="AM332:AM388" si="67">AL332*AG332</f>
        <v>17.588114144999999</v>
      </c>
      <c r="AP332" s="9"/>
      <c r="AQ332" s="22">
        <v>0.17852799999999999</v>
      </c>
      <c r="AR332" s="22">
        <v>230.101</v>
      </c>
      <c r="AS332" s="22">
        <v>-1.5682999999999999E-2</v>
      </c>
      <c r="AT332" s="22">
        <v>322</v>
      </c>
      <c r="AU332" s="22">
        <v>0.17785599999999999</v>
      </c>
      <c r="AV332">
        <f t="shared" ref="AV332:AV388" si="68">-AS332/$F$2*1000</f>
        <v>15.683</v>
      </c>
      <c r="AW332">
        <f t="shared" ref="AW332:AW388" si="69">AV332*AQ332</f>
        <v>2.799854624</v>
      </c>
      <c r="AX332" s="9"/>
      <c r="AY332" s="22">
        <v>1.52145</v>
      </c>
      <c r="AZ332" s="22">
        <v>264.44099999999997</v>
      </c>
      <c r="BA332" s="22">
        <v>-1.13159E-2</v>
      </c>
      <c r="BB332" s="22">
        <v>322</v>
      </c>
      <c r="BC332" s="22">
        <v>1.5209999999999999</v>
      </c>
      <c r="BD332">
        <f t="shared" ref="BD332:BD388" si="70">-BA332/$F$2*1000</f>
        <v>11.315900000000001</v>
      </c>
      <c r="BE332">
        <f t="shared" ref="BE332:BE388" si="71">BD332*AY332</f>
        <v>17.216576055000001</v>
      </c>
    </row>
    <row r="333" spans="6:57">
      <c r="F333" s="9"/>
      <c r="G333" s="22">
        <v>0.17349200000000001</v>
      </c>
      <c r="H333" s="22">
        <v>52.308100000000003</v>
      </c>
      <c r="I333" s="22">
        <v>-1.58722E-2</v>
      </c>
      <c r="J333" s="22">
        <v>323</v>
      </c>
      <c r="K333" s="22">
        <v>0.17288200000000001</v>
      </c>
      <c r="L333">
        <f t="shared" si="60"/>
        <v>15.872199999999999</v>
      </c>
      <c r="M333">
        <f t="shared" si="61"/>
        <v>2.7536997223999999</v>
      </c>
      <c r="N333" s="9"/>
      <c r="O333" s="22">
        <v>1.5264899999999999</v>
      </c>
      <c r="P333" s="22">
        <v>101.73399999999999</v>
      </c>
      <c r="Q333" s="22">
        <v>-1.15265E-2</v>
      </c>
      <c r="R333" s="22">
        <v>323</v>
      </c>
      <c r="S333" s="22">
        <v>1.5255700000000001</v>
      </c>
      <c r="T333">
        <f t="shared" si="62"/>
        <v>11.5265</v>
      </c>
      <c r="U333">
        <f t="shared" si="63"/>
        <v>17.595086984999998</v>
      </c>
      <c r="X333" s="9"/>
      <c r="Y333" s="22">
        <v>0.17349200000000001</v>
      </c>
      <c r="Z333" s="22">
        <v>131.19200000000001</v>
      </c>
      <c r="AA333" s="22">
        <v>-1.57898E-2</v>
      </c>
      <c r="AB333" s="22">
        <v>323</v>
      </c>
      <c r="AC333" s="22">
        <v>0.17285200000000001</v>
      </c>
      <c r="AD333">
        <f t="shared" si="64"/>
        <v>15.7898</v>
      </c>
      <c r="AE333">
        <f t="shared" si="65"/>
        <v>2.7394039816000002</v>
      </c>
      <c r="AF333" s="9"/>
      <c r="AG333" s="22">
        <v>1.5264899999999999</v>
      </c>
      <c r="AH333" s="22">
        <v>180.66499999999999</v>
      </c>
      <c r="AI333" s="22">
        <v>-1.14349E-2</v>
      </c>
      <c r="AJ333" s="22">
        <v>323</v>
      </c>
      <c r="AK333" s="22">
        <v>1.5258799999999999</v>
      </c>
      <c r="AL333">
        <f t="shared" si="66"/>
        <v>11.434899999999999</v>
      </c>
      <c r="AM333">
        <f t="shared" si="67"/>
        <v>17.455260500999998</v>
      </c>
      <c r="AP333" s="9"/>
      <c r="AQ333" s="22">
        <v>0.17349200000000001</v>
      </c>
      <c r="AR333" s="22">
        <v>230.11099999999999</v>
      </c>
      <c r="AS333" s="22">
        <v>-1.5682999999999999E-2</v>
      </c>
      <c r="AT333" s="22">
        <v>323</v>
      </c>
      <c r="AU333" s="22">
        <v>0.17291300000000001</v>
      </c>
      <c r="AV333">
        <f t="shared" si="68"/>
        <v>15.683</v>
      </c>
      <c r="AW333">
        <f t="shared" si="69"/>
        <v>2.7208750360000002</v>
      </c>
      <c r="AX333" s="9"/>
      <c r="AY333" s="22">
        <v>1.5264899999999999</v>
      </c>
      <c r="AZ333" s="22">
        <v>264.452</v>
      </c>
      <c r="BA333" s="22">
        <v>-1.11877E-2</v>
      </c>
      <c r="BB333" s="22">
        <v>323</v>
      </c>
      <c r="BC333" s="22">
        <v>1.5258799999999999</v>
      </c>
      <c r="BD333">
        <f t="shared" si="70"/>
        <v>11.1877</v>
      </c>
      <c r="BE333">
        <f t="shared" si="71"/>
        <v>17.077912172999998</v>
      </c>
    </row>
    <row r="334" spans="6:57">
      <c r="F334" s="9"/>
      <c r="G334" s="22">
        <v>0.168457</v>
      </c>
      <c r="H334" s="22">
        <v>52.318100000000001</v>
      </c>
      <c r="I334" s="22">
        <v>-1.5875199999999999E-2</v>
      </c>
      <c r="J334" s="22">
        <v>324</v>
      </c>
      <c r="K334" s="22">
        <v>0.167877</v>
      </c>
      <c r="L334">
        <f t="shared" si="60"/>
        <v>15.8752</v>
      </c>
      <c r="M334">
        <f t="shared" si="61"/>
        <v>2.6742885664</v>
      </c>
      <c r="N334" s="9"/>
      <c r="O334" s="22">
        <v>1.53152</v>
      </c>
      <c r="P334" s="22">
        <v>101.745</v>
      </c>
      <c r="Q334" s="22">
        <v>-1.13861E-2</v>
      </c>
      <c r="R334" s="22">
        <v>324</v>
      </c>
      <c r="S334" s="22">
        <v>1.5307599999999999</v>
      </c>
      <c r="T334">
        <f t="shared" si="62"/>
        <v>11.386099999999999</v>
      </c>
      <c r="U334">
        <f t="shared" si="63"/>
        <v>17.438039871999997</v>
      </c>
      <c r="X334" s="9"/>
      <c r="Y334" s="22">
        <v>0.168457</v>
      </c>
      <c r="Z334" s="22">
        <v>131.202</v>
      </c>
      <c r="AA334" s="22">
        <v>-1.5786700000000001E-2</v>
      </c>
      <c r="AB334" s="22">
        <v>324</v>
      </c>
      <c r="AC334" s="22">
        <v>0.16781599999999999</v>
      </c>
      <c r="AD334">
        <f t="shared" si="64"/>
        <v>15.786700000000002</v>
      </c>
      <c r="AE334">
        <f t="shared" si="65"/>
        <v>2.6593801219000004</v>
      </c>
      <c r="AF334" s="9"/>
      <c r="AG334" s="22">
        <v>1.53152</v>
      </c>
      <c r="AH334" s="22">
        <v>180.67500000000001</v>
      </c>
      <c r="AI334" s="22">
        <v>-1.12976E-2</v>
      </c>
      <c r="AJ334" s="22">
        <v>324</v>
      </c>
      <c r="AK334" s="22">
        <v>1.5307599999999999</v>
      </c>
      <c r="AL334">
        <f t="shared" si="66"/>
        <v>11.297599999999999</v>
      </c>
      <c r="AM334">
        <f t="shared" si="67"/>
        <v>17.302500351999999</v>
      </c>
      <c r="AP334" s="9"/>
      <c r="AQ334" s="22">
        <v>0.168457</v>
      </c>
      <c r="AR334" s="22">
        <v>230.12100000000001</v>
      </c>
      <c r="AS334" s="22">
        <v>-1.56921E-2</v>
      </c>
      <c r="AT334" s="22">
        <v>324</v>
      </c>
      <c r="AU334" s="22">
        <v>0.167908</v>
      </c>
      <c r="AV334">
        <f t="shared" si="68"/>
        <v>15.6921</v>
      </c>
      <c r="AW334">
        <f t="shared" si="69"/>
        <v>2.6434440897</v>
      </c>
      <c r="AX334" s="9"/>
      <c r="AY334" s="22">
        <v>1.53152</v>
      </c>
      <c r="AZ334" s="22">
        <v>264.46199999999999</v>
      </c>
      <c r="BA334" s="22">
        <v>-1.1065699999999999E-2</v>
      </c>
      <c r="BB334" s="22">
        <v>324</v>
      </c>
      <c r="BC334" s="22">
        <v>1.5307599999999999</v>
      </c>
      <c r="BD334">
        <f t="shared" si="70"/>
        <v>11.0657</v>
      </c>
      <c r="BE334">
        <f t="shared" si="71"/>
        <v>16.947340864000001</v>
      </c>
    </row>
    <row r="335" spans="6:57">
      <c r="F335" s="9"/>
      <c r="G335" s="22">
        <v>0.16342200000000001</v>
      </c>
      <c r="H335" s="22">
        <v>52.328200000000002</v>
      </c>
      <c r="I335" s="22">
        <v>-1.58722E-2</v>
      </c>
      <c r="J335" s="22">
        <v>325</v>
      </c>
      <c r="K335" s="22">
        <v>0.16278100000000001</v>
      </c>
      <c r="L335">
        <f t="shared" si="60"/>
        <v>15.872199999999999</v>
      </c>
      <c r="M335">
        <f t="shared" si="61"/>
        <v>2.5938666684</v>
      </c>
      <c r="N335" s="9"/>
      <c r="O335" s="22">
        <v>1.5365599999999999</v>
      </c>
      <c r="P335" s="22">
        <v>101.755</v>
      </c>
      <c r="Q335" s="22">
        <v>-1.1239600000000001E-2</v>
      </c>
      <c r="R335" s="22">
        <v>325</v>
      </c>
      <c r="S335" s="22">
        <v>1.5359499999999999</v>
      </c>
      <c r="T335">
        <f t="shared" si="62"/>
        <v>11.239600000000001</v>
      </c>
      <c r="U335">
        <f t="shared" si="63"/>
        <v>17.270319776000001</v>
      </c>
      <c r="X335" s="9"/>
      <c r="Y335" s="22">
        <v>0.16342200000000001</v>
      </c>
      <c r="Z335" s="22">
        <v>131.21199999999999</v>
      </c>
      <c r="AA335" s="22">
        <v>-1.5783700000000001E-2</v>
      </c>
      <c r="AB335" s="22">
        <v>325</v>
      </c>
      <c r="AC335" s="22">
        <v>0.16284199999999999</v>
      </c>
      <c r="AD335">
        <f t="shared" si="64"/>
        <v>15.783700000000001</v>
      </c>
      <c r="AE335">
        <f t="shared" si="65"/>
        <v>2.5794038214000006</v>
      </c>
      <c r="AF335" s="9"/>
      <c r="AG335" s="22">
        <v>1.5365599999999999</v>
      </c>
      <c r="AH335" s="22">
        <v>180.685</v>
      </c>
      <c r="AI335" s="22">
        <v>-1.1157200000000001E-2</v>
      </c>
      <c r="AJ335" s="22">
        <v>325</v>
      </c>
      <c r="AK335" s="22">
        <v>1.5359499999999999</v>
      </c>
      <c r="AL335">
        <f t="shared" si="66"/>
        <v>11.157200000000001</v>
      </c>
      <c r="AM335">
        <f t="shared" si="67"/>
        <v>17.143707232000001</v>
      </c>
      <c r="AP335" s="9"/>
      <c r="AQ335" s="22">
        <v>0.16342200000000001</v>
      </c>
      <c r="AR335" s="22">
        <v>230.13200000000001</v>
      </c>
      <c r="AS335" s="22">
        <v>-1.5695199999999999E-2</v>
      </c>
      <c r="AT335" s="22">
        <v>325</v>
      </c>
      <c r="AU335" s="22">
        <v>0.16284199999999999</v>
      </c>
      <c r="AV335">
        <f t="shared" si="68"/>
        <v>15.6952</v>
      </c>
      <c r="AW335">
        <f t="shared" si="69"/>
        <v>2.5649409744000002</v>
      </c>
      <c r="AX335" s="9"/>
      <c r="AY335" s="22">
        <v>1.5365599999999999</v>
      </c>
      <c r="AZ335" s="22">
        <v>264.47199999999998</v>
      </c>
      <c r="BA335" s="22">
        <v>-1.0925300000000001E-2</v>
      </c>
      <c r="BB335" s="22">
        <v>325</v>
      </c>
      <c r="BC335" s="22">
        <v>1.5356399999999999</v>
      </c>
      <c r="BD335">
        <f t="shared" si="70"/>
        <v>10.9253</v>
      </c>
      <c r="BE335">
        <f t="shared" si="71"/>
        <v>16.787378967999999</v>
      </c>
    </row>
    <row r="336" spans="6:57">
      <c r="F336" s="9"/>
      <c r="G336" s="22">
        <v>0.158386</v>
      </c>
      <c r="H336" s="22">
        <v>52.338299999999997</v>
      </c>
      <c r="I336" s="22">
        <v>-1.5869100000000001E-2</v>
      </c>
      <c r="J336" s="22">
        <v>326</v>
      </c>
      <c r="K336" s="22">
        <v>0.15795899999999999</v>
      </c>
      <c r="L336">
        <f t="shared" si="60"/>
        <v>15.869100000000001</v>
      </c>
      <c r="M336">
        <f t="shared" si="61"/>
        <v>2.5134432726</v>
      </c>
      <c r="N336" s="9"/>
      <c r="O336" s="22">
        <v>1.5416000000000001</v>
      </c>
      <c r="P336" s="22">
        <v>101.765</v>
      </c>
      <c r="Q336" s="22">
        <v>-1.1096200000000001E-2</v>
      </c>
      <c r="R336" s="22">
        <v>326</v>
      </c>
      <c r="S336" s="22">
        <v>1.54053</v>
      </c>
      <c r="T336">
        <f t="shared" si="62"/>
        <v>11.0962</v>
      </c>
      <c r="U336">
        <f t="shared" si="63"/>
        <v>17.105901920000001</v>
      </c>
      <c r="X336" s="9"/>
      <c r="Y336" s="22">
        <v>0.158386</v>
      </c>
      <c r="Z336" s="22">
        <v>131.22200000000001</v>
      </c>
      <c r="AA336" s="22">
        <v>-1.5783700000000001E-2</v>
      </c>
      <c r="AB336" s="22">
        <v>326</v>
      </c>
      <c r="AC336" s="22">
        <v>0.157806</v>
      </c>
      <c r="AD336">
        <f t="shared" si="64"/>
        <v>15.783700000000001</v>
      </c>
      <c r="AE336">
        <f t="shared" si="65"/>
        <v>2.4999171082</v>
      </c>
      <c r="AF336" s="9"/>
      <c r="AG336" s="22">
        <v>1.5416000000000001</v>
      </c>
      <c r="AH336" s="22">
        <v>180.69499999999999</v>
      </c>
      <c r="AI336" s="22">
        <v>-1.10107E-2</v>
      </c>
      <c r="AJ336" s="22">
        <v>326</v>
      </c>
      <c r="AK336" s="22">
        <v>1.5408299999999999</v>
      </c>
      <c r="AL336">
        <f t="shared" si="66"/>
        <v>11.0107</v>
      </c>
      <c r="AM336">
        <f t="shared" si="67"/>
        <v>16.974095120000001</v>
      </c>
      <c r="AP336" s="9"/>
      <c r="AQ336" s="22">
        <v>0.158386</v>
      </c>
      <c r="AR336" s="22">
        <v>230.142</v>
      </c>
      <c r="AS336" s="22">
        <v>-1.5698199999999999E-2</v>
      </c>
      <c r="AT336" s="22">
        <v>326</v>
      </c>
      <c r="AU336" s="22">
        <v>0.157806</v>
      </c>
      <c r="AV336">
        <f t="shared" si="68"/>
        <v>15.698199999999998</v>
      </c>
      <c r="AW336">
        <f t="shared" si="69"/>
        <v>2.4863751051999996</v>
      </c>
      <c r="AX336" s="9"/>
      <c r="AY336" s="22">
        <v>1.5416000000000001</v>
      </c>
      <c r="AZ336" s="22">
        <v>264.48200000000003</v>
      </c>
      <c r="BA336" s="22">
        <v>-1.07727E-2</v>
      </c>
      <c r="BB336" s="22">
        <v>326</v>
      </c>
      <c r="BC336" s="22">
        <v>1.54053</v>
      </c>
      <c r="BD336">
        <f t="shared" si="70"/>
        <v>10.7727</v>
      </c>
      <c r="BE336">
        <f t="shared" si="71"/>
        <v>16.607194320000001</v>
      </c>
    </row>
    <row r="337" spans="6:57">
      <c r="F337" s="9"/>
      <c r="G337" s="22">
        <v>0.15335099999999999</v>
      </c>
      <c r="H337" s="22">
        <v>52.348399999999998</v>
      </c>
      <c r="I337" s="22">
        <v>-1.5869100000000001E-2</v>
      </c>
      <c r="J337" s="22">
        <v>327</v>
      </c>
      <c r="K337" s="22">
        <v>0.15277099999999999</v>
      </c>
      <c r="L337">
        <f t="shared" si="60"/>
        <v>15.869100000000001</v>
      </c>
      <c r="M337">
        <f t="shared" si="61"/>
        <v>2.4335423541000001</v>
      </c>
      <c r="N337" s="9"/>
      <c r="O337" s="22">
        <v>1.5466299999999999</v>
      </c>
      <c r="P337" s="22">
        <v>101.77500000000001</v>
      </c>
      <c r="Q337" s="22">
        <v>-1.0937499999999999E-2</v>
      </c>
      <c r="R337" s="22">
        <v>327</v>
      </c>
      <c r="S337" s="22">
        <v>1.5460199999999999</v>
      </c>
      <c r="T337">
        <f t="shared" si="62"/>
        <v>10.9375</v>
      </c>
      <c r="U337">
        <f t="shared" si="63"/>
        <v>16.916265625000001</v>
      </c>
      <c r="X337" s="9"/>
      <c r="Y337" s="22">
        <v>0.15335099999999999</v>
      </c>
      <c r="Z337" s="22">
        <v>131.232</v>
      </c>
      <c r="AA337" s="22">
        <v>-1.5786700000000001E-2</v>
      </c>
      <c r="AB337" s="22">
        <v>327</v>
      </c>
      <c r="AC337" s="22">
        <v>0.152832</v>
      </c>
      <c r="AD337">
        <f t="shared" si="64"/>
        <v>15.786700000000002</v>
      </c>
      <c r="AE337">
        <f t="shared" si="65"/>
        <v>2.4209062317000001</v>
      </c>
      <c r="AF337" s="9"/>
      <c r="AG337" s="22">
        <v>1.5466299999999999</v>
      </c>
      <c r="AH337" s="22">
        <v>180.70500000000001</v>
      </c>
      <c r="AI337" s="22">
        <v>-1.08643E-2</v>
      </c>
      <c r="AJ337" s="22">
        <v>327</v>
      </c>
      <c r="AK337" s="22">
        <v>1.54633</v>
      </c>
      <c r="AL337">
        <f t="shared" si="66"/>
        <v>10.8643</v>
      </c>
      <c r="AM337">
        <f t="shared" si="67"/>
        <v>16.803052308999998</v>
      </c>
      <c r="AP337" s="9"/>
      <c r="AQ337" s="22">
        <v>0.15335099999999999</v>
      </c>
      <c r="AR337" s="22">
        <v>230.15199999999999</v>
      </c>
      <c r="AS337" s="22">
        <v>-1.5701300000000001E-2</v>
      </c>
      <c r="AT337" s="22">
        <v>327</v>
      </c>
      <c r="AU337" s="22">
        <v>0.15273999999999999</v>
      </c>
      <c r="AV337">
        <f t="shared" si="68"/>
        <v>15.701300000000002</v>
      </c>
      <c r="AW337">
        <f t="shared" si="69"/>
        <v>2.4078100563000002</v>
      </c>
      <c r="AX337" s="9"/>
      <c r="AY337" s="22">
        <v>1.5466299999999999</v>
      </c>
      <c r="AZ337" s="22">
        <v>264.49200000000002</v>
      </c>
      <c r="BA337" s="22">
        <v>-1.0617100000000001E-2</v>
      </c>
      <c r="BB337" s="22">
        <v>327</v>
      </c>
      <c r="BC337" s="22">
        <v>1.54633</v>
      </c>
      <c r="BD337">
        <f t="shared" si="70"/>
        <v>10.617100000000001</v>
      </c>
      <c r="BE337">
        <f t="shared" si="71"/>
        <v>16.420725373</v>
      </c>
    </row>
    <row r="338" spans="6:57">
      <c r="F338" s="9"/>
      <c r="G338" s="22">
        <v>0.148315</v>
      </c>
      <c r="H338" s="22">
        <v>52.358400000000003</v>
      </c>
      <c r="I338" s="22">
        <v>-1.58722E-2</v>
      </c>
      <c r="J338" s="22">
        <v>328</v>
      </c>
      <c r="K338" s="22">
        <v>0.14773600000000001</v>
      </c>
      <c r="L338">
        <f t="shared" si="60"/>
        <v>15.872199999999999</v>
      </c>
      <c r="M338">
        <f t="shared" si="61"/>
        <v>2.3540853429999999</v>
      </c>
      <c r="N338" s="9"/>
      <c r="O338" s="22">
        <v>1.5516700000000001</v>
      </c>
      <c r="P338" s="22">
        <v>101.785</v>
      </c>
      <c r="Q338" s="22">
        <v>-1.07758E-2</v>
      </c>
      <c r="R338" s="22">
        <v>328</v>
      </c>
      <c r="S338" s="22">
        <v>1.55121</v>
      </c>
      <c r="T338">
        <f t="shared" si="62"/>
        <v>10.7758</v>
      </c>
      <c r="U338">
        <f t="shared" si="63"/>
        <v>16.720485586000002</v>
      </c>
      <c r="X338" s="9"/>
      <c r="Y338" s="22">
        <v>0.148315</v>
      </c>
      <c r="Z338" s="22">
        <v>131.24199999999999</v>
      </c>
      <c r="AA338" s="22">
        <v>-1.57898E-2</v>
      </c>
      <c r="AB338" s="22">
        <v>328</v>
      </c>
      <c r="AC338" s="22">
        <v>0.14773600000000001</v>
      </c>
      <c r="AD338">
        <f t="shared" si="64"/>
        <v>15.7898</v>
      </c>
      <c r="AE338">
        <f t="shared" si="65"/>
        <v>2.3418641870000001</v>
      </c>
      <c r="AF338" s="9"/>
      <c r="AG338" s="22">
        <v>1.5516700000000001</v>
      </c>
      <c r="AH338" s="22">
        <v>180.715</v>
      </c>
      <c r="AI338" s="22">
        <v>-1.07086E-2</v>
      </c>
      <c r="AJ338" s="22">
        <v>328</v>
      </c>
      <c r="AK338" s="22">
        <v>1.55121</v>
      </c>
      <c r="AL338">
        <f t="shared" si="66"/>
        <v>10.708600000000001</v>
      </c>
      <c r="AM338">
        <f t="shared" si="67"/>
        <v>16.616213362000003</v>
      </c>
      <c r="AP338" s="9"/>
      <c r="AQ338" s="22">
        <v>0.148315</v>
      </c>
      <c r="AR338" s="22">
        <v>230.16200000000001</v>
      </c>
      <c r="AS338" s="22">
        <v>-1.5698199999999999E-2</v>
      </c>
      <c r="AT338" s="22">
        <v>328</v>
      </c>
      <c r="AU338" s="22">
        <v>0.14776600000000001</v>
      </c>
      <c r="AV338">
        <f t="shared" si="68"/>
        <v>15.698199999999998</v>
      </c>
      <c r="AW338">
        <f t="shared" si="69"/>
        <v>2.3282785329999998</v>
      </c>
      <c r="AX338" s="9"/>
      <c r="AY338" s="22">
        <v>1.5516700000000001</v>
      </c>
      <c r="AZ338" s="22">
        <v>264.50200000000001</v>
      </c>
      <c r="BA338" s="22">
        <v>-1.0455300000000001E-2</v>
      </c>
      <c r="BB338" s="22">
        <v>328</v>
      </c>
      <c r="BC338" s="22">
        <v>1.55121</v>
      </c>
      <c r="BD338">
        <f t="shared" si="70"/>
        <v>10.455300000000001</v>
      </c>
      <c r="BE338">
        <f t="shared" si="71"/>
        <v>16.223175351000002</v>
      </c>
    </row>
    <row r="339" spans="6:57">
      <c r="F339" s="9"/>
      <c r="G339" s="22">
        <v>0.14327999999999999</v>
      </c>
      <c r="H339" s="22">
        <v>52.368499999999997</v>
      </c>
      <c r="I339" s="22">
        <v>-1.58722E-2</v>
      </c>
      <c r="J339" s="22">
        <v>329</v>
      </c>
      <c r="K339" s="22">
        <v>0.14269999999999999</v>
      </c>
      <c r="L339">
        <f t="shared" si="60"/>
        <v>15.872199999999999</v>
      </c>
      <c r="M339">
        <f t="shared" si="61"/>
        <v>2.274168816</v>
      </c>
      <c r="N339" s="9"/>
      <c r="O339" s="22">
        <v>1.5567</v>
      </c>
      <c r="P339" s="22">
        <v>101.795</v>
      </c>
      <c r="Q339" s="22">
        <v>-1.06049E-2</v>
      </c>
      <c r="R339" s="22">
        <v>329</v>
      </c>
      <c r="S339" s="22">
        <v>1.55609</v>
      </c>
      <c r="T339">
        <f t="shared" si="62"/>
        <v>10.604900000000001</v>
      </c>
      <c r="U339">
        <f t="shared" si="63"/>
        <v>16.508647830000001</v>
      </c>
      <c r="X339" s="9"/>
      <c r="Y339" s="22">
        <v>0.14327999999999999</v>
      </c>
      <c r="Z339" s="22">
        <v>131.25200000000001</v>
      </c>
      <c r="AA339" s="22">
        <v>-1.5795900000000002E-2</v>
      </c>
      <c r="AB339" s="22">
        <v>329</v>
      </c>
      <c r="AC339" s="22">
        <v>0.142731</v>
      </c>
      <c r="AD339">
        <f t="shared" si="64"/>
        <v>15.795900000000001</v>
      </c>
      <c r="AE339">
        <f t="shared" si="65"/>
        <v>2.263236552</v>
      </c>
      <c r="AF339" s="9"/>
      <c r="AG339" s="22">
        <v>1.5567</v>
      </c>
      <c r="AH339" s="22">
        <v>180.72499999999999</v>
      </c>
      <c r="AI339" s="22">
        <v>-1.05316E-2</v>
      </c>
      <c r="AJ339" s="22">
        <v>329</v>
      </c>
      <c r="AK339" s="22">
        <v>1.55579</v>
      </c>
      <c r="AL339">
        <f t="shared" si="66"/>
        <v>10.531600000000001</v>
      </c>
      <c r="AM339">
        <f t="shared" si="67"/>
        <v>16.394541720000003</v>
      </c>
      <c r="AP339" s="9"/>
      <c r="AQ339" s="22">
        <v>0.14327999999999999</v>
      </c>
      <c r="AR339" s="22">
        <v>230.172</v>
      </c>
      <c r="AS339" s="22">
        <v>-1.5698199999999999E-2</v>
      </c>
      <c r="AT339" s="22">
        <v>329</v>
      </c>
      <c r="AU339" s="22">
        <v>0.142731</v>
      </c>
      <c r="AV339">
        <f t="shared" si="68"/>
        <v>15.698199999999998</v>
      </c>
      <c r="AW339">
        <f t="shared" si="69"/>
        <v>2.2492380959999996</v>
      </c>
      <c r="AX339" s="9"/>
      <c r="AY339" s="22">
        <v>1.5567</v>
      </c>
      <c r="AZ339" s="22">
        <v>264.512</v>
      </c>
      <c r="BA339" s="22">
        <v>-1.0290499999999999E-2</v>
      </c>
      <c r="BB339" s="22">
        <v>329</v>
      </c>
      <c r="BC339" s="22">
        <v>1.55548</v>
      </c>
      <c r="BD339">
        <f t="shared" si="70"/>
        <v>10.2905</v>
      </c>
      <c r="BE339">
        <f t="shared" si="71"/>
        <v>16.019221349999999</v>
      </c>
    </row>
    <row r="340" spans="6:57">
      <c r="F340" s="9"/>
      <c r="G340" s="22">
        <v>0.13824500000000001</v>
      </c>
      <c r="H340" s="22">
        <v>52.378599999999999</v>
      </c>
      <c r="I340" s="22">
        <v>-1.5875199999999999E-2</v>
      </c>
      <c r="J340" s="22">
        <v>330</v>
      </c>
      <c r="K340" s="22">
        <v>0.13769500000000001</v>
      </c>
      <c r="L340">
        <f t="shared" si="60"/>
        <v>15.8752</v>
      </c>
      <c r="M340">
        <f t="shared" si="61"/>
        <v>2.1946670240000001</v>
      </c>
      <c r="N340" s="9"/>
      <c r="O340" s="22">
        <v>1.5617399999999999</v>
      </c>
      <c r="P340" s="22">
        <v>101.80500000000001</v>
      </c>
      <c r="Q340" s="22">
        <v>-1.04279E-2</v>
      </c>
      <c r="R340" s="22">
        <v>330</v>
      </c>
      <c r="S340" s="22">
        <v>1.56097</v>
      </c>
      <c r="T340">
        <f t="shared" si="62"/>
        <v>10.427900000000001</v>
      </c>
      <c r="U340">
        <f t="shared" si="63"/>
        <v>16.285668546</v>
      </c>
      <c r="X340" s="9"/>
      <c r="Y340" s="22">
        <v>0.13824500000000001</v>
      </c>
      <c r="Z340" s="22">
        <v>131.262</v>
      </c>
      <c r="AA340" s="22">
        <v>-1.5799000000000001E-2</v>
      </c>
      <c r="AB340" s="22">
        <v>330</v>
      </c>
      <c r="AC340" s="22">
        <v>0.13769500000000001</v>
      </c>
      <c r="AD340">
        <f t="shared" si="64"/>
        <v>15.799000000000001</v>
      </c>
      <c r="AE340">
        <f t="shared" si="65"/>
        <v>2.1841327550000003</v>
      </c>
      <c r="AF340" s="9"/>
      <c r="AG340" s="22">
        <v>1.5617399999999999</v>
      </c>
      <c r="AH340" s="22">
        <v>180.73500000000001</v>
      </c>
      <c r="AI340" s="22">
        <v>-1.0351600000000001E-2</v>
      </c>
      <c r="AJ340" s="22">
        <v>330</v>
      </c>
      <c r="AK340" s="22">
        <v>1.56097</v>
      </c>
      <c r="AL340">
        <f t="shared" si="66"/>
        <v>10.351600000000001</v>
      </c>
      <c r="AM340">
        <f t="shared" si="67"/>
        <v>16.166507784</v>
      </c>
      <c r="AP340" s="9"/>
      <c r="AQ340" s="22">
        <v>0.13824500000000001</v>
      </c>
      <c r="AR340" s="22">
        <v>230.18199999999999</v>
      </c>
      <c r="AS340" s="22">
        <v>-1.5704300000000001E-2</v>
      </c>
      <c r="AT340" s="22">
        <v>330</v>
      </c>
      <c r="AU340" s="22">
        <v>0.13766500000000001</v>
      </c>
      <c r="AV340">
        <f t="shared" si="68"/>
        <v>15.704300000000002</v>
      </c>
      <c r="AW340">
        <f t="shared" si="69"/>
        <v>2.1710409535000004</v>
      </c>
      <c r="AX340" s="9"/>
      <c r="AY340" s="22">
        <v>1.5617399999999999</v>
      </c>
      <c r="AZ340" s="22">
        <v>264.52199999999999</v>
      </c>
      <c r="BA340" s="22">
        <v>-1.0119599999999999E-2</v>
      </c>
      <c r="BB340" s="22">
        <v>330</v>
      </c>
      <c r="BC340" s="22">
        <v>1.56067</v>
      </c>
      <c r="BD340">
        <f t="shared" si="70"/>
        <v>10.1196</v>
      </c>
      <c r="BE340">
        <f t="shared" si="71"/>
        <v>15.804184103999999</v>
      </c>
    </row>
    <row r="341" spans="6:57">
      <c r="F341" s="9"/>
      <c r="G341" s="22">
        <v>0.13320899999999999</v>
      </c>
      <c r="H341" s="22">
        <v>52.388599999999997</v>
      </c>
      <c r="I341" s="22">
        <v>-1.5869100000000001E-2</v>
      </c>
      <c r="J341" s="22">
        <v>331</v>
      </c>
      <c r="K341" s="22">
        <v>0.13253799999999999</v>
      </c>
      <c r="L341">
        <f t="shared" si="60"/>
        <v>15.869100000000001</v>
      </c>
      <c r="M341">
        <f t="shared" si="61"/>
        <v>2.1139069419000003</v>
      </c>
      <c r="N341" s="9"/>
      <c r="O341" s="22">
        <v>1.56677</v>
      </c>
      <c r="P341" s="22">
        <v>101.815</v>
      </c>
      <c r="Q341" s="22">
        <v>-1.02448E-2</v>
      </c>
      <c r="R341" s="22">
        <v>331</v>
      </c>
      <c r="S341" s="22">
        <v>1.56616</v>
      </c>
      <c r="T341">
        <f t="shared" si="62"/>
        <v>10.2448</v>
      </c>
      <c r="U341">
        <f t="shared" si="63"/>
        <v>16.051245296000001</v>
      </c>
      <c r="X341" s="9"/>
      <c r="Y341" s="22">
        <v>0.13320899999999999</v>
      </c>
      <c r="Z341" s="22">
        <v>131.27199999999999</v>
      </c>
      <c r="AA341" s="22">
        <v>-1.5802E-2</v>
      </c>
      <c r="AB341" s="22">
        <v>331</v>
      </c>
      <c r="AC341" s="22">
        <v>0.13256799999999999</v>
      </c>
      <c r="AD341">
        <f t="shared" si="64"/>
        <v>15.802</v>
      </c>
      <c r="AE341">
        <f t="shared" si="65"/>
        <v>2.104968618</v>
      </c>
      <c r="AF341" s="9"/>
      <c r="AG341" s="22">
        <v>1.56677</v>
      </c>
      <c r="AH341" s="22">
        <v>180.74600000000001</v>
      </c>
      <c r="AI341" s="22">
        <v>-1.01624E-2</v>
      </c>
      <c r="AJ341" s="22">
        <v>331</v>
      </c>
      <c r="AK341" s="22">
        <v>1.56616</v>
      </c>
      <c r="AL341">
        <f t="shared" si="66"/>
        <v>10.1624</v>
      </c>
      <c r="AM341">
        <f t="shared" si="67"/>
        <v>15.922143448</v>
      </c>
      <c r="AP341" s="9"/>
      <c r="AQ341" s="22">
        <v>0.13320899999999999</v>
      </c>
      <c r="AR341" s="22">
        <v>230.19200000000001</v>
      </c>
      <c r="AS341" s="22">
        <v>-1.57074E-2</v>
      </c>
      <c r="AT341" s="22">
        <v>331</v>
      </c>
      <c r="AU341" s="22">
        <v>0.13269</v>
      </c>
      <c r="AV341">
        <f t="shared" si="68"/>
        <v>15.7074</v>
      </c>
      <c r="AW341">
        <f t="shared" si="69"/>
        <v>2.0923670465999997</v>
      </c>
      <c r="AX341" s="9"/>
      <c r="AY341" s="22">
        <v>1.56677</v>
      </c>
      <c r="AZ341" s="22">
        <v>264.53199999999998</v>
      </c>
      <c r="BA341" s="22">
        <v>-9.9487299999999994E-3</v>
      </c>
      <c r="BB341" s="22">
        <v>331</v>
      </c>
      <c r="BC341" s="22">
        <v>1.56647</v>
      </c>
      <c r="BD341">
        <f t="shared" si="70"/>
        <v>9.9487299999999994</v>
      </c>
      <c r="BE341">
        <f t="shared" si="71"/>
        <v>15.587371702099999</v>
      </c>
    </row>
    <row r="342" spans="6:57">
      <c r="F342" s="9"/>
      <c r="G342" s="22">
        <v>0.12817400000000001</v>
      </c>
      <c r="H342" s="22">
        <v>52.398699999999998</v>
      </c>
      <c r="I342" s="22">
        <v>-1.5866100000000001E-2</v>
      </c>
      <c r="J342" s="22">
        <v>332</v>
      </c>
      <c r="K342" s="22">
        <v>0.12753300000000001</v>
      </c>
      <c r="L342">
        <f t="shared" si="60"/>
        <v>15.866100000000001</v>
      </c>
      <c r="M342">
        <f t="shared" si="61"/>
        <v>2.0336215014000003</v>
      </c>
      <c r="N342" s="9"/>
      <c r="O342" s="22">
        <v>1.5718099999999999</v>
      </c>
      <c r="P342" s="22">
        <v>101.825</v>
      </c>
      <c r="Q342" s="22">
        <v>-1.0058599999999999E-2</v>
      </c>
      <c r="R342" s="22">
        <v>332</v>
      </c>
      <c r="S342" s="22">
        <v>1.57104</v>
      </c>
      <c r="T342">
        <f t="shared" si="62"/>
        <v>10.058599999999998</v>
      </c>
      <c r="U342">
        <f t="shared" si="63"/>
        <v>15.810208065999996</v>
      </c>
      <c r="X342" s="9"/>
      <c r="Y342" s="22">
        <v>0.12817400000000001</v>
      </c>
      <c r="Z342" s="22">
        <v>131.28200000000001</v>
      </c>
      <c r="AA342" s="22">
        <v>-1.5808099999999999E-2</v>
      </c>
      <c r="AB342" s="22">
        <v>332</v>
      </c>
      <c r="AC342" s="22">
        <v>0.12756300000000001</v>
      </c>
      <c r="AD342">
        <f t="shared" si="64"/>
        <v>15.808099999999998</v>
      </c>
      <c r="AE342">
        <f t="shared" si="65"/>
        <v>2.0261874093999999</v>
      </c>
      <c r="AF342" s="9"/>
      <c r="AG342" s="22">
        <v>1.5718099999999999</v>
      </c>
      <c r="AH342" s="22">
        <v>180.756</v>
      </c>
      <c r="AI342" s="22">
        <v>-9.9670399999999999E-3</v>
      </c>
      <c r="AJ342" s="22">
        <v>332</v>
      </c>
      <c r="AK342" s="22">
        <v>1.57104</v>
      </c>
      <c r="AL342">
        <f t="shared" si="66"/>
        <v>9.9670400000000008</v>
      </c>
      <c r="AM342">
        <f t="shared" si="67"/>
        <v>15.666293142400001</v>
      </c>
      <c r="AP342" s="9"/>
      <c r="AQ342" s="22">
        <v>0.12817400000000001</v>
      </c>
      <c r="AR342" s="22">
        <v>230.202</v>
      </c>
      <c r="AS342" s="22">
        <v>-1.5710399999999999E-2</v>
      </c>
      <c r="AT342" s="22">
        <v>332</v>
      </c>
      <c r="AU342" s="22">
        <v>0.12762499999999999</v>
      </c>
      <c r="AV342">
        <f t="shared" si="68"/>
        <v>15.7104</v>
      </c>
      <c r="AW342">
        <f t="shared" si="69"/>
        <v>2.0136648096000003</v>
      </c>
      <c r="AX342" s="9"/>
      <c r="AY342" s="22">
        <v>1.5718099999999999</v>
      </c>
      <c r="AZ342" s="22">
        <v>264.54199999999997</v>
      </c>
      <c r="BA342" s="22">
        <v>-9.7747800000000003E-3</v>
      </c>
      <c r="BB342" s="22">
        <v>332</v>
      </c>
      <c r="BC342" s="22">
        <v>1.57104</v>
      </c>
      <c r="BD342">
        <f t="shared" si="70"/>
        <v>9.7747799999999998</v>
      </c>
      <c r="BE342">
        <f t="shared" si="71"/>
        <v>15.364096951799999</v>
      </c>
    </row>
    <row r="343" spans="6:57">
      <c r="F343" s="9"/>
      <c r="G343" s="22">
        <v>0.123138</v>
      </c>
      <c r="H343" s="22">
        <v>52.408799999999999</v>
      </c>
      <c r="I343" s="22">
        <v>-1.5859999999999999E-2</v>
      </c>
      <c r="J343" s="22">
        <v>333</v>
      </c>
      <c r="K343" s="22">
        <v>0.122498</v>
      </c>
      <c r="L343">
        <f t="shared" si="60"/>
        <v>15.86</v>
      </c>
      <c r="M343">
        <f t="shared" si="61"/>
        <v>1.9529686799999999</v>
      </c>
      <c r="N343" s="9"/>
      <c r="O343" s="22">
        <v>1.57684</v>
      </c>
      <c r="P343" s="22">
        <v>101.83499999999999</v>
      </c>
      <c r="Q343" s="22">
        <v>-9.8541299999999991E-3</v>
      </c>
      <c r="R343" s="22">
        <v>333</v>
      </c>
      <c r="S343" s="22">
        <v>1.5759300000000001</v>
      </c>
      <c r="T343">
        <f t="shared" si="62"/>
        <v>9.8541299999999996</v>
      </c>
      <c r="U343">
        <f t="shared" si="63"/>
        <v>15.5383863492</v>
      </c>
      <c r="X343" s="9"/>
      <c r="Y343" s="22">
        <v>0.123138</v>
      </c>
      <c r="Z343" s="22">
        <v>131.292</v>
      </c>
      <c r="AA343" s="22">
        <v>-1.5817299999999999E-2</v>
      </c>
      <c r="AB343" s="22">
        <v>333</v>
      </c>
      <c r="AC343" s="22">
        <v>0.122589</v>
      </c>
      <c r="AD343">
        <f t="shared" si="64"/>
        <v>15.817299999999999</v>
      </c>
      <c r="AE343">
        <f t="shared" si="65"/>
        <v>1.9477106873999999</v>
      </c>
      <c r="AF343" s="9"/>
      <c r="AG343" s="22">
        <v>1.57684</v>
      </c>
      <c r="AH343" s="22">
        <v>180.76599999999999</v>
      </c>
      <c r="AI343" s="22">
        <v>-9.7656300000000008E-3</v>
      </c>
      <c r="AJ343" s="22">
        <v>333</v>
      </c>
      <c r="AK343" s="22">
        <v>1.57623</v>
      </c>
      <c r="AL343">
        <f t="shared" si="66"/>
        <v>9.7656300000000016</v>
      </c>
      <c r="AM343">
        <f t="shared" si="67"/>
        <v>15.398836009200002</v>
      </c>
      <c r="AP343" s="9"/>
      <c r="AQ343" s="22">
        <v>0.123138</v>
      </c>
      <c r="AR343" s="22">
        <v>230.21199999999999</v>
      </c>
      <c r="AS343" s="22">
        <v>-1.5716600000000001E-2</v>
      </c>
      <c r="AT343" s="22">
        <v>333</v>
      </c>
      <c r="AU343" s="22">
        <v>0.122559</v>
      </c>
      <c r="AV343">
        <f t="shared" si="68"/>
        <v>15.716600000000001</v>
      </c>
      <c r="AW343">
        <f t="shared" si="69"/>
        <v>1.9353106908000002</v>
      </c>
      <c r="AX343" s="9"/>
      <c r="AY343" s="22">
        <v>1.57684</v>
      </c>
      <c r="AZ343" s="22">
        <v>264.55200000000002</v>
      </c>
      <c r="BA343" s="22">
        <v>-9.5825200000000006E-3</v>
      </c>
      <c r="BB343" s="22">
        <v>333</v>
      </c>
      <c r="BC343" s="22">
        <v>1.5765400000000001</v>
      </c>
      <c r="BD343">
        <f t="shared" si="70"/>
        <v>9.5825200000000006</v>
      </c>
      <c r="BE343">
        <f t="shared" si="71"/>
        <v>15.110100836800001</v>
      </c>
    </row>
    <row r="344" spans="6:57">
      <c r="F344" s="9"/>
      <c r="G344" s="22">
        <v>0.118103</v>
      </c>
      <c r="H344" s="22">
        <v>52.418900000000001</v>
      </c>
      <c r="I344" s="22">
        <v>-1.5862999999999999E-2</v>
      </c>
      <c r="J344" s="22">
        <v>334</v>
      </c>
      <c r="K344" s="22">
        <v>0.117615</v>
      </c>
      <c r="L344">
        <f t="shared" si="60"/>
        <v>15.862999999999998</v>
      </c>
      <c r="M344">
        <f t="shared" si="61"/>
        <v>1.8734678889999998</v>
      </c>
      <c r="N344" s="9"/>
      <c r="O344" s="22">
        <v>1.58188</v>
      </c>
      <c r="P344" s="22">
        <v>101.845</v>
      </c>
      <c r="Q344" s="22">
        <v>-9.6466099999999999E-3</v>
      </c>
      <c r="R344" s="22">
        <v>334</v>
      </c>
      <c r="S344" s="22">
        <v>1.5811200000000001</v>
      </c>
      <c r="T344">
        <f t="shared" si="62"/>
        <v>9.646609999999999</v>
      </c>
      <c r="U344">
        <f t="shared" si="63"/>
        <v>15.259779426799998</v>
      </c>
      <c r="X344" s="9"/>
      <c r="Y344" s="22">
        <v>0.118103</v>
      </c>
      <c r="Z344" s="22">
        <v>131.30199999999999</v>
      </c>
      <c r="AA344" s="22">
        <v>-1.5823400000000001E-2</v>
      </c>
      <c r="AB344" s="22">
        <v>334</v>
      </c>
      <c r="AC344" s="22">
        <v>0.11755400000000001</v>
      </c>
      <c r="AD344">
        <f t="shared" si="64"/>
        <v>15.823400000000001</v>
      </c>
      <c r="AE344">
        <f t="shared" si="65"/>
        <v>1.8687910102</v>
      </c>
      <c r="AF344" s="9"/>
      <c r="AG344" s="22">
        <v>1.58188</v>
      </c>
      <c r="AH344" s="22">
        <v>180.77600000000001</v>
      </c>
      <c r="AI344" s="22">
        <v>-9.5672599999999993E-3</v>
      </c>
      <c r="AJ344" s="22">
        <v>334</v>
      </c>
      <c r="AK344" s="22">
        <v>1.58142</v>
      </c>
      <c r="AL344">
        <f t="shared" si="66"/>
        <v>9.5672599999999992</v>
      </c>
      <c r="AM344">
        <f t="shared" si="67"/>
        <v>15.134257248799999</v>
      </c>
      <c r="AP344" s="9"/>
      <c r="AQ344" s="22">
        <v>0.118103</v>
      </c>
      <c r="AR344" s="22">
        <v>230.22200000000001</v>
      </c>
      <c r="AS344" s="22">
        <v>-1.5716600000000001E-2</v>
      </c>
      <c r="AT344" s="22">
        <v>334</v>
      </c>
      <c r="AU344" s="22">
        <v>0.117462</v>
      </c>
      <c r="AV344">
        <f t="shared" si="68"/>
        <v>15.716600000000001</v>
      </c>
      <c r="AW344">
        <f t="shared" si="69"/>
        <v>1.8561776098000002</v>
      </c>
      <c r="AX344" s="9"/>
      <c r="AY344" s="22">
        <v>1.58188</v>
      </c>
      <c r="AZ344" s="22">
        <v>264.56200000000001</v>
      </c>
      <c r="BA344" s="22">
        <v>-9.38721E-3</v>
      </c>
      <c r="BB344" s="22">
        <v>334</v>
      </c>
      <c r="BC344" s="22">
        <v>1.5811200000000001</v>
      </c>
      <c r="BD344">
        <f t="shared" si="70"/>
        <v>9.3872099999999996</v>
      </c>
      <c r="BE344">
        <f t="shared" si="71"/>
        <v>14.849439754799999</v>
      </c>
    </row>
    <row r="345" spans="6:57">
      <c r="F345" s="9"/>
      <c r="G345" s="22">
        <v>0.113068</v>
      </c>
      <c r="H345" s="22">
        <v>52.428899999999999</v>
      </c>
      <c r="I345" s="22">
        <v>-1.5869100000000001E-2</v>
      </c>
      <c r="J345" s="22">
        <v>335</v>
      </c>
      <c r="K345" s="22">
        <v>0.11251800000000001</v>
      </c>
      <c r="L345">
        <f t="shared" si="60"/>
        <v>15.869100000000001</v>
      </c>
      <c r="M345">
        <f t="shared" si="61"/>
        <v>1.7942873988000001</v>
      </c>
      <c r="N345" s="9"/>
      <c r="O345" s="22">
        <v>1.58691</v>
      </c>
      <c r="P345" s="22">
        <v>101.855</v>
      </c>
      <c r="Q345" s="22">
        <v>-9.4268800000000003E-3</v>
      </c>
      <c r="R345" s="22">
        <v>335</v>
      </c>
      <c r="S345" s="22">
        <v>1.5860000000000001</v>
      </c>
      <c r="T345">
        <f t="shared" si="62"/>
        <v>9.4268800000000006</v>
      </c>
      <c r="U345">
        <f t="shared" si="63"/>
        <v>14.959610140800001</v>
      </c>
      <c r="X345" s="9"/>
      <c r="Y345" s="22">
        <v>0.113068</v>
      </c>
      <c r="Z345" s="22">
        <v>131.31200000000001</v>
      </c>
      <c r="AA345" s="22">
        <v>-1.5817299999999999E-2</v>
      </c>
      <c r="AB345" s="22">
        <v>335</v>
      </c>
      <c r="AC345" s="22">
        <v>0.112488</v>
      </c>
      <c r="AD345">
        <f t="shared" si="64"/>
        <v>15.817299999999999</v>
      </c>
      <c r="AE345">
        <f t="shared" si="65"/>
        <v>1.7884304764000001</v>
      </c>
      <c r="AF345" s="9"/>
      <c r="AG345" s="22">
        <v>1.58691</v>
      </c>
      <c r="AH345" s="22">
        <v>180.786</v>
      </c>
      <c r="AI345" s="22">
        <v>-9.3505900000000006E-3</v>
      </c>
      <c r="AJ345" s="22">
        <v>335</v>
      </c>
      <c r="AK345" s="22">
        <v>1.5860000000000001</v>
      </c>
      <c r="AL345">
        <f t="shared" si="66"/>
        <v>9.3505900000000004</v>
      </c>
      <c r="AM345">
        <f t="shared" si="67"/>
        <v>14.838544776900001</v>
      </c>
      <c r="AP345" s="9"/>
      <c r="AQ345" s="22">
        <v>0.113068</v>
      </c>
      <c r="AR345" s="22">
        <v>230.232</v>
      </c>
      <c r="AS345" s="22">
        <v>-1.5713499999999998E-2</v>
      </c>
      <c r="AT345" s="22">
        <v>335</v>
      </c>
      <c r="AU345" s="22">
        <v>0.112579</v>
      </c>
      <c r="AV345">
        <f t="shared" si="68"/>
        <v>15.713499999999998</v>
      </c>
      <c r="AW345">
        <f t="shared" si="69"/>
        <v>1.7766940179999997</v>
      </c>
      <c r="AX345" s="9"/>
      <c r="AY345" s="22">
        <v>1.58691</v>
      </c>
      <c r="AZ345" s="22">
        <v>264.572</v>
      </c>
      <c r="BA345" s="22">
        <v>-9.1796900000000008E-3</v>
      </c>
      <c r="BB345" s="22">
        <v>335</v>
      </c>
      <c r="BC345" s="22">
        <v>1.5860000000000001</v>
      </c>
      <c r="BD345">
        <f t="shared" si="70"/>
        <v>9.1796900000000008</v>
      </c>
      <c r="BE345">
        <f t="shared" si="71"/>
        <v>14.567341857900002</v>
      </c>
    </row>
    <row r="346" spans="6:57">
      <c r="F346" s="9"/>
      <c r="G346" s="22">
        <v>0.108032</v>
      </c>
      <c r="H346" s="22">
        <v>52.439</v>
      </c>
      <c r="I346" s="22">
        <v>-1.58722E-2</v>
      </c>
      <c r="J346" s="22">
        <v>336</v>
      </c>
      <c r="K346" s="22">
        <v>0.107422</v>
      </c>
      <c r="L346">
        <f t="shared" si="60"/>
        <v>15.872199999999999</v>
      </c>
      <c r="M346">
        <f t="shared" si="61"/>
        <v>1.7147055104</v>
      </c>
      <c r="N346" s="9"/>
      <c r="O346" s="22">
        <v>1.59195</v>
      </c>
      <c r="P346" s="22">
        <v>101.86499999999999</v>
      </c>
      <c r="Q346" s="22">
        <v>-9.2040999999999998E-3</v>
      </c>
      <c r="R346" s="22">
        <v>336</v>
      </c>
      <c r="S346" s="22">
        <v>1.5908800000000001</v>
      </c>
      <c r="T346">
        <f t="shared" si="62"/>
        <v>9.2041000000000004</v>
      </c>
      <c r="U346">
        <f t="shared" si="63"/>
        <v>14.652466995000001</v>
      </c>
      <c r="X346" s="9"/>
      <c r="Y346" s="22">
        <v>0.108032</v>
      </c>
      <c r="Z346" s="22">
        <v>131.322</v>
      </c>
      <c r="AA346" s="22">
        <v>-1.58142E-2</v>
      </c>
      <c r="AB346" s="22">
        <v>336</v>
      </c>
      <c r="AC346" s="22">
        <v>0.107483</v>
      </c>
      <c r="AD346">
        <f t="shared" si="64"/>
        <v>15.8142</v>
      </c>
      <c r="AE346">
        <f t="shared" si="65"/>
        <v>1.7084396544</v>
      </c>
      <c r="AF346" s="9"/>
      <c r="AG346" s="22">
        <v>1.59195</v>
      </c>
      <c r="AH346" s="22">
        <v>180.79599999999999</v>
      </c>
      <c r="AI346" s="22">
        <v>-9.1278100000000001E-3</v>
      </c>
      <c r="AJ346" s="22">
        <v>336</v>
      </c>
      <c r="AK346" s="22">
        <v>1.5911900000000001</v>
      </c>
      <c r="AL346">
        <f t="shared" si="66"/>
        <v>9.1278100000000002</v>
      </c>
      <c r="AM346">
        <f t="shared" si="67"/>
        <v>14.5310171295</v>
      </c>
      <c r="AP346" s="9"/>
      <c r="AQ346" s="22">
        <v>0.108032</v>
      </c>
      <c r="AR346" s="22">
        <v>230.24199999999999</v>
      </c>
      <c r="AS346" s="22">
        <v>-1.5713499999999998E-2</v>
      </c>
      <c r="AT346" s="22">
        <v>336</v>
      </c>
      <c r="AU346" s="22">
        <v>0.107483</v>
      </c>
      <c r="AV346">
        <f t="shared" si="68"/>
        <v>15.713499999999998</v>
      </c>
      <c r="AW346">
        <f t="shared" si="69"/>
        <v>1.6975608319999997</v>
      </c>
      <c r="AX346" s="9"/>
      <c r="AY346" s="22">
        <v>1.59195</v>
      </c>
      <c r="AZ346" s="22">
        <v>264.58199999999999</v>
      </c>
      <c r="BA346" s="22">
        <v>-8.9599599999999995E-3</v>
      </c>
      <c r="BB346" s="22">
        <v>336</v>
      </c>
      <c r="BC346" s="22">
        <v>1.5914900000000001</v>
      </c>
      <c r="BD346">
        <f t="shared" si="70"/>
        <v>8.9599599999999988</v>
      </c>
      <c r="BE346">
        <f t="shared" si="71"/>
        <v>14.263808321999997</v>
      </c>
    </row>
    <row r="347" spans="6:57">
      <c r="F347" s="9"/>
      <c r="G347" s="22">
        <v>0.10299700000000001</v>
      </c>
      <c r="H347" s="22">
        <v>52.449100000000001</v>
      </c>
      <c r="I347" s="22">
        <v>-1.58722E-2</v>
      </c>
      <c r="J347" s="22">
        <v>337</v>
      </c>
      <c r="K347" s="22">
        <v>0.102478</v>
      </c>
      <c r="L347">
        <f t="shared" si="60"/>
        <v>15.872199999999999</v>
      </c>
      <c r="M347">
        <f t="shared" si="61"/>
        <v>1.6347889834</v>
      </c>
      <c r="N347" s="9"/>
      <c r="O347" s="22">
        <v>1.5969800000000001</v>
      </c>
      <c r="P347" s="22">
        <v>101.875</v>
      </c>
      <c r="Q347" s="22">
        <v>-8.97827E-3</v>
      </c>
      <c r="R347" s="22">
        <v>337</v>
      </c>
      <c r="S347" s="22">
        <v>1.5960700000000001</v>
      </c>
      <c r="T347">
        <f t="shared" si="62"/>
        <v>8.9782700000000002</v>
      </c>
      <c r="U347">
        <f t="shared" si="63"/>
        <v>14.338117624600001</v>
      </c>
      <c r="X347" s="9"/>
      <c r="Y347" s="22">
        <v>0.10299700000000001</v>
      </c>
      <c r="Z347" s="22">
        <v>131.333</v>
      </c>
      <c r="AA347" s="22">
        <v>-1.5820299999999999E-2</v>
      </c>
      <c r="AB347" s="22">
        <v>337</v>
      </c>
      <c r="AC347" s="22">
        <v>0.102356</v>
      </c>
      <c r="AD347">
        <f t="shared" si="64"/>
        <v>15.8203</v>
      </c>
      <c r="AE347">
        <f t="shared" si="65"/>
        <v>1.6294434391000001</v>
      </c>
      <c r="AF347" s="9"/>
      <c r="AG347" s="22">
        <v>1.5969800000000001</v>
      </c>
      <c r="AH347" s="22">
        <v>180.80600000000001</v>
      </c>
      <c r="AI347" s="22">
        <v>-8.9019800000000003E-3</v>
      </c>
      <c r="AJ347" s="22">
        <v>337</v>
      </c>
      <c r="AK347" s="22">
        <v>1.5960700000000001</v>
      </c>
      <c r="AL347">
        <f t="shared" si="66"/>
        <v>8.90198</v>
      </c>
      <c r="AM347">
        <f t="shared" si="67"/>
        <v>14.2162840204</v>
      </c>
      <c r="AP347" s="9"/>
      <c r="AQ347" s="22">
        <v>0.10299700000000001</v>
      </c>
      <c r="AR347" s="22">
        <v>230.25200000000001</v>
      </c>
      <c r="AS347" s="22">
        <v>-1.5716600000000001E-2</v>
      </c>
      <c r="AT347" s="22">
        <v>337</v>
      </c>
      <c r="AU347" s="22">
        <v>0.102356</v>
      </c>
      <c r="AV347">
        <f t="shared" si="68"/>
        <v>15.716600000000001</v>
      </c>
      <c r="AW347">
        <f t="shared" si="69"/>
        <v>1.6187626502000003</v>
      </c>
      <c r="AX347" s="9"/>
      <c r="AY347" s="22">
        <v>1.5969800000000001</v>
      </c>
      <c r="AZ347" s="22">
        <v>264.59300000000002</v>
      </c>
      <c r="BA347" s="22">
        <v>-8.7371800000000006E-3</v>
      </c>
      <c r="BB347" s="22">
        <v>337</v>
      </c>
      <c r="BC347" s="22">
        <v>1.5963700000000001</v>
      </c>
      <c r="BD347">
        <f t="shared" si="70"/>
        <v>8.7371800000000004</v>
      </c>
      <c r="BE347">
        <f t="shared" si="71"/>
        <v>13.953101716400001</v>
      </c>
    </row>
    <row r="348" spans="6:57">
      <c r="F348" s="9"/>
      <c r="G348" s="22">
        <v>9.7961400000000004E-2</v>
      </c>
      <c r="H348" s="22">
        <v>52.459099999999999</v>
      </c>
      <c r="I348" s="22">
        <v>-1.5869100000000001E-2</v>
      </c>
      <c r="J348" s="22">
        <v>338</v>
      </c>
      <c r="K348" s="22">
        <v>9.7503699999999999E-2</v>
      </c>
      <c r="L348">
        <f t="shared" si="60"/>
        <v>15.869100000000001</v>
      </c>
      <c r="M348">
        <f t="shared" si="61"/>
        <v>1.5545592527400003</v>
      </c>
      <c r="N348" s="9"/>
      <c r="O348" s="22">
        <v>1.60202</v>
      </c>
      <c r="P348" s="22">
        <v>101.886</v>
      </c>
      <c r="Q348" s="22">
        <v>-8.74634E-3</v>
      </c>
      <c r="R348" s="22">
        <v>338</v>
      </c>
      <c r="S348" s="22">
        <v>1.6015600000000001</v>
      </c>
      <c r="T348">
        <f t="shared" si="62"/>
        <v>8.74634</v>
      </c>
      <c r="U348">
        <f t="shared" si="63"/>
        <v>14.0118116068</v>
      </c>
      <c r="X348" s="9"/>
      <c r="Y348" s="22">
        <v>9.7961400000000004E-2</v>
      </c>
      <c r="Z348" s="22">
        <v>131.34299999999999</v>
      </c>
      <c r="AA348" s="22">
        <v>-1.5823400000000001E-2</v>
      </c>
      <c r="AB348" s="22">
        <v>338</v>
      </c>
      <c r="AC348" s="22">
        <v>9.7320599999999993E-2</v>
      </c>
      <c r="AD348">
        <f t="shared" si="64"/>
        <v>15.823400000000001</v>
      </c>
      <c r="AE348">
        <f t="shared" si="65"/>
        <v>1.5500824167600002</v>
      </c>
      <c r="AF348" s="9"/>
      <c r="AG348" s="22">
        <v>1.60202</v>
      </c>
      <c r="AH348" s="22">
        <v>180.816</v>
      </c>
      <c r="AI348" s="22">
        <v>-8.65784E-3</v>
      </c>
      <c r="AJ348" s="22">
        <v>338</v>
      </c>
      <c r="AK348" s="22">
        <v>1.6012599999999999</v>
      </c>
      <c r="AL348">
        <f t="shared" si="66"/>
        <v>8.6578400000000002</v>
      </c>
      <c r="AM348">
        <f t="shared" si="67"/>
        <v>13.8700328368</v>
      </c>
      <c r="AP348" s="9"/>
      <c r="AQ348" s="22">
        <v>9.7961400000000004E-2</v>
      </c>
      <c r="AR348" s="22">
        <v>230.262</v>
      </c>
      <c r="AS348" s="22">
        <v>-1.5725699999999999E-2</v>
      </c>
      <c r="AT348" s="22">
        <v>338</v>
      </c>
      <c r="AU348" s="22">
        <v>9.7381599999999999E-2</v>
      </c>
      <c r="AV348">
        <f t="shared" si="68"/>
        <v>15.725699999999998</v>
      </c>
      <c r="AW348">
        <f t="shared" si="69"/>
        <v>1.5405115879799998</v>
      </c>
      <c r="AX348" s="9"/>
      <c r="AY348" s="22">
        <v>1.60202</v>
      </c>
      <c r="AZ348" s="22">
        <v>264.60300000000001</v>
      </c>
      <c r="BA348" s="22">
        <v>-8.5082999999999999E-3</v>
      </c>
      <c r="BB348" s="22">
        <v>338</v>
      </c>
      <c r="BC348" s="22">
        <v>1.6006499999999999</v>
      </c>
      <c r="BD348">
        <f t="shared" si="70"/>
        <v>8.5083000000000002</v>
      </c>
      <c r="BE348">
        <f t="shared" si="71"/>
        <v>13.630466766</v>
      </c>
    </row>
    <row r="349" spans="6:57">
      <c r="F349" s="9"/>
      <c r="G349" s="22">
        <v>9.2925999999999995E-2</v>
      </c>
      <c r="H349" s="22">
        <v>52.469200000000001</v>
      </c>
      <c r="I349" s="22">
        <v>-1.58722E-2</v>
      </c>
      <c r="J349" s="22">
        <v>339</v>
      </c>
      <c r="K349" s="22">
        <v>9.2315700000000001E-2</v>
      </c>
      <c r="L349">
        <f t="shared" si="60"/>
        <v>15.872199999999999</v>
      </c>
      <c r="M349">
        <f t="shared" si="61"/>
        <v>1.4749400571999998</v>
      </c>
      <c r="N349" s="9"/>
      <c r="O349" s="22">
        <v>1.6070599999999999</v>
      </c>
      <c r="P349" s="22">
        <v>101.896</v>
      </c>
      <c r="Q349" s="22">
        <v>-8.5021999999999997E-3</v>
      </c>
      <c r="R349" s="22">
        <v>339</v>
      </c>
      <c r="S349" s="22">
        <v>1.6061399999999999</v>
      </c>
      <c r="T349">
        <f t="shared" si="62"/>
        <v>8.5022000000000002</v>
      </c>
      <c r="U349">
        <f t="shared" si="63"/>
        <v>13.663545532000001</v>
      </c>
      <c r="X349" s="9"/>
      <c r="Y349" s="22">
        <v>9.2925999999999995E-2</v>
      </c>
      <c r="Z349" s="22">
        <v>131.35300000000001</v>
      </c>
      <c r="AA349" s="22">
        <v>-1.5823400000000001E-2</v>
      </c>
      <c r="AB349" s="22">
        <v>339</v>
      </c>
      <c r="AC349" s="22">
        <v>9.2376700000000006E-2</v>
      </c>
      <c r="AD349">
        <f t="shared" si="64"/>
        <v>15.823400000000001</v>
      </c>
      <c r="AE349">
        <f t="shared" si="65"/>
        <v>1.4704052684</v>
      </c>
      <c r="AF349" s="9"/>
      <c r="AG349" s="22">
        <v>1.6070599999999999</v>
      </c>
      <c r="AH349" s="22">
        <v>180.82599999999999</v>
      </c>
      <c r="AI349" s="22">
        <v>-8.4106400000000005E-3</v>
      </c>
      <c r="AJ349" s="22">
        <v>339</v>
      </c>
      <c r="AK349" s="22">
        <v>1.6058300000000001</v>
      </c>
      <c r="AL349">
        <f t="shared" si="66"/>
        <v>8.4106400000000008</v>
      </c>
      <c r="AM349">
        <f t="shared" si="67"/>
        <v>13.516403118400001</v>
      </c>
      <c r="AP349" s="9"/>
      <c r="AQ349" s="22">
        <v>9.2925999999999995E-2</v>
      </c>
      <c r="AR349" s="22">
        <v>230.273</v>
      </c>
      <c r="AS349" s="22">
        <v>-1.5731800000000001E-2</v>
      </c>
      <c r="AT349" s="22">
        <v>339</v>
      </c>
      <c r="AU349" s="22">
        <v>9.2254600000000006E-2</v>
      </c>
      <c r="AV349">
        <f t="shared" si="68"/>
        <v>15.7318</v>
      </c>
      <c r="AW349">
        <f t="shared" si="69"/>
        <v>1.4618932467999999</v>
      </c>
      <c r="AX349" s="9"/>
      <c r="AY349" s="22">
        <v>1.6070599999999999</v>
      </c>
      <c r="AZ349" s="22">
        <v>264.613</v>
      </c>
      <c r="BA349" s="22">
        <v>-8.2611100000000003E-3</v>
      </c>
      <c r="BB349" s="22">
        <v>339</v>
      </c>
      <c r="BC349" s="22">
        <v>1.6064499999999999</v>
      </c>
      <c r="BD349">
        <f t="shared" si="70"/>
        <v>8.2611100000000004</v>
      </c>
      <c r="BE349">
        <f t="shared" si="71"/>
        <v>13.276099436600001</v>
      </c>
    </row>
    <row r="350" spans="6:57">
      <c r="F350" s="9"/>
      <c r="G350" s="22">
        <v>8.7890599999999999E-2</v>
      </c>
      <c r="H350" s="22">
        <v>52.479300000000002</v>
      </c>
      <c r="I350" s="22">
        <v>-1.5866100000000001E-2</v>
      </c>
      <c r="J350" s="22">
        <v>340</v>
      </c>
      <c r="K350" s="22">
        <v>8.7310799999999994E-2</v>
      </c>
      <c r="L350">
        <f t="shared" si="60"/>
        <v>15.866100000000001</v>
      </c>
      <c r="M350">
        <f t="shared" si="61"/>
        <v>1.3944810486600001</v>
      </c>
      <c r="N350" s="9"/>
      <c r="O350" s="22">
        <v>1.61209</v>
      </c>
      <c r="P350" s="22">
        <v>101.90600000000001</v>
      </c>
      <c r="Q350" s="22">
        <v>-8.2397500000000005E-3</v>
      </c>
      <c r="R350" s="22">
        <v>340</v>
      </c>
      <c r="S350" s="22">
        <v>1.6113299999999999</v>
      </c>
      <c r="T350">
        <f t="shared" si="62"/>
        <v>8.2397500000000008</v>
      </c>
      <c r="U350">
        <f t="shared" si="63"/>
        <v>13.283218577500001</v>
      </c>
      <c r="X350" s="9"/>
      <c r="Y350" s="22">
        <v>8.7890599999999999E-2</v>
      </c>
      <c r="Z350" s="22">
        <v>131.363</v>
      </c>
      <c r="AA350" s="22">
        <v>-1.5826400000000001E-2</v>
      </c>
      <c r="AB350" s="22">
        <v>340</v>
      </c>
      <c r="AC350" s="22">
        <v>8.7402300000000002E-2</v>
      </c>
      <c r="AD350">
        <f t="shared" si="64"/>
        <v>15.826400000000001</v>
      </c>
      <c r="AE350">
        <f t="shared" si="65"/>
        <v>1.3909917918400001</v>
      </c>
      <c r="AF350" s="9"/>
      <c r="AG350" s="22">
        <v>1.61209</v>
      </c>
      <c r="AH350" s="22">
        <v>180.83600000000001</v>
      </c>
      <c r="AI350" s="22">
        <v>-8.1481899999999996E-3</v>
      </c>
      <c r="AJ350" s="22">
        <v>340</v>
      </c>
      <c r="AK350" s="22">
        <v>1.6113299999999999</v>
      </c>
      <c r="AL350">
        <f t="shared" si="66"/>
        <v>8.1481899999999996</v>
      </c>
      <c r="AM350">
        <f t="shared" si="67"/>
        <v>13.135615617099999</v>
      </c>
      <c r="AP350" s="9"/>
      <c r="AQ350" s="22">
        <v>8.7890599999999999E-2</v>
      </c>
      <c r="AR350" s="22">
        <v>230.28299999999999</v>
      </c>
      <c r="AS350" s="22">
        <v>-1.5728800000000001E-2</v>
      </c>
      <c r="AT350" s="22">
        <v>340</v>
      </c>
      <c r="AU350" s="22">
        <v>8.7310799999999994E-2</v>
      </c>
      <c r="AV350">
        <f t="shared" si="68"/>
        <v>15.728800000000001</v>
      </c>
      <c r="AW350">
        <f t="shared" si="69"/>
        <v>1.3824136692800002</v>
      </c>
      <c r="AX350" s="9"/>
      <c r="AY350" s="22">
        <v>1.61209</v>
      </c>
      <c r="AZ350" s="22">
        <v>264.62299999999999</v>
      </c>
      <c r="BA350" s="22">
        <v>-8.0108599999999999E-3</v>
      </c>
      <c r="BB350" s="22">
        <v>340</v>
      </c>
      <c r="BC350" s="22">
        <v>1.6113299999999999</v>
      </c>
      <c r="BD350">
        <f t="shared" si="70"/>
        <v>8.0108599999999992</v>
      </c>
      <c r="BE350">
        <f t="shared" si="71"/>
        <v>12.914227297399998</v>
      </c>
    </row>
    <row r="351" spans="6:57">
      <c r="F351" s="9"/>
      <c r="G351" s="22">
        <v>8.2855200000000004E-2</v>
      </c>
      <c r="H351" s="22">
        <v>52.4893</v>
      </c>
      <c r="I351" s="22">
        <v>-1.58722E-2</v>
      </c>
      <c r="J351" s="22">
        <v>341</v>
      </c>
      <c r="K351" s="22">
        <v>8.2275399999999999E-2</v>
      </c>
      <c r="L351">
        <f t="shared" si="60"/>
        <v>15.872199999999999</v>
      </c>
      <c r="M351">
        <f t="shared" si="61"/>
        <v>1.3150943054399999</v>
      </c>
      <c r="N351" s="9"/>
      <c r="O351" s="22">
        <v>1.61713</v>
      </c>
      <c r="P351" s="22">
        <v>101.916</v>
      </c>
      <c r="Q351" s="22">
        <v>-7.9742400000000005E-3</v>
      </c>
      <c r="R351" s="22">
        <v>341</v>
      </c>
      <c r="S351" s="22">
        <v>1.61652</v>
      </c>
      <c r="T351">
        <f t="shared" si="62"/>
        <v>7.9742400000000009</v>
      </c>
      <c r="U351">
        <f t="shared" si="63"/>
        <v>12.895382731200002</v>
      </c>
      <c r="X351" s="9"/>
      <c r="Y351" s="22">
        <v>8.2855200000000004E-2</v>
      </c>
      <c r="Z351" s="22">
        <v>131.37299999999999</v>
      </c>
      <c r="AA351" s="22">
        <v>-1.58295E-2</v>
      </c>
      <c r="AB351" s="22">
        <v>341</v>
      </c>
      <c r="AC351" s="22">
        <v>8.2336400000000004E-2</v>
      </c>
      <c r="AD351">
        <f t="shared" si="64"/>
        <v>15.829499999999999</v>
      </c>
      <c r="AE351">
        <f t="shared" si="65"/>
        <v>1.3115563884000001</v>
      </c>
      <c r="AF351" s="9"/>
      <c r="AG351" s="22">
        <v>1.61713</v>
      </c>
      <c r="AH351" s="22">
        <v>180.846</v>
      </c>
      <c r="AI351" s="22">
        <v>-7.8735400000000001E-3</v>
      </c>
      <c r="AJ351" s="22">
        <v>341</v>
      </c>
      <c r="AK351" s="22">
        <v>1.61652</v>
      </c>
      <c r="AL351">
        <f t="shared" si="66"/>
        <v>7.8735400000000002</v>
      </c>
      <c r="AM351">
        <f t="shared" si="67"/>
        <v>12.7325377402</v>
      </c>
      <c r="AP351" s="9"/>
      <c r="AQ351" s="22">
        <v>8.2855200000000004E-2</v>
      </c>
      <c r="AR351" s="22">
        <v>230.29300000000001</v>
      </c>
      <c r="AS351" s="22">
        <v>-1.5728800000000001E-2</v>
      </c>
      <c r="AT351" s="22">
        <v>341</v>
      </c>
      <c r="AU351" s="22">
        <v>8.2305900000000001E-2</v>
      </c>
      <c r="AV351">
        <f t="shared" si="68"/>
        <v>15.728800000000001</v>
      </c>
      <c r="AW351">
        <f t="shared" si="69"/>
        <v>1.3032128697600003</v>
      </c>
      <c r="AX351" s="9"/>
      <c r="AY351" s="22">
        <v>1.61713</v>
      </c>
      <c r="AZ351" s="22">
        <v>264.63299999999998</v>
      </c>
      <c r="BA351" s="22">
        <v>-7.7514599999999999E-3</v>
      </c>
      <c r="BB351" s="22">
        <v>341</v>
      </c>
      <c r="BC351" s="22">
        <v>1.6168199999999999</v>
      </c>
      <c r="BD351">
        <f t="shared" si="70"/>
        <v>7.7514599999999998</v>
      </c>
      <c r="BE351">
        <f t="shared" si="71"/>
        <v>12.5351185098</v>
      </c>
    </row>
    <row r="352" spans="6:57">
      <c r="F352" s="9"/>
      <c r="G352" s="22">
        <v>7.7819799999999995E-2</v>
      </c>
      <c r="H352" s="22">
        <v>52.499400000000001</v>
      </c>
      <c r="I352" s="22">
        <v>-1.5881300000000001E-2</v>
      </c>
      <c r="J352" s="22">
        <v>342</v>
      </c>
      <c r="K352" s="22">
        <v>7.72095E-2</v>
      </c>
      <c r="L352">
        <f t="shared" si="60"/>
        <v>15.881300000000001</v>
      </c>
      <c r="M352">
        <f t="shared" si="61"/>
        <v>1.2358795897400001</v>
      </c>
      <c r="N352" s="9"/>
      <c r="O352" s="22">
        <v>1.62216</v>
      </c>
      <c r="P352" s="22">
        <v>101.926</v>
      </c>
      <c r="Q352" s="22">
        <v>-7.6873799999999997E-3</v>
      </c>
      <c r="R352" s="22">
        <v>342</v>
      </c>
      <c r="S352" s="22">
        <v>1.6214</v>
      </c>
      <c r="T352">
        <f t="shared" si="62"/>
        <v>7.6873800000000001</v>
      </c>
      <c r="U352">
        <f t="shared" si="63"/>
        <v>12.4701603408</v>
      </c>
      <c r="X352" s="9"/>
      <c r="Y352" s="22">
        <v>7.7819799999999995E-2</v>
      </c>
      <c r="Z352" s="22">
        <v>131.38300000000001</v>
      </c>
      <c r="AA352" s="22">
        <v>-1.5832499999999999E-2</v>
      </c>
      <c r="AB352" s="22">
        <v>342</v>
      </c>
      <c r="AC352" s="22">
        <v>7.7300999999999995E-2</v>
      </c>
      <c r="AD352">
        <f t="shared" si="64"/>
        <v>15.8325</v>
      </c>
      <c r="AE352">
        <f t="shared" si="65"/>
        <v>1.2320819834999999</v>
      </c>
      <c r="AF352" s="9"/>
      <c r="AG352" s="22">
        <v>1.62216</v>
      </c>
      <c r="AH352" s="22">
        <v>180.85599999999999</v>
      </c>
      <c r="AI352" s="22">
        <v>-7.6019299999999998E-3</v>
      </c>
      <c r="AJ352" s="22">
        <v>342</v>
      </c>
      <c r="AK352" s="22">
        <v>1.6214</v>
      </c>
      <c r="AL352">
        <f t="shared" si="66"/>
        <v>7.6019299999999994</v>
      </c>
      <c r="AM352">
        <f t="shared" si="67"/>
        <v>12.331546768799999</v>
      </c>
      <c r="AP352" s="9"/>
      <c r="AQ352" s="22">
        <v>7.7819799999999995E-2</v>
      </c>
      <c r="AR352" s="22">
        <v>230.303</v>
      </c>
      <c r="AS352" s="22">
        <v>-1.5741000000000002E-2</v>
      </c>
      <c r="AT352" s="22">
        <v>342</v>
      </c>
      <c r="AU352" s="22">
        <v>7.7270500000000006E-2</v>
      </c>
      <c r="AV352">
        <f t="shared" si="68"/>
        <v>15.741000000000001</v>
      </c>
      <c r="AW352">
        <f t="shared" si="69"/>
        <v>1.2249614717999999</v>
      </c>
      <c r="AX352" s="9"/>
      <c r="AY352" s="22">
        <v>1.62216</v>
      </c>
      <c r="AZ352" s="22">
        <v>264.64299999999997</v>
      </c>
      <c r="BA352" s="22">
        <v>-7.4768100000000004E-3</v>
      </c>
      <c r="BB352" s="22">
        <v>342</v>
      </c>
      <c r="BC352" s="22">
        <v>1.6214</v>
      </c>
      <c r="BD352">
        <f t="shared" si="70"/>
        <v>7.4768100000000004</v>
      </c>
      <c r="BE352">
        <f t="shared" si="71"/>
        <v>12.128582109600002</v>
      </c>
    </row>
    <row r="353" spans="6:57">
      <c r="F353" s="9"/>
      <c r="G353" s="22">
        <v>7.2784399999999999E-2</v>
      </c>
      <c r="H353" s="22">
        <v>52.509500000000003</v>
      </c>
      <c r="I353" s="22">
        <v>-1.5887499999999999E-2</v>
      </c>
      <c r="J353" s="22">
        <v>343</v>
      </c>
      <c r="K353" s="22">
        <v>7.2235099999999997E-2</v>
      </c>
      <c r="L353">
        <f t="shared" si="60"/>
        <v>15.887499999999999</v>
      </c>
      <c r="M353">
        <f t="shared" si="61"/>
        <v>1.1563621549999998</v>
      </c>
      <c r="N353" s="9"/>
      <c r="O353" s="22">
        <v>1.6272</v>
      </c>
      <c r="P353" s="22">
        <v>101.93600000000001</v>
      </c>
      <c r="Q353" s="22">
        <v>-7.3822000000000002E-3</v>
      </c>
      <c r="R353" s="22">
        <v>343</v>
      </c>
      <c r="S353" s="22">
        <v>1.62659</v>
      </c>
      <c r="T353">
        <f t="shared" si="62"/>
        <v>7.3822000000000001</v>
      </c>
      <c r="U353">
        <f t="shared" si="63"/>
        <v>12.012315839999999</v>
      </c>
      <c r="X353" s="9"/>
      <c r="Y353" s="22">
        <v>7.2784399999999999E-2</v>
      </c>
      <c r="Z353" s="22">
        <v>131.393</v>
      </c>
      <c r="AA353" s="22">
        <v>-1.5832499999999999E-2</v>
      </c>
      <c r="AB353" s="22">
        <v>343</v>
      </c>
      <c r="AC353" s="22">
        <v>7.2296100000000002E-2</v>
      </c>
      <c r="AD353">
        <f t="shared" si="64"/>
        <v>15.8325</v>
      </c>
      <c r="AE353">
        <f t="shared" si="65"/>
        <v>1.1523590129999999</v>
      </c>
      <c r="AF353" s="9"/>
      <c r="AG353" s="22">
        <v>1.6272</v>
      </c>
      <c r="AH353" s="22">
        <v>180.86600000000001</v>
      </c>
      <c r="AI353" s="22">
        <v>-7.31506E-3</v>
      </c>
      <c r="AJ353" s="22">
        <v>343</v>
      </c>
      <c r="AK353" s="22">
        <v>1.62659</v>
      </c>
      <c r="AL353">
        <f t="shared" si="66"/>
        <v>7.3150599999999999</v>
      </c>
      <c r="AM353">
        <f t="shared" si="67"/>
        <v>11.903065632000001</v>
      </c>
      <c r="AP353" s="9"/>
      <c r="AQ353" s="22">
        <v>7.2784399999999999E-2</v>
      </c>
      <c r="AR353" s="22">
        <v>230.31299999999999</v>
      </c>
      <c r="AS353" s="22">
        <v>-1.5744000000000001E-2</v>
      </c>
      <c r="AT353" s="22">
        <v>343</v>
      </c>
      <c r="AU353" s="22">
        <v>7.2204599999999994E-2</v>
      </c>
      <c r="AV353">
        <f t="shared" si="68"/>
        <v>15.744000000000002</v>
      </c>
      <c r="AW353">
        <f t="shared" si="69"/>
        <v>1.1459175936000001</v>
      </c>
      <c r="AX353" s="9"/>
      <c r="AY353" s="22">
        <v>1.6272</v>
      </c>
      <c r="AZ353" s="22">
        <v>264.65300000000002</v>
      </c>
      <c r="BA353" s="22">
        <v>-7.1807900000000003E-3</v>
      </c>
      <c r="BB353" s="22">
        <v>343</v>
      </c>
      <c r="BC353" s="22">
        <v>1.62659</v>
      </c>
      <c r="BD353">
        <f t="shared" si="70"/>
        <v>7.18079</v>
      </c>
      <c r="BE353">
        <f t="shared" si="71"/>
        <v>11.684581487999999</v>
      </c>
    </row>
    <row r="354" spans="6:57">
      <c r="F354" s="9"/>
      <c r="G354" s="22">
        <v>6.7749000000000004E-2</v>
      </c>
      <c r="H354" s="22">
        <v>52.519599999999997</v>
      </c>
      <c r="I354" s="22">
        <v>-1.5887499999999999E-2</v>
      </c>
      <c r="J354" s="22">
        <v>344</v>
      </c>
      <c r="K354" s="22">
        <v>6.7199700000000001E-2</v>
      </c>
      <c r="L354">
        <f t="shared" si="60"/>
        <v>15.887499999999999</v>
      </c>
      <c r="M354">
        <f t="shared" si="61"/>
        <v>1.0763622374999999</v>
      </c>
      <c r="N354" s="9"/>
      <c r="O354" s="22">
        <v>1.6322300000000001</v>
      </c>
      <c r="P354" s="22">
        <v>101.946</v>
      </c>
      <c r="Q354" s="22">
        <v>-7.0739699999999997E-3</v>
      </c>
      <c r="R354" s="22">
        <v>344</v>
      </c>
      <c r="S354" s="22">
        <v>1.63239</v>
      </c>
      <c r="T354">
        <f t="shared" si="62"/>
        <v>7.0739700000000001</v>
      </c>
      <c r="U354">
        <f t="shared" si="63"/>
        <v>11.546346053100001</v>
      </c>
      <c r="X354" s="9"/>
      <c r="Y354" s="22">
        <v>6.7749000000000004E-2</v>
      </c>
      <c r="Z354" s="22">
        <v>131.40299999999999</v>
      </c>
      <c r="AA354" s="22">
        <v>-1.5826400000000001E-2</v>
      </c>
      <c r="AB354" s="22">
        <v>344</v>
      </c>
      <c r="AC354" s="22">
        <v>6.7291299999999998E-2</v>
      </c>
      <c r="AD354">
        <f t="shared" si="64"/>
        <v>15.826400000000001</v>
      </c>
      <c r="AE354">
        <f t="shared" si="65"/>
        <v>1.0722227736000001</v>
      </c>
      <c r="AF354" s="9"/>
      <c r="AG354" s="22">
        <v>1.6322300000000001</v>
      </c>
      <c r="AH354" s="22">
        <v>180.876</v>
      </c>
      <c r="AI354" s="22">
        <v>-7.0282000000000001E-3</v>
      </c>
      <c r="AJ354" s="22">
        <v>344</v>
      </c>
      <c r="AK354" s="22">
        <v>1.63147</v>
      </c>
      <c r="AL354">
        <f t="shared" si="66"/>
        <v>7.0282</v>
      </c>
      <c r="AM354">
        <f t="shared" si="67"/>
        <v>11.471638886000001</v>
      </c>
      <c r="AP354" s="9"/>
      <c r="AQ354" s="22">
        <v>6.7749000000000004E-2</v>
      </c>
      <c r="AR354" s="22">
        <v>230.32300000000001</v>
      </c>
      <c r="AS354" s="22">
        <v>-1.5741000000000002E-2</v>
      </c>
      <c r="AT354" s="22">
        <v>344</v>
      </c>
      <c r="AU354" s="22">
        <v>6.7291299999999998E-2</v>
      </c>
      <c r="AV354">
        <f t="shared" si="68"/>
        <v>15.741000000000001</v>
      </c>
      <c r="AW354">
        <f t="shared" si="69"/>
        <v>1.0664370090000002</v>
      </c>
      <c r="AX354" s="9"/>
      <c r="AY354" s="22">
        <v>1.6322300000000001</v>
      </c>
      <c r="AZ354" s="22">
        <v>264.66300000000001</v>
      </c>
      <c r="BA354" s="22">
        <v>-6.8695099999999997E-3</v>
      </c>
      <c r="BB354" s="22">
        <v>344</v>
      </c>
      <c r="BC354" s="22">
        <v>1.6317699999999999</v>
      </c>
      <c r="BD354">
        <f t="shared" si="70"/>
        <v>6.86951</v>
      </c>
      <c r="BE354">
        <f t="shared" si="71"/>
        <v>11.2126203073</v>
      </c>
    </row>
    <row r="355" spans="6:57">
      <c r="F355" s="9"/>
      <c r="G355" s="22">
        <v>6.2713599999999994E-2</v>
      </c>
      <c r="H355" s="22">
        <v>52.529600000000002</v>
      </c>
      <c r="I355" s="22">
        <v>-1.5893600000000001E-2</v>
      </c>
      <c r="J355" s="22">
        <v>345</v>
      </c>
      <c r="K355" s="22">
        <v>6.2133800000000003E-2</v>
      </c>
      <c r="L355">
        <f t="shared" si="60"/>
        <v>15.893600000000001</v>
      </c>
      <c r="M355">
        <f t="shared" si="61"/>
        <v>0.99674487296000003</v>
      </c>
      <c r="N355" s="9"/>
      <c r="O355" s="22">
        <v>1.63727</v>
      </c>
      <c r="P355" s="22">
        <v>101.956</v>
      </c>
      <c r="Q355" s="22">
        <v>-6.7535399999999997E-3</v>
      </c>
      <c r="R355" s="22">
        <v>345</v>
      </c>
      <c r="S355" s="22">
        <v>1.63666</v>
      </c>
      <c r="T355">
        <f t="shared" si="62"/>
        <v>6.7535400000000001</v>
      </c>
      <c r="U355">
        <f t="shared" si="63"/>
        <v>11.057368435800001</v>
      </c>
      <c r="X355" s="9"/>
      <c r="Y355" s="22">
        <v>6.2713599999999994E-2</v>
      </c>
      <c r="Z355" s="22">
        <v>131.41300000000001</v>
      </c>
      <c r="AA355" s="22">
        <v>-1.5823400000000001E-2</v>
      </c>
      <c r="AB355" s="22">
        <v>345</v>
      </c>
      <c r="AC355" s="22">
        <v>6.2072799999999997E-2</v>
      </c>
      <c r="AD355">
        <f t="shared" si="64"/>
        <v>15.823400000000001</v>
      </c>
      <c r="AE355">
        <f t="shared" si="65"/>
        <v>0.99234237823999993</v>
      </c>
      <c r="AF355" s="9"/>
      <c r="AG355" s="22">
        <v>1.63727</v>
      </c>
      <c r="AH355" s="22">
        <v>180.887</v>
      </c>
      <c r="AI355" s="22">
        <v>-6.7169200000000004E-3</v>
      </c>
      <c r="AJ355" s="22">
        <v>345</v>
      </c>
      <c r="AK355" s="22">
        <v>1.63635</v>
      </c>
      <c r="AL355">
        <f t="shared" si="66"/>
        <v>6.71692</v>
      </c>
      <c r="AM355">
        <f t="shared" si="67"/>
        <v>10.9974116084</v>
      </c>
      <c r="AP355" s="9"/>
      <c r="AQ355" s="22">
        <v>6.2713599999999994E-2</v>
      </c>
      <c r="AR355" s="22">
        <v>230.333</v>
      </c>
      <c r="AS355" s="22">
        <v>-1.5741000000000002E-2</v>
      </c>
      <c r="AT355" s="22">
        <v>345</v>
      </c>
      <c r="AU355" s="22">
        <v>6.2194800000000001E-2</v>
      </c>
      <c r="AV355">
        <f t="shared" si="68"/>
        <v>15.741000000000001</v>
      </c>
      <c r="AW355">
        <f t="shared" si="69"/>
        <v>0.98717477760000005</v>
      </c>
      <c r="AX355" s="9"/>
      <c r="AY355" s="22">
        <v>1.63727</v>
      </c>
      <c r="AZ355" s="22">
        <v>264.673</v>
      </c>
      <c r="BA355" s="22">
        <v>-6.5551799999999999E-3</v>
      </c>
      <c r="BB355" s="22">
        <v>345</v>
      </c>
      <c r="BC355" s="22">
        <v>1.63635</v>
      </c>
      <c r="BD355">
        <f t="shared" si="70"/>
        <v>6.55518</v>
      </c>
      <c r="BE355">
        <f t="shared" si="71"/>
        <v>10.7325995586</v>
      </c>
    </row>
    <row r="356" spans="6:57">
      <c r="F356" s="9"/>
      <c r="G356" s="22">
        <v>5.7678199999999999E-2</v>
      </c>
      <c r="H356" s="22">
        <v>52.539700000000003</v>
      </c>
      <c r="I356" s="22">
        <v>-1.58966E-2</v>
      </c>
      <c r="J356" s="22">
        <v>346</v>
      </c>
      <c r="K356" s="22">
        <v>5.7128900000000003E-2</v>
      </c>
      <c r="L356">
        <f t="shared" si="60"/>
        <v>15.896600000000001</v>
      </c>
      <c r="M356">
        <f t="shared" si="61"/>
        <v>0.91688727412000004</v>
      </c>
      <c r="N356" s="9"/>
      <c r="O356" s="22">
        <v>1.6423000000000001</v>
      </c>
      <c r="P356" s="22">
        <v>101.96599999999999</v>
      </c>
      <c r="Q356" s="22">
        <v>-6.4147900000000001E-3</v>
      </c>
      <c r="R356" s="22">
        <v>346</v>
      </c>
      <c r="S356" s="22">
        <v>1.64154</v>
      </c>
      <c r="T356">
        <f t="shared" si="62"/>
        <v>6.41479</v>
      </c>
      <c r="U356">
        <f t="shared" si="63"/>
        <v>10.535009617</v>
      </c>
      <c r="X356" s="9"/>
      <c r="Y356" s="22">
        <v>5.7678199999999999E-2</v>
      </c>
      <c r="Z356" s="22">
        <v>131.423</v>
      </c>
      <c r="AA356" s="22">
        <v>-1.5820299999999999E-2</v>
      </c>
      <c r="AB356" s="22">
        <v>346</v>
      </c>
      <c r="AC356" s="22">
        <v>5.7037400000000002E-2</v>
      </c>
      <c r="AD356">
        <f t="shared" si="64"/>
        <v>15.8203</v>
      </c>
      <c r="AE356">
        <f t="shared" si="65"/>
        <v>0.91248642745999997</v>
      </c>
      <c r="AF356" s="9"/>
      <c r="AG356" s="22">
        <v>1.6423000000000001</v>
      </c>
      <c r="AH356" s="22">
        <v>180.89699999999999</v>
      </c>
      <c r="AI356" s="22">
        <v>-6.3964800000000004E-3</v>
      </c>
      <c r="AJ356" s="22">
        <v>346</v>
      </c>
      <c r="AK356" s="22">
        <v>1.64185</v>
      </c>
      <c r="AL356">
        <f t="shared" si="66"/>
        <v>6.3964800000000004</v>
      </c>
      <c r="AM356">
        <f t="shared" si="67"/>
        <v>10.504939104000002</v>
      </c>
      <c r="AP356" s="9"/>
      <c r="AQ356" s="22">
        <v>5.7678199999999999E-2</v>
      </c>
      <c r="AR356" s="22">
        <v>230.34299999999999</v>
      </c>
      <c r="AS356" s="22">
        <v>-1.5737899999999999E-2</v>
      </c>
      <c r="AT356" s="22">
        <v>346</v>
      </c>
      <c r="AU356" s="22">
        <v>5.7098400000000001E-2</v>
      </c>
      <c r="AV356">
        <f t="shared" si="68"/>
        <v>15.7379</v>
      </c>
      <c r="AW356">
        <f t="shared" si="69"/>
        <v>0.90773374377999994</v>
      </c>
      <c r="AX356" s="9"/>
      <c r="AY356" s="22">
        <v>1.6423000000000001</v>
      </c>
      <c r="AZ356" s="22">
        <v>264.68299999999999</v>
      </c>
      <c r="BA356" s="22">
        <v>-6.23779E-3</v>
      </c>
      <c r="BB356" s="22">
        <v>346</v>
      </c>
      <c r="BC356" s="22">
        <v>1.64215</v>
      </c>
      <c r="BD356">
        <f t="shared" si="70"/>
        <v>6.2377900000000004</v>
      </c>
      <c r="BE356">
        <f t="shared" si="71"/>
        <v>10.244322517000001</v>
      </c>
    </row>
    <row r="357" spans="6:57">
      <c r="F357" s="9"/>
      <c r="G357" s="22">
        <v>5.2642799999999997E-2</v>
      </c>
      <c r="H357" s="22">
        <v>52.549799999999998</v>
      </c>
      <c r="I357" s="22">
        <v>-1.58966E-2</v>
      </c>
      <c r="J357" s="22">
        <v>347</v>
      </c>
      <c r="K357" s="22">
        <v>5.2032500000000002E-2</v>
      </c>
      <c r="L357">
        <f t="shared" si="60"/>
        <v>15.896600000000001</v>
      </c>
      <c r="M357">
        <f t="shared" si="61"/>
        <v>0.83684153447999998</v>
      </c>
      <c r="N357" s="9"/>
      <c r="O357" s="22">
        <v>1.64734</v>
      </c>
      <c r="P357" s="22">
        <v>101.976</v>
      </c>
      <c r="Q357" s="22">
        <v>-6.0730000000000003E-3</v>
      </c>
      <c r="R357" s="22">
        <v>347</v>
      </c>
      <c r="S357" s="22">
        <v>1.64673</v>
      </c>
      <c r="T357">
        <f t="shared" si="62"/>
        <v>6.0730000000000004</v>
      </c>
      <c r="U357">
        <f t="shared" si="63"/>
        <v>10.004295820000001</v>
      </c>
      <c r="X357" s="9"/>
      <c r="Y357" s="22">
        <v>5.2642799999999997E-2</v>
      </c>
      <c r="Z357" s="22">
        <v>131.43299999999999</v>
      </c>
      <c r="AA357" s="22">
        <v>-1.58295E-2</v>
      </c>
      <c r="AB357" s="22">
        <v>347</v>
      </c>
      <c r="AC357" s="22">
        <v>5.2093500000000001E-2</v>
      </c>
      <c r="AD357">
        <f t="shared" si="64"/>
        <v>15.829499999999999</v>
      </c>
      <c r="AE357">
        <f t="shared" si="65"/>
        <v>0.83330920259999997</v>
      </c>
      <c r="AF357" s="9"/>
      <c r="AG357" s="22">
        <v>1.64734</v>
      </c>
      <c r="AH357" s="22">
        <v>180.90700000000001</v>
      </c>
      <c r="AI357" s="22">
        <v>-6.0516399999999996E-3</v>
      </c>
      <c r="AJ357" s="22">
        <v>347</v>
      </c>
      <c r="AK357" s="22">
        <v>1.64642</v>
      </c>
      <c r="AL357">
        <f t="shared" si="66"/>
        <v>6.0516399999999999</v>
      </c>
      <c r="AM357">
        <f t="shared" si="67"/>
        <v>9.9691086375999998</v>
      </c>
      <c r="AP357" s="9"/>
      <c r="AQ357" s="22">
        <v>5.2642799999999997E-2</v>
      </c>
      <c r="AR357" s="22">
        <v>230.35300000000001</v>
      </c>
      <c r="AS357" s="22">
        <v>-1.5741000000000002E-2</v>
      </c>
      <c r="AT357" s="22">
        <v>347</v>
      </c>
      <c r="AU357" s="22">
        <v>5.2154499999999999E-2</v>
      </c>
      <c r="AV357">
        <f t="shared" si="68"/>
        <v>15.741000000000001</v>
      </c>
      <c r="AW357">
        <f t="shared" si="69"/>
        <v>0.82865031480000007</v>
      </c>
      <c r="AX357" s="9"/>
      <c r="AY357" s="22">
        <v>1.64734</v>
      </c>
      <c r="AZ357" s="22">
        <v>264.69299999999998</v>
      </c>
      <c r="BA357" s="22">
        <v>-5.8837899999999999E-3</v>
      </c>
      <c r="BB357" s="22">
        <v>347</v>
      </c>
      <c r="BC357" s="22">
        <v>1.64612</v>
      </c>
      <c r="BD357">
        <f t="shared" si="70"/>
        <v>5.8837899999999994</v>
      </c>
      <c r="BE357">
        <f t="shared" si="71"/>
        <v>9.6926026185999987</v>
      </c>
    </row>
    <row r="358" spans="6:57">
      <c r="F358" s="9"/>
      <c r="G358" s="22">
        <v>4.7607400000000001E-2</v>
      </c>
      <c r="H358" s="22">
        <v>52.559800000000003</v>
      </c>
      <c r="I358" s="22">
        <v>-1.58966E-2</v>
      </c>
      <c r="J358" s="22">
        <v>348</v>
      </c>
      <c r="K358" s="22">
        <v>4.7512800000000001E-2</v>
      </c>
      <c r="L358">
        <f t="shared" si="60"/>
        <v>15.896600000000001</v>
      </c>
      <c r="M358">
        <f t="shared" si="61"/>
        <v>0.75679579484000004</v>
      </c>
      <c r="N358" s="9"/>
      <c r="O358" s="22">
        <v>1.6523699999999999</v>
      </c>
      <c r="P358" s="22">
        <v>101.986</v>
      </c>
      <c r="Q358" s="22">
        <v>-5.7189900000000002E-3</v>
      </c>
      <c r="R358" s="22">
        <v>348</v>
      </c>
      <c r="S358" s="22">
        <v>1.65161</v>
      </c>
      <c r="T358">
        <f t="shared" si="62"/>
        <v>5.7189899999999998</v>
      </c>
      <c r="U358">
        <f t="shared" si="63"/>
        <v>9.4498875062999996</v>
      </c>
      <c r="X358" s="9"/>
      <c r="Y358" s="22">
        <v>4.7607400000000001E-2</v>
      </c>
      <c r="Z358" s="22">
        <v>131.44300000000001</v>
      </c>
      <c r="AA358" s="22">
        <v>-1.5835599999999998E-2</v>
      </c>
      <c r="AB358" s="22">
        <v>348</v>
      </c>
      <c r="AC358" s="22">
        <v>4.7506699999999999E-2</v>
      </c>
      <c r="AD358">
        <f t="shared" si="64"/>
        <v>15.835599999999998</v>
      </c>
      <c r="AE358">
        <f t="shared" si="65"/>
        <v>0.75389174343999987</v>
      </c>
      <c r="AF358" s="9"/>
      <c r="AG358" s="22">
        <v>1.6523699999999999</v>
      </c>
      <c r="AH358" s="22">
        <v>180.917</v>
      </c>
      <c r="AI358" s="22">
        <v>-5.6945800000000003E-3</v>
      </c>
      <c r="AJ358" s="22">
        <v>348</v>
      </c>
      <c r="AK358" s="22">
        <v>1.6507000000000001</v>
      </c>
      <c r="AL358">
        <f t="shared" si="66"/>
        <v>5.6945800000000002</v>
      </c>
      <c r="AM358">
        <f t="shared" si="67"/>
        <v>9.4095531545999993</v>
      </c>
      <c r="AP358" s="9"/>
      <c r="AQ358" s="22">
        <v>4.7607400000000001E-2</v>
      </c>
      <c r="AR358" s="22">
        <v>230.363</v>
      </c>
      <c r="AS358" s="22">
        <v>-1.5741000000000002E-2</v>
      </c>
      <c r="AT358" s="22">
        <v>348</v>
      </c>
      <c r="AU358" s="22">
        <v>4.7494500000000002E-2</v>
      </c>
      <c r="AV358">
        <f t="shared" si="68"/>
        <v>15.741000000000001</v>
      </c>
      <c r="AW358">
        <f t="shared" si="69"/>
        <v>0.74938808340000007</v>
      </c>
      <c r="AX358" s="9"/>
      <c r="AY358" s="22">
        <v>1.6523699999999999</v>
      </c>
      <c r="AZ358" s="22">
        <v>264.70299999999997</v>
      </c>
      <c r="BA358" s="22">
        <v>-5.5206300000000003E-3</v>
      </c>
      <c r="BB358" s="22">
        <v>348</v>
      </c>
      <c r="BC358" s="22">
        <v>1.65161</v>
      </c>
      <c r="BD358">
        <f t="shared" si="70"/>
        <v>5.5206300000000006</v>
      </c>
      <c r="BE358">
        <f t="shared" si="71"/>
        <v>9.1221233931000008</v>
      </c>
    </row>
    <row r="359" spans="6:57">
      <c r="F359" s="9"/>
      <c r="G359" s="22">
        <v>4.2571999999999999E-2</v>
      </c>
      <c r="H359" s="22">
        <v>52.569899999999997</v>
      </c>
      <c r="I359" s="22">
        <v>-1.58966E-2</v>
      </c>
      <c r="J359" s="22">
        <v>349</v>
      </c>
      <c r="K359" s="22">
        <v>4.2541500000000003E-2</v>
      </c>
      <c r="L359">
        <f t="shared" si="60"/>
        <v>15.896600000000001</v>
      </c>
      <c r="M359">
        <f t="shared" si="61"/>
        <v>0.67675005519999998</v>
      </c>
      <c r="N359" s="9"/>
      <c r="O359" s="22">
        <v>1.65741</v>
      </c>
      <c r="P359" s="22">
        <v>101.996</v>
      </c>
      <c r="Q359" s="22">
        <v>-5.3436300000000003E-3</v>
      </c>
      <c r="R359" s="22">
        <v>349</v>
      </c>
      <c r="S359" s="22">
        <v>1.6568000000000001</v>
      </c>
      <c r="T359">
        <f t="shared" si="62"/>
        <v>5.3436300000000001</v>
      </c>
      <c r="U359">
        <f t="shared" si="63"/>
        <v>8.8565857983000011</v>
      </c>
      <c r="X359" s="9"/>
      <c r="Y359" s="22">
        <v>4.2571999999999999E-2</v>
      </c>
      <c r="Z359" s="22">
        <v>131.453</v>
      </c>
      <c r="AA359" s="22">
        <v>-1.5847799999999999E-2</v>
      </c>
      <c r="AB359" s="22">
        <v>349</v>
      </c>
      <c r="AC359" s="22">
        <v>4.2419400000000003E-2</v>
      </c>
      <c r="AD359">
        <f t="shared" si="64"/>
        <v>15.847799999999999</v>
      </c>
      <c r="AE359">
        <f t="shared" si="65"/>
        <v>0.67467254160000001</v>
      </c>
      <c r="AF359" s="9"/>
      <c r="AG359" s="22">
        <v>1.65741</v>
      </c>
      <c r="AH359" s="22">
        <v>180.92699999999999</v>
      </c>
      <c r="AI359" s="22">
        <v>-5.3192100000000004E-3</v>
      </c>
      <c r="AJ359" s="22">
        <v>349</v>
      </c>
      <c r="AK359" s="22">
        <v>1.6568000000000001</v>
      </c>
      <c r="AL359">
        <f t="shared" si="66"/>
        <v>5.31921</v>
      </c>
      <c r="AM359">
        <f t="shared" si="67"/>
        <v>8.8161118461000001</v>
      </c>
      <c r="AP359" s="9"/>
      <c r="AQ359" s="22">
        <v>4.2571999999999999E-2</v>
      </c>
      <c r="AR359" s="22">
        <v>230.37299999999999</v>
      </c>
      <c r="AS359" s="22">
        <v>-1.5744000000000001E-2</v>
      </c>
      <c r="AT359" s="22">
        <v>349</v>
      </c>
      <c r="AU359" s="22">
        <v>4.2575099999999998E-2</v>
      </c>
      <c r="AV359">
        <f t="shared" si="68"/>
        <v>15.744000000000002</v>
      </c>
      <c r="AW359">
        <f t="shared" si="69"/>
        <v>0.67025356800000002</v>
      </c>
      <c r="AX359" s="9"/>
      <c r="AY359" s="22">
        <v>1.65741</v>
      </c>
      <c r="AZ359" s="22">
        <v>264.71300000000002</v>
      </c>
      <c r="BA359" s="22">
        <v>-5.1544199999999998E-3</v>
      </c>
      <c r="BB359" s="22">
        <v>349</v>
      </c>
      <c r="BC359" s="22">
        <v>1.6561900000000001</v>
      </c>
      <c r="BD359">
        <f t="shared" si="70"/>
        <v>5.15442</v>
      </c>
      <c r="BE359">
        <f t="shared" si="71"/>
        <v>8.5429872521999997</v>
      </c>
    </row>
    <row r="360" spans="6:57">
      <c r="F360" s="9"/>
      <c r="G360" s="22">
        <v>3.7536600000000003E-2</v>
      </c>
      <c r="H360" s="22">
        <v>52.58</v>
      </c>
      <c r="I360" s="22">
        <v>-1.5890499999999998E-2</v>
      </c>
      <c r="J360" s="22">
        <v>350</v>
      </c>
      <c r="K360" s="22">
        <v>3.7384000000000001E-2</v>
      </c>
      <c r="L360">
        <f t="shared" si="60"/>
        <v>15.890499999999998</v>
      </c>
      <c r="M360">
        <f t="shared" si="61"/>
        <v>0.59647534229999999</v>
      </c>
      <c r="N360" s="9"/>
      <c r="O360" s="22">
        <v>1.66245</v>
      </c>
      <c r="P360" s="22">
        <v>102.006</v>
      </c>
      <c r="Q360" s="22">
        <v>-4.9527E-3</v>
      </c>
      <c r="R360" s="22">
        <v>350</v>
      </c>
      <c r="S360" s="22">
        <v>1.66168</v>
      </c>
      <c r="T360">
        <f t="shared" si="62"/>
        <v>4.9527000000000001</v>
      </c>
      <c r="U360">
        <f t="shared" si="63"/>
        <v>8.2336161150000002</v>
      </c>
      <c r="X360" s="9"/>
      <c r="Y360" s="22">
        <v>3.7536600000000003E-2</v>
      </c>
      <c r="Z360" s="22">
        <v>131.46299999999999</v>
      </c>
      <c r="AA360" s="22">
        <v>-1.5850800000000002E-2</v>
      </c>
      <c r="AB360" s="22">
        <v>350</v>
      </c>
      <c r="AC360" s="22">
        <v>3.7414599999999999E-2</v>
      </c>
      <c r="AD360">
        <f t="shared" si="64"/>
        <v>15.850800000000001</v>
      </c>
      <c r="AE360">
        <f t="shared" si="65"/>
        <v>0.59498513928000007</v>
      </c>
      <c r="AF360" s="9"/>
      <c r="AG360" s="22">
        <v>1.66245</v>
      </c>
      <c r="AH360" s="22">
        <v>180.93700000000001</v>
      </c>
      <c r="AI360" s="22">
        <v>-4.9279800000000002E-3</v>
      </c>
      <c r="AJ360" s="22">
        <v>350</v>
      </c>
      <c r="AK360" s="22">
        <v>1.66229</v>
      </c>
      <c r="AL360">
        <f t="shared" si="66"/>
        <v>4.9279799999999998</v>
      </c>
      <c r="AM360">
        <f t="shared" si="67"/>
        <v>8.1925203509999989</v>
      </c>
      <c r="AP360" s="9"/>
      <c r="AQ360" s="22">
        <v>3.7536600000000003E-2</v>
      </c>
      <c r="AR360" s="22">
        <v>230.38300000000001</v>
      </c>
      <c r="AS360" s="22">
        <v>-1.57501E-2</v>
      </c>
      <c r="AT360" s="22">
        <v>350</v>
      </c>
      <c r="AU360" s="22">
        <v>3.7399300000000003E-2</v>
      </c>
      <c r="AV360">
        <f t="shared" si="68"/>
        <v>15.7501</v>
      </c>
      <c r="AW360">
        <f t="shared" si="69"/>
        <v>0.59120520366000007</v>
      </c>
      <c r="AX360" s="9"/>
      <c r="AY360" s="22">
        <v>1.66245</v>
      </c>
      <c r="AZ360" s="22">
        <v>264.72300000000001</v>
      </c>
      <c r="BA360" s="22">
        <v>-4.7683700000000001E-3</v>
      </c>
      <c r="BB360" s="22">
        <v>350</v>
      </c>
      <c r="BC360" s="22">
        <v>1.66168</v>
      </c>
      <c r="BD360">
        <f t="shared" si="70"/>
        <v>4.76837</v>
      </c>
      <c r="BE360">
        <f t="shared" si="71"/>
        <v>7.9271767065000001</v>
      </c>
    </row>
    <row r="361" spans="6:57">
      <c r="F361" s="9"/>
      <c r="G361" s="22">
        <v>3.2501200000000001E-2</v>
      </c>
      <c r="H361" s="22">
        <v>52.5901</v>
      </c>
      <c r="I361" s="22">
        <v>-1.5887499999999999E-2</v>
      </c>
      <c r="J361" s="22">
        <v>351</v>
      </c>
      <c r="K361" s="22">
        <v>3.2391400000000001E-2</v>
      </c>
      <c r="L361">
        <f t="shared" si="60"/>
        <v>15.887499999999999</v>
      </c>
      <c r="M361">
        <f t="shared" si="61"/>
        <v>0.51636281500000003</v>
      </c>
      <c r="N361" s="9"/>
      <c r="O361" s="22">
        <v>1.6674800000000001</v>
      </c>
      <c r="P361" s="22">
        <v>102.01600000000001</v>
      </c>
      <c r="Q361" s="22">
        <v>-4.5513899999999998E-3</v>
      </c>
      <c r="R361" s="22">
        <v>351</v>
      </c>
      <c r="S361" s="22">
        <v>1.66656</v>
      </c>
      <c r="T361">
        <f t="shared" si="62"/>
        <v>4.5513899999999996</v>
      </c>
      <c r="U361">
        <f t="shared" si="63"/>
        <v>7.5893517972</v>
      </c>
      <c r="X361" s="9"/>
      <c r="Y361" s="22">
        <v>3.2501200000000001E-2</v>
      </c>
      <c r="Z361" s="22">
        <v>131.47399999999999</v>
      </c>
      <c r="AA361" s="22">
        <v>-1.5850800000000002E-2</v>
      </c>
      <c r="AB361" s="22">
        <v>351</v>
      </c>
      <c r="AC361" s="22">
        <v>3.2357799999999999E-2</v>
      </c>
      <c r="AD361">
        <f t="shared" si="64"/>
        <v>15.850800000000001</v>
      </c>
      <c r="AE361">
        <f t="shared" si="65"/>
        <v>0.51517002096000009</v>
      </c>
      <c r="AF361" s="9"/>
      <c r="AG361" s="22">
        <v>1.6674800000000001</v>
      </c>
      <c r="AH361" s="22">
        <v>180.947</v>
      </c>
      <c r="AI361" s="22">
        <v>-4.5205699999999998E-3</v>
      </c>
      <c r="AJ361" s="22">
        <v>351</v>
      </c>
      <c r="AK361" s="22">
        <v>1.6668700000000001</v>
      </c>
      <c r="AL361">
        <f t="shared" si="66"/>
        <v>4.5205700000000002</v>
      </c>
      <c r="AM361">
        <f t="shared" si="67"/>
        <v>7.5379600636000008</v>
      </c>
      <c r="AP361" s="9"/>
      <c r="AQ361" s="22">
        <v>3.2501200000000001E-2</v>
      </c>
      <c r="AR361" s="22">
        <v>230.393</v>
      </c>
      <c r="AS361" s="22">
        <v>-1.57471E-2</v>
      </c>
      <c r="AT361" s="22">
        <v>351</v>
      </c>
      <c r="AU361" s="22">
        <v>3.2388300000000002E-2</v>
      </c>
      <c r="AV361">
        <f t="shared" si="68"/>
        <v>15.7471</v>
      </c>
      <c r="AW361">
        <f t="shared" si="69"/>
        <v>0.51179964651999998</v>
      </c>
      <c r="AX361" s="9"/>
      <c r="AY361" s="22">
        <v>1.6674800000000001</v>
      </c>
      <c r="AZ361" s="22">
        <v>264.73399999999998</v>
      </c>
      <c r="BA361" s="22">
        <v>-4.36646E-3</v>
      </c>
      <c r="BB361" s="22">
        <v>351</v>
      </c>
      <c r="BC361" s="22">
        <v>1.66656</v>
      </c>
      <c r="BD361">
        <f t="shared" si="70"/>
        <v>4.36646</v>
      </c>
      <c r="BE361">
        <f t="shared" si="71"/>
        <v>7.2809847208000003</v>
      </c>
    </row>
    <row r="362" spans="6:57">
      <c r="F362" s="9"/>
      <c r="G362" s="22">
        <v>2.7465799999999999E-2</v>
      </c>
      <c r="H362" s="22">
        <v>52.600099999999998</v>
      </c>
      <c r="I362" s="22">
        <v>-1.5887499999999999E-2</v>
      </c>
      <c r="J362" s="22">
        <v>352</v>
      </c>
      <c r="K362" s="22">
        <v>2.7285799999999999E-2</v>
      </c>
      <c r="L362">
        <f t="shared" si="60"/>
        <v>15.887499999999999</v>
      </c>
      <c r="M362">
        <f t="shared" si="61"/>
        <v>0.43636289749999996</v>
      </c>
      <c r="N362" s="9"/>
      <c r="O362" s="22">
        <v>1.67252</v>
      </c>
      <c r="P362" s="22">
        <v>102.027</v>
      </c>
      <c r="Q362" s="22">
        <v>-4.1250599999999998E-3</v>
      </c>
      <c r="R362" s="22">
        <v>352</v>
      </c>
      <c r="S362" s="22">
        <v>1.6711400000000001</v>
      </c>
      <c r="T362">
        <f t="shared" si="62"/>
        <v>4.1250599999999995</v>
      </c>
      <c r="U362">
        <f t="shared" si="63"/>
        <v>6.8992453511999994</v>
      </c>
      <c r="X362" s="9"/>
      <c r="Y362" s="22">
        <v>2.7465799999999999E-2</v>
      </c>
      <c r="Z362" s="22">
        <v>131.48400000000001</v>
      </c>
      <c r="AA362" s="22">
        <v>-1.5847799999999999E-2</v>
      </c>
      <c r="AB362" s="22">
        <v>352</v>
      </c>
      <c r="AC362" s="22">
        <v>2.7334600000000001E-2</v>
      </c>
      <c r="AD362">
        <f t="shared" si="64"/>
        <v>15.847799999999999</v>
      </c>
      <c r="AE362">
        <f t="shared" si="65"/>
        <v>0.43527250523999994</v>
      </c>
      <c r="AF362" s="9"/>
      <c r="AG362" s="22">
        <v>1.67252</v>
      </c>
      <c r="AH362" s="22">
        <v>180.95699999999999</v>
      </c>
      <c r="AI362" s="22">
        <v>-4.0954600000000004E-3</v>
      </c>
      <c r="AJ362" s="22">
        <v>352</v>
      </c>
      <c r="AK362" s="22">
        <v>1.6714500000000001</v>
      </c>
      <c r="AL362">
        <f t="shared" si="66"/>
        <v>4.0954600000000001</v>
      </c>
      <c r="AM362">
        <f t="shared" si="67"/>
        <v>6.8497387592000001</v>
      </c>
      <c r="AP362" s="9"/>
      <c r="AQ362" s="22">
        <v>2.7465799999999999E-2</v>
      </c>
      <c r="AR362" s="22">
        <v>230.40299999999999</v>
      </c>
      <c r="AS362" s="22">
        <v>-1.57501E-2</v>
      </c>
      <c r="AT362" s="22">
        <v>352</v>
      </c>
      <c r="AU362" s="22">
        <v>2.7343800000000001E-2</v>
      </c>
      <c r="AV362">
        <f t="shared" si="68"/>
        <v>15.7501</v>
      </c>
      <c r="AW362">
        <f t="shared" si="69"/>
        <v>0.43258909657999994</v>
      </c>
      <c r="AX362" s="9"/>
      <c r="AY362" s="22">
        <v>1.67252</v>
      </c>
      <c r="AZ362" s="22">
        <v>264.74400000000003</v>
      </c>
      <c r="BA362" s="22">
        <v>-3.88763E-3</v>
      </c>
      <c r="BB362" s="22">
        <v>352</v>
      </c>
      <c r="BC362" s="22">
        <v>1.6717500000000001</v>
      </c>
      <c r="BD362">
        <f t="shared" si="70"/>
        <v>3.8876300000000001</v>
      </c>
      <c r="BE362">
        <f t="shared" si="71"/>
        <v>6.5021389275999999</v>
      </c>
    </row>
    <row r="363" spans="6:57">
      <c r="F363" s="9"/>
      <c r="G363" s="22">
        <v>2.24304E-2</v>
      </c>
      <c r="H363" s="22">
        <v>52.610199999999999</v>
      </c>
      <c r="I363" s="22">
        <v>-1.5887499999999999E-2</v>
      </c>
      <c r="J363" s="22">
        <v>353</v>
      </c>
      <c r="K363" s="22">
        <v>2.2149700000000001E-2</v>
      </c>
      <c r="L363">
        <f t="shared" si="60"/>
        <v>15.887499999999999</v>
      </c>
      <c r="M363">
        <f t="shared" si="61"/>
        <v>0.35636298</v>
      </c>
      <c r="N363" s="9"/>
      <c r="O363" s="22">
        <v>1.6775500000000001</v>
      </c>
      <c r="P363" s="22">
        <v>102.03700000000001</v>
      </c>
      <c r="Q363" s="22">
        <v>-3.6959800000000002E-3</v>
      </c>
      <c r="R363" s="22">
        <v>353</v>
      </c>
      <c r="S363" s="22">
        <v>1.6769400000000001</v>
      </c>
      <c r="T363">
        <f t="shared" si="62"/>
        <v>3.69598</v>
      </c>
      <c r="U363">
        <f t="shared" si="63"/>
        <v>6.2001912490000004</v>
      </c>
      <c r="X363" s="9"/>
      <c r="Y363" s="22">
        <v>2.24304E-2</v>
      </c>
      <c r="Z363" s="22">
        <v>131.494</v>
      </c>
      <c r="AA363" s="22">
        <v>-1.5847799999999999E-2</v>
      </c>
      <c r="AB363" s="22">
        <v>353</v>
      </c>
      <c r="AC363" s="22">
        <v>2.23053E-2</v>
      </c>
      <c r="AD363">
        <f t="shared" si="64"/>
        <v>15.847799999999999</v>
      </c>
      <c r="AE363">
        <f t="shared" si="65"/>
        <v>0.35547249311999995</v>
      </c>
      <c r="AF363" s="9"/>
      <c r="AG363" s="22">
        <v>1.6775500000000001</v>
      </c>
      <c r="AH363" s="22">
        <v>180.96700000000001</v>
      </c>
      <c r="AI363" s="22">
        <v>-3.6526499999999999E-3</v>
      </c>
      <c r="AJ363" s="22">
        <v>353</v>
      </c>
      <c r="AK363" s="22">
        <v>1.6769400000000001</v>
      </c>
      <c r="AL363">
        <f t="shared" si="66"/>
        <v>3.65265</v>
      </c>
      <c r="AM363">
        <f t="shared" si="67"/>
        <v>6.1275030075000005</v>
      </c>
      <c r="AP363" s="9"/>
      <c r="AQ363" s="22">
        <v>2.24304E-2</v>
      </c>
      <c r="AR363" s="22">
        <v>230.41399999999999</v>
      </c>
      <c r="AS363" s="22">
        <v>-1.57471E-2</v>
      </c>
      <c r="AT363" s="22">
        <v>353</v>
      </c>
      <c r="AU363" s="22">
        <v>2.2271699999999998E-2</v>
      </c>
      <c r="AV363">
        <f t="shared" si="68"/>
        <v>15.7471</v>
      </c>
      <c r="AW363">
        <f t="shared" si="69"/>
        <v>0.35321375183999998</v>
      </c>
      <c r="AX363" s="9"/>
      <c r="AY363" s="22">
        <v>1.6775500000000001</v>
      </c>
      <c r="AZ363" s="22">
        <v>264.75400000000002</v>
      </c>
      <c r="BA363" s="22">
        <v>-3.4463499999999999E-3</v>
      </c>
      <c r="BB363" s="22">
        <v>353</v>
      </c>
      <c r="BC363" s="22">
        <v>1.6763300000000001</v>
      </c>
      <c r="BD363">
        <f t="shared" si="70"/>
        <v>3.4463499999999998</v>
      </c>
      <c r="BE363">
        <f t="shared" si="71"/>
        <v>5.7814244424999996</v>
      </c>
    </row>
    <row r="364" spans="6:57">
      <c r="F364" s="9"/>
      <c r="G364" s="22">
        <v>1.7395000000000001E-2</v>
      </c>
      <c r="H364" s="22">
        <v>52.6203</v>
      </c>
      <c r="I364" s="22">
        <v>-1.5890499999999998E-2</v>
      </c>
      <c r="J364" s="22">
        <v>354</v>
      </c>
      <c r="K364" s="22">
        <v>1.7184399999999999E-2</v>
      </c>
      <c r="L364">
        <f t="shared" si="60"/>
        <v>15.890499999999998</v>
      </c>
      <c r="M364">
        <f t="shared" si="61"/>
        <v>0.27641524749999996</v>
      </c>
      <c r="N364" s="9"/>
      <c r="O364" s="22">
        <v>1.68259</v>
      </c>
      <c r="P364" s="22">
        <v>102.047</v>
      </c>
      <c r="Q364" s="22">
        <v>-3.2406599999999998E-3</v>
      </c>
      <c r="R364" s="22">
        <v>354</v>
      </c>
      <c r="S364" s="22">
        <v>1.6824300000000001</v>
      </c>
      <c r="T364">
        <f t="shared" si="62"/>
        <v>3.2406599999999997</v>
      </c>
      <c r="U364">
        <f t="shared" si="63"/>
        <v>5.4527021093999997</v>
      </c>
      <c r="X364" s="9"/>
      <c r="Y364" s="22">
        <v>1.7395000000000001E-2</v>
      </c>
      <c r="Z364" s="22">
        <v>131.50399999999999</v>
      </c>
      <c r="AA364" s="22">
        <v>-1.58447E-2</v>
      </c>
      <c r="AB364" s="22">
        <v>354</v>
      </c>
      <c r="AC364" s="22">
        <v>1.7215000000000001E-2</v>
      </c>
      <c r="AD364">
        <f t="shared" si="64"/>
        <v>15.8447</v>
      </c>
      <c r="AE364">
        <f t="shared" si="65"/>
        <v>0.2756185565</v>
      </c>
      <c r="AF364" s="9"/>
      <c r="AG364" s="22">
        <v>1.68259</v>
      </c>
      <c r="AH364" s="22">
        <v>180.977</v>
      </c>
      <c r="AI364" s="22">
        <v>-3.2028199999999999E-3</v>
      </c>
      <c r="AJ364" s="22">
        <v>354</v>
      </c>
      <c r="AK364" s="22">
        <v>1.6815199999999999</v>
      </c>
      <c r="AL364">
        <f t="shared" si="66"/>
        <v>3.20282</v>
      </c>
      <c r="AM364">
        <f t="shared" si="67"/>
        <v>5.3890329038000004</v>
      </c>
      <c r="AP364" s="9"/>
      <c r="AQ364" s="22">
        <v>1.7395000000000001E-2</v>
      </c>
      <c r="AR364" s="22">
        <v>230.42400000000001</v>
      </c>
      <c r="AS364" s="22">
        <v>-1.57471E-2</v>
      </c>
      <c r="AT364" s="22">
        <v>354</v>
      </c>
      <c r="AU364" s="22">
        <v>1.7215000000000001E-2</v>
      </c>
      <c r="AV364">
        <f t="shared" si="68"/>
        <v>15.7471</v>
      </c>
      <c r="AW364">
        <f t="shared" si="69"/>
        <v>0.2739208045</v>
      </c>
      <c r="AX364" s="9"/>
      <c r="AY364" s="22">
        <v>1.68259</v>
      </c>
      <c r="AZ364" s="22">
        <v>264.76400000000001</v>
      </c>
      <c r="BA364" s="22">
        <v>-2.9818700000000002E-3</v>
      </c>
      <c r="BB364" s="22">
        <v>354</v>
      </c>
      <c r="BC364" s="22">
        <v>1.6821299999999999</v>
      </c>
      <c r="BD364">
        <f t="shared" si="70"/>
        <v>2.9818700000000002</v>
      </c>
      <c r="BE364">
        <f t="shared" si="71"/>
        <v>5.0172646433000008</v>
      </c>
    </row>
    <row r="365" spans="6:57">
      <c r="F365" s="9"/>
      <c r="G365" s="22">
        <v>1.23596E-2</v>
      </c>
      <c r="H365" s="22">
        <v>52.630299999999998</v>
      </c>
      <c r="I365" s="22">
        <v>-1.5893600000000001E-2</v>
      </c>
      <c r="J365" s="22">
        <v>355</v>
      </c>
      <c r="K365" s="22">
        <v>1.2240600000000001E-2</v>
      </c>
      <c r="L365">
        <f t="shared" si="60"/>
        <v>15.893600000000001</v>
      </c>
      <c r="M365">
        <f t="shared" si="61"/>
        <v>0.19643853856000001</v>
      </c>
      <c r="N365" s="9"/>
      <c r="O365" s="22">
        <v>1.6876199999999999</v>
      </c>
      <c r="P365" s="22">
        <v>102.057</v>
      </c>
      <c r="Q365" s="22">
        <v>-2.7636700000000002E-3</v>
      </c>
      <c r="R365" s="22">
        <v>355</v>
      </c>
      <c r="S365" s="22">
        <v>1.6867099999999999</v>
      </c>
      <c r="T365">
        <f t="shared" si="62"/>
        <v>2.7636700000000003</v>
      </c>
      <c r="U365">
        <f t="shared" si="63"/>
        <v>4.6640247653999998</v>
      </c>
      <c r="X365" s="9"/>
      <c r="Y365" s="22">
        <v>1.23596E-2</v>
      </c>
      <c r="Z365" s="22">
        <v>131.51400000000001</v>
      </c>
      <c r="AA365" s="22">
        <v>-1.5838600000000001E-2</v>
      </c>
      <c r="AB365" s="22">
        <v>355</v>
      </c>
      <c r="AC365" s="22">
        <v>1.2213099999999999E-2</v>
      </c>
      <c r="AD365">
        <f t="shared" si="64"/>
        <v>15.838600000000001</v>
      </c>
      <c r="AE365">
        <f t="shared" si="65"/>
        <v>0.19575876056000002</v>
      </c>
      <c r="AF365" s="9"/>
      <c r="AG365" s="22">
        <v>1.6876199999999999</v>
      </c>
      <c r="AH365" s="22">
        <v>180.98699999999999</v>
      </c>
      <c r="AI365" s="22">
        <v>-2.7258299999999998E-3</v>
      </c>
      <c r="AJ365" s="22">
        <v>355</v>
      </c>
      <c r="AK365" s="22">
        <v>1.6867099999999999</v>
      </c>
      <c r="AL365">
        <f t="shared" si="66"/>
        <v>2.7258299999999998</v>
      </c>
      <c r="AM365">
        <f t="shared" si="67"/>
        <v>4.6001652245999995</v>
      </c>
      <c r="AP365" s="9"/>
      <c r="AQ365" s="22">
        <v>1.23596E-2</v>
      </c>
      <c r="AR365" s="22">
        <v>230.434</v>
      </c>
      <c r="AS365" s="22">
        <v>-1.57501E-2</v>
      </c>
      <c r="AT365" s="22">
        <v>355</v>
      </c>
      <c r="AU365" s="22">
        <v>1.2234500000000001E-2</v>
      </c>
      <c r="AV365">
        <f t="shared" si="68"/>
        <v>15.7501</v>
      </c>
      <c r="AW365">
        <f t="shared" si="69"/>
        <v>0.19466493596000001</v>
      </c>
      <c r="AX365" s="9"/>
      <c r="AY365" s="22">
        <v>1.6876199999999999</v>
      </c>
      <c r="AZ365" s="22">
        <v>264.774</v>
      </c>
      <c r="BA365" s="22">
        <v>-2.5158699999999999E-3</v>
      </c>
      <c r="BB365" s="22">
        <v>355</v>
      </c>
      <c r="BC365" s="22">
        <v>1.6870099999999999</v>
      </c>
      <c r="BD365">
        <f t="shared" si="70"/>
        <v>2.5158700000000001</v>
      </c>
      <c r="BE365">
        <f t="shared" si="71"/>
        <v>4.2458325293999994</v>
      </c>
    </row>
    <row r="366" spans="6:57">
      <c r="F366" s="9"/>
      <c r="G366" s="22">
        <v>7.3242200000000002E-3</v>
      </c>
      <c r="H366" s="22">
        <v>52.6404</v>
      </c>
      <c r="I366" s="22">
        <v>-1.5893600000000001E-2</v>
      </c>
      <c r="J366" s="22">
        <v>356</v>
      </c>
      <c r="K366" s="22">
        <v>7.1014399999999997E-3</v>
      </c>
      <c r="L366">
        <f t="shared" si="60"/>
        <v>15.893600000000001</v>
      </c>
      <c r="M366">
        <f t="shared" si="61"/>
        <v>0.11640822299200002</v>
      </c>
      <c r="N366" s="9"/>
      <c r="O366" s="22">
        <v>1.6926600000000001</v>
      </c>
      <c r="P366" s="22">
        <v>102.06699999999999</v>
      </c>
      <c r="Q366" s="22">
        <v>-2.25464E-3</v>
      </c>
      <c r="R366" s="22">
        <v>356</v>
      </c>
      <c r="S366" s="22">
        <v>1.6918899999999999</v>
      </c>
      <c r="T366">
        <f t="shared" si="62"/>
        <v>2.2546400000000002</v>
      </c>
      <c r="U366">
        <f t="shared" si="63"/>
        <v>3.8163389424000003</v>
      </c>
      <c r="X366" s="9"/>
      <c r="Y366" s="22">
        <v>7.3242200000000002E-3</v>
      </c>
      <c r="Z366" s="22">
        <v>131.524</v>
      </c>
      <c r="AA366" s="22">
        <v>-1.58417E-2</v>
      </c>
      <c r="AB366" s="22">
        <v>356</v>
      </c>
      <c r="AC366" s="22">
        <v>7.1197500000000002E-3</v>
      </c>
      <c r="AD366">
        <f t="shared" si="64"/>
        <v>15.841699999999999</v>
      </c>
      <c r="AE366">
        <f t="shared" si="65"/>
        <v>0.116028095974</v>
      </c>
      <c r="AF366" s="9"/>
      <c r="AG366" s="22">
        <v>1.6926600000000001</v>
      </c>
      <c r="AH366" s="22">
        <v>180.99700000000001</v>
      </c>
      <c r="AI366" s="22">
        <v>-2.21893E-3</v>
      </c>
      <c r="AJ366" s="22">
        <v>356</v>
      </c>
      <c r="AK366" s="22">
        <v>1.6918899999999999</v>
      </c>
      <c r="AL366">
        <f t="shared" si="66"/>
        <v>2.2189299999999998</v>
      </c>
      <c r="AM366">
        <f t="shared" si="67"/>
        <v>3.7558940538000001</v>
      </c>
      <c r="AP366" s="9"/>
      <c r="AQ366" s="22">
        <v>7.3242200000000002E-3</v>
      </c>
      <c r="AR366" s="22">
        <v>230.44399999999999</v>
      </c>
      <c r="AS366" s="22">
        <v>-1.5756200000000001E-2</v>
      </c>
      <c r="AT366" s="22">
        <v>356</v>
      </c>
      <c r="AU366" s="22">
        <v>7.14417E-3</v>
      </c>
      <c r="AV366">
        <f t="shared" si="68"/>
        <v>15.756200000000002</v>
      </c>
      <c r="AW366">
        <f t="shared" si="69"/>
        <v>0.11540187516400001</v>
      </c>
      <c r="AX366" s="9"/>
      <c r="AY366" s="22">
        <v>1.6926600000000001</v>
      </c>
      <c r="AZ366" s="22">
        <v>264.78399999999999</v>
      </c>
      <c r="BA366" s="22">
        <v>-2.0199599999999999E-3</v>
      </c>
      <c r="BB366" s="22">
        <v>356</v>
      </c>
      <c r="BC366" s="22">
        <v>1.6912799999999999</v>
      </c>
      <c r="BD366">
        <f t="shared" si="70"/>
        <v>2.0199599999999998</v>
      </c>
      <c r="BE366">
        <f t="shared" si="71"/>
        <v>3.4191054935999996</v>
      </c>
    </row>
    <row r="367" spans="6:57">
      <c r="F367" s="9"/>
      <c r="G367" s="22">
        <v>2.28882E-3</v>
      </c>
      <c r="H367" s="22">
        <v>52.650500000000001</v>
      </c>
      <c r="I367" s="22">
        <v>-1.5890499999999998E-2</v>
      </c>
      <c r="J367" s="22">
        <v>357</v>
      </c>
      <c r="K367" s="22">
        <v>2.0965599999999999E-3</v>
      </c>
      <c r="L367">
        <f t="shared" si="60"/>
        <v>15.890499999999998</v>
      </c>
      <c r="M367">
        <f t="shared" si="61"/>
        <v>3.6370494209999993E-2</v>
      </c>
      <c r="N367" s="9"/>
      <c r="O367" s="22">
        <v>1.6976899999999999</v>
      </c>
      <c r="P367" s="22">
        <v>102.077</v>
      </c>
      <c r="Q367" s="22">
        <v>-1.7379800000000001E-3</v>
      </c>
      <c r="R367" s="22">
        <v>357</v>
      </c>
      <c r="S367" s="22">
        <v>1.69678</v>
      </c>
      <c r="T367">
        <f t="shared" si="62"/>
        <v>1.7379800000000001</v>
      </c>
      <c r="U367">
        <f t="shared" si="63"/>
        <v>2.9505512662000002</v>
      </c>
      <c r="X367" s="9"/>
      <c r="Y367" s="22">
        <v>2.28882E-3</v>
      </c>
      <c r="Z367" s="22">
        <v>131.53399999999999</v>
      </c>
      <c r="AA367" s="22">
        <v>-1.5838600000000001E-2</v>
      </c>
      <c r="AB367" s="22">
        <v>357</v>
      </c>
      <c r="AC367" s="22">
        <v>2.0904500000000002E-3</v>
      </c>
      <c r="AD367">
        <f t="shared" si="64"/>
        <v>15.838600000000001</v>
      </c>
      <c r="AE367">
        <f t="shared" si="65"/>
        <v>3.6251704452000003E-2</v>
      </c>
      <c r="AF367" s="9"/>
      <c r="AG367" s="22">
        <v>1.6976899999999999</v>
      </c>
      <c r="AH367" s="22">
        <v>181.00700000000001</v>
      </c>
      <c r="AI367" s="22">
        <v>-1.6989100000000001E-3</v>
      </c>
      <c r="AJ367" s="22">
        <v>357</v>
      </c>
      <c r="AK367" s="22">
        <v>1.6970799999999999</v>
      </c>
      <c r="AL367">
        <f t="shared" si="66"/>
        <v>1.6989100000000001</v>
      </c>
      <c r="AM367">
        <f t="shared" si="67"/>
        <v>2.8842225179000001</v>
      </c>
      <c r="AP367" s="9"/>
      <c r="AQ367" s="22">
        <v>2.28882E-3</v>
      </c>
      <c r="AR367" s="22">
        <v>230.45400000000001</v>
      </c>
      <c r="AS367" s="22">
        <v>-1.5756200000000001E-2</v>
      </c>
      <c r="AT367" s="22">
        <v>357</v>
      </c>
      <c r="AU367" s="22">
        <v>2.1179200000000001E-3</v>
      </c>
      <c r="AV367">
        <f t="shared" si="68"/>
        <v>15.756200000000002</v>
      </c>
      <c r="AW367">
        <f t="shared" si="69"/>
        <v>3.6063105684000001E-2</v>
      </c>
      <c r="AX367" s="9"/>
      <c r="AY367" s="22">
        <v>1.6976899999999999</v>
      </c>
      <c r="AZ367" s="22">
        <v>264.79399999999998</v>
      </c>
      <c r="BA367" s="22">
        <v>-1.51428E-3</v>
      </c>
      <c r="BB367" s="22">
        <v>357</v>
      </c>
      <c r="BC367" s="22">
        <v>1.69739</v>
      </c>
      <c r="BD367">
        <f t="shared" si="70"/>
        <v>1.5142800000000001</v>
      </c>
      <c r="BE367">
        <f t="shared" si="71"/>
        <v>2.5707780132</v>
      </c>
    </row>
    <row r="368" spans="6:57">
      <c r="F368" s="9"/>
      <c r="G368" s="22">
        <v>-2.7465800000000002E-3</v>
      </c>
      <c r="H368" s="22">
        <v>52.660600000000002</v>
      </c>
      <c r="I368" s="22">
        <v>-1.5890499999999998E-2</v>
      </c>
      <c r="J368" s="22">
        <v>358</v>
      </c>
      <c r="K368" s="22">
        <v>-2.9388399999999999E-3</v>
      </c>
      <c r="L368">
        <f t="shared" si="60"/>
        <v>15.890499999999998</v>
      </c>
      <c r="M368">
        <f t="shared" si="61"/>
        <v>-4.3644529489999993E-2</v>
      </c>
      <c r="N368" s="9"/>
      <c r="O368" s="22">
        <v>1.7027300000000001</v>
      </c>
      <c r="P368" s="22">
        <v>102.087</v>
      </c>
      <c r="Q368" s="22">
        <v>-1.19202E-3</v>
      </c>
      <c r="R368" s="22">
        <v>358</v>
      </c>
      <c r="S368" s="22">
        <v>1.7022699999999999</v>
      </c>
      <c r="T368">
        <f t="shared" si="62"/>
        <v>1.1920200000000001</v>
      </c>
      <c r="U368">
        <f t="shared" si="63"/>
        <v>2.0296882146000002</v>
      </c>
      <c r="X368" s="9"/>
      <c r="Y368" s="22">
        <v>-2.7465800000000002E-3</v>
      </c>
      <c r="Z368" s="22">
        <v>131.54400000000001</v>
      </c>
      <c r="AA368" s="22">
        <v>-1.58417E-2</v>
      </c>
      <c r="AB368" s="22">
        <v>358</v>
      </c>
      <c r="AC368" s="22">
        <v>-2.9480000000000001E-3</v>
      </c>
      <c r="AD368">
        <f t="shared" si="64"/>
        <v>15.841699999999999</v>
      </c>
      <c r="AE368">
        <f t="shared" si="65"/>
        <v>-4.3510496385999999E-2</v>
      </c>
      <c r="AF368" s="9"/>
      <c r="AG368" s="22">
        <v>1.7027300000000001</v>
      </c>
      <c r="AH368" s="22">
        <v>181.017</v>
      </c>
      <c r="AI368" s="22">
        <v>-1.14624E-3</v>
      </c>
      <c r="AJ368" s="22">
        <v>358</v>
      </c>
      <c r="AK368" s="22">
        <v>1.7022699999999999</v>
      </c>
      <c r="AL368">
        <f t="shared" si="66"/>
        <v>1.1462399999999999</v>
      </c>
      <c r="AM368">
        <f t="shared" si="67"/>
        <v>1.9517372352</v>
      </c>
      <c r="AP368" s="9"/>
      <c r="AQ368" s="22">
        <v>-2.7465800000000002E-3</v>
      </c>
      <c r="AR368" s="22">
        <v>230.464</v>
      </c>
      <c r="AS368" s="22">
        <v>-1.57593E-2</v>
      </c>
      <c r="AT368" s="22">
        <v>358</v>
      </c>
      <c r="AU368" s="22">
        <v>-2.98767E-3</v>
      </c>
      <c r="AV368">
        <f t="shared" si="68"/>
        <v>15.7593</v>
      </c>
      <c r="AW368">
        <f t="shared" si="69"/>
        <v>-4.3284178194000003E-2</v>
      </c>
      <c r="AX368" s="9"/>
      <c r="AY368" s="22">
        <v>1.7027300000000001</v>
      </c>
      <c r="AZ368" s="22">
        <v>264.80399999999997</v>
      </c>
      <c r="BA368" s="22">
        <v>-9.7686800000000009E-4</v>
      </c>
      <c r="BB368" s="22">
        <v>358</v>
      </c>
      <c r="BC368" s="22">
        <v>1.70197</v>
      </c>
      <c r="BD368">
        <f t="shared" si="70"/>
        <v>0.97686800000000007</v>
      </c>
      <c r="BE368">
        <f t="shared" si="71"/>
        <v>1.6633424496400002</v>
      </c>
    </row>
    <row r="369" spans="6:57">
      <c r="F369" s="9"/>
      <c r="G369" s="22">
        <v>-7.78198E-3</v>
      </c>
      <c r="H369" s="22">
        <v>52.6706</v>
      </c>
      <c r="I369" s="22">
        <v>-1.5890499999999998E-2</v>
      </c>
      <c r="J369" s="22">
        <v>359</v>
      </c>
      <c r="K369" s="22">
        <v>-8.0108599999999999E-3</v>
      </c>
      <c r="L369">
        <f t="shared" si="60"/>
        <v>15.890499999999998</v>
      </c>
      <c r="M369">
        <f t="shared" si="61"/>
        <v>-0.12365955318999998</v>
      </c>
      <c r="N369" s="9"/>
      <c r="O369" s="22">
        <v>1.7077599999999999</v>
      </c>
      <c r="P369" s="22">
        <v>102.09699999999999</v>
      </c>
      <c r="Q369" s="22">
        <v>-6.2072799999999997E-4</v>
      </c>
      <c r="R369" s="22">
        <v>359</v>
      </c>
      <c r="S369" s="22">
        <v>1.70807</v>
      </c>
      <c r="T369">
        <f t="shared" si="62"/>
        <v>0.62072799999999995</v>
      </c>
      <c r="U369">
        <f t="shared" si="63"/>
        <v>1.0600544492799999</v>
      </c>
      <c r="X369" s="9"/>
      <c r="Y369" s="22">
        <v>-7.78198E-3</v>
      </c>
      <c r="Z369" s="22">
        <v>131.554</v>
      </c>
      <c r="AA369" s="22">
        <v>-1.5847799999999999E-2</v>
      </c>
      <c r="AB369" s="22">
        <v>359</v>
      </c>
      <c r="AC369" s="22">
        <v>-8.0017100000000004E-3</v>
      </c>
      <c r="AD369">
        <f t="shared" si="64"/>
        <v>15.847799999999999</v>
      </c>
      <c r="AE369">
        <f t="shared" si="65"/>
        <v>-0.123327262644</v>
      </c>
      <c r="AF369" s="9"/>
      <c r="AG369" s="22">
        <v>1.7077599999999999</v>
      </c>
      <c r="AH369" s="22">
        <v>181.02799999999999</v>
      </c>
      <c r="AI369" s="22">
        <v>-5.8105500000000003E-4</v>
      </c>
      <c r="AJ369" s="22">
        <v>359</v>
      </c>
      <c r="AK369" s="22">
        <v>1.7071499999999999</v>
      </c>
      <c r="AL369">
        <f t="shared" si="66"/>
        <v>0.58105499999999999</v>
      </c>
      <c r="AM369">
        <f t="shared" si="67"/>
        <v>0.99230248679999999</v>
      </c>
      <c r="AP369" s="9"/>
      <c r="AQ369" s="22">
        <v>-7.78198E-3</v>
      </c>
      <c r="AR369" s="22">
        <v>230.47399999999999</v>
      </c>
      <c r="AS369" s="22">
        <v>-1.57593E-2</v>
      </c>
      <c r="AT369" s="22">
        <v>359</v>
      </c>
      <c r="AU369" s="22">
        <v>-8.0657999999999997E-3</v>
      </c>
      <c r="AV369">
        <f t="shared" si="68"/>
        <v>15.7593</v>
      </c>
      <c r="AW369">
        <f t="shared" si="69"/>
        <v>-0.122638557414</v>
      </c>
      <c r="AX369" s="9"/>
      <c r="AY369" s="22">
        <v>1.7077599999999999</v>
      </c>
      <c r="AZ369" s="22">
        <v>264.81400000000002</v>
      </c>
      <c r="BA369" s="22">
        <v>-4.26575E-4</v>
      </c>
      <c r="BB369" s="22">
        <v>359</v>
      </c>
      <c r="BC369" s="22">
        <v>1.70685</v>
      </c>
      <c r="BD369">
        <f t="shared" si="70"/>
        <v>0.42657499999999998</v>
      </c>
      <c r="BE369">
        <f t="shared" si="71"/>
        <v>0.72848772199999989</v>
      </c>
    </row>
    <row r="370" spans="6:57">
      <c r="F370" s="9"/>
      <c r="G370" s="22">
        <v>-1.28174E-2</v>
      </c>
      <c r="H370" s="22">
        <v>52.680700000000002</v>
      </c>
      <c r="I370" s="22">
        <v>-1.58966E-2</v>
      </c>
      <c r="J370" s="22">
        <v>360</v>
      </c>
      <c r="K370" s="22">
        <v>-1.30493E-2</v>
      </c>
      <c r="L370">
        <f t="shared" si="60"/>
        <v>15.896600000000001</v>
      </c>
      <c r="M370">
        <f t="shared" si="61"/>
        <v>-0.20375308084000002</v>
      </c>
      <c r="N370" s="9"/>
      <c r="O370" s="22">
        <v>1.7128000000000001</v>
      </c>
      <c r="P370" s="22">
        <v>102.107</v>
      </c>
      <c r="Q370" s="25">
        <v>-4.0039100000000001E-5</v>
      </c>
      <c r="R370" s="22">
        <v>360</v>
      </c>
      <c r="S370" s="22">
        <v>1.71234</v>
      </c>
      <c r="T370">
        <f t="shared" si="62"/>
        <v>4.0039100000000001E-2</v>
      </c>
      <c r="U370">
        <f t="shared" si="63"/>
        <v>6.8578970480000001E-2</v>
      </c>
      <c r="X370" s="9"/>
      <c r="Y370" s="22">
        <v>-1.28174E-2</v>
      </c>
      <c r="Z370" s="22">
        <v>131.56399999999999</v>
      </c>
      <c r="AA370" s="22">
        <v>-1.5847799999999999E-2</v>
      </c>
      <c r="AB370" s="22">
        <v>360</v>
      </c>
      <c r="AC370" s="22">
        <v>-1.30768E-2</v>
      </c>
      <c r="AD370">
        <f t="shared" si="64"/>
        <v>15.847799999999999</v>
      </c>
      <c r="AE370">
        <f t="shared" si="65"/>
        <v>-0.20312759172</v>
      </c>
      <c r="AF370" s="9"/>
      <c r="AG370" s="22">
        <v>1.7128000000000001</v>
      </c>
      <c r="AH370" s="22">
        <v>181.03800000000001</v>
      </c>
      <c r="AI370" s="25">
        <v>2.23694E-5</v>
      </c>
      <c r="AJ370" s="22">
        <v>360</v>
      </c>
      <c r="AK370" s="22">
        <v>1.71234</v>
      </c>
      <c r="AL370">
        <f t="shared" si="66"/>
        <v>-2.2369400000000001E-2</v>
      </c>
      <c r="AM370">
        <f t="shared" si="67"/>
        <v>-3.8314308320000004E-2</v>
      </c>
      <c r="AP370" s="9"/>
      <c r="AQ370" s="22">
        <v>-1.28174E-2</v>
      </c>
      <c r="AR370" s="22">
        <v>230.48400000000001</v>
      </c>
      <c r="AS370" s="22">
        <v>-1.5765399999999999E-2</v>
      </c>
      <c r="AT370" s="22">
        <v>360</v>
      </c>
      <c r="AU370" s="22">
        <v>-1.30676E-2</v>
      </c>
      <c r="AV370">
        <f t="shared" si="68"/>
        <v>15.7654</v>
      </c>
      <c r="AW370">
        <f t="shared" si="69"/>
        <v>-0.20207143795999999</v>
      </c>
      <c r="AX370" s="9"/>
      <c r="AY370" s="22">
        <v>1.7128000000000001</v>
      </c>
      <c r="AZ370" s="22">
        <v>264.82400000000001</v>
      </c>
      <c r="BA370" s="22">
        <v>1.68915E-4</v>
      </c>
      <c r="BB370" s="22">
        <v>360</v>
      </c>
      <c r="BC370" s="22">
        <v>1.71173</v>
      </c>
      <c r="BD370">
        <f t="shared" si="70"/>
        <v>-0.16891500000000001</v>
      </c>
      <c r="BE370">
        <f t="shared" si="71"/>
        <v>-0.28931761200000006</v>
      </c>
    </row>
    <row r="371" spans="6:57">
      <c r="F371" s="9"/>
      <c r="G371" s="22">
        <v>-1.7852799999999999E-2</v>
      </c>
      <c r="H371" s="22">
        <v>52.690800000000003</v>
      </c>
      <c r="I371" s="22">
        <v>-1.5899699999999999E-2</v>
      </c>
      <c r="J371" s="22">
        <v>361</v>
      </c>
      <c r="K371" s="22">
        <v>-1.81061E-2</v>
      </c>
      <c r="L371">
        <f t="shared" si="60"/>
        <v>15.899699999999999</v>
      </c>
      <c r="M371">
        <f t="shared" si="61"/>
        <v>-0.28385416415999998</v>
      </c>
      <c r="N371" s="9"/>
      <c r="O371" s="22">
        <v>1.71783</v>
      </c>
      <c r="P371" s="22">
        <v>102.117</v>
      </c>
      <c r="Q371" s="22">
        <v>5.6457499999999999E-4</v>
      </c>
      <c r="R371" s="22">
        <v>361</v>
      </c>
      <c r="S371" s="22">
        <v>1.71722</v>
      </c>
      <c r="T371">
        <f t="shared" si="62"/>
        <v>-0.56457500000000005</v>
      </c>
      <c r="U371">
        <f t="shared" si="63"/>
        <v>-0.96984387225000002</v>
      </c>
      <c r="X371" s="9"/>
      <c r="Y371" s="22">
        <v>-1.7852799999999999E-2</v>
      </c>
      <c r="Z371" s="22">
        <v>131.57400000000001</v>
      </c>
      <c r="AA371" s="22">
        <v>-1.5847799999999999E-2</v>
      </c>
      <c r="AB371" s="22">
        <v>361</v>
      </c>
      <c r="AC371" s="22">
        <v>-1.8081699999999999E-2</v>
      </c>
      <c r="AD371">
        <f t="shared" si="64"/>
        <v>15.847799999999999</v>
      </c>
      <c r="AE371">
        <f t="shared" si="65"/>
        <v>-0.28292760383999999</v>
      </c>
      <c r="AF371" s="9"/>
      <c r="AG371" s="22">
        <v>1.71783</v>
      </c>
      <c r="AH371" s="22">
        <v>181.048</v>
      </c>
      <c r="AI371" s="22">
        <v>6.2652599999999997E-4</v>
      </c>
      <c r="AJ371" s="22">
        <v>361</v>
      </c>
      <c r="AK371" s="22">
        <v>1.71692</v>
      </c>
      <c r="AL371">
        <f t="shared" si="66"/>
        <v>-0.62652599999999992</v>
      </c>
      <c r="AM371">
        <f t="shared" si="67"/>
        <v>-1.0762651585799998</v>
      </c>
      <c r="AP371" s="9"/>
      <c r="AQ371" s="22">
        <v>-1.7852799999999999E-2</v>
      </c>
      <c r="AR371" s="22">
        <v>230.494</v>
      </c>
      <c r="AS371" s="22">
        <v>-1.5765399999999999E-2</v>
      </c>
      <c r="AT371" s="22">
        <v>361</v>
      </c>
      <c r="AU371" s="22">
        <v>-1.8185400000000001E-2</v>
      </c>
      <c r="AV371">
        <f t="shared" si="68"/>
        <v>15.7654</v>
      </c>
      <c r="AW371">
        <f t="shared" si="69"/>
        <v>-0.28145653311999996</v>
      </c>
      <c r="AX371" s="9"/>
      <c r="AY371" s="22">
        <v>1.71783</v>
      </c>
      <c r="AZ371" s="22">
        <v>264.834</v>
      </c>
      <c r="BA371" s="22">
        <v>7.6721199999999997E-4</v>
      </c>
      <c r="BB371" s="22">
        <v>361</v>
      </c>
      <c r="BC371" s="22">
        <v>1.71692</v>
      </c>
      <c r="BD371">
        <f t="shared" si="70"/>
        <v>-0.76721200000000001</v>
      </c>
      <c r="BE371">
        <f t="shared" si="71"/>
        <v>-1.3179397899600001</v>
      </c>
    </row>
    <row r="372" spans="6:57">
      <c r="F372" s="9"/>
      <c r="G372" s="22">
        <v>-2.2888200000000001E-2</v>
      </c>
      <c r="H372" s="22">
        <v>52.700800000000001</v>
      </c>
      <c r="I372" s="22">
        <v>-1.5908800000000001E-2</v>
      </c>
      <c r="J372" s="22">
        <v>362</v>
      </c>
      <c r="K372" s="22">
        <v>-2.3172000000000002E-2</v>
      </c>
      <c r="L372">
        <f t="shared" si="60"/>
        <v>15.908800000000001</v>
      </c>
      <c r="M372">
        <f t="shared" si="61"/>
        <v>-0.36412379616000007</v>
      </c>
      <c r="N372" s="9"/>
      <c r="O372" s="22">
        <v>1.7228699999999999</v>
      </c>
      <c r="P372" s="22">
        <v>102.127</v>
      </c>
      <c r="Q372" s="22">
        <v>1.21155E-3</v>
      </c>
      <c r="R372" s="22">
        <v>362</v>
      </c>
      <c r="S372" s="22">
        <v>1.7218</v>
      </c>
      <c r="T372">
        <f t="shared" si="62"/>
        <v>-1.2115500000000001</v>
      </c>
      <c r="U372">
        <f t="shared" si="63"/>
        <v>-2.0873431485</v>
      </c>
      <c r="X372" s="9"/>
      <c r="Y372" s="22">
        <v>-2.2888200000000001E-2</v>
      </c>
      <c r="Z372" s="22">
        <v>131.584</v>
      </c>
      <c r="AA372" s="22">
        <v>-1.5850800000000002E-2</v>
      </c>
      <c r="AB372" s="22">
        <v>362</v>
      </c>
      <c r="AC372" s="22">
        <v>-2.3156699999999999E-2</v>
      </c>
      <c r="AD372">
        <f t="shared" si="64"/>
        <v>15.850800000000001</v>
      </c>
      <c r="AE372">
        <f t="shared" si="65"/>
        <v>-0.36279628056000002</v>
      </c>
      <c r="AF372" s="9"/>
      <c r="AG372" s="22">
        <v>1.7228699999999999</v>
      </c>
      <c r="AH372" s="22">
        <v>181.05799999999999</v>
      </c>
      <c r="AI372" s="22">
        <v>1.2625100000000001E-3</v>
      </c>
      <c r="AJ372" s="22">
        <v>362</v>
      </c>
      <c r="AK372" s="22">
        <v>1.72241</v>
      </c>
      <c r="AL372">
        <f t="shared" si="66"/>
        <v>-1.26251</v>
      </c>
      <c r="AM372">
        <f t="shared" si="67"/>
        <v>-2.1751406037000001</v>
      </c>
      <c r="AP372" s="9"/>
      <c r="AQ372" s="22">
        <v>-2.2888200000000001E-2</v>
      </c>
      <c r="AR372" s="22">
        <v>230.50399999999999</v>
      </c>
      <c r="AS372" s="22">
        <v>-1.57623E-2</v>
      </c>
      <c r="AT372" s="22">
        <v>362</v>
      </c>
      <c r="AU372" s="22">
        <v>-2.3162800000000001E-2</v>
      </c>
      <c r="AV372">
        <f t="shared" si="68"/>
        <v>15.7623</v>
      </c>
      <c r="AW372">
        <f t="shared" si="69"/>
        <v>-0.36077067486000003</v>
      </c>
      <c r="AX372" s="9"/>
      <c r="AY372" s="22">
        <v>1.7228699999999999</v>
      </c>
      <c r="AZ372" s="22">
        <v>264.84399999999999</v>
      </c>
      <c r="BA372" s="22">
        <v>1.37177E-3</v>
      </c>
      <c r="BB372" s="22">
        <v>362</v>
      </c>
      <c r="BC372" s="22">
        <v>1.72241</v>
      </c>
      <c r="BD372">
        <f t="shared" si="70"/>
        <v>-1.3717699999999999</v>
      </c>
      <c r="BE372">
        <f t="shared" si="71"/>
        <v>-2.3633813798999999</v>
      </c>
    </row>
    <row r="373" spans="6:57">
      <c r="F373" s="9"/>
      <c r="G373" s="22">
        <v>-2.79236E-2</v>
      </c>
      <c r="H373" s="22">
        <v>52.710900000000002</v>
      </c>
      <c r="I373" s="22">
        <v>-1.59119E-2</v>
      </c>
      <c r="J373" s="22">
        <v>363</v>
      </c>
      <c r="K373" s="22">
        <v>-2.8253199999999999E-2</v>
      </c>
      <c r="L373">
        <f t="shared" si="60"/>
        <v>15.911899999999999</v>
      </c>
      <c r="M373">
        <f t="shared" si="61"/>
        <v>-0.44431753083999997</v>
      </c>
      <c r="N373" s="9"/>
      <c r="O373" s="22">
        <v>1.7279100000000001</v>
      </c>
      <c r="P373" s="22">
        <v>102.137</v>
      </c>
      <c r="Q373" s="22">
        <v>1.8606600000000001E-3</v>
      </c>
      <c r="R373" s="22">
        <v>363</v>
      </c>
      <c r="S373" s="22">
        <v>1.72699</v>
      </c>
      <c r="T373">
        <f t="shared" si="62"/>
        <v>-1.8606600000000002</v>
      </c>
      <c r="U373">
        <f t="shared" si="63"/>
        <v>-3.2150530206000005</v>
      </c>
      <c r="X373" s="9"/>
      <c r="Y373" s="22">
        <v>-2.79236E-2</v>
      </c>
      <c r="Z373" s="22">
        <v>131.59399999999999</v>
      </c>
      <c r="AA373" s="22">
        <v>-1.58569E-2</v>
      </c>
      <c r="AB373" s="22">
        <v>363</v>
      </c>
      <c r="AC373" s="22">
        <v>-2.82379E-2</v>
      </c>
      <c r="AD373">
        <f t="shared" si="64"/>
        <v>15.8569</v>
      </c>
      <c r="AE373">
        <f t="shared" si="65"/>
        <v>-0.44278173284</v>
      </c>
      <c r="AF373" s="9"/>
      <c r="AG373" s="22">
        <v>1.7279100000000001</v>
      </c>
      <c r="AH373" s="22">
        <v>181.06800000000001</v>
      </c>
      <c r="AI373" s="22">
        <v>1.9238300000000001E-3</v>
      </c>
      <c r="AJ373" s="22">
        <v>363</v>
      </c>
      <c r="AK373" s="22">
        <v>1.7279100000000001</v>
      </c>
      <c r="AL373">
        <f t="shared" si="66"/>
        <v>-1.9238300000000002</v>
      </c>
      <c r="AM373">
        <f t="shared" si="67"/>
        <v>-3.3242050953000004</v>
      </c>
      <c r="AP373" s="9"/>
      <c r="AQ373" s="22">
        <v>-2.79236E-2</v>
      </c>
      <c r="AR373" s="22">
        <v>230.51400000000001</v>
      </c>
      <c r="AS373" s="22">
        <v>-1.57623E-2</v>
      </c>
      <c r="AT373" s="22">
        <v>363</v>
      </c>
      <c r="AU373" s="22">
        <v>-2.81982E-2</v>
      </c>
      <c r="AV373">
        <f t="shared" si="68"/>
        <v>15.7623</v>
      </c>
      <c r="AW373">
        <f t="shared" si="69"/>
        <v>-0.44014016027999997</v>
      </c>
      <c r="AX373" s="9"/>
      <c r="AY373" s="22">
        <v>1.7279100000000001</v>
      </c>
      <c r="AZ373" s="22">
        <v>264.85399999999998</v>
      </c>
      <c r="BA373" s="22">
        <v>1.9882200000000002E-3</v>
      </c>
      <c r="BB373" s="22">
        <v>363</v>
      </c>
      <c r="BC373" s="22">
        <v>1.72699</v>
      </c>
      <c r="BD373">
        <f t="shared" si="70"/>
        <v>-1.9882200000000001</v>
      </c>
      <c r="BE373">
        <f t="shared" si="71"/>
        <v>-3.4354652202000002</v>
      </c>
    </row>
    <row r="374" spans="6:57">
      <c r="F374" s="9"/>
      <c r="G374" s="22">
        <v>-3.2959000000000002E-2</v>
      </c>
      <c r="H374" s="22">
        <v>52.720999999999997</v>
      </c>
      <c r="I374" s="22">
        <v>-1.5914899999999999E-2</v>
      </c>
      <c r="J374" s="22">
        <v>364</v>
      </c>
      <c r="K374" s="22">
        <v>-3.32825E-2</v>
      </c>
      <c r="L374">
        <f t="shared" si="60"/>
        <v>15.914899999999999</v>
      </c>
      <c r="M374">
        <f t="shared" si="61"/>
        <v>-0.52453918909999997</v>
      </c>
      <c r="N374" s="9"/>
      <c r="O374" s="22">
        <v>1.7329399999999999</v>
      </c>
      <c r="P374" s="22">
        <v>102.14700000000001</v>
      </c>
      <c r="Q374" s="22">
        <v>2.5747700000000001E-3</v>
      </c>
      <c r="R374" s="22">
        <v>364</v>
      </c>
      <c r="S374" s="22">
        <v>1.73187</v>
      </c>
      <c r="T374">
        <f t="shared" si="62"/>
        <v>-2.57477</v>
      </c>
      <c r="U374">
        <f t="shared" si="63"/>
        <v>-4.4619219237999994</v>
      </c>
      <c r="X374" s="9"/>
      <c r="Y374" s="22">
        <v>-3.2959000000000002E-2</v>
      </c>
      <c r="Z374" s="22">
        <v>131.60400000000001</v>
      </c>
      <c r="AA374" s="22">
        <v>-1.58569E-2</v>
      </c>
      <c r="AB374" s="22">
        <v>364</v>
      </c>
      <c r="AC374" s="22">
        <v>-3.3309900000000003E-2</v>
      </c>
      <c r="AD374">
        <f t="shared" si="64"/>
        <v>15.8569</v>
      </c>
      <c r="AE374">
        <f t="shared" si="65"/>
        <v>-0.52262756710000002</v>
      </c>
      <c r="AF374" s="9"/>
      <c r="AG374" s="22">
        <v>1.7329399999999999</v>
      </c>
      <c r="AH374" s="22">
        <v>181.078</v>
      </c>
      <c r="AI374" s="22">
        <v>2.61444E-3</v>
      </c>
      <c r="AJ374" s="22">
        <v>364</v>
      </c>
      <c r="AK374" s="22">
        <v>1.73248</v>
      </c>
      <c r="AL374">
        <f t="shared" si="66"/>
        <v>-2.6144400000000001</v>
      </c>
      <c r="AM374">
        <f t="shared" si="67"/>
        <v>-4.5306676536000001</v>
      </c>
      <c r="AP374" s="9"/>
      <c r="AQ374" s="22">
        <v>-3.2959000000000002E-2</v>
      </c>
      <c r="AR374" s="22">
        <v>230.524</v>
      </c>
      <c r="AS374" s="22">
        <v>-1.57623E-2</v>
      </c>
      <c r="AT374" s="22">
        <v>364</v>
      </c>
      <c r="AU374" s="22">
        <v>-3.3255E-2</v>
      </c>
      <c r="AV374">
        <f t="shared" si="68"/>
        <v>15.7623</v>
      </c>
      <c r="AW374">
        <f t="shared" si="69"/>
        <v>-0.51950964570000002</v>
      </c>
      <c r="AX374" s="9"/>
      <c r="AY374" s="22">
        <v>1.7329399999999999</v>
      </c>
      <c r="AZ374" s="22">
        <v>264.86399999999998</v>
      </c>
      <c r="BA374" s="22">
        <v>2.6937900000000002E-3</v>
      </c>
      <c r="BB374" s="22">
        <v>364</v>
      </c>
      <c r="BC374" s="22">
        <v>1.73248</v>
      </c>
      <c r="BD374">
        <f t="shared" si="70"/>
        <v>-2.6937900000000004</v>
      </c>
      <c r="BE374">
        <f t="shared" si="71"/>
        <v>-4.6681764426000001</v>
      </c>
    </row>
    <row r="375" spans="6:57">
      <c r="F375" s="9"/>
      <c r="G375" s="22">
        <v>-3.7994399999999998E-2</v>
      </c>
      <c r="H375" s="22">
        <v>52.731099999999998</v>
      </c>
      <c r="I375" s="22">
        <v>-1.5918000000000002E-2</v>
      </c>
      <c r="J375" s="22">
        <v>365</v>
      </c>
      <c r="K375" s="22">
        <v>-3.8320899999999998E-2</v>
      </c>
      <c r="L375">
        <f t="shared" si="60"/>
        <v>15.918000000000001</v>
      </c>
      <c r="M375">
        <f t="shared" si="61"/>
        <v>-0.60479485919999998</v>
      </c>
      <c r="N375" s="9"/>
      <c r="O375" s="22">
        <v>1.7379800000000001</v>
      </c>
      <c r="P375" s="22">
        <v>102.157</v>
      </c>
      <c r="Q375" s="22">
        <v>3.2830799999999999E-3</v>
      </c>
      <c r="R375" s="22">
        <v>365</v>
      </c>
      <c r="S375" s="22">
        <v>1.7373700000000001</v>
      </c>
      <c r="T375">
        <f t="shared" si="62"/>
        <v>-3.28308</v>
      </c>
      <c r="U375">
        <f t="shared" si="63"/>
        <v>-5.7059273784000002</v>
      </c>
      <c r="X375" s="9"/>
      <c r="Y375" s="22">
        <v>-3.7994399999999998E-2</v>
      </c>
      <c r="Z375" s="22">
        <v>131.61500000000001</v>
      </c>
      <c r="AA375" s="22">
        <v>-1.5862999999999999E-2</v>
      </c>
      <c r="AB375" s="22">
        <v>365</v>
      </c>
      <c r="AC375" s="22">
        <v>-3.8229399999999997E-2</v>
      </c>
      <c r="AD375">
        <f t="shared" si="64"/>
        <v>15.862999999999998</v>
      </c>
      <c r="AE375">
        <f t="shared" si="65"/>
        <v>-0.60270516719999989</v>
      </c>
      <c r="AF375" s="9"/>
      <c r="AG375" s="22">
        <v>1.7379800000000001</v>
      </c>
      <c r="AH375" s="22">
        <v>181.08799999999999</v>
      </c>
      <c r="AI375" s="22">
        <v>3.3261100000000002E-3</v>
      </c>
      <c r="AJ375" s="22">
        <v>365</v>
      </c>
      <c r="AK375" s="22">
        <v>1.7373700000000001</v>
      </c>
      <c r="AL375">
        <f t="shared" si="66"/>
        <v>-3.3261100000000003</v>
      </c>
      <c r="AM375">
        <f t="shared" si="67"/>
        <v>-5.7807126578000005</v>
      </c>
      <c r="AP375" s="9"/>
      <c r="AQ375" s="22">
        <v>-3.7994399999999998E-2</v>
      </c>
      <c r="AR375" s="22">
        <v>230.53399999999999</v>
      </c>
      <c r="AS375" s="22">
        <v>-1.57623E-2</v>
      </c>
      <c r="AT375" s="22">
        <v>365</v>
      </c>
      <c r="AU375" s="22">
        <v>-3.82843E-2</v>
      </c>
      <c r="AV375">
        <f t="shared" si="68"/>
        <v>15.7623</v>
      </c>
      <c r="AW375">
        <f t="shared" si="69"/>
        <v>-0.59887913111999991</v>
      </c>
      <c r="AX375" s="9"/>
      <c r="AY375" s="22">
        <v>1.7379800000000001</v>
      </c>
      <c r="AZ375" s="22">
        <v>264.875</v>
      </c>
      <c r="BA375" s="22">
        <v>3.39844E-3</v>
      </c>
      <c r="BB375" s="22">
        <v>365</v>
      </c>
      <c r="BC375" s="22">
        <v>1.7373700000000001</v>
      </c>
      <c r="BD375">
        <f t="shared" si="70"/>
        <v>-3.3984399999999999</v>
      </c>
      <c r="BE375">
        <f t="shared" si="71"/>
        <v>-5.9064207511999998</v>
      </c>
    </row>
    <row r="376" spans="6:57">
      <c r="F376" s="9"/>
      <c r="G376" s="22">
        <v>-4.30298E-2</v>
      </c>
      <c r="H376" s="22">
        <v>52.741100000000003</v>
      </c>
      <c r="I376" s="22">
        <v>-1.5918000000000002E-2</v>
      </c>
      <c r="J376" s="22">
        <v>366</v>
      </c>
      <c r="K376" s="22">
        <v>-4.3377699999999998E-2</v>
      </c>
      <c r="L376">
        <f t="shared" si="60"/>
        <v>15.918000000000001</v>
      </c>
      <c r="M376">
        <f t="shared" si="61"/>
        <v>-0.68494835640000007</v>
      </c>
      <c r="N376" s="9"/>
      <c r="O376" s="22">
        <v>1.7430099999999999</v>
      </c>
      <c r="P376" s="22">
        <v>102.16800000000001</v>
      </c>
      <c r="Q376" s="22">
        <v>4.0063499999999997E-3</v>
      </c>
      <c r="R376" s="22">
        <v>366</v>
      </c>
      <c r="S376" s="22">
        <v>1.74255</v>
      </c>
      <c r="T376">
        <f t="shared" si="62"/>
        <v>-4.0063499999999994</v>
      </c>
      <c r="U376">
        <f t="shared" si="63"/>
        <v>-6.9831081134999984</v>
      </c>
      <c r="X376" s="9"/>
      <c r="Y376" s="22">
        <v>-4.30298E-2</v>
      </c>
      <c r="Z376" s="22">
        <v>131.625</v>
      </c>
      <c r="AA376" s="22">
        <v>-1.5859999999999999E-2</v>
      </c>
      <c r="AB376" s="22">
        <v>366</v>
      </c>
      <c r="AC376" s="22">
        <v>-4.3365500000000001E-2</v>
      </c>
      <c r="AD376">
        <f t="shared" si="64"/>
        <v>15.86</v>
      </c>
      <c r="AE376">
        <f t="shared" si="65"/>
        <v>-0.68245262799999995</v>
      </c>
      <c r="AF376" s="9"/>
      <c r="AG376" s="22">
        <v>1.7430099999999999</v>
      </c>
      <c r="AH376" s="22">
        <v>181.09800000000001</v>
      </c>
      <c r="AI376" s="22">
        <v>4.05945E-3</v>
      </c>
      <c r="AJ376" s="22">
        <v>366</v>
      </c>
      <c r="AK376" s="22">
        <v>1.7428600000000001</v>
      </c>
      <c r="AL376">
        <f t="shared" si="66"/>
        <v>-4.05945</v>
      </c>
      <c r="AM376">
        <f t="shared" si="67"/>
        <v>-7.0756619445000002</v>
      </c>
      <c r="AP376" s="9"/>
      <c r="AQ376" s="22">
        <v>-4.30298E-2</v>
      </c>
      <c r="AR376" s="22">
        <v>230.54400000000001</v>
      </c>
      <c r="AS376" s="22">
        <v>-1.5765399999999999E-2</v>
      </c>
      <c r="AT376" s="22">
        <v>366</v>
      </c>
      <c r="AU376" s="22">
        <v>-4.3295300000000002E-2</v>
      </c>
      <c r="AV376">
        <f t="shared" si="68"/>
        <v>15.7654</v>
      </c>
      <c r="AW376">
        <f t="shared" si="69"/>
        <v>-0.67838200892</v>
      </c>
      <c r="AX376" s="9"/>
      <c r="AY376" s="22">
        <v>1.7430099999999999</v>
      </c>
      <c r="AZ376" s="22">
        <v>264.88499999999999</v>
      </c>
      <c r="BA376" s="22">
        <v>4.1625999999999998E-3</v>
      </c>
      <c r="BB376" s="22">
        <v>366</v>
      </c>
      <c r="BC376" s="22">
        <v>1.7422500000000001</v>
      </c>
      <c r="BD376">
        <f t="shared" si="70"/>
        <v>-4.1625999999999994</v>
      </c>
      <c r="BE376">
        <f t="shared" si="71"/>
        <v>-7.255453425999999</v>
      </c>
    </row>
    <row r="377" spans="6:57">
      <c r="F377" s="9"/>
      <c r="G377" s="22">
        <v>-4.8065200000000002E-2</v>
      </c>
      <c r="H377" s="22">
        <v>52.751199999999997</v>
      </c>
      <c r="I377" s="22">
        <v>-1.5914899999999999E-2</v>
      </c>
      <c r="J377" s="22">
        <v>367</v>
      </c>
      <c r="K377" s="22">
        <v>-4.8422199999999999E-2</v>
      </c>
      <c r="L377">
        <f t="shared" si="60"/>
        <v>15.914899999999999</v>
      </c>
      <c r="M377">
        <f t="shared" si="61"/>
        <v>-0.76495285148000003</v>
      </c>
      <c r="N377" s="9"/>
      <c r="O377" s="22">
        <v>1.7480500000000001</v>
      </c>
      <c r="P377" s="22">
        <v>102.178</v>
      </c>
      <c r="Q377" s="22">
        <v>4.7564699999999996E-3</v>
      </c>
      <c r="R377" s="22">
        <v>367</v>
      </c>
      <c r="S377" s="22">
        <v>1.7471300000000001</v>
      </c>
      <c r="T377">
        <f t="shared" si="62"/>
        <v>-4.7564699999999993</v>
      </c>
      <c r="U377">
        <f t="shared" si="63"/>
        <v>-8.314547383499999</v>
      </c>
      <c r="X377" s="9"/>
      <c r="Y377" s="22">
        <v>-4.8065200000000002E-2</v>
      </c>
      <c r="Z377" s="22">
        <v>131.63499999999999</v>
      </c>
      <c r="AA377" s="22">
        <v>-1.5859999999999999E-2</v>
      </c>
      <c r="AB377" s="22">
        <v>367</v>
      </c>
      <c r="AC377" s="22">
        <v>-4.8434400000000002E-2</v>
      </c>
      <c r="AD377">
        <f t="shared" si="64"/>
        <v>15.86</v>
      </c>
      <c r="AE377">
        <f t="shared" si="65"/>
        <v>-0.76231407200000001</v>
      </c>
      <c r="AF377" s="9"/>
      <c r="AG377" s="22">
        <v>1.7480500000000001</v>
      </c>
      <c r="AH377" s="22">
        <v>181.108</v>
      </c>
      <c r="AI377" s="22">
        <v>4.8147600000000004E-3</v>
      </c>
      <c r="AJ377" s="22">
        <v>367</v>
      </c>
      <c r="AK377" s="22">
        <v>1.7471300000000001</v>
      </c>
      <c r="AL377">
        <f t="shared" si="66"/>
        <v>-4.8147600000000006</v>
      </c>
      <c r="AM377">
        <f t="shared" si="67"/>
        <v>-8.416441218000001</v>
      </c>
      <c r="AP377" s="9"/>
      <c r="AQ377" s="22">
        <v>-4.8065200000000002E-2</v>
      </c>
      <c r="AR377" s="22">
        <v>230.55500000000001</v>
      </c>
      <c r="AS377" s="22">
        <v>-1.5765399999999999E-2</v>
      </c>
      <c r="AT377" s="22">
        <v>367</v>
      </c>
      <c r="AU377" s="22">
        <v>-4.8342900000000001E-2</v>
      </c>
      <c r="AV377">
        <f t="shared" si="68"/>
        <v>15.7654</v>
      </c>
      <c r="AW377">
        <f t="shared" si="69"/>
        <v>-0.75776710408000003</v>
      </c>
      <c r="AX377" s="9"/>
      <c r="AY377" s="22">
        <v>1.7480500000000001</v>
      </c>
      <c r="AZ377" s="22">
        <v>264.89499999999998</v>
      </c>
      <c r="BA377" s="22">
        <v>4.9127199999999998E-3</v>
      </c>
      <c r="BB377" s="22">
        <v>367</v>
      </c>
      <c r="BC377" s="22">
        <v>1.7471300000000001</v>
      </c>
      <c r="BD377">
        <f t="shared" si="70"/>
        <v>-4.9127200000000002</v>
      </c>
      <c r="BE377">
        <f t="shared" si="71"/>
        <v>-8.5876801960000009</v>
      </c>
    </row>
    <row r="378" spans="6:57">
      <c r="F378" s="9"/>
      <c r="G378" s="22">
        <v>-5.3100599999999998E-2</v>
      </c>
      <c r="H378" s="22">
        <v>52.761299999999999</v>
      </c>
      <c r="I378" s="22">
        <v>-1.59119E-2</v>
      </c>
      <c r="J378" s="22">
        <v>368</v>
      </c>
      <c r="K378" s="22">
        <v>-5.3680400000000003E-2</v>
      </c>
      <c r="L378">
        <f t="shared" si="60"/>
        <v>15.911899999999999</v>
      </c>
      <c r="M378">
        <f t="shared" si="61"/>
        <v>-0.84493143713999996</v>
      </c>
      <c r="N378" s="9"/>
      <c r="O378" s="22">
        <v>1.75308</v>
      </c>
      <c r="P378" s="22">
        <v>102.188</v>
      </c>
      <c r="Q378" s="22">
        <v>5.5267299999999997E-3</v>
      </c>
      <c r="R378" s="22">
        <v>368</v>
      </c>
      <c r="S378" s="22">
        <v>1.7523200000000001</v>
      </c>
      <c r="T378">
        <f t="shared" si="62"/>
        <v>-5.5267299999999997</v>
      </c>
      <c r="U378">
        <f t="shared" si="63"/>
        <v>-9.6887998283999988</v>
      </c>
      <c r="X378" s="9"/>
      <c r="Y378" s="22">
        <v>-5.3100599999999998E-2</v>
      </c>
      <c r="Z378" s="22">
        <v>131.64500000000001</v>
      </c>
      <c r="AA378" s="22">
        <v>-1.5862999999999999E-2</v>
      </c>
      <c r="AB378" s="22">
        <v>368</v>
      </c>
      <c r="AC378" s="22">
        <v>-5.3619399999999998E-2</v>
      </c>
      <c r="AD378">
        <f t="shared" si="64"/>
        <v>15.862999999999998</v>
      </c>
      <c r="AE378">
        <f t="shared" si="65"/>
        <v>-0.84233481779999986</v>
      </c>
      <c r="AF378" s="9"/>
      <c r="AG378" s="22">
        <v>1.75308</v>
      </c>
      <c r="AH378" s="22">
        <v>181.11799999999999</v>
      </c>
      <c r="AI378" s="22">
        <v>5.5908199999999998E-3</v>
      </c>
      <c r="AJ378" s="22">
        <v>368</v>
      </c>
      <c r="AK378" s="22">
        <v>1.7526200000000001</v>
      </c>
      <c r="AL378">
        <f t="shared" si="66"/>
        <v>-5.5908199999999999</v>
      </c>
      <c r="AM378">
        <f t="shared" si="67"/>
        <v>-9.8011547256</v>
      </c>
      <c r="AP378" s="9"/>
      <c r="AQ378" s="22">
        <v>-5.3100599999999998E-2</v>
      </c>
      <c r="AR378" s="22">
        <v>230.565</v>
      </c>
      <c r="AS378" s="22">
        <v>-1.5768399999999998E-2</v>
      </c>
      <c r="AT378" s="22">
        <v>368</v>
      </c>
      <c r="AU378" s="22">
        <v>-5.3619399999999998E-2</v>
      </c>
      <c r="AV378">
        <f t="shared" si="68"/>
        <v>15.768399999999998</v>
      </c>
      <c r="AW378">
        <f t="shared" si="69"/>
        <v>-0.83731150103999985</v>
      </c>
      <c r="AX378" s="9"/>
      <c r="AY378" s="22">
        <v>1.75308</v>
      </c>
      <c r="AZ378" s="22">
        <v>264.90499999999997</v>
      </c>
      <c r="BA378" s="22">
        <v>5.6976300000000004E-3</v>
      </c>
      <c r="BB378" s="22">
        <v>368</v>
      </c>
      <c r="BC378" s="22">
        <v>1.7523200000000001</v>
      </c>
      <c r="BD378">
        <f t="shared" si="70"/>
        <v>-5.6976300000000002</v>
      </c>
      <c r="BE378">
        <f t="shared" si="71"/>
        <v>-9.9884012004000002</v>
      </c>
    </row>
    <row r="379" spans="6:57">
      <c r="F379" s="9"/>
      <c r="G379" s="22">
        <v>-5.8136E-2</v>
      </c>
      <c r="H379" s="22">
        <v>52.771299999999997</v>
      </c>
      <c r="I379" s="22">
        <v>-1.59119E-2</v>
      </c>
      <c r="J379" s="22">
        <v>369</v>
      </c>
      <c r="K379" s="22">
        <v>-5.86548E-2</v>
      </c>
      <c r="L379">
        <f t="shared" si="60"/>
        <v>15.911899999999999</v>
      </c>
      <c r="M379">
        <f t="shared" si="61"/>
        <v>-0.92505421839999991</v>
      </c>
      <c r="N379" s="9"/>
      <c r="O379" s="22">
        <v>1.7581199999999999</v>
      </c>
      <c r="P379" s="22">
        <v>102.19799999999999</v>
      </c>
      <c r="Q379" s="22">
        <v>6.32629E-3</v>
      </c>
      <c r="R379" s="22">
        <v>369</v>
      </c>
      <c r="S379" s="22">
        <v>1.7575099999999999</v>
      </c>
      <c r="T379">
        <f t="shared" si="62"/>
        <v>-6.3262900000000002</v>
      </c>
      <c r="U379">
        <f t="shared" si="63"/>
        <v>-11.1223769748</v>
      </c>
      <c r="X379" s="9"/>
      <c r="Y379" s="22">
        <v>-5.8136E-2</v>
      </c>
      <c r="Z379" s="22">
        <v>131.655</v>
      </c>
      <c r="AA379" s="22">
        <v>-1.5869100000000001E-2</v>
      </c>
      <c r="AB379" s="22">
        <v>369</v>
      </c>
      <c r="AC379" s="22">
        <v>-5.8746300000000001E-2</v>
      </c>
      <c r="AD379">
        <f t="shared" si="64"/>
        <v>15.869100000000001</v>
      </c>
      <c r="AE379">
        <f t="shared" si="65"/>
        <v>-0.92256599760000013</v>
      </c>
      <c r="AF379" s="9"/>
      <c r="AG379" s="22">
        <v>1.7581199999999999</v>
      </c>
      <c r="AH379" s="22">
        <v>181.12799999999999</v>
      </c>
      <c r="AI379" s="22">
        <v>6.4086899999999999E-3</v>
      </c>
      <c r="AJ379" s="22">
        <v>369</v>
      </c>
      <c r="AK379" s="22">
        <v>1.7572000000000001</v>
      </c>
      <c r="AL379">
        <f t="shared" si="66"/>
        <v>-6.40869</v>
      </c>
      <c r="AM379">
        <f t="shared" si="67"/>
        <v>-11.2672460628</v>
      </c>
      <c r="AP379" s="9"/>
      <c r="AQ379" s="22">
        <v>-5.8136E-2</v>
      </c>
      <c r="AR379" s="22">
        <v>230.57499999999999</v>
      </c>
      <c r="AS379" s="22">
        <v>-1.5768399999999998E-2</v>
      </c>
      <c r="AT379" s="22">
        <v>369</v>
      </c>
      <c r="AU379" s="22">
        <v>-5.8685300000000003E-2</v>
      </c>
      <c r="AV379">
        <f t="shared" si="68"/>
        <v>15.768399999999998</v>
      </c>
      <c r="AW379">
        <f t="shared" si="69"/>
        <v>-0.91671170239999988</v>
      </c>
      <c r="AX379" s="9"/>
      <c r="AY379" s="22">
        <v>1.7581199999999999</v>
      </c>
      <c r="AZ379" s="22">
        <v>264.91500000000002</v>
      </c>
      <c r="BA379" s="22">
        <v>6.50024E-3</v>
      </c>
      <c r="BB379" s="22">
        <v>369</v>
      </c>
      <c r="BC379" s="22">
        <v>1.7575099999999999</v>
      </c>
      <c r="BD379">
        <f t="shared" si="70"/>
        <v>-6.5002399999999998</v>
      </c>
      <c r="BE379">
        <f t="shared" si="71"/>
        <v>-11.428201948799998</v>
      </c>
    </row>
    <row r="380" spans="6:57">
      <c r="F380" s="9"/>
      <c r="G380" s="22">
        <v>-6.3171400000000003E-2</v>
      </c>
      <c r="H380" s="22">
        <v>52.781399999999998</v>
      </c>
      <c r="I380" s="22">
        <v>-1.5914899999999999E-2</v>
      </c>
      <c r="J380" s="22">
        <v>370</v>
      </c>
      <c r="K380" s="22">
        <v>-6.3720700000000005E-2</v>
      </c>
      <c r="L380">
        <f t="shared" si="60"/>
        <v>15.914899999999999</v>
      </c>
      <c r="M380">
        <f t="shared" si="61"/>
        <v>-1.0053665138600001</v>
      </c>
      <c r="N380" s="9"/>
      <c r="O380" s="22">
        <v>1.76315</v>
      </c>
      <c r="P380" s="22">
        <v>102.208</v>
      </c>
      <c r="Q380" s="22">
        <v>7.1502700000000002E-3</v>
      </c>
      <c r="R380" s="22">
        <v>370</v>
      </c>
      <c r="S380" s="22">
        <v>1.7620800000000001</v>
      </c>
      <c r="T380">
        <f t="shared" si="62"/>
        <v>-7.1502699999999999</v>
      </c>
      <c r="U380">
        <f t="shared" si="63"/>
        <v>-12.6069985505</v>
      </c>
      <c r="X380" s="9"/>
      <c r="Y380" s="22">
        <v>-6.3171400000000003E-2</v>
      </c>
      <c r="Z380" s="22">
        <v>131.66499999999999</v>
      </c>
      <c r="AA380" s="22">
        <v>-1.58722E-2</v>
      </c>
      <c r="AB380" s="22">
        <v>370</v>
      </c>
      <c r="AC380" s="22">
        <v>-6.3751199999999994E-2</v>
      </c>
      <c r="AD380">
        <f t="shared" si="64"/>
        <v>15.872199999999999</v>
      </c>
      <c r="AE380">
        <f t="shared" si="65"/>
        <v>-1.0026690950799999</v>
      </c>
      <c r="AF380" s="9"/>
      <c r="AG380" s="22">
        <v>1.76315</v>
      </c>
      <c r="AH380" s="22">
        <v>181.13800000000001</v>
      </c>
      <c r="AI380" s="22">
        <v>7.2387700000000003E-3</v>
      </c>
      <c r="AJ380" s="22">
        <v>370</v>
      </c>
      <c r="AK380" s="22">
        <v>1.7623899999999999</v>
      </c>
      <c r="AL380">
        <f t="shared" si="66"/>
        <v>-7.2387700000000006</v>
      </c>
      <c r="AM380">
        <f t="shared" si="67"/>
        <v>-12.763037325500001</v>
      </c>
      <c r="AP380" s="9"/>
      <c r="AQ380" s="22">
        <v>-6.3171400000000003E-2</v>
      </c>
      <c r="AR380" s="22">
        <v>230.58500000000001</v>
      </c>
      <c r="AS380" s="22">
        <v>-1.5765399999999999E-2</v>
      </c>
      <c r="AT380" s="22">
        <v>370</v>
      </c>
      <c r="AU380" s="22">
        <v>-6.3720700000000005E-2</v>
      </c>
      <c r="AV380">
        <f t="shared" si="68"/>
        <v>15.7654</v>
      </c>
      <c r="AW380">
        <f t="shared" si="69"/>
        <v>-0.99592238956000001</v>
      </c>
      <c r="AX380" s="9"/>
      <c r="AY380" s="22">
        <v>1.76315</v>
      </c>
      <c r="AZ380" s="22">
        <v>264.92500000000001</v>
      </c>
      <c r="BA380" s="22">
        <v>7.3364299999999997E-3</v>
      </c>
      <c r="BB380" s="22">
        <v>370</v>
      </c>
      <c r="BC380" s="22">
        <v>1.7623899999999999</v>
      </c>
      <c r="BD380">
        <f t="shared" si="70"/>
        <v>-7.33643</v>
      </c>
      <c r="BE380">
        <f t="shared" si="71"/>
        <v>-12.9352265545</v>
      </c>
    </row>
    <row r="381" spans="6:57">
      <c r="F381" s="9"/>
      <c r="G381" s="22">
        <v>-6.8206799999999998E-2</v>
      </c>
      <c r="H381" s="22">
        <v>52.791499999999999</v>
      </c>
      <c r="I381" s="22">
        <v>-1.59119E-2</v>
      </c>
      <c r="J381" s="22">
        <v>371</v>
      </c>
      <c r="K381" s="22">
        <v>-6.8725599999999998E-2</v>
      </c>
      <c r="L381">
        <f t="shared" si="60"/>
        <v>15.911899999999999</v>
      </c>
      <c r="M381">
        <f t="shared" si="61"/>
        <v>-1.08529978092</v>
      </c>
      <c r="N381" s="9"/>
      <c r="O381" s="22">
        <v>1.7681899999999999</v>
      </c>
      <c r="P381" s="22">
        <v>102.218</v>
      </c>
      <c r="Q381" s="22">
        <v>8.0139200000000008E-3</v>
      </c>
      <c r="R381" s="22">
        <v>371</v>
      </c>
      <c r="S381" s="22">
        <v>1.7675799999999999</v>
      </c>
      <c r="T381">
        <f t="shared" si="62"/>
        <v>-8.0139200000000006</v>
      </c>
      <c r="U381">
        <f t="shared" si="63"/>
        <v>-14.170133204800001</v>
      </c>
      <c r="X381" s="9"/>
      <c r="Y381" s="22">
        <v>-6.8206799999999998E-2</v>
      </c>
      <c r="Z381" s="22">
        <v>131.67500000000001</v>
      </c>
      <c r="AA381" s="22">
        <v>-1.58722E-2</v>
      </c>
      <c r="AB381" s="22">
        <v>371</v>
      </c>
      <c r="AC381" s="22">
        <v>-6.8695099999999995E-2</v>
      </c>
      <c r="AD381">
        <f t="shared" si="64"/>
        <v>15.872199999999999</v>
      </c>
      <c r="AE381">
        <f t="shared" si="65"/>
        <v>-1.08259197096</v>
      </c>
      <c r="AF381" s="9"/>
      <c r="AG381" s="22">
        <v>1.7681899999999999</v>
      </c>
      <c r="AH381" s="22">
        <v>181.148</v>
      </c>
      <c r="AI381" s="22">
        <v>8.0871599999999995E-3</v>
      </c>
      <c r="AJ381" s="22">
        <v>371</v>
      </c>
      <c r="AK381" s="22">
        <v>1.7672699999999999</v>
      </c>
      <c r="AL381">
        <f t="shared" si="66"/>
        <v>-8.087159999999999</v>
      </c>
      <c r="AM381">
        <f t="shared" si="67"/>
        <v>-14.299635440399998</v>
      </c>
      <c r="AP381" s="9"/>
      <c r="AQ381" s="22">
        <v>-6.8206799999999998E-2</v>
      </c>
      <c r="AR381" s="22">
        <v>230.595</v>
      </c>
      <c r="AS381" s="22">
        <v>-1.5768399999999998E-2</v>
      </c>
      <c r="AT381" s="22">
        <v>371</v>
      </c>
      <c r="AU381" s="22">
        <v>-6.8756100000000001E-2</v>
      </c>
      <c r="AV381">
        <f t="shared" si="68"/>
        <v>15.768399999999998</v>
      </c>
      <c r="AW381">
        <f t="shared" si="69"/>
        <v>-1.0755121051199998</v>
      </c>
      <c r="AX381" s="9"/>
      <c r="AY381" s="22">
        <v>1.7681899999999999</v>
      </c>
      <c r="AZ381" s="22">
        <v>264.935</v>
      </c>
      <c r="BA381" s="22">
        <v>8.1939700000000001E-3</v>
      </c>
      <c r="BB381" s="22">
        <v>371</v>
      </c>
      <c r="BC381" s="22">
        <v>1.7675799999999999</v>
      </c>
      <c r="BD381">
        <f t="shared" si="70"/>
        <v>-8.1939700000000002</v>
      </c>
      <c r="BE381">
        <f t="shared" si="71"/>
        <v>-14.4884958143</v>
      </c>
    </row>
    <row r="382" spans="6:57">
      <c r="F382" s="9"/>
      <c r="G382" s="22">
        <v>-7.3242199999999993E-2</v>
      </c>
      <c r="H382" s="22">
        <v>52.801499999999997</v>
      </c>
      <c r="I382" s="22">
        <v>-1.5908800000000001E-2</v>
      </c>
      <c r="J382" s="22">
        <v>372</v>
      </c>
      <c r="K382" s="22">
        <v>-7.3791499999999996E-2</v>
      </c>
      <c r="L382">
        <f t="shared" si="60"/>
        <v>15.908800000000001</v>
      </c>
      <c r="M382">
        <f t="shared" si="61"/>
        <v>-1.1651955113599999</v>
      </c>
      <c r="N382" s="9"/>
      <c r="O382" s="22">
        <v>1.77322</v>
      </c>
      <c r="P382" s="22">
        <v>102.22799999999999</v>
      </c>
      <c r="Q382" s="22">
        <v>8.8989299999999993E-3</v>
      </c>
      <c r="R382" s="22">
        <v>372</v>
      </c>
      <c r="S382" s="22">
        <v>1.7724599999999999</v>
      </c>
      <c r="T382">
        <f t="shared" si="62"/>
        <v>-8.89893</v>
      </c>
      <c r="U382">
        <f t="shared" si="63"/>
        <v>-15.7797606546</v>
      </c>
      <c r="X382" s="9"/>
      <c r="Y382" s="22">
        <v>-7.3242199999999993E-2</v>
      </c>
      <c r="Z382" s="22">
        <v>131.685</v>
      </c>
      <c r="AA382" s="22">
        <v>-1.5866100000000001E-2</v>
      </c>
      <c r="AB382" s="22">
        <v>372</v>
      </c>
      <c r="AC382" s="22">
        <v>-7.3760999999999993E-2</v>
      </c>
      <c r="AD382">
        <f t="shared" si="64"/>
        <v>15.866100000000001</v>
      </c>
      <c r="AE382">
        <f t="shared" si="65"/>
        <v>-1.1620680694200001</v>
      </c>
      <c r="AF382" s="9"/>
      <c r="AG382" s="22">
        <v>1.77322</v>
      </c>
      <c r="AH382" s="22">
        <v>181.15799999999999</v>
      </c>
      <c r="AI382" s="22">
        <v>8.9965800000000005E-3</v>
      </c>
      <c r="AJ382" s="22">
        <v>372</v>
      </c>
      <c r="AK382" s="22">
        <v>1.7724599999999999</v>
      </c>
      <c r="AL382">
        <f t="shared" si="66"/>
        <v>-8.9965799999999998</v>
      </c>
      <c r="AM382">
        <f t="shared" si="67"/>
        <v>-15.9529155876</v>
      </c>
      <c r="AP382" s="9"/>
      <c r="AQ382" s="22">
        <v>-7.3242199999999993E-2</v>
      </c>
      <c r="AR382" s="22">
        <v>230.60499999999999</v>
      </c>
      <c r="AS382" s="22">
        <v>-1.57745E-2</v>
      </c>
      <c r="AT382" s="22">
        <v>372</v>
      </c>
      <c r="AU382" s="22">
        <v>-7.3791499999999996E-2</v>
      </c>
      <c r="AV382">
        <f t="shared" si="68"/>
        <v>15.7745</v>
      </c>
      <c r="AW382">
        <f t="shared" si="69"/>
        <v>-1.1553590838999999</v>
      </c>
      <c r="AX382" s="9"/>
      <c r="AY382" s="22">
        <v>1.77322</v>
      </c>
      <c r="AZ382" s="22">
        <v>264.94499999999999</v>
      </c>
      <c r="BA382" s="22">
        <v>9.0911900000000007E-3</v>
      </c>
      <c r="BB382" s="22">
        <v>372</v>
      </c>
      <c r="BC382" s="22">
        <v>1.77216</v>
      </c>
      <c r="BD382">
        <f t="shared" si="70"/>
        <v>-9.091190000000001</v>
      </c>
      <c r="BE382">
        <f t="shared" si="71"/>
        <v>-16.120679931800002</v>
      </c>
    </row>
    <row r="383" spans="6:57">
      <c r="F383" s="9"/>
      <c r="G383" s="22">
        <v>-7.8277600000000003E-2</v>
      </c>
      <c r="H383" s="22">
        <v>52.811599999999999</v>
      </c>
      <c r="I383" s="22">
        <v>-1.59119E-2</v>
      </c>
      <c r="J383" s="22">
        <v>373</v>
      </c>
      <c r="K383" s="22">
        <v>-7.8796400000000003E-2</v>
      </c>
      <c r="L383">
        <f t="shared" si="60"/>
        <v>15.911899999999999</v>
      </c>
      <c r="M383">
        <f t="shared" si="61"/>
        <v>-1.2455453434399999</v>
      </c>
      <c r="N383" s="9"/>
      <c r="O383" s="22">
        <v>1.77826</v>
      </c>
      <c r="P383" s="22">
        <v>102.238</v>
      </c>
      <c r="Q383" s="22">
        <v>9.7839399999999997E-3</v>
      </c>
      <c r="R383" s="22">
        <v>373</v>
      </c>
      <c r="S383" s="22">
        <v>1.77765</v>
      </c>
      <c r="T383">
        <f t="shared" si="62"/>
        <v>-9.7839399999999994</v>
      </c>
      <c r="U383">
        <f t="shared" si="63"/>
        <v>-17.398389144399999</v>
      </c>
      <c r="X383" s="9"/>
      <c r="Y383" s="22">
        <v>-7.8277600000000003E-2</v>
      </c>
      <c r="Z383" s="22">
        <v>131.69499999999999</v>
      </c>
      <c r="AA383" s="22">
        <v>-1.5866100000000001E-2</v>
      </c>
      <c r="AB383" s="22">
        <v>373</v>
      </c>
      <c r="AC383" s="22">
        <v>-7.8857399999999994E-2</v>
      </c>
      <c r="AD383">
        <f t="shared" si="64"/>
        <v>15.866100000000001</v>
      </c>
      <c r="AE383">
        <f t="shared" si="65"/>
        <v>-1.2419602293600001</v>
      </c>
      <c r="AF383" s="9"/>
      <c r="AG383" s="22">
        <v>1.77826</v>
      </c>
      <c r="AH383" s="22">
        <v>181.16900000000001</v>
      </c>
      <c r="AI383" s="22">
        <v>9.9212599999999995E-3</v>
      </c>
      <c r="AJ383" s="22">
        <v>373</v>
      </c>
      <c r="AK383" s="22">
        <v>1.77765</v>
      </c>
      <c r="AL383">
        <f t="shared" si="66"/>
        <v>-9.9212600000000002</v>
      </c>
      <c r="AM383">
        <f t="shared" si="67"/>
        <v>-17.642579807600001</v>
      </c>
      <c r="AP383" s="9"/>
      <c r="AQ383" s="22">
        <v>-7.8277600000000003E-2</v>
      </c>
      <c r="AR383" s="22">
        <v>230.61500000000001</v>
      </c>
      <c r="AS383" s="22">
        <v>-1.5777599999999999E-2</v>
      </c>
      <c r="AT383" s="22">
        <v>373</v>
      </c>
      <c r="AU383" s="22">
        <v>-7.87659E-2</v>
      </c>
      <c r="AV383">
        <f t="shared" si="68"/>
        <v>15.7776</v>
      </c>
      <c r="AW383">
        <f t="shared" si="69"/>
        <v>-1.23503266176</v>
      </c>
      <c r="AX383" s="9"/>
      <c r="AY383" s="22">
        <v>1.77826</v>
      </c>
      <c r="AZ383" s="22">
        <v>264.95499999999998</v>
      </c>
      <c r="BA383" s="22">
        <v>1.0015899999999999E-2</v>
      </c>
      <c r="BB383" s="22">
        <v>373</v>
      </c>
      <c r="BC383" s="22">
        <v>1.77765</v>
      </c>
      <c r="BD383">
        <f t="shared" si="70"/>
        <v>-10.0159</v>
      </c>
      <c r="BE383">
        <f t="shared" si="71"/>
        <v>-17.810874334000001</v>
      </c>
    </row>
    <row r="384" spans="6:57">
      <c r="F384" s="9"/>
      <c r="G384" s="22">
        <v>-8.3312999999999998E-2</v>
      </c>
      <c r="H384" s="22">
        <v>52.8217</v>
      </c>
      <c r="I384" s="22">
        <v>-1.5918000000000002E-2</v>
      </c>
      <c r="J384" s="22">
        <v>374</v>
      </c>
      <c r="K384" s="22">
        <v>-8.3831799999999998E-2</v>
      </c>
      <c r="L384">
        <f t="shared" si="60"/>
        <v>15.918000000000001</v>
      </c>
      <c r="M384">
        <f t="shared" si="61"/>
        <v>-1.3261763340000001</v>
      </c>
      <c r="N384" s="9"/>
      <c r="O384" s="22">
        <v>1.78329</v>
      </c>
      <c r="P384" s="22">
        <v>102.248</v>
      </c>
      <c r="Q384" s="22">
        <v>1.07178E-2</v>
      </c>
      <c r="R384" s="22">
        <v>374</v>
      </c>
      <c r="S384" s="22">
        <v>1.7825299999999999</v>
      </c>
      <c r="T384">
        <f t="shared" si="62"/>
        <v>-10.7178</v>
      </c>
      <c r="U384">
        <f t="shared" si="63"/>
        <v>-19.112945562</v>
      </c>
      <c r="X384" s="9"/>
      <c r="Y384" s="22">
        <v>-8.3312999999999998E-2</v>
      </c>
      <c r="Z384" s="22">
        <v>131.70500000000001</v>
      </c>
      <c r="AA384" s="22">
        <v>-1.5866100000000001E-2</v>
      </c>
      <c r="AB384" s="22">
        <v>374</v>
      </c>
      <c r="AC384" s="22">
        <v>-8.3892800000000003E-2</v>
      </c>
      <c r="AD384">
        <f t="shared" si="64"/>
        <v>15.866100000000001</v>
      </c>
      <c r="AE384">
        <f t="shared" si="65"/>
        <v>-1.3218523893</v>
      </c>
      <c r="AF384" s="9"/>
      <c r="AG384" s="22">
        <v>1.78329</v>
      </c>
      <c r="AH384" s="22">
        <v>181.179</v>
      </c>
      <c r="AI384" s="22">
        <v>1.0882599999999999E-2</v>
      </c>
      <c r="AJ384" s="22">
        <v>374</v>
      </c>
      <c r="AK384" s="22">
        <v>1.78223</v>
      </c>
      <c r="AL384">
        <f t="shared" si="66"/>
        <v>-10.8826</v>
      </c>
      <c r="AM384">
        <f t="shared" si="67"/>
        <v>-19.406831753999999</v>
      </c>
      <c r="AP384" s="9"/>
      <c r="AQ384" s="22">
        <v>-8.3312999999999998E-2</v>
      </c>
      <c r="AR384" s="22">
        <v>230.625</v>
      </c>
      <c r="AS384" s="22">
        <v>-1.5771500000000001E-2</v>
      </c>
      <c r="AT384" s="22">
        <v>374</v>
      </c>
      <c r="AU384" s="22">
        <v>-8.3740200000000001E-2</v>
      </c>
      <c r="AV384">
        <f t="shared" si="68"/>
        <v>15.771500000000001</v>
      </c>
      <c r="AW384">
        <f t="shared" si="69"/>
        <v>-1.3139709795000001</v>
      </c>
      <c r="AX384" s="9"/>
      <c r="AY384" s="22">
        <v>1.78329</v>
      </c>
      <c r="AZ384" s="22">
        <v>264.96499999999997</v>
      </c>
      <c r="BA384" s="22">
        <v>1.1025999999999999E-2</v>
      </c>
      <c r="BB384" s="22">
        <v>374</v>
      </c>
      <c r="BC384" s="22">
        <v>1.78284</v>
      </c>
      <c r="BD384">
        <f t="shared" si="70"/>
        <v>-11.026</v>
      </c>
      <c r="BE384">
        <f t="shared" si="71"/>
        <v>-19.66255554</v>
      </c>
    </row>
    <row r="385" spans="6:57">
      <c r="F385" s="9"/>
      <c r="G385" s="22">
        <v>-8.8348399999999994E-2</v>
      </c>
      <c r="H385" s="22">
        <v>52.831800000000001</v>
      </c>
      <c r="I385" s="22">
        <v>-1.5921000000000001E-2</v>
      </c>
      <c r="J385" s="22">
        <v>375</v>
      </c>
      <c r="K385" s="22">
        <v>-8.8867199999999993E-2</v>
      </c>
      <c r="L385">
        <f t="shared" si="60"/>
        <v>15.921000000000001</v>
      </c>
      <c r="M385">
        <f t="shared" si="61"/>
        <v>-1.4065948764</v>
      </c>
      <c r="N385" s="9"/>
      <c r="O385" s="22">
        <v>1.78833</v>
      </c>
      <c r="P385" s="22">
        <v>102.258</v>
      </c>
      <c r="Q385" s="22">
        <v>1.1694299999999999E-2</v>
      </c>
      <c r="R385" s="22">
        <v>375</v>
      </c>
      <c r="S385" s="22">
        <v>1.78772</v>
      </c>
      <c r="T385">
        <f t="shared" si="62"/>
        <v>-11.6943</v>
      </c>
      <c r="U385">
        <f t="shared" si="63"/>
        <v>-20.913267519000001</v>
      </c>
      <c r="X385" s="9"/>
      <c r="Y385" s="22">
        <v>-8.8348399999999994E-2</v>
      </c>
      <c r="Z385" s="22">
        <v>131.715</v>
      </c>
      <c r="AA385" s="22">
        <v>-1.5866100000000001E-2</v>
      </c>
      <c r="AB385" s="22">
        <v>375</v>
      </c>
      <c r="AC385" s="22">
        <v>-8.8775599999999996E-2</v>
      </c>
      <c r="AD385">
        <f t="shared" si="64"/>
        <v>15.866100000000001</v>
      </c>
      <c r="AE385">
        <f t="shared" si="65"/>
        <v>-1.40174454924</v>
      </c>
      <c r="AF385" s="9"/>
      <c r="AG385" s="22">
        <v>1.78833</v>
      </c>
      <c r="AH385" s="22">
        <v>181.18899999999999</v>
      </c>
      <c r="AI385" s="22">
        <v>1.18835E-2</v>
      </c>
      <c r="AJ385" s="22">
        <v>375</v>
      </c>
      <c r="AK385" s="22">
        <v>1.78833</v>
      </c>
      <c r="AL385">
        <f t="shared" si="66"/>
        <v>-11.8835</v>
      </c>
      <c r="AM385">
        <f t="shared" si="67"/>
        <v>-21.251619554999998</v>
      </c>
      <c r="AP385" s="9"/>
      <c r="AQ385" s="22">
        <v>-8.8348399999999994E-2</v>
      </c>
      <c r="AR385" s="22">
        <v>230.63499999999999</v>
      </c>
      <c r="AS385" s="22">
        <v>-1.5768399999999998E-2</v>
      </c>
      <c r="AT385" s="22">
        <v>375</v>
      </c>
      <c r="AU385" s="22">
        <v>-8.8836700000000005E-2</v>
      </c>
      <c r="AV385">
        <f t="shared" si="68"/>
        <v>15.768399999999998</v>
      </c>
      <c r="AW385">
        <f t="shared" si="69"/>
        <v>-1.3931129105599998</v>
      </c>
      <c r="AX385" s="9"/>
      <c r="AY385" s="22">
        <v>1.78833</v>
      </c>
      <c r="AZ385" s="22">
        <v>264.97500000000002</v>
      </c>
      <c r="BA385" s="22">
        <v>1.2030000000000001E-2</v>
      </c>
      <c r="BB385" s="22">
        <v>375</v>
      </c>
      <c r="BC385" s="22">
        <v>1.78772</v>
      </c>
      <c r="BD385">
        <f t="shared" si="70"/>
        <v>-12.030000000000001</v>
      </c>
      <c r="BE385">
        <f t="shared" si="71"/>
        <v>-21.513609900000002</v>
      </c>
    </row>
    <row r="386" spans="6:57">
      <c r="F386" s="9"/>
      <c r="G386" s="22">
        <v>-9.3383800000000003E-2</v>
      </c>
      <c r="H386" s="22">
        <v>52.841799999999999</v>
      </c>
      <c r="I386" s="22">
        <v>-1.59271E-2</v>
      </c>
      <c r="J386" s="22">
        <v>376</v>
      </c>
      <c r="K386" s="22">
        <v>-9.3933100000000005E-2</v>
      </c>
      <c r="L386">
        <f t="shared" si="60"/>
        <v>15.927099999999999</v>
      </c>
      <c r="M386">
        <f t="shared" si="61"/>
        <v>-1.48733312098</v>
      </c>
      <c r="N386" s="9"/>
      <c r="O386" s="22">
        <v>1.7933699999999999</v>
      </c>
      <c r="P386" s="22">
        <v>102.268</v>
      </c>
      <c r="Q386" s="22">
        <v>1.26953E-2</v>
      </c>
      <c r="R386" s="22">
        <v>376</v>
      </c>
      <c r="S386" s="22">
        <v>1.79291</v>
      </c>
      <c r="T386">
        <f t="shared" si="62"/>
        <v>-12.6953</v>
      </c>
      <c r="U386">
        <f t="shared" si="63"/>
        <v>-22.767370160999999</v>
      </c>
      <c r="X386" s="9"/>
      <c r="Y386" s="22">
        <v>-9.3383800000000003E-2</v>
      </c>
      <c r="Z386" s="22">
        <v>131.72499999999999</v>
      </c>
      <c r="AA386" s="22">
        <v>-1.5866100000000001E-2</v>
      </c>
      <c r="AB386" s="22">
        <v>376</v>
      </c>
      <c r="AC386" s="22">
        <v>-9.3963599999999994E-2</v>
      </c>
      <c r="AD386">
        <f t="shared" si="64"/>
        <v>15.866100000000001</v>
      </c>
      <c r="AE386">
        <f t="shared" si="65"/>
        <v>-1.4816367091800002</v>
      </c>
      <c r="AF386" s="9"/>
      <c r="AG386" s="22">
        <v>1.7933699999999999</v>
      </c>
      <c r="AH386" s="22">
        <v>181.19900000000001</v>
      </c>
      <c r="AI386" s="22">
        <v>1.2914999999999999E-2</v>
      </c>
      <c r="AJ386" s="22">
        <v>376</v>
      </c>
      <c r="AK386" s="22">
        <v>1.7926</v>
      </c>
      <c r="AL386">
        <f t="shared" si="66"/>
        <v>-12.914999999999999</v>
      </c>
      <c r="AM386">
        <f t="shared" si="67"/>
        <v>-23.161373549999997</v>
      </c>
      <c r="AP386" s="9"/>
      <c r="AQ386" s="22">
        <v>-9.3383800000000003E-2</v>
      </c>
      <c r="AR386" s="22">
        <v>230.64500000000001</v>
      </c>
      <c r="AS386" s="22">
        <v>-1.5765399999999999E-2</v>
      </c>
      <c r="AT386" s="22">
        <v>376</v>
      </c>
      <c r="AU386" s="22">
        <v>-9.38721E-2</v>
      </c>
      <c r="AV386">
        <f t="shared" si="68"/>
        <v>15.7654</v>
      </c>
      <c r="AW386">
        <f t="shared" si="69"/>
        <v>-1.47223296052</v>
      </c>
      <c r="AX386" s="9"/>
      <c r="AY386" s="22">
        <v>1.7933699999999999</v>
      </c>
      <c r="AZ386" s="22">
        <v>264.98500000000001</v>
      </c>
      <c r="BA386" s="22">
        <v>1.30341E-2</v>
      </c>
      <c r="BB386" s="22">
        <v>376</v>
      </c>
      <c r="BC386" s="22">
        <v>1.7926</v>
      </c>
      <c r="BD386">
        <f t="shared" si="70"/>
        <v>-13.0341</v>
      </c>
      <c r="BE386">
        <f t="shared" si="71"/>
        <v>-23.374963916999999</v>
      </c>
    </row>
    <row r="387" spans="6:57">
      <c r="F387" s="9"/>
      <c r="G387" s="22">
        <v>-9.8419199999999998E-2</v>
      </c>
      <c r="H387" s="22">
        <v>52.851900000000001</v>
      </c>
      <c r="I387" s="22">
        <v>-1.5930199999999999E-2</v>
      </c>
      <c r="J387" s="22">
        <v>377</v>
      </c>
      <c r="K387" s="22">
        <v>-9.8907499999999995E-2</v>
      </c>
      <c r="L387">
        <f t="shared" si="60"/>
        <v>15.930199999999999</v>
      </c>
      <c r="M387">
        <f t="shared" si="61"/>
        <v>-1.56783753984</v>
      </c>
      <c r="N387" s="9"/>
      <c r="O387" s="22">
        <v>1.7984</v>
      </c>
      <c r="P387" s="22">
        <v>102.27800000000001</v>
      </c>
      <c r="Q387" s="22">
        <v>1.37482E-2</v>
      </c>
      <c r="R387" s="22">
        <v>377</v>
      </c>
      <c r="S387" s="22">
        <v>1.79749</v>
      </c>
      <c r="T387">
        <f t="shared" si="62"/>
        <v>-13.748200000000001</v>
      </c>
      <c r="U387">
        <f t="shared" si="63"/>
        <v>-24.72476288</v>
      </c>
      <c r="X387" s="9"/>
      <c r="Y387" s="22">
        <v>-9.8419199999999998E-2</v>
      </c>
      <c r="Z387" s="22">
        <v>131.73500000000001</v>
      </c>
      <c r="AA387" s="22">
        <v>-1.5866100000000001E-2</v>
      </c>
      <c r="AB387" s="22">
        <v>377</v>
      </c>
      <c r="AC387" s="22">
        <v>-9.8907499999999995E-2</v>
      </c>
      <c r="AD387">
        <f t="shared" si="64"/>
        <v>15.866100000000001</v>
      </c>
      <c r="AE387">
        <f t="shared" si="65"/>
        <v>-1.56152886912</v>
      </c>
      <c r="AF387" s="9"/>
      <c r="AG387" s="22">
        <v>1.7984</v>
      </c>
      <c r="AH387" s="22">
        <v>181.209</v>
      </c>
      <c r="AI387" s="22">
        <v>1.3974E-2</v>
      </c>
      <c r="AJ387" s="22">
        <v>377</v>
      </c>
      <c r="AK387" s="22">
        <v>1.79749</v>
      </c>
      <c r="AL387">
        <f t="shared" si="66"/>
        <v>-13.974</v>
      </c>
      <c r="AM387">
        <f t="shared" si="67"/>
        <v>-25.1308416</v>
      </c>
      <c r="AP387" s="9"/>
      <c r="AQ387" s="22">
        <v>-9.8419199999999998E-2</v>
      </c>
      <c r="AR387" s="22">
        <v>230.655</v>
      </c>
      <c r="AS387" s="22">
        <v>-1.5765399999999999E-2</v>
      </c>
      <c r="AT387" s="22">
        <v>377</v>
      </c>
      <c r="AU387" s="22">
        <v>-9.8907499999999995E-2</v>
      </c>
      <c r="AV387">
        <f t="shared" si="68"/>
        <v>15.7654</v>
      </c>
      <c r="AW387">
        <f t="shared" si="69"/>
        <v>-1.5516180556799999</v>
      </c>
      <c r="AX387" s="9"/>
      <c r="AY387" s="22">
        <v>1.7984</v>
      </c>
      <c r="AZ387" s="22">
        <v>264.995</v>
      </c>
      <c r="BA387" s="22">
        <v>1.41022E-2</v>
      </c>
      <c r="BB387" s="22">
        <v>377</v>
      </c>
      <c r="BC387" s="22">
        <v>1.79749</v>
      </c>
      <c r="BD387">
        <f t="shared" si="70"/>
        <v>-14.1022</v>
      </c>
      <c r="BE387">
        <f t="shared" si="71"/>
        <v>-25.36139648</v>
      </c>
    </row>
    <row r="388" spans="6:57">
      <c r="F388" s="9"/>
      <c r="G388" s="22">
        <v>-0.10345500000000001</v>
      </c>
      <c r="H388" s="22">
        <v>52.862000000000002</v>
      </c>
      <c r="I388" s="22">
        <v>-1.5933200000000002E-2</v>
      </c>
      <c r="J388" s="22">
        <v>378</v>
      </c>
      <c r="K388" s="22">
        <v>-0.10394299999999999</v>
      </c>
      <c r="L388">
        <f t="shared" si="60"/>
        <v>15.933200000000001</v>
      </c>
      <c r="M388">
        <f t="shared" si="61"/>
        <v>-1.6483692060000001</v>
      </c>
      <c r="N388" s="9"/>
      <c r="O388" s="22">
        <v>1.8034399999999999</v>
      </c>
      <c r="P388" s="22">
        <v>102.288</v>
      </c>
      <c r="Q388" s="22">
        <v>1.4798E-2</v>
      </c>
      <c r="R388" s="22">
        <v>378</v>
      </c>
      <c r="S388" s="22">
        <v>1.80267</v>
      </c>
      <c r="T388">
        <f t="shared" si="62"/>
        <v>-14.798</v>
      </c>
      <c r="U388">
        <f t="shared" si="63"/>
        <v>-26.687305119999998</v>
      </c>
      <c r="X388" s="9"/>
      <c r="Y388" s="22">
        <v>-0.10345500000000001</v>
      </c>
      <c r="Z388" s="22">
        <v>131.745</v>
      </c>
      <c r="AA388" s="22">
        <v>-1.5866100000000001E-2</v>
      </c>
      <c r="AB388" s="22">
        <v>378</v>
      </c>
      <c r="AC388" s="22">
        <v>-0.10394299999999999</v>
      </c>
      <c r="AD388">
        <f t="shared" si="64"/>
        <v>15.866100000000001</v>
      </c>
      <c r="AE388">
        <f t="shared" si="65"/>
        <v>-1.6414273755000002</v>
      </c>
      <c r="AF388" s="9"/>
      <c r="AG388" s="22">
        <v>1.8034399999999999</v>
      </c>
      <c r="AH388" s="22">
        <v>181.21899999999999</v>
      </c>
      <c r="AI388" s="22">
        <v>1.50879E-2</v>
      </c>
      <c r="AJ388" s="22">
        <v>378</v>
      </c>
      <c r="AK388" s="22">
        <v>1.80267</v>
      </c>
      <c r="AL388">
        <f t="shared" si="66"/>
        <v>-15.087899999999999</v>
      </c>
      <c r="AM388">
        <f t="shared" si="67"/>
        <v>-27.210122375999998</v>
      </c>
      <c r="AP388" s="9"/>
      <c r="AQ388" s="22">
        <v>-0.10345500000000001</v>
      </c>
      <c r="AR388" s="22">
        <v>230.66499999999999</v>
      </c>
      <c r="AS388" s="22">
        <v>-1.5771500000000001E-2</v>
      </c>
      <c r="AT388" s="22">
        <v>378</v>
      </c>
      <c r="AU388" s="22">
        <v>-0.103851</v>
      </c>
      <c r="AV388">
        <f t="shared" si="68"/>
        <v>15.771500000000001</v>
      </c>
      <c r="AW388">
        <f t="shared" si="69"/>
        <v>-1.6316405325000003</v>
      </c>
      <c r="AX388" s="9"/>
      <c r="AY388" s="22">
        <v>1.8034399999999999</v>
      </c>
      <c r="AZ388" s="22">
        <v>265.005</v>
      </c>
      <c r="BA388" s="22">
        <v>1.52161E-2</v>
      </c>
      <c r="BB388" s="22">
        <v>378</v>
      </c>
      <c r="BC388" s="22">
        <v>1.80328</v>
      </c>
      <c r="BD388">
        <f t="shared" si="70"/>
        <v>-15.216099999999999</v>
      </c>
      <c r="BE388">
        <f t="shared" si="71"/>
        <v>-27.441323383999997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workbookViewId="0">
      <selection activeCell="E4" sqref="E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20230213T210000</v>
      </c>
      <c r="B3">
        <f ca="1">INDEX(INDIRECT(A3&amp;"!A11"):INDIRECT(A3&amp;"!A21"),MATCH(E3,INDIRECT(A3&amp;"!D11"):INDIRECT(A3&amp;"!D21"),0))</f>
        <v>1.772485753867467</v>
      </c>
      <c r="C3">
        <f ca="1">INDEX(INDIRECT(A3&amp;"!B11"):INDIRECT(A3&amp;"!B21"),MATCH(E3,INDIRECT(A3&amp;"!D11"):INDIRECT(A3&amp;"!D21"),0))</f>
        <v>15.797123998894236</v>
      </c>
      <c r="D3">
        <f ca="1">INDEX(INDIRECT(A3&amp;"!C11"):INDIRECT(A3&amp;"!C21"),MATCH(E3,INDIRECT(A3&amp;"!D11"):INDIRECT(A3&amp;"!D21"),0))</f>
        <v>0.73450842138002836</v>
      </c>
      <c r="E3">
        <f t="shared" ref="E3" ca="1" si="0">MAX(INDIRECT(A3&amp; "!D11"),INDIRECT(A3 &amp; "!D13"),INDIRECT(A3 &amp; "!D15"),INDIRECT(A3 &amp; "!D17"),INDIRECT(A3 &amp; "!D19"),INDIRECT(A3 &amp; "!D21"))</f>
        <v>20.566365983000001</v>
      </c>
      <c r="G3">
        <f ca="1">INDEX(INDIRECT(A3&amp;"!A12"):INDIRECT(A3&amp;"!A22"),MATCH(J3,INDIRECT(A3&amp;"!D12"):INDIRECT(A3&amp;"!D22"),0))</f>
        <v>1.764463441164466</v>
      </c>
      <c r="H3">
        <f ca="1">INDEX(INDIRECT(A3&amp;"!B12"):INDIRECT(A3&amp;"!B22"),MATCH(J3,INDIRECT(A3&amp;"!D12"):INDIRECT(A3&amp;"!D22"),0))</f>
        <v>15.808854715290092</v>
      </c>
      <c r="I3">
        <f ca="1">INDEX(INDIRECT(A3&amp;"!C12"):INDIRECT(A3&amp;"!C22"),MATCH(J3,INDIRECT(A3&amp;"!D12"):INDIRECT(A3&amp;"!D22"),0))</f>
        <v>0.71694930285666614</v>
      </c>
      <c r="J3">
        <f t="shared" ref="J3" ca="1" si="1">MAX(INDIRECT(A3&amp; "!D12"),INDIRECT(A3 &amp; "!D14"),INDIRECT(A3 &amp; "!D16"),INDIRECT(A3 &amp; "!D18"),INDIRECT(A3 &amp; "!D20"),,INDIRECT(A3 &amp; "!D22"))</f>
        <v>19.998688666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20230214T210000</v>
      </c>
      <c r="B4">
        <f ca="1">INDEX(INDIRECT(A4&amp;"!A11"):INDIRECT(A4&amp;"!A21"),MATCH(E4,INDIRECT(A4&amp;"!D11"):INDIRECT(A4&amp;"!D21"),0))</f>
        <v>1.7120353284200043</v>
      </c>
      <c r="C4">
        <f ca="1">INDEX(INDIRECT(A4&amp;"!B11"):INDIRECT(A4&amp;"!B21"),MATCH(E4,INDIRECT(A4&amp;"!D11"):INDIRECT(A4&amp;"!D21"),0))</f>
        <v>15.890499999999998</v>
      </c>
      <c r="D4">
        <f ca="1">INDEX(INDIRECT(A4&amp;"!C11"):INDIRECT(A4&amp;"!C21"),MATCH(E4,INDIRECT(A4&amp;"!D11"):INDIRECT(A4&amp;"!D21"),0))</f>
        <v>0.72728169427521516</v>
      </c>
      <c r="E4">
        <f t="shared" ref="E4" ca="1" si="2">MAX(INDIRECT(A4&amp; "!D11"),INDIRECT(A4 &amp; "!D13"),INDIRECT(A4 &amp; "!D15"),INDIRECT(A4 &amp; "!D17"),INDIRECT(A4 &amp; "!D19"),INDIRECT(A4 &amp; "!D21"))</f>
        <v>19.78576932</v>
      </c>
      <c r="G4">
        <f ca="1">INDEX(INDIRECT(A4&amp;"!A12"):INDIRECT(A4&amp;"!A22"),MATCH(J4,INDIRECT(A4&amp;"!D12"):INDIRECT(A4&amp;"!D22"),0))</f>
        <v>1.7126631661451495</v>
      </c>
      <c r="H4">
        <f ca="1">INDEX(INDIRECT(A4&amp;"!B12"):INDIRECT(A4&amp;"!B22"),MATCH(J4,INDIRECT(A4&amp;"!D12"):INDIRECT(A4&amp;"!D22"),0))</f>
        <v>15.835797565292179</v>
      </c>
      <c r="I4">
        <f ca="1">INDEX(INDIRECT(A4&amp;"!C12"):INDIRECT(A4&amp;"!C22"),MATCH(J4,INDIRECT(A4&amp;"!D12"):INDIRECT(A4&amp;"!D22"),0))</f>
        <v>0.71155826507334219</v>
      </c>
      <c r="J4">
        <f t="shared" ref="J4" ca="1" si="3">MAX(INDIRECT(A4&amp; "!D12"),INDIRECT(A4 &amp; "!D14"),INDIRECT(A4 &amp; "!D16"),INDIRECT(A4 &amp; "!D18"),INDIRECT(A4 &amp; "!D20"),,INDIRECT(A4 &amp; "!D22"))</f>
        <v>19.29844722</v>
      </c>
      <c r="L4">
        <f ca="1">INDEX(INDIRECT(A4&amp;"!E11"):INDIRECT(A4&amp;"!E21"),MATCH(E4,INDIRECT(A4&amp;"!D11"):INDIRECT(A4&amp;"!D21"),0))</f>
        <v>2.4629929325386479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20230213T210000</vt:lpstr>
      <vt:lpstr>20230214T210000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2023-02-14T21:23:20Z</dcterms:modified>
</cp:coreProperties>
</file>