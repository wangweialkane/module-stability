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Jan\damp-heat\"/>
    </mc:Choice>
  </mc:AlternateContent>
  <xr:revisionPtr revIDLastSave="0" documentId="13_ncr:1_{AB76D906-8206-411A-B93B-DFD8075CECE5}" xr6:coauthVersionLast="47" xr6:coauthVersionMax="47" xr10:uidLastSave="{00000000-0000-0000-0000-000000000000}"/>
  <bookViews>
    <workbookView xWindow="-108" yWindow="-108" windowWidth="30936" windowHeight="16896" tabRatio="760" activeTab="4" xr2:uid="{00000000-000D-0000-FFFF-FFFF00000000}"/>
  </bookViews>
  <sheets>
    <sheet name="NEW" sheetId="64" r:id="rId1"/>
    <sheet name="20230214T210000" sheetId="66" r:id="rId2"/>
    <sheet name="20230221t210000" sheetId="67" r:id="rId3"/>
    <sheet name="20230224T210000" sheetId="68" r:id="rId4"/>
    <sheet name="20230302T090000" sheetId="69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69" l="1"/>
  <c r="S7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 s="1"/>
  <c r="T185" i="69"/>
  <c r="U185" i="69" s="1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 s="1"/>
  <c r="T200" i="69"/>
  <c r="U200" i="69"/>
  <c r="T201" i="69"/>
  <c r="U201" i="69" s="1"/>
  <c r="T202" i="69"/>
  <c r="U202" i="69" s="1"/>
  <c r="T203" i="69"/>
  <c r="U203" i="69" s="1"/>
  <c r="T204" i="69"/>
  <c r="U204" i="69" s="1"/>
  <c r="T205" i="69"/>
  <c r="U205" i="69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 s="1"/>
  <c r="L184" i="69"/>
  <c r="M184" i="69" s="1"/>
  <c r="L185" i="69"/>
  <c r="M185" i="69"/>
  <c r="L186" i="69"/>
  <c r="M186" i="69"/>
  <c r="L187" i="69"/>
  <c r="M187" i="69"/>
  <c r="L188" i="69"/>
  <c r="M188" i="69"/>
  <c r="L189" i="69"/>
  <c r="M189" i="69" s="1"/>
  <c r="L190" i="69"/>
  <c r="M190" i="69" s="1"/>
  <c r="L191" i="69"/>
  <c r="M191" i="69"/>
  <c r="L192" i="69"/>
  <c r="M192" i="69"/>
  <c r="L193" i="69"/>
  <c r="M193" i="69"/>
  <c r="L194" i="69"/>
  <c r="M194" i="69"/>
  <c r="L195" i="69"/>
  <c r="M195" i="69" s="1"/>
  <c r="L196" i="69"/>
  <c r="M196" i="69" s="1"/>
  <c r="L197" i="69"/>
  <c r="M197" i="69"/>
  <c r="L198" i="69"/>
  <c r="M198" i="69"/>
  <c r="L199" i="69"/>
  <c r="M199" i="69"/>
  <c r="L200" i="69"/>
  <c r="M200" i="69"/>
  <c r="L201" i="69"/>
  <c r="M201" i="69" s="1"/>
  <c r="L202" i="69"/>
  <c r="M202" i="69" s="1"/>
  <c r="L203" i="69"/>
  <c r="M203" i="69"/>
  <c r="L204" i="69"/>
  <c r="M204" i="69"/>
  <c r="L205" i="69"/>
  <c r="M205" i="69"/>
  <c r="L206" i="69"/>
  <c r="M206" i="69"/>
  <c r="L207" i="69"/>
  <c r="M207" i="69" s="1"/>
  <c r="L208" i="69"/>
  <c r="M208" i="69" s="1"/>
  <c r="L209" i="69"/>
  <c r="M209" i="69"/>
  <c r="L210" i="69"/>
  <c r="M210" i="69"/>
  <c r="L211" i="69"/>
  <c r="M211" i="69"/>
  <c r="L212" i="69"/>
  <c r="M212" i="69"/>
  <c r="L213" i="69"/>
  <c r="M213" i="69" s="1"/>
  <c r="L214" i="69"/>
  <c r="M214" i="69" s="1"/>
  <c r="L215" i="69"/>
  <c r="M215" i="69"/>
  <c r="L216" i="69"/>
  <c r="M216" i="69"/>
  <c r="L217" i="69"/>
  <c r="M217" i="69"/>
  <c r="L218" i="69"/>
  <c r="M218" i="69"/>
  <c r="L219" i="69"/>
  <c r="M219" i="69" s="1"/>
  <c r="L220" i="69"/>
  <c r="M220" i="69" s="1"/>
  <c r="L221" i="69"/>
  <c r="M221" i="69" s="1"/>
  <c r="L222" i="69"/>
  <c r="M222" i="69" s="1"/>
  <c r="L223" i="69"/>
  <c r="M223" i="69"/>
  <c r="L224" i="69"/>
  <c r="M224" i="69"/>
  <c r="L225" i="69"/>
  <c r="M225" i="69"/>
  <c r="L226" i="69"/>
  <c r="M226" i="69" s="1"/>
  <c r="L227" i="69"/>
  <c r="M227" i="69" s="1"/>
  <c r="L228" i="69"/>
  <c r="M228" i="69" s="1"/>
  <c r="L229" i="69"/>
  <c r="M229" i="69"/>
  <c r="L230" i="69"/>
  <c r="M230" i="69"/>
  <c r="L231" i="69"/>
  <c r="M231" i="69"/>
  <c r="L232" i="69"/>
  <c r="M232" i="69" s="1"/>
  <c r="L233" i="69"/>
  <c r="M233" i="69" s="1"/>
  <c r="L234" i="69"/>
  <c r="M234" i="69" s="1"/>
  <c r="L235" i="69"/>
  <c r="M235" i="69"/>
  <c r="L236" i="69"/>
  <c r="M236" i="69"/>
  <c r="L237" i="69"/>
  <c r="M237" i="69"/>
  <c r="L238" i="69"/>
  <c r="M238" i="69" s="1"/>
  <c r="L239" i="69"/>
  <c r="M239" i="69" s="1"/>
  <c r="L240" i="69"/>
  <c r="M240" i="69" s="1"/>
  <c r="L241" i="69"/>
  <c r="M241" i="69"/>
  <c r="L242" i="69"/>
  <c r="M242" i="69"/>
  <c r="L243" i="69"/>
  <c r="M243" i="69"/>
  <c r="L244" i="69"/>
  <c r="M244" i="69" s="1"/>
  <c r="L245" i="69"/>
  <c r="M245" i="69" s="1"/>
  <c r="L246" i="69"/>
  <c r="M246" i="69" s="1"/>
  <c r="L247" i="69"/>
  <c r="M247" i="69"/>
  <c r="L248" i="69"/>
  <c r="M248" i="69"/>
  <c r="L249" i="69"/>
  <c r="M249" i="69" s="1"/>
  <c r="L250" i="69"/>
  <c r="M250" i="69" s="1"/>
  <c r="L251" i="69"/>
  <c r="M251" i="69" s="1"/>
  <c r="L252" i="69"/>
  <c r="M252" i="69" s="1"/>
  <c r="L253" i="69"/>
  <c r="M253" i="69"/>
  <c r="L254" i="69"/>
  <c r="M254" i="69"/>
  <c r="L255" i="69"/>
  <c r="M255" i="69" s="1"/>
  <c r="L256" i="69"/>
  <c r="M256" i="69" s="1"/>
  <c r="L257" i="69"/>
  <c r="M257" i="69" s="1"/>
  <c r="L258" i="69"/>
  <c r="M258" i="69" s="1"/>
  <c r="L259" i="69"/>
  <c r="M259" i="69"/>
  <c r="L260" i="69"/>
  <c r="M260" i="69"/>
  <c r="L261" i="69"/>
  <c r="M261" i="69" s="1"/>
  <c r="L262" i="69"/>
  <c r="M262" i="69" s="1"/>
  <c r="L263" i="69"/>
  <c r="M263" i="69" s="1"/>
  <c r="L264" i="69"/>
  <c r="M264" i="69" s="1"/>
  <c r="L265" i="69"/>
  <c r="M265" i="69"/>
  <c r="L266" i="69"/>
  <c r="M266" i="69"/>
  <c r="L267" i="69"/>
  <c r="M267" i="69" s="1"/>
  <c r="L268" i="69"/>
  <c r="M268" i="69" s="1"/>
  <c r="L269" i="69"/>
  <c r="M269" i="69" s="1"/>
  <c r="L270" i="69"/>
  <c r="M270" i="69" s="1"/>
  <c r="L271" i="69"/>
  <c r="M271" i="69"/>
  <c r="L272" i="69"/>
  <c r="M272" i="69"/>
  <c r="L273" i="69"/>
  <c r="M273" i="69" s="1"/>
  <c r="L274" i="69"/>
  <c r="M274" i="69" s="1"/>
  <c r="L275" i="69"/>
  <c r="M275" i="69" s="1"/>
  <c r="L276" i="69"/>
  <c r="M276" i="69" s="1"/>
  <c r="L277" i="69"/>
  <c r="M277" i="69"/>
  <c r="L278" i="69"/>
  <c r="M278" i="69"/>
  <c r="L279" i="69"/>
  <c r="M279" i="69" s="1"/>
  <c r="L280" i="69"/>
  <c r="M280" i="69" s="1"/>
  <c r="L281" i="69"/>
  <c r="M281" i="69" s="1"/>
  <c r="L282" i="69"/>
  <c r="M282" i="69" s="1"/>
  <c r="L283" i="69"/>
  <c r="M283" i="69"/>
  <c r="L284" i="69"/>
  <c r="M284" i="69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L7" i="69"/>
  <c r="K7" i="69" s="1"/>
  <c r="FG6" i="69"/>
  <c r="EY6" i="69"/>
  <c r="EX6" i="69" s="1"/>
  <c r="EP6" i="69"/>
  <c r="EH6" i="69"/>
  <c r="EG6" i="69" s="1"/>
  <c r="DX6" i="69"/>
  <c r="DP6" i="69"/>
  <c r="DO6" i="69"/>
  <c r="DF6" i="69"/>
  <c r="CX6" i="69"/>
  <c r="CW6" i="69" s="1"/>
  <c r="CN6" i="69"/>
  <c r="CF6" i="69"/>
  <c r="CE6" i="69" s="1"/>
  <c r="BV6" i="69"/>
  <c r="BN6" i="69"/>
  <c r="BM6" i="69" s="1"/>
  <c r="BD6" i="69"/>
  <c r="AV6" i="69"/>
  <c r="AU6" i="69"/>
  <c r="AQ2" i="69" s="1"/>
  <c r="AL6" i="69"/>
  <c r="AD6" i="69"/>
  <c r="AC6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FD4" i="69"/>
  <c r="FF4" i="69" s="1"/>
  <c r="EV4" i="69"/>
  <c r="EX4" i="69" s="1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C4" i="69"/>
  <c r="CE4" i="69" s="1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Q3" i="69"/>
  <c r="EM3" i="69"/>
  <c r="EO3" i="69" s="1"/>
  <c r="EI3" i="69"/>
  <c r="EE3" i="69"/>
  <c r="DY3" i="69"/>
  <c r="DU3" i="69"/>
  <c r="DW3" i="69" s="1"/>
  <c r="DQ3" i="69"/>
  <c r="DM3" i="69"/>
  <c r="DG3" i="69"/>
  <c r="DC3" i="69"/>
  <c r="DE3" i="69" s="1"/>
  <c r="CY3" i="69"/>
  <c r="CU3" i="69"/>
  <c r="CO3" i="69"/>
  <c r="CK3" i="69"/>
  <c r="CM3" i="69" s="1"/>
  <c r="CG3" i="69"/>
  <c r="CC3" i="69"/>
  <c r="BW3" i="69"/>
  <c r="BS3" i="69"/>
  <c r="BU3" i="69" s="1"/>
  <c r="BO3" i="69"/>
  <c r="BM3" i="69"/>
  <c r="BK3" i="69"/>
  <c r="BE3" i="69"/>
  <c r="BA3" i="69"/>
  <c r="AW3" i="69"/>
  <c r="AS3" i="69"/>
  <c r="AM3" i="69"/>
  <c r="AI3" i="69"/>
  <c r="AE3" i="69"/>
  <c r="AA3" i="69"/>
  <c r="Q3" i="69"/>
  <c r="I3" i="69"/>
  <c r="A6" i="63" a="1"/>
  <c r="Y2" i="69" l="1"/>
  <c r="DO3" i="69"/>
  <c r="DM6" i="69" s="1"/>
  <c r="CE3" i="69"/>
  <c r="CC6" i="69" s="1"/>
  <c r="A19" i="69" s="1"/>
  <c r="EG3" i="69"/>
  <c r="EE6" i="69" s="1"/>
  <c r="AA6" i="69"/>
  <c r="A13" i="69" s="1"/>
  <c r="AC3" i="69"/>
  <c r="AU3" i="69"/>
  <c r="AS6" i="69" s="1"/>
  <c r="A15" i="69" s="1"/>
  <c r="CW3" i="69"/>
  <c r="CU6" i="69" s="1"/>
  <c r="A21" i="69" s="1"/>
  <c r="BK6" i="69"/>
  <c r="A17" i="69" s="1"/>
  <c r="EV6" i="69"/>
  <c r="A6" i="63"/>
  <c r="U9" i="69"/>
  <c r="U5" i="69" s="1"/>
  <c r="M9" i="69"/>
  <c r="M5" i="69" s="1"/>
  <c r="G2" i="69"/>
  <c r="K3" i="69"/>
  <c r="I6" i="69" s="1"/>
  <c r="A11" i="69" s="1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W6" i="69"/>
  <c r="DX9" i="69" s="1"/>
  <c r="EH9" i="69"/>
  <c r="EO6" i="69"/>
  <c r="EP9" i="69" s="1"/>
  <c r="EY9" i="69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 s="1"/>
  <c r="EP6" i="68"/>
  <c r="EH6" i="68"/>
  <c r="EG6" i="68"/>
  <c r="DX6" i="68"/>
  <c r="DP6" i="68"/>
  <c r="DO6" i="68" s="1"/>
  <c r="DF6" i="68"/>
  <c r="CN6" i="68"/>
  <c r="CF6" i="68"/>
  <c r="CE6" i="68" s="1"/>
  <c r="BV6" i="68"/>
  <c r="BN6" i="68"/>
  <c r="BM6" i="68"/>
  <c r="BD6" i="68"/>
  <c r="AV6" i="68"/>
  <c r="AU6" i="68" s="1"/>
  <c r="AQ2" i="68" s="1"/>
  <c r="AL6" i="68"/>
  <c r="AD6" i="68"/>
  <c r="AC6" i="68" s="1"/>
  <c r="T6" i="68"/>
  <c r="L6" i="68"/>
  <c r="FH5" i="68"/>
  <c r="EZ5" i="68"/>
  <c r="EQ5" i="68"/>
  <c r="EI5" i="68"/>
  <c r="DY5" i="68"/>
  <c r="DG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C4" i="68"/>
  <c r="DE4" i="68" s="1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A4" i="68"/>
  <c r="AC4" i="68" s="1"/>
  <c r="FH3" i="68"/>
  <c r="FD3" i="68"/>
  <c r="FF3" i="68" s="1"/>
  <c r="EZ3" i="68"/>
  <c r="EV3" i="68"/>
  <c r="EQ3" i="68"/>
  <c r="EM3" i="68"/>
  <c r="EO3" i="68" s="1"/>
  <c r="EI3" i="68"/>
  <c r="EE3" i="68"/>
  <c r="DY3" i="68"/>
  <c r="DU3" i="68"/>
  <c r="DW3" i="68" s="1"/>
  <c r="DG3" i="68"/>
  <c r="DC3" i="68"/>
  <c r="DE3" i="68" s="1"/>
  <c r="CO3" i="68"/>
  <c r="CK3" i="68"/>
  <c r="CM3" i="68" s="1"/>
  <c r="CG3" i="68"/>
  <c r="CC3" i="68"/>
  <c r="BW3" i="68"/>
  <c r="BS3" i="68"/>
  <c r="BU3" i="68" s="1"/>
  <c r="BO3" i="68"/>
  <c r="BM3" i="68"/>
  <c r="BK3" i="68"/>
  <c r="BA3" i="68"/>
  <c r="AS3" i="68"/>
  <c r="AU3" i="68" s="1"/>
  <c r="AI3" i="68" l="1"/>
  <c r="DM4" i="68"/>
  <c r="DO4" i="68" s="1"/>
  <c r="CU3" i="68"/>
  <c r="CY5" i="68"/>
  <c r="EH4" i="69"/>
  <c r="EH2" i="69" s="1"/>
  <c r="EE9" i="69" s="1"/>
  <c r="E25" i="69" s="1"/>
  <c r="BK6" i="68"/>
  <c r="A17" i="68" s="1"/>
  <c r="CY3" i="68"/>
  <c r="DQ5" i="68"/>
  <c r="DP4" i="69"/>
  <c r="DP2" i="69" s="1"/>
  <c r="DM9" i="69" s="1"/>
  <c r="E23" i="69" s="1"/>
  <c r="EV6" i="68"/>
  <c r="AQ4" i="69"/>
  <c r="EX3" i="68"/>
  <c r="DM3" i="68"/>
  <c r="CC6" i="68"/>
  <c r="A19" i="68" s="1"/>
  <c r="DQ3" i="68"/>
  <c r="CW7" i="68"/>
  <c r="Q3" i="68"/>
  <c r="S3" i="68" s="1"/>
  <c r="O4" i="68" s="1"/>
  <c r="CE3" i="68"/>
  <c r="I4" i="68"/>
  <c r="K4" i="68" s="1"/>
  <c r="CU4" i="68"/>
  <c r="CW4" i="68" s="1"/>
  <c r="K6" i="68"/>
  <c r="L9" i="68" s="1"/>
  <c r="B11" i="68" s="1"/>
  <c r="I3" i="68"/>
  <c r="AA3" i="68"/>
  <c r="Q4" i="68"/>
  <c r="S4" i="68" s="1"/>
  <c r="CX6" i="68"/>
  <c r="CW6" i="68" s="1"/>
  <c r="EY4" i="69"/>
  <c r="EY2" i="69" s="1"/>
  <c r="EV9" i="69" s="1"/>
  <c r="EG3" i="68"/>
  <c r="EE6" i="68" s="1"/>
  <c r="AI4" i="68"/>
  <c r="AK4" i="68" s="1"/>
  <c r="Y2" i="68"/>
  <c r="U7" i="69"/>
  <c r="U3" i="69"/>
  <c r="G4" i="69"/>
  <c r="M7" i="69"/>
  <c r="M3" i="69"/>
  <c r="L4" i="69" s="1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CF4" i="69"/>
  <c r="CF2" i="69" s="1"/>
  <c r="AV4" i="69"/>
  <c r="AG4" i="69"/>
  <c r="CX4" i="69"/>
  <c r="BN4" i="69"/>
  <c r="CN4" i="69"/>
  <c r="BE9" i="68"/>
  <c r="BE5" i="68" s="1"/>
  <c r="AW9" i="68"/>
  <c r="AW3" i="68" s="1"/>
  <c r="AS6" i="68"/>
  <c r="A15" i="68" s="1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AK3" i="68"/>
  <c r="AG4" i="68" s="1"/>
  <c r="BC3" i="68"/>
  <c r="AY4" i="68" s="1"/>
  <c r="G4" i="68"/>
  <c r="AQ4" i="68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W6" i="68"/>
  <c r="DX9" i="68" s="1"/>
  <c r="EH9" i="68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 s="1"/>
  <c r="BV98" i="67"/>
  <c r="BW98" i="67"/>
  <c r="BV99" i="67"/>
  <c r="BW99" i="67" s="1"/>
  <c r="BV100" i="67"/>
  <c r="BW100" i="67"/>
  <c r="BV101" i="67"/>
  <c r="BW101" i="67"/>
  <c r="BV102" i="67"/>
  <c r="BW102" i="67" s="1"/>
  <c r="BV103" i="67"/>
  <c r="BW103" i="67" s="1"/>
  <c r="BV104" i="67"/>
  <c r="BW104" i="67"/>
  <c r="BV105" i="67"/>
  <c r="BW105" i="67" s="1"/>
  <c r="BV106" i="67"/>
  <c r="BW106" i="67"/>
  <c r="BV107" i="67"/>
  <c r="BW107" i="67"/>
  <c r="BV108" i="67"/>
  <c r="BW108" i="67" s="1"/>
  <c r="BV109" i="67"/>
  <c r="BW109" i="67" s="1"/>
  <c r="BV110" i="67"/>
  <c r="BW110" i="67"/>
  <c r="BV111" i="67"/>
  <c r="BW111" i="67" s="1"/>
  <c r="BV112" i="67"/>
  <c r="BW112" i="67"/>
  <c r="BV113" i="67"/>
  <c r="BW113" i="67"/>
  <c r="BV114" i="67"/>
  <c r="BW114" i="67" s="1"/>
  <c r="BV115" i="67"/>
  <c r="BW115" i="67" s="1"/>
  <c r="BV116" i="67"/>
  <c r="BW116" i="67"/>
  <c r="BV117" i="67"/>
  <c r="BW117" i="67" s="1"/>
  <c r="BV118" i="67"/>
  <c r="BW118" i="67"/>
  <c r="BV119" i="67"/>
  <c r="BW119" i="67"/>
  <c r="BV120" i="67"/>
  <c r="BW120" i="67" s="1"/>
  <c r="BV121" i="67"/>
  <c r="BW121" i="67" s="1"/>
  <c r="BV122" i="67"/>
  <c r="BW122" i="67"/>
  <c r="BV123" i="67"/>
  <c r="BW123" i="67" s="1"/>
  <c r="BV124" i="67"/>
  <c r="BW124" i="67"/>
  <c r="BV125" i="67"/>
  <c r="BW125" i="67"/>
  <c r="BV126" i="67"/>
  <c r="BW126" i="67"/>
  <c r="BV127" i="67"/>
  <c r="BW127" i="67" s="1"/>
  <c r="BV128" i="67"/>
  <c r="BW128" i="67"/>
  <c r="BV129" i="67"/>
  <c r="BW129" i="67" s="1"/>
  <c r="BV130" i="67"/>
  <c r="BW130" i="67" s="1"/>
  <c r="BV131" i="67"/>
  <c r="BW131" i="67" s="1"/>
  <c r="BV132" i="67"/>
  <c r="BW132" i="67" s="1"/>
  <c r="BV133" i="67"/>
  <c r="BW133" i="67"/>
  <c r="BV134" i="67"/>
  <c r="BW134" i="67"/>
  <c r="BV135" i="67"/>
  <c r="BW135" i="67" s="1"/>
  <c r="BV136" i="67"/>
  <c r="BW136" i="67"/>
  <c r="BV137" i="67"/>
  <c r="BW137" i="67" s="1"/>
  <c r="BV138" i="67"/>
  <c r="BW138" i="67" s="1"/>
  <c r="BV139" i="67"/>
  <c r="BW139" i="67"/>
  <c r="BV140" i="67"/>
  <c r="BW140" i="67"/>
  <c r="BV141" i="67"/>
  <c r="BW141" i="67" s="1"/>
  <c r="BV142" i="67"/>
  <c r="BW142" i="67"/>
  <c r="BV143" i="67"/>
  <c r="BW143" i="67" s="1"/>
  <c r="BV144" i="67"/>
  <c r="BW144" i="67" s="1"/>
  <c r="BV145" i="67"/>
  <c r="BW145" i="67"/>
  <c r="BV146" i="67"/>
  <c r="BW146" i="67"/>
  <c r="BV147" i="67"/>
  <c r="BW147" i="67" s="1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 s="1"/>
  <c r="BN99" i="67"/>
  <c r="BO99" i="67" s="1"/>
  <c r="BN100" i="67"/>
  <c r="BO100" i="67"/>
  <c r="BN101" i="67"/>
  <c r="BO101" i="67"/>
  <c r="BN102" i="67"/>
  <c r="BO102" i="67" s="1"/>
  <c r="BN103" i="67"/>
  <c r="BO103" i="67"/>
  <c r="BN104" i="67"/>
  <c r="BO104" i="67" s="1"/>
  <c r="BN105" i="67"/>
  <c r="BO105" i="67" s="1"/>
  <c r="BN106" i="67"/>
  <c r="BO106" i="67"/>
  <c r="BN107" i="67"/>
  <c r="BO107" i="67"/>
  <c r="BN108" i="67"/>
  <c r="BO108" i="67" s="1"/>
  <c r="BN109" i="67"/>
  <c r="BO109" i="67"/>
  <c r="BN110" i="67"/>
  <c r="BO110" i="67" s="1"/>
  <c r="BN111" i="67"/>
  <c r="BO111" i="67" s="1"/>
  <c r="BN112" i="67"/>
  <c r="BO112" i="67"/>
  <c r="BN113" i="67"/>
  <c r="BO113" i="67"/>
  <c r="BN114" i="67"/>
  <c r="BO114" i="67" s="1"/>
  <c r="BN115" i="67"/>
  <c r="BO115" i="67"/>
  <c r="BN116" i="67"/>
  <c r="BO116" i="67" s="1"/>
  <c r="BN117" i="67"/>
  <c r="BO117" i="67" s="1"/>
  <c r="BN118" i="67"/>
  <c r="BO118" i="67"/>
  <c r="BN119" i="67"/>
  <c r="BO119" i="67"/>
  <c r="BN120" i="67"/>
  <c r="BO120" i="67" s="1"/>
  <c r="BN121" i="67"/>
  <c r="BO121" i="67"/>
  <c r="BN122" i="67"/>
  <c r="BO122" i="67" s="1"/>
  <c r="BN123" i="67"/>
  <c r="BO123" i="67"/>
  <c r="BN124" i="67"/>
  <c r="BO124" i="67"/>
  <c r="BN125" i="67"/>
  <c r="BO125" i="67" s="1"/>
  <c r="BN126" i="67"/>
  <c r="BO126" i="67"/>
  <c r="BN127" i="67"/>
  <c r="BO127" i="67" s="1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 s="1"/>
  <c r="BD184" i="67"/>
  <c r="BE184" i="67" s="1"/>
  <c r="BD185" i="67"/>
  <c r="BE185" i="67"/>
  <c r="BD186" i="67"/>
  <c r="BE186" i="67" s="1"/>
  <c r="BD187" i="67"/>
  <c r="BE187" i="67" s="1"/>
  <c r="BD188" i="67"/>
  <c r="BE188" i="67"/>
  <c r="BD189" i="67"/>
  <c r="BE189" i="67" s="1"/>
  <c r="BD190" i="67"/>
  <c r="BE190" i="67" s="1"/>
  <c r="BD191" i="67"/>
  <c r="BE191" i="67"/>
  <c r="BD192" i="67"/>
  <c r="BE192" i="67"/>
  <c r="BD193" i="67"/>
  <c r="BE193" i="67" s="1"/>
  <c r="BD194" i="67"/>
  <c r="BE194" i="67"/>
  <c r="BD195" i="67"/>
  <c r="BE195" i="67" s="1"/>
  <c r="BD196" i="67"/>
  <c r="BE196" i="67" s="1"/>
  <c r="BD197" i="67"/>
  <c r="BE197" i="67"/>
  <c r="BD198" i="67"/>
  <c r="BE198" i="67"/>
  <c r="BD199" i="67"/>
  <c r="BE199" i="67" s="1"/>
  <c r="BD200" i="67"/>
  <c r="BE200" i="67"/>
  <c r="BD201" i="67"/>
  <c r="BE201" i="67" s="1"/>
  <c r="BD202" i="67"/>
  <c r="BE202" i="67" s="1"/>
  <c r="BD203" i="67"/>
  <c r="BE203" i="67"/>
  <c r="BD204" i="67"/>
  <c r="BE204" i="67"/>
  <c r="BD205" i="67"/>
  <c r="BE205" i="67" s="1"/>
  <c r="BD206" i="67"/>
  <c r="BE206" i="67"/>
  <c r="BD207" i="67"/>
  <c r="BE207" i="67" s="1"/>
  <c r="BD208" i="67"/>
  <c r="BE208" i="67" s="1"/>
  <c r="BD209" i="67"/>
  <c r="BE209" i="67"/>
  <c r="BD210" i="67"/>
  <c r="BE210" i="67"/>
  <c r="BD211" i="67"/>
  <c r="BE211" i="67" s="1"/>
  <c r="BD212" i="67"/>
  <c r="BE212" i="67"/>
  <c r="BD213" i="67"/>
  <c r="BE213" i="67" s="1"/>
  <c r="BD214" i="67"/>
  <c r="BE214" i="67" s="1"/>
  <c r="BD215" i="67"/>
  <c r="BE215" i="67"/>
  <c r="BD216" i="67"/>
  <c r="BE216" i="67"/>
  <c r="BD217" i="67"/>
  <c r="BE217" i="67" s="1"/>
  <c r="BD218" i="67"/>
  <c r="BE218" i="67"/>
  <c r="BD219" i="67"/>
  <c r="BE219" i="67" s="1"/>
  <c r="BD220" i="67"/>
  <c r="BE220" i="67" s="1"/>
  <c r="BD221" i="67"/>
  <c r="BE221" i="67"/>
  <c r="BD222" i="67"/>
  <c r="BE222" i="67"/>
  <c r="BD223" i="67"/>
  <c r="BE223" i="67" s="1"/>
  <c r="BD224" i="67"/>
  <c r="BE224" i="67"/>
  <c r="BD225" i="67"/>
  <c r="BE225" i="67" s="1"/>
  <c r="BD226" i="67"/>
  <c r="BE226" i="67" s="1"/>
  <c r="BD227" i="67"/>
  <c r="BE227" i="67"/>
  <c r="BD228" i="67"/>
  <c r="BE228" i="67"/>
  <c r="BD229" i="67"/>
  <c r="BE229" i="67" s="1"/>
  <c r="BD230" i="67"/>
  <c r="BE230" i="67"/>
  <c r="BD231" i="67"/>
  <c r="BE231" i="67" s="1"/>
  <c r="BD232" i="67"/>
  <c r="BE232" i="67" s="1"/>
  <c r="BD233" i="67"/>
  <c r="BE233" i="67"/>
  <c r="BD234" i="67"/>
  <c r="BE234" i="67"/>
  <c r="BD235" i="67"/>
  <c r="BE235" i="67" s="1"/>
  <c r="BD236" i="67"/>
  <c r="BE236" i="67"/>
  <c r="BD237" i="67"/>
  <c r="BE237" i="67" s="1"/>
  <c r="BD238" i="67"/>
  <c r="BE238" i="67" s="1"/>
  <c r="BD239" i="67"/>
  <c r="BE239" i="67"/>
  <c r="BD240" i="67"/>
  <c r="BE240" i="67"/>
  <c r="BD241" i="67"/>
  <c r="BE241" i="67" s="1"/>
  <c r="BD242" i="67"/>
  <c r="BE242" i="67"/>
  <c r="BD243" i="67"/>
  <c r="BE243" i="67" s="1"/>
  <c r="BD244" i="67"/>
  <c r="BE244" i="67" s="1"/>
  <c r="BD245" i="67"/>
  <c r="BE245" i="67"/>
  <c r="BD246" i="67"/>
  <c r="BE246" i="67"/>
  <c r="BD247" i="67"/>
  <c r="BE247" i="67" s="1"/>
  <c r="BD248" i="67"/>
  <c r="BE248" i="67"/>
  <c r="BD249" i="67"/>
  <c r="BE249" i="67" s="1"/>
  <c r="BD250" i="67"/>
  <c r="BE250" i="67" s="1"/>
  <c r="BD251" i="67"/>
  <c r="BE251" i="67"/>
  <c r="BD252" i="67"/>
  <c r="BE252" i="67"/>
  <c r="BD253" i="67"/>
  <c r="BE253" i="67" s="1"/>
  <c r="BD254" i="67"/>
  <c r="BE254" i="67"/>
  <c r="BD255" i="67"/>
  <c r="BE255" i="67" s="1"/>
  <c r="BD256" i="67"/>
  <c r="BE256" i="67" s="1"/>
  <c r="BD257" i="67"/>
  <c r="BE257" i="67"/>
  <c r="BD258" i="67"/>
  <c r="BE258" i="67" s="1"/>
  <c r="BD259" i="67"/>
  <c r="BE259" i="67" s="1"/>
  <c r="BD260" i="67"/>
  <c r="BE260" i="67"/>
  <c r="BD261" i="67"/>
  <c r="BE261" i="67" s="1"/>
  <c r="BD262" i="67"/>
  <c r="BE262" i="67" s="1"/>
  <c r="BD263" i="67"/>
  <c r="BE263" i="67"/>
  <c r="BD264" i="67"/>
  <c r="BE264" i="67" s="1"/>
  <c r="BD265" i="67"/>
  <c r="BE265" i="67" s="1"/>
  <c r="BD266" i="67"/>
  <c r="BE266" i="67"/>
  <c r="BD267" i="67"/>
  <c r="BE267" i="67" s="1"/>
  <c r="BD268" i="67"/>
  <c r="BE268" i="67" s="1"/>
  <c r="BD269" i="67"/>
  <c r="BE269" i="67"/>
  <c r="BD270" i="67"/>
  <c r="BE270" i="67" s="1"/>
  <c r="BD271" i="67"/>
  <c r="BE271" i="67" s="1"/>
  <c r="BD272" i="67"/>
  <c r="BE272" i="67"/>
  <c r="BD273" i="67"/>
  <c r="BE273" i="67" s="1"/>
  <c r="BD274" i="67"/>
  <c r="BE274" i="67" s="1"/>
  <c r="BD275" i="67"/>
  <c r="BE275" i="67"/>
  <c r="BD276" i="67"/>
  <c r="BE276" i="67" s="1"/>
  <c r="BD277" i="67"/>
  <c r="BE277" i="67" s="1"/>
  <c r="BD278" i="67"/>
  <c r="BE278" i="67"/>
  <c r="BD279" i="67"/>
  <c r="BE279" i="67" s="1"/>
  <c r="BD280" i="67"/>
  <c r="BE280" i="67" s="1"/>
  <c r="BD281" i="67"/>
  <c r="BE281" i="67"/>
  <c r="BD282" i="67"/>
  <c r="BE282" i="67" s="1"/>
  <c r="BD283" i="67"/>
  <c r="BE283" i="67" s="1"/>
  <c r="BD284" i="67"/>
  <c r="BE284" i="67"/>
  <c r="BD285" i="67"/>
  <c r="BE285" i="67" s="1"/>
  <c r="BD286" i="67"/>
  <c r="BE286" i="67" s="1"/>
  <c r="BD287" i="67"/>
  <c r="BE287" i="67"/>
  <c r="BD288" i="67"/>
  <c r="BE288" i="67" s="1"/>
  <c r="BD289" i="67"/>
  <c r="BE289" i="67" s="1"/>
  <c r="BD290" i="67"/>
  <c r="BE290" i="67"/>
  <c r="BD291" i="67"/>
  <c r="BE291" i="67" s="1"/>
  <c r="BD292" i="67"/>
  <c r="BE292" i="67" s="1"/>
  <c r="BD293" i="67"/>
  <c r="BE293" i="67"/>
  <c r="BD294" i="67"/>
  <c r="BE294" i="67" s="1"/>
  <c r="BD295" i="67"/>
  <c r="BE295" i="67" s="1"/>
  <c r="BD296" i="67"/>
  <c r="BE296" i="67"/>
  <c r="BD297" i="67"/>
  <c r="BE297" i="67" s="1"/>
  <c r="BD298" i="67"/>
  <c r="BE298" i="67" s="1"/>
  <c r="BD299" i="67"/>
  <c r="BE299" i="67"/>
  <c r="BD300" i="67"/>
  <c r="BE300" i="67" s="1"/>
  <c r="BD301" i="67"/>
  <c r="BE301" i="67" s="1"/>
  <c r="BD302" i="67"/>
  <c r="BE302" i="67"/>
  <c r="BD303" i="67"/>
  <c r="BE303" i="67" s="1"/>
  <c r="BD304" i="67"/>
  <c r="BE304" i="67" s="1"/>
  <c r="BD305" i="67"/>
  <c r="BE305" i="67"/>
  <c r="BD306" i="67"/>
  <c r="BE306" i="67" s="1"/>
  <c r="BD307" i="67"/>
  <c r="BE307" i="67" s="1"/>
  <c r="BD308" i="67"/>
  <c r="BE308" i="67"/>
  <c r="BD309" i="67"/>
  <c r="BE309" i="67" s="1"/>
  <c r="BD310" i="67"/>
  <c r="BE310" i="67" s="1"/>
  <c r="BD311" i="67"/>
  <c r="BE311" i="67"/>
  <c r="BD312" i="67"/>
  <c r="BE312" i="67" s="1"/>
  <c r="BD313" i="67"/>
  <c r="BE313" i="67" s="1"/>
  <c r="BD314" i="67"/>
  <c r="BE314" i="67"/>
  <c r="BD315" i="67"/>
  <c r="BE315" i="67" s="1"/>
  <c r="BD316" i="67"/>
  <c r="BE316" i="67" s="1"/>
  <c r="BD317" i="67"/>
  <c r="BE317" i="67"/>
  <c r="BD318" i="67"/>
  <c r="BE318" i="67" s="1"/>
  <c r="BD319" i="67"/>
  <c r="BE319" i="67" s="1"/>
  <c r="BD320" i="67"/>
  <c r="BE320" i="67"/>
  <c r="BD321" i="67"/>
  <c r="BE321" i="67" s="1"/>
  <c r="BD322" i="67"/>
  <c r="BE322" i="67" s="1"/>
  <c r="BD323" i="67"/>
  <c r="BE323" i="67"/>
  <c r="BD324" i="67"/>
  <c r="BE324" i="67" s="1"/>
  <c r="BD325" i="67"/>
  <c r="BE325" i="67" s="1"/>
  <c r="BD326" i="67"/>
  <c r="BE326" i="67"/>
  <c r="BD327" i="67"/>
  <c r="BE327" i="67" s="1"/>
  <c r="BD328" i="67"/>
  <c r="BE328" i="67" s="1"/>
  <c r="BD329" i="67"/>
  <c r="BE329" i="67"/>
  <c r="BD330" i="67"/>
  <c r="BE330" i="67" s="1"/>
  <c r="BD331" i="67"/>
  <c r="BE331" i="67" s="1"/>
  <c r="BD332" i="67"/>
  <c r="BE332" i="67"/>
  <c r="BD333" i="67"/>
  <c r="BE333" i="67" s="1"/>
  <c r="BD334" i="67"/>
  <c r="BE334" i="67" s="1"/>
  <c r="BD335" i="67"/>
  <c r="BE335" i="67"/>
  <c r="BD336" i="67"/>
  <c r="BE336" i="67" s="1"/>
  <c r="BD337" i="67"/>
  <c r="BE337" i="67" s="1"/>
  <c r="BD338" i="67"/>
  <c r="BE338" i="67"/>
  <c r="BD339" i="67"/>
  <c r="BE339" i="67" s="1"/>
  <c r="BD340" i="67"/>
  <c r="BE340" i="67" s="1"/>
  <c r="BD341" i="67"/>
  <c r="BE341" i="67"/>
  <c r="BD342" i="67"/>
  <c r="BE342" i="67" s="1"/>
  <c r="BD343" i="67"/>
  <c r="BE343" i="67" s="1"/>
  <c r="BD344" i="67"/>
  <c r="BE344" i="67"/>
  <c r="BD345" i="67"/>
  <c r="BE345" i="67" s="1"/>
  <c r="BD346" i="67"/>
  <c r="BE346" i="67" s="1"/>
  <c r="BD347" i="67"/>
  <c r="BE347" i="67"/>
  <c r="BD348" i="67"/>
  <c r="BE348" i="67" s="1"/>
  <c r="BD349" i="67"/>
  <c r="BE349" i="67" s="1"/>
  <c r="BD350" i="67"/>
  <c r="BE350" i="67"/>
  <c r="BD351" i="67"/>
  <c r="BE351" i="67" s="1"/>
  <c r="BD352" i="67"/>
  <c r="BE352" i="67" s="1"/>
  <c r="BD353" i="67"/>
  <c r="BE353" i="67"/>
  <c r="BD354" i="67"/>
  <c r="BE354" i="67" s="1"/>
  <c r="BD355" i="67"/>
  <c r="BE355" i="67" s="1"/>
  <c r="BD356" i="67"/>
  <c r="BE356" i="67"/>
  <c r="BD357" i="67"/>
  <c r="BE357" i="67" s="1"/>
  <c r="BD358" i="67"/>
  <c r="BE358" i="67" s="1"/>
  <c r="BD359" i="67"/>
  <c r="BE359" i="67"/>
  <c r="BD360" i="67"/>
  <c r="BE360" i="67" s="1"/>
  <c r="BD361" i="67"/>
  <c r="BE361" i="67" s="1"/>
  <c r="BD362" i="67"/>
  <c r="BE362" i="67"/>
  <c r="BD363" i="67"/>
  <c r="BE363" i="67" s="1"/>
  <c r="BD364" i="67"/>
  <c r="BE364" i="67" s="1"/>
  <c r="BD365" i="67"/>
  <c r="BE365" i="67"/>
  <c r="BD366" i="67"/>
  <c r="BE366" i="67" s="1"/>
  <c r="BD367" i="67"/>
  <c r="BE367" i="67" s="1"/>
  <c r="BD368" i="67"/>
  <c r="BE368" i="67"/>
  <c r="BD369" i="67"/>
  <c r="BE369" i="67" s="1"/>
  <c r="BD370" i="67"/>
  <c r="BE370" i="67" s="1"/>
  <c r="BD371" i="67"/>
  <c r="BE371" i="67"/>
  <c r="BD372" i="67"/>
  <c r="BE372" i="67" s="1"/>
  <c r="BD373" i="67"/>
  <c r="BE373" i="67" s="1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 s="1"/>
  <c r="AV185" i="67"/>
  <c r="AW185" i="67" s="1"/>
  <c r="AV186" i="67"/>
  <c r="AW186" i="67"/>
  <c r="AV187" i="67"/>
  <c r="AW187" i="67" s="1"/>
  <c r="AV188" i="67"/>
  <c r="AW188" i="67" s="1"/>
  <c r="AV189" i="67"/>
  <c r="AW189" i="67"/>
  <c r="AV190" i="67"/>
  <c r="AW190" i="67" s="1"/>
  <c r="AV191" i="67"/>
  <c r="AW191" i="67" s="1"/>
  <c r="AV192" i="67"/>
  <c r="AW192" i="67"/>
  <c r="AV193" i="67"/>
  <c r="AW193" i="67" s="1"/>
  <c r="AV194" i="67"/>
  <c r="AW194" i="67" s="1"/>
  <c r="AV195" i="67"/>
  <c r="AW195" i="67"/>
  <c r="AV196" i="67"/>
  <c r="AW196" i="67" s="1"/>
  <c r="AV197" i="67"/>
  <c r="AW197" i="67" s="1"/>
  <c r="AV198" i="67"/>
  <c r="AW198" i="67"/>
  <c r="AV199" i="67"/>
  <c r="AW199" i="67" s="1"/>
  <c r="AV200" i="67"/>
  <c r="AW200" i="67" s="1"/>
  <c r="AV201" i="67"/>
  <c r="AW201" i="67"/>
  <c r="AV202" i="67"/>
  <c r="AW202" i="67" s="1"/>
  <c r="AV203" i="67"/>
  <c r="AW203" i="67" s="1"/>
  <c r="AV204" i="67"/>
  <c r="AW204" i="67" s="1"/>
  <c r="AV205" i="67"/>
  <c r="AW205" i="67"/>
  <c r="AV206" i="67"/>
  <c r="AW206" i="67"/>
  <c r="AV207" i="67"/>
  <c r="AW207" i="67"/>
  <c r="AV208" i="67"/>
  <c r="AW208" i="67" s="1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/>
  <c r="AL185" i="67"/>
  <c r="AM185" i="67" s="1"/>
  <c r="AL186" i="67"/>
  <c r="AM186" i="67" s="1"/>
  <c r="AL187" i="67"/>
  <c r="AM187" i="67"/>
  <c r="AL188" i="67"/>
  <c r="AM188" i="67" s="1"/>
  <c r="AL189" i="67"/>
  <c r="AM189" i="67" s="1"/>
  <c r="AL190" i="67"/>
  <c r="AM190" i="67"/>
  <c r="AL191" i="67"/>
  <c r="AM191" i="67" s="1"/>
  <c r="AL192" i="67"/>
  <c r="AM192" i="67" s="1"/>
  <c r="AL193" i="67"/>
  <c r="AM193" i="67"/>
  <c r="AL194" i="67"/>
  <c r="AM194" i="67" s="1"/>
  <c r="AL195" i="67"/>
  <c r="AM195" i="67" s="1"/>
  <c r="AL196" i="67"/>
  <c r="AM196" i="67"/>
  <c r="AL197" i="67"/>
  <c r="AM197" i="67" s="1"/>
  <c r="AL198" i="67"/>
  <c r="AM198" i="67" s="1"/>
  <c r="AL199" i="67"/>
  <c r="AM199" i="67"/>
  <c r="AL200" i="67"/>
  <c r="AM200" i="67" s="1"/>
  <c r="AL201" i="67"/>
  <c r="AM201" i="67" s="1"/>
  <c r="AL202" i="67"/>
  <c r="AM202" i="67"/>
  <c r="AL203" i="67"/>
  <c r="AM203" i="67" s="1"/>
  <c r="AL204" i="67"/>
  <c r="AM204" i="67" s="1"/>
  <c r="AL205" i="67"/>
  <c r="AM205" i="67"/>
  <c r="AL206" i="67"/>
  <c r="AM206" i="67" s="1"/>
  <c r="AL207" i="67"/>
  <c r="AM207" i="67" s="1"/>
  <c r="AL208" i="67"/>
  <c r="AM208" i="67"/>
  <c r="AL209" i="67"/>
  <c r="AM209" i="67" s="1"/>
  <c r="AL210" i="67"/>
  <c r="AM210" i="67" s="1"/>
  <c r="AL211" i="67"/>
  <c r="AM211" i="67"/>
  <c r="AL212" i="67"/>
  <c r="AM212" i="67" s="1"/>
  <c r="AL213" i="67"/>
  <c r="AM213" i="67" s="1"/>
  <c r="AL214" i="67"/>
  <c r="AM214" i="67"/>
  <c r="AL215" i="67"/>
  <c r="AM215" i="67" s="1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/>
  <c r="AD185" i="67"/>
  <c r="AE185" i="67" s="1"/>
  <c r="AD186" i="67"/>
  <c r="AE186" i="67" s="1"/>
  <c r="AD187" i="67"/>
  <c r="AE187" i="67"/>
  <c r="AD188" i="67"/>
  <c r="AE188" i="67" s="1"/>
  <c r="AD189" i="67"/>
  <c r="AE189" i="67" s="1"/>
  <c r="AD190" i="67"/>
  <c r="AE190" i="67"/>
  <c r="AD191" i="67"/>
  <c r="AE191" i="67" s="1"/>
  <c r="AD192" i="67"/>
  <c r="AE192" i="67" s="1"/>
  <c r="AD193" i="67"/>
  <c r="AE193" i="67"/>
  <c r="AD194" i="67"/>
  <c r="AE194" i="67" s="1"/>
  <c r="AD195" i="67"/>
  <c r="AE195" i="67" s="1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 s="1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 s="1"/>
  <c r="T184" i="67"/>
  <c r="U184" i="67" s="1"/>
  <c r="T185" i="67"/>
  <c r="U185" i="67"/>
  <c r="T186" i="67"/>
  <c r="U186" i="67" s="1"/>
  <c r="T187" i="67"/>
  <c r="U187" i="67" s="1"/>
  <c r="T188" i="67"/>
  <c r="U188" i="67"/>
  <c r="T189" i="67"/>
  <c r="U189" i="67" s="1"/>
  <c r="T190" i="67"/>
  <c r="U190" i="67" s="1"/>
  <c r="T191" i="67"/>
  <c r="U191" i="67"/>
  <c r="T192" i="67"/>
  <c r="U192" i="67" s="1"/>
  <c r="T193" i="67"/>
  <c r="U193" i="67" s="1"/>
  <c r="T194" i="67"/>
  <c r="U194" i="67"/>
  <c r="T195" i="67"/>
  <c r="U195" i="67" s="1"/>
  <c r="T196" i="67"/>
  <c r="U196" i="67" s="1"/>
  <c r="T197" i="67"/>
  <c r="U197" i="67"/>
  <c r="T198" i="67"/>
  <c r="U198" i="67" s="1"/>
  <c r="T199" i="67"/>
  <c r="U199" i="67" s="1"/>
  <c r="T200" i="67"/>
  <c r="U200" i="67"/>
  <c r="T201" i="67"/>
  <c r="U201" i="67" s="1"/>
  <c r="T202" i="67"/>
  <c r="U202" i="67" s="1"/>
  <c r="T203" i="67"/>
  <c r="U203" i="67"/>
  <c r="T204" i="67"/>
  <c r="U204" i="67" s="1"/>
  <c r="T205" i="67"/>
  <c r="U205" i="67" s="1"/>
  <c r="T206" i="67"/>
  <c r="U206" i="67"/>
  <c r="T207" i="67"/>
  <c r="U207" i="67" s="1"/>
  <c r="T208" i="67"/>
  <c r="U208" i="67" s="1"/>
  <c r="T209" i="67"/>
  <c r="U209" i="67"/>
  <c r="T210" i="67"/>
  <c r="U210" i="67" s="1"/>
  <c r="T211" i="67"/>
  <c r="U211" i="67" s="1"/>
  <c r="T212" i="67"/>
  <c r="U212" i="67"/>
  <c r="T213" i="67"/>
  <c r="U213" i="67" s="1"/>
  <c r="T214" i="67"/>
  <c r="U214" i="67" s="1"/>
  <c r="T215" i="67"/>
  <c r="U215" i="67"/>
  <c r="T216" i="67"/>
  <c r="U216" i="67" s="1"/>
  <c r="T217" i="67"/>
  <c r="U217" i="67" s="1"/>
  <c r="T218" i="67"/>
  <c r="U218" i="67"/>
  <c r="T219" i="67"/>
  <c r="U219" i="67" s="1"/>
  <c r="T220" i="67"/>
  <c r="U220" i="67" s="1"/>
  <c r="T221" i="67"/>
  <c r="U221" i="67"/>
  <c r="T222" i="67"/>
  <c r="U222" i="67" s="1"/>
  <c r="T223" i="67"/>
  <c r="U223" i="67" s="1"/>
  <c r="T224" i="67"/>
  <c r="U224" i="67"/>
  <c r="T225" i="67"/>
  <c r="U225" i="67" s="1"/>
  <c r="T226" i="67"/>
  <c r="U226" i="67" s="1"/>
  <c r="T227" i="67"/>
  <c r="U227" i="67"/>
  <c r="T228" i="67"/>
  <c r="U228" i="67" s="1"/>
  <c r="T229" i="67"/>
  <c r="U229" i="67" s="1"/>
  <c r="T230" i="67"/>
  <c r="U230" i="67"/>
  <c r="T231" i="67"/>
  <c r="U231" i="67" s="1"/>
  <c r="T232" i="67"/>
  <c r="U232" i="67" s="1"/>
  <c r="T233" i="67"/>
  <c r="U233" i="67" s="1"/>
  <c r="T234" i="67"/>
  <c r="U234" i="67"/>
  <c r="T235" i="67"/>
  <c r="U235" i="67"/>
  <c r="T236" i="67"/>
  <c r="U236" i="67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 s="1"/>
  <c r="L185" i="67"/>
  <c r="M185" i="67" s="1"/>
  <c r="L186" i="67"/>
  <c r="M186" i="67"/>
  <c r="L187" i="67"/>
  <c r="M187" i="67" s="1"/>
  <c r="L188" i="67"/>
  <c r="M188" i="67" s="1"/>
  <c r="L189" i="67"/>
  <c r="M189" i="67"/>
  <c r="L190" i="67"/>
  <c r="M190" i="67" s="1"/>
  <c r="L191" i="67"/>
  <c r="M191" i="67" s="1"/>
  <c r="L192" i="67"/>
  <c r="M192" i="67"/>
  <c r="L193" i="67"/>
  <c r="M193" i="67" s="1"/>
  <c r="L194" i="67"/>
  <c r="M194" i="67" s="1"/>
  <c r="L195" i="67"/>
  <c r="M195" i="67"/>
  <c r="L196" i="67"/>
  <c r="M196" i="67" s="1"/>
  <c r="L197" i="67"/>
  <c r="M197" i="67" s="1"/>
  <c r="L198" i="67"/>
  <c r="M198" i="67"/>
  <c r="L199" i="67"/>
  <c r="M199" i="67" s="1"/>
  <c r="L200" i="67"/>
  <c r="M200" i="67" s="1"/>
  <c r="L201" i="67"/>
  <c r="M201" i="67"/>
  <c r="L202" i="67"/>
  <c r="M202" i="67" s="1"/>
  <c r="L203" i="67"/>
  <c r="M203" i="67" s="1"/>
  <c r="L204" i="67"/>
  <c r="M204" i="67"/>
  <c r="L205" i="67"/>
  <c r="M205" i="67" s="1"/>
  <c r="L206" i="67"/>
  <c r="M206" i="67" s="1"/>
  <c r="L207" i="67"/>
  <c r="M207" i="67"/>
  <c r="L208" i="67"/>
  <c r="M208" i="67" s="1"/>
  <c r="L209" i="67"/>
  <c r="M209" i="67" s="1"/>
  <c r="L210" i="67"/>
  <c r="M210" i="67"/>
  <c r="L211" i="67"/>
  <c r="M211" i="67" s="1"/>
  <c r="L212" i="67"/>
  <c r="M212" i="67" s="1"/>
  <c r="L213" i="67"/>
  <c r="M213" i="67"/>
  <c r="L214" i="67"/>
  <c r="M214" i="67" s="1"/>
  <c r="L215" i="67"/>
  <c r="M215" i="67" s="1"/>
  <c r="L216" i="67"/>
  <c r="M216" i="67"/>
  <c r="L217" i="67"/>
  <c r="M217" i="67" s="1"/>
  <c r="L218" i="67"/>
  <c r="M218" i="67" s="1"/>
  <c r="L219" i="67"/>
  <c r="M219" i="67"/>
  <c r="L220" i="67"/>
  <c r="M220" i="67" s="1"/>
  <c r="L221" i="67"/>
  <c r="M221" i="67" s="1"/>
  <c r="L222" i="67"/>
  <c r="M222" i="67"/>
  <c r="L223" i="67"/>
  <c r="M223" i="67" s="1"/>
  <c r="L224" i="67"/>
  <c r="M224" i="67" s="1"/>
  <c r="L225" i="67"/>
  <c r="M225" i="67"/>
  <c r="L226" i="67"/>
  <c r="M226" i="67" s="1"/>
  <c r="L227" i="67"/>
  <c r="M227" i="67" s="1"/>
  <c r="L228" i="67"/>
  <c r="M228" i="67"/>
  <c r="L229" i="67"/>
  <c r="M229" i="67" s="1"/>
  <c r="L230" i="67"/>
  <c r="M230" i="67" s="1"/>
  <c r="L231" i="67"/>
  <c r="M231" i="67"/>
  <c r="L232" i="67"/>
  <c r="M232" i="67" s="1"/>
  <c r="L233" i="67"/>
  <c r="M233" i="67" s="1"/>
  <c r="L234" i="67"/>
  <c r="M234" i="67"/>
  <c r="L235" i="67"/>
  <c r="M235" i="67" s="1"/>
  <c r="L236" i="67"/>
  <c r="M236" i="67" s="1"/>
  <c r="L237" i="67"/>
  <c r="M237" i="67"/>
  <c r="L238" i="67"/>
  <c r="M238" i="67" s="1"/>
  <c r="L239" i="67"/>
  <c r="M239" i="67" s="1"/>
  <c r="L240" i="67"/>
  <c r="M240" i="67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G11" i="67"/>
  <c r="EY11" i="67"/>
  <c r="EZ11" i="67" s="1"/>
  <c r="EZ9" i="67" s="1"/>
  <c r="EP11" i="67"/>
  <c r="EQ11" i="67" s="1"/>
  <c r="EQ9" i="67" s="1"/>
  <c r="EI11" i="67"/>
  <c r="EI9" i="67" s="1"/>
  <c r="EH11" i="67"/>
  <c r="DX11" i="67"/>
  <c r="DP11" i="67"/>
  <c r="DQ11" i="67" s="1"/>
  <c r="DQ9" i="67" s="1"/>
  <c r="DG11" i="67"/>
  <c r="DG9" i="67" s="1"/>
  <c r="DF11" i="67"/>
  <c r="CX11" i="67"/>
  <c r="CN11" i="67"/>
  <c r="CO11" i="67" s="1"/>
  <c r="CO9" i="67" s="1"/>
  <c r="CO7" i="67" s="1"/>
  <c r="CG11" i="67"/>
  <c r="CG9" i="67" s="1"/>
  <c r="CF11" i="67"/>
  <c r="BV11" i="67"/>
  <c r="BW11" i="67" s="1"/>
  <c r="BO11" i="67"/>
  <c r="BN11" i="67"/>
  <c r="BD11" i="67"/>
  <c r="BE11" i="67" s="1"/>
  <c r="AV11" i="67"/>
  <c r="AW11" i="67" s="1"/>
  <c r="AL11" i="67"/>
  <c r="AM11" i="67" s="1"/>
  <c r="AD11" i="67"/>
  <c r="AE11" i="67" s="1"/>
  <c r="U11" i="67"/>
  <c r="T11" i="67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/>
  <c r="CX7" i="67"/>
  <c r="CN7" i="67"/>
  <c r="CM7" i="67" s="1"/>
  <c r="CF7" i="67"/>
  <c r="CE7" i="67" s="1"/>
  <c r="BV7" i="67"/>
  <c r="BU7" i="67" s="1"/>
  <c r="BN7" i="67"/>
  <c r="BD7" i="67"/>
  <c r="AV7" i="67"/>
  <c r="AU7" i="67" s="1"/>
  <c r="AL7" i="67"/>
  <c r="AD7" i="67"/>
  <c r="L7" i="67"/>
  <c r="K7" i="67" s="1"/>
  <c r="FG6" i="67"/>
  <c r="FF6" i="67" s="1"/>
  <c r="EY6" i="67"/>
  <c r="EX6" i="67" s="1"/>
  <c r="EP6" i="67"/>
  <c r="EH6" i="67"/>
  <c r="EG6" i="67" s="1"/>
  <c r="DX6" i="67"/>
  <c r="DW6" i="67" s="1"/>
  <c r="DP6" i="67"/>
  <c r="DO6" i="67" s="1"/>
  <c r="DF6" i="67"/>
  <c r="CX6" i="67"/>
  <c r="CW6" i="67" s="1"/>
  <c r="CN6" i="67"/>
  <c r="CM6" i="67" s="1"/>
  <c r="CF6" i="67"/>
  <c r="CE6" i="67" s="1"/>
  <c r="BV6" i="67"/>
  <c r="BN6" i="67"/>
  <c r="BD6" i="67"/>
  <c r="AV6" i="67"/>
  <c r="AL6" i="67"/>
  <c r="AD6" i="67"/>
  <c r="T6" i="67"/>
  <c r="L6" i="67"/>
  <c r="FH5" i="67"/>
  <c r="CO5" i="67"/>
  <c r="FD4" i="67"/>
  <c r="FF4" i="67" s="1"/>
  <c r="EV4" i="67"/>
  <c r="EX4" i="67" s="1"/>
  <c r="EO4" i="67"/>
  <c r="EM4" i="67"/>
  <c r="DC4" i="67"/>
  <c r="DE4" i="67" s="1"/>
  <c r="CK4" i="67"/>
  <c r="CM4" i="67" s="1"/>
  <c r="CC4" i="67"/>
  <c r="CE4" i="67" s="1"/>
  <c r="BS4" i="67"/>
  <c r="BU4" i="67" s="1"/>
  <c r="BK4" i="67"/>
  <c r="BM4" i="67" s="1"/>
  <c r="AS4" i="67"/>
  <c r="AU4" i="67" s="1"/>
  <c r="AA4" i="67"/>
  <c r="AC4" i="67" s="1"/>
  <c r="FF3" i="67"/>
  <c r="FD3" i="67"/>
  <c r="EV3" i="67"/>
  <c r="EM3" i="67"/>
  <c r="DM3" i="67"/>
  <c r="DC3" i="67"/>
  <c r="CU3" i="67"/>
  <c r="CO3" i="67"/>
  <c r="CM3" i="67"/>
  <c r="CK3" i="67"/>
  <c r="CG3" i="67"/>
  <c r="CC3" i="67"/>
  <c r="AS3" i="67"/>
  <c r="A5" i="63" a="1"/>
  <c r="EI7" i="67" l="1"/>
  <c r="EI3" i="67"/>
  <c r="EI5" i="67"/>
  <c r="DE3" i="67"/>
  <c r="DC6" i="67" s="1"/>
  <c r="A22" i="67" s="1"/>
  <c r="S7" i="67"/>
  <c r="DQ7" i="67"/>
  <c r="DQ5" i="67"/>
  <c r="DQ3" i="67"/>
  <c r="BO23" i="67"/>
  <c r="BK3" i="67"/>
  <c r="BM3" i="67" s="1"/>
  <c r="BK6" i="67" s="1"/>
  <c r="EE4" i="67"/>
  <c r="EG4" i="67" s="1"/>
  <c r="EE3" i="67"/>
  <c r="BW13" i="67"/>
  <c r="BS3" i="67"/>
  <c r="DU3" i="67"/>
  <c r="DY11" i="67"/>
  <c r="DY9" i="67" s="1"/>
  <c r="S6" i="67"/>
  <c r="AE18" i="67"/>
  <c r="AA3" i="67"/>
  <c r="Q3" i="67"/>
  <c r="S3" i="67" s="1"/>
  <c r="O4" i="67" s="1"/>
  <c r="DU4" i="67"/>
  <c r="DW4" i="67" s="1"/>
  <c r="AC6" i="67"/>
  <c r="EZ7" i="67"/>
  <c r="EZ5" i="67"/>
  <c r="EZ3" i="67"/>
  <c r="EO3" i="67"/>
  <c r="EM6" i="67" s="1"/>
  <c r="DX9" i="67"/>
  <c r="I3" i="67"/>
  <c r="K3" i="67" s="1"/>
  <c r="CG7" i="67"/>
  <c r="CG5" i="67"/>
  <c r="FH7" i="67"/>
  <c r="FH3" i="67"/>
  <c r="AU6" i="67"/>
  <c r="AQ2" i="67" s="1"/>
  <c r="CY11" i="67"/>
  <c r="CY9" i="67" s="1"/>
  <c r="CU4" i="67"/>
  <c r="CW4" i="67" s="1"/>
  <c r="BM6" i="67"/>
  <c r="Y4" i="68"/>
  <c r="DG7" i="67"/>
  <c r="DG5" i="67"/>
  <c r="DG3" i="67"/>
  <c r="AM14" i="67"/>
  <c r="AI3" i="67"/>
  <c r="CW7" i="67"/>
  <c r="EH4" i="68"/>
  <c r="EH2" i="68" s="1"/>
  <c r="EE9" i="68" s="1"/>
  <c r="E25" i="68" s="1"/>
  <c r="AC7" i="67"/>
  <c r="Y2" i="67" s="1"/>
  <c r="FD6" i="67"/>
  <c r="AK7" i="67"/>
  <c r="BC7" i="67"/>
  <c r="AE9" i="67"/>
  <c r="BC6" i="67"/>
  <c r="Q4" i="67"/>
  <c r="S4" i="67" s="1"/>
  <c r="DM4" i="67"/>
  <c r="DO4" i="67" s="1"/>
  <c r="BM7" i="67"/>
  <c r="CU6" i="68"/>
  <c r="A21" i="68" s="1"/>
  <c r="CW3" i="68"/>
  <c r="BE9" i="67"/>
  <c r="DM6" i="68"/>
  <c r="DP4" i="68" s="1"/>
  <c r="DP2" i="68" s="1"/>
  <c r="DM9" i="68" s="1"/>
  <c r="E23" i="68" s="1"/>
  <c r="DO3" i="68"/>
  <c r="CK6" i="67"/>
  <c r="A20" i="67" s="1"/>
  <c r="C20" i="69"/>
  <c r="CN2" i="69"/>
  <c r="D20" i="69" s="1"/>
  <c r="C17" i="69"/>
  <c r="C19" i="69"/>
  <c r="BN2" i="69"/>
  <c r="D19" i="69"/>
  <c r="CC9" i="69"/>
  <c r="E19" i="69" s="1"/>
  <c r="C13" i="69"/>
  <c r="AD2" i="69"/>
  <c r="C18" i="69"/>
  <c r="BV2" i="69"/>
  <c r="D18" i="69" s="1"/>
  <c r="T4" i="69"/>
  <c r="BD4" i="69"/>
  <c r="C11" i="69"/>
  <c r="L2" i="69"/>
  <c r="C21" i="69"/>
  <c r="CX2" i="69"/>
  <c r="C15" i="69"/>
  <c r="AV2" i="69"/>
  <c r="C22" i="69"/>
  <c r="DF2" i="69"/>
  <c r="D22" i="69" s="1"/>
  <c r="AL4" i="69"/>
  <c r="BE7" i="68"/>
  <c r="BE3" i="68"/>
  <c r="AW7" i="68"/>
  <c r="AW5" i="68"/>
  <c r="AM7" i="68"/>
  <c r="AM5" i="68"/>
  <c r="AM3" i="68"/>
  <c r="AE7" i="68"/>
  <c r="AE3" i="68"/>
  <c r="AD4" i="68" s="1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CN4" i="68"/>
  <c r="AV4" i="68"/>
  <c r="A5" i="63"/>
  <c r="BW9" i="67"/>
  <c r="BU3" i="67"/>
  <c r="BS6" i="67" s="1"/>
  <c r="A18" i="67" s="1"/>
  <c r="BO9" i="67"/>
  <c r="BO7" i="67" s="1"/>
  <c r="BA3" i="67"/>
  <c r="BC3" i="67" s="1"/>
  <c r="BA4" i="67"/>
  <c r="BC4" i="67" s="1"/>
  <c r="AY2" i="67"/>
  <c r="AW9" i="67"/>
  <c r="AW7" i="67" s="1"/>
  <c r="AM9" i="67"/>
  <c r="AM7" i="67" s="1"/>
  <c r="AK3" i="67"/>
  <c r="AI4" i="67"/>
  <c r="AK4" i="67" s="1"/>
  <c r="O2" i="67"/>
  <c r="U9" i="67"/>
  <c r="Q6" i="67"/>
  <c r="A12" i="67" s="1"/>
  <c r="T9" i="67"/>
  <c r="B12" i="67" s="1"/>
  <c r="M9" i="67"/>
  <c r="M7" i="67" s="1"/>
  <c r="M5" i="67"/>
  <c r="I4" i="67"/>
  <c r="K4" i="67" s="1"/>
  <c r="K6" i="67"/>
  <c r="AE7" i="67"/>
  <c r="AE5" i="67"/>
  <c r="AE3" i="67"/>
  <c r="EQ7" i="67"/>
  <c r="EQ5" i="67"/>
  <c r="EQ3" i="67"/>
  <c r="CU6" i="67"/>
  <c r="A21" i="67" s="1"/>
  <c r="BD9" i="67"/>
  <c r="B16" i="67" s="1"/>
  <c r="CF9" i="67"/>
  <c r="B19" i="67" s="1"/>
  <c r="EY9" i="67"/>
  <c r="AC3" i="67"/>
  <c r="AA6" i="67" s="1"/>
  <c r="A13" i="67" s="1"/>
  <c r="AU3" i="67"/>
  <c r="AQ4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X3" i="67"/>
  <c r="EV6" i="67" s="1"/>
  <c r="EY4" i="67" s="1"/>
  <c r="EY2" i="67" s="1"/>
  <c r="EV9" i="67" s="1"/>
  <c r="AK6" i="67"/>
  <c r="AG2" i="67" s="1"/>
  <c r="BN9" i="67"/>
  <c r="B17" i="67" s="1"/>
  <c r="BU6" i="67"/>
  <c r="BV9" i="67" s="1"/>
  <c r="B18" i="67" s="1"/>
  <c r="CX9" i="67"/>
  <c r="B21" i="67" s="1"/>
  <c r="DE6" i="67"/>
  <c r="DF9" i="67" s="1"/>
  <c r="B22" i="67" s="1"/>
  <c r="EH9" i="67"/>
  <c r="EO6" i="67"/>
  <c r="EP9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/>
  <c r="BD100" i="66"/>
  <c r="BE100" i="66"/>
  <c r="BD101" i="66"/>
  <c r="BE101" i="66" s="1"/>
  <c r="BD102" i="66"/>
  <c r="BE102" i="66"/>
  <c r="BD103" i="66"/>
  <c r="BE103" i="66" s="1"/>
  <c r="BD104" i="66"/>
  <c r="BE104" i="66"/>
  <c r="BD105" i="66"/>
  <c r="BE105" i="66"/>
  <c r="BD106" i="66"/>
  <c r="BE106" i="66" s="1"/>
  <c r="BD107" i="66"/>
  <c r="BE107" i="66"/>
  <c r="BD108" i="66"/>
  <c r="BE108" i="66" s="1"/>
  <c r="BD109" i="66"/>
  <c r="BE109" i="66"/>
  <c r="BD110" i="66"/>
  <c r="BE110" i="66"/>
  <c r="BD111" i="66"/>
  <c r="BE111" i="66"/>
  <c r="BD112" i="66"/>
  <c r="BE112" i="66" s="1"/>
  <c r="BD113" i="66"/>
  <c r="BE113" i="66" s="1"/>
  <c r="BD114" i="66"/>
  <c r="BE114" i="66" s="1"/>
  <c r="BD115" i="66"/>
  <c r="BE115" i="66"/>
  <c r="BD116" i="66"/>
  <c r="BE116" i="66"/>
  <c r="BD117" i="66"/>
  <c r="BE117" i="66"/>
  <c r="BD118" i="66"/>
  <c r="BE118" i="66" s="1"/>
  <c r="BD119" i="66"/>
  <c r="BE119" i="66"/>
  <c r="BD120" i="66"/>
  <c r="BE120" i="66" s="1"/>
  <c r="BD121" i="66"/>
  <c r="BE121" i="66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 s="1"/>
  <c r="AV15" i="66"/>
  <c r="AW15" i="66" s="1"/>
  <c r="AV16" i="66"/>
  <c r="AW16" i="66" s="1"/>
  <c r="AV17" i="66"/>
  <c r="AW17" i="66"/>
  <c r="AV18" i="66"/>
  <c r="AW18" i="66"/>
  <c r="AV19" i="66"/>
  <c r="AW19" i="66"/>
  <c r="AV20" i="66"/>
  <c r="AW20" i="66"/>
  <c r="AV21" i="66"/>
  <c r="AW21" i="66" s="1"/>
  <c r="AV22" i="66"/>
  <c r="AW22" i="66" s="1"/>
  <c r="AV23" i="66"/>
  <c r="AW23" i="66"/>
  <c r="AV24" i="66"/>
  <c r="AW24" i="66"/>
  <c r="AV25" i="66"/>
  <c r="AW25" i="66"/>
  <c r="AV26" i="66"/>
  <c r="AW26" i="66"/>
  <c r="AV27" i="66"/>
  <c r="AW27" i="66" s="1"/>
  <c r="AV28" i="66"/>
  <c r="AW28" i="66" s="1"/>
  <c r="AV29" i="66"/>
  <c r="AW29" i="66"/>
  <c r="AV30" i="66"/>
  <c r="AW30" i="66"/>
  <c r="AV31" i="66"/>
  <c r="AW31" i="66"/>
  <c r="AV32" i="66"/>
  <c r="AW32" i="66" s="1"/>
  <c r="AV33" i="66"/>
  <c r="AW33" i="66" s="1"/>
  <c r="AV34" i="66"/>
  <c r="AW34" i="66" s="1"/>
  <c r="AV35" i="66"/>
  <c r="AW35" i="66"/>
  <c r="AV36" i="66"/>
  <c r="AW36" i="66"/>
  <c r="AV37" i="66"/>
  <c r="AW37" i="66"/>
  <c r="AV38" i="66"/>
  <c r="AW38" i="66"/>
  <c r="AV39" i="66"/>
  <c r="AW39" i="66" s="1"/>
  <c r="AV40" i="66"/>
  <c r="AW40" i="66" s="1"/>
  <c r="AV41" i="66"/>
  <c r="AW41" i="66"/>
  <c r="AV42" i="66"/>
  <c r="AW42" i="66"/>
  <c r="AV43" i="66"/>
  <c r="AW43" i="66"/>
  <c r="AV44" i="66"/>
  <c r="AW44" i="66" s="1"/>
  <c r="AV45" i="66"/>
  <c r="AW45" i="66" s="1"/>
  <c r="AV46" i="66"/>
  <c r="AW46" i="66" s="1"/>
  <c r="AV47" i="66"/>
  <c r="AW47" i="66"/>
  <c r="AV48" i="66"/>
  <c r="AW48" i="66"/>
  <c r="AV49" i="66"/>
  <c r="AW49" i="66"/>
  <c r="AV50" i="66"/>
  <c r="AW50" i="66" s="1"/>
  <c r="AV51" i="66"/>
  <c r="AW51" i="66" s="1"/>
  <c r="AV52" i="66"/>
  <c r="AW52" i="66" s="1"/>
  <c r="AV53" i="66"/>
  <c r="AW53" i="66"/>
  <c r="AV54" i="66"/>
  <c r="AW54" i="66"/>
  <c r="AV55" i="66"/>
  <c r="AW55" i="66"/>
  <c r="AV56" i="66"/>
  <c r="AW56" i="66"/>
  <c r="AV57" i="66"/>
  <c r="AW57" i="66" s="1"/>
  <c r="AV58" i="66"/>
  <c r="AW58" i="66" s="1"/>
  <c r="AV59" i="66"/>
  <c r="AW59" i="66"/>
  <c r="AV60" i="66"/>
  <c r="AW60" i="66"/>
  <c r="AV61" i="66"/>
  <c r="AW61" i="66"/>
  <c r="AV62" i="66"/>
  <c r="AW62" i="66"/>
  <c r="AV63" i="66"/>
  <c r="AW63" i="66" s="1"/>
  <c r="AV64" i="66"/>
  <c r="AW64" i="66" s="1"/>
  <c r="AV65" i="66"/>
  <c r="AW65" i="66"/>
  <c r="AV66" i="66"/>
  <c r="AW66" i="66"/>
  <c r="AV67" i="66"/>
  <c r="AW67" i="66"/>
  <c r="AV68" i="66"/>
  <c r="AW68" i="66" s="1"/>
  <c r="AV69" i="66"/>
  <c r="AW69" i="66" s="1"/>
  <c r="AV70" i="66"/>
  <c r="AW70" i="66" s="1"/>
  <c r="AV71" i="66"/>
  <c r="AW71" i="66"/>
  <c r="AV72" i="66"/>
  <c r="AW72" i="66"/>
  <c r="AV73" i="66"/>
  <c r="AW73" i="66"/>
  <c r="AV74" i="66"/>
  <c r="AW74" i="66"/>
  <c r="AV75" i="66"/>
  <c r="AW75" i="66" s="1"/>
  <c r="AV76" i="66"/>
  <c r="AW76" i="66" s="1"/>
  <c r="AV77" i="66"/>
  <c r="AW77" i="66"/>
  <c r="AV78" i="66"/>
  <c r="AW78" i="66"/>
  <c r="AV79" i="66"/>
  <c r="AW79" i="66"/>
  <c r="AV80" i="66"/>
  <c r="AW80" i="66" s="1"/>
  <c r="AV81" i="66"/>
  <c r="AW81" i="66" s="1"/>
  <c r="AV82" i="66"/>
  <c r="AW82" i="66" s="1"/>
  <c r="AV83" i="66"/>
  <c r="AW83" i="66"/>
  <c r="AV84" i="66"/>
  <c r="AW84" i="66"/>
  <c r="AV85" i="66"/>
  <c r="AW85" i="66"/>
  <c r="AV86" i="66"/>
  <c r="AW86" i="66" s="1"/>
  <c r="AV87" i="66"/>
  <c r="AW87" i="66" s="1"/>
  <c r="AV88" i="66"/>
  <c r="AW88" i="66" s="1"/>
  <c r="AV89" i="66"/>
  <c r="AW89" i="66"/>
  <c r="AV90" i="66"/>
  <c r="AW90" i="66"/>
  <c r="AV91" i="66"/>
  <c r="AW91" i="66"/>
  <c r="AV92" i="66"/>
  <c r="AW92" i="66"/>
  <c r="AV93" i="66"/>
  <c r="AW93" i="66" s="1"/>
  <c r="AV94" i="66"/>
  <c r="AW94" i="66" s="1"/>
  <c r="AV95" i="66"/>
  <c r="AW95" i="66"/>
  <c r="AV96" i="66"/>
  <c r="AW96" i="66"/>
  <c r="AV97" i="66"/>
  <c r="AW97" i="66"/>
  <c r="AV98" i="66"/>
  <c r="AW98" i="66"/>
  <c r="AV99" i="66"/>
  <c r="AW99" i="66" s="1"/>
  <c r="AV100" i="66"/>
  <c r="AW100" i="66" s="1"/>
  <c r="AV101" i="66"/>
  <c r="AW101" i="66"/>
  <c r="AV102" i="66"/>
  <c r="AW102" i="66" s="1"/>
  <c r="AV103" i="66"/>
  <c r="AW103" i="66"/>
  <c r="AV104" i="66"/>
  <c r="AW104" i="66" s="1"/>
  <c r="AV105" i="66"/>
  <c r="AW105" i="66" s="1"/>
  <c r="AV106" i="66"/>
  <c r="AW106" i="66" s="1"/>
  <c r="AV107" i="66"/>
  <c r="AW107" i="66"/>
  <c r="AV108" i="66"/>
  <c r="AW108" i="66" s="1"/>
  <c r="AV109" i="66"/>
  <c r="AW109" i="66"/>
  <c r="AV110" i="66"/>
  <c r="AW110" i="66" s="1"/>
  <c r="AV111" i="66"/>
  <c r="AW111" i="66" s="1"/>
  <c r="AV112" i="66"/>
  <c r="AW112" i="66" s="1"/>
  <c r="AV113" i="66"/>
  <c r="AW113" i="66"/>
  <c r="AV114" i="66"/>
  <c r="AW114" i="66" s="1"/>
  <c r="AV115" i="66"/>
  <c r="AW115" i="66"/>
  <c r="AV116" i="66"/>
  <c r="AW116" i="66" s="1"/>
  <c r="AV117" i="66"/>
  <c r="AW117" i="66" s="1"/>
  <c r="AV118" i="66"/>
  <c r="AW118" i="66" s="1"/>
  <c r="AV119" i="66"/>
  <c r="AW119" i="66"/>
  <c r="AV120" i="66"/>
  <c r="AW120" i="66" s="1"/>
  <c r="AV121" i="66"/>
  <c r="AW121" i="66"/>
  <c r="AV122" i="66"/>
  <c r="AW122" i="66"/>
  <c r="AV123" i="66"/>
  <c r="AW123" i="66" s="1"/>
  <c r="AV124" i="66"/>
  <c r="AW124" i="66" s="1"/>
  <c r="AV125" i="66"/>
  <c r="AW125" i="66"/>
  <c r="AV126" i="66"/>
  <c r="AW126" i="66" s="1"/>
  <c r="AV127" i="66"/>
  <c r="AW127" i="66"/>
  <c r="AV128" i="66"/>
  <c r="AW128" i="66" s="1"/>
  <c r="AV129" i="66"/>
  <c r="AW129" i="66" s="1"/>
  <c r="AV130" i="66"/>
  <c r="AW130" i="66" s="1"/>
  <c r="AV131" i="66"/>
  <c r="AW131" i="66"/>
  <c r="AV132" i="66"/>
  <c r="AW132" i="66" s="1"/>
  <c r="AV133" i="66"/>
  <c r="AW133" i="66"/>
  <c r="AV134" i="66"/>
  <c r="AW134" i="66" s="1"/>
  <c r="AV135" i="66"/>
  <c r="AW135" i="66" s="1"/>
  <c r="AV136" i="66"/>
  <c r="AW136" i="66" s="1"/>
  <c r="AV137" i="66"/>
  <c r="AW137" i="66"/>
  <c r="AV138" i="66"/>
  <c r="AW138" i="66" s="1"/>
  <c r="AV139" i="66"/>
  <c r="AW139" i="66"/>
  <c r="AV140" i="66"/>
  <c r="AW140" i="66" s="1"/>
  <c r="AV141" i="66"/>
  <c r="AW141" i="66" s="1"/>
  <c r="AV142" i="66"/>
  <c r="AW142" i="66" s="1"/>
  <c r="AV143" i="66"/>
  <c r="AW143" i="66"/>
  <c r="AV144" i="66"/>
  <c r="AW144" i="66" s="1"/>
  <c r="AV145" i="66"/>
  <c r="AW145" i="66"/>
  <c r="AV146" i="66"/>
  <c r="AW146" i="66" s="1"/>
  <c r="AV147" i="66"/>
  <c r="AW147" i="66" s="1"/>
  <c r="AV148" i="66"/>
  <c r="AW148" i="66" s="1"/>
  <c r="AV149" i="66"/>
  <c r="AW149" i="66"/>
  <c r="AV150" i="66"/>
  <c r="AW150" i="66" s="1"/>
  <c r="AV151" i="66"/>
  <c r="AW151" i="66"/>
  <c r="AV152" i="66"/>
  <c r="AW152" i="66" s="1"/>
  <c r="AV153" i="66"/>
  <c r="AW153" i="66" s="1"/>
  <c r="AV154" i="66"/>
  <c r="AW154" i="66" s="1"/>
  <c r="AV155" i="66"/>
  <c r="AW155" i="66"/>
  <c r="AV156" i="66"/>
  <c r="AW156" i="66" s="1"/>
  <c r="AV157" i="66"/>
  <c r="AW157" i="66"/>
  <c r="AV158" i="66"/>
  <c r="AW158" i="66" s="1"/>
  <c r="AV159" i="66"/>
  <c r="AW159" i="66" s="1"/>
  <c r="AV160" i="66"/>
  <c r="AW160" i="66" s="1"/>
  <c r="AV161" i="66"/>
  <c r="AW161" i="66"/>
  <c r="AV162" i="66"/>
  <c r="AW162" i="66" s="1"/>
  <c r="AV163" i="66"/>
  <c r="AW163" i="66"/>
  <c r="AV164" i="66"/>
  <c r="AW164" i="66" s="1"/>
  <c r="AV165" i="66"/>
  <c r="AW165" i="66" s="1"/>
  <c r="AV166" i="66"/>
  <c r="AW166" i="66" s="1"/>
  <c r="AV167" i="66"/>
  <c r="AW167" i="66"/>
  <c r="AV168" i="66"/>
  <c r="AW168" i="66" s="1"/>
  <c r="AV169" i="66"/>
  <c r="AW169" i="66"/>
  <c r="AV170" i="66"/>
  <c r="AW170" i="66" s="1"/>
  <c r="AV171" i="66"/>
  <c r="AW171" i="66" s="1"/>
  <c r="AV172" i="66"/>
  <c r="AW172" i="66" s="1"/>
  <c r="AV173" i="66"/>
  <c r="AW173" i="66"/>
  <c r="AV174" i="66"/>
  <c r="AW174" i="66" s="1"/>
  <c r="AV175" i="66"/>
  <c r="AW175" i="66"/>
  <c r="AV176" i="66"/>
  <c r="AW176" i="66" s="1"/>
  <c r="AV177" i="66"/>
  <c r="AW177" i="66" s="1"/>
  <c r="AV178" i="66"/>
  <c r="AW178" i="66" s="1"/>
  <c r="AV179" i="66"/>
  <c r="AW179" i="66"/>
  <c r="AV180" i="66"/>
  <c r="AW180" i="66" s="1"/>
  <c r="AV181" i="66"/>
  <c r="AW181" i="66"/>
  <c r="AV182" i="66"/>
  <c r="AW182" i="66" s="1"/>
  <c r="AV183" i="66"/>
  <c r="AW183" i="66" s="1"/>
  <c r="AV184" i="66"/>
  <c r="AW184" i="66" s="1"/>
  <c r="AV185" i="66"/>
  <c r="AW185" i="66"/>
  <c r="AV186" i="66"/>
  <c r="AW186" i="66" s="1"/>
  <c r="AV187" i="66"/>
  <c r="AW187" i="66"/>
  <c r="AV188" i="66"/>
  <c r="AW188" i="66" s="1"/>
  <c r="AV189" i="66"/>
  <c r="AW189" i="66" s="1"/>
  <c r="AV190" i="66"/>
  <c r="AW190" i="66" s="1"/>
  <c r="AV191" i="66"/>
  <c r="AW191" i="66"/>
  <c r="AV192" i="66"/>
  <c r="AW192" i="66" s="1"/>
  <c r="AV193" i="66"/>
  <c r="AW193" i="66"/>
  <c r="AV194" i="66"/>
  <c r="AW194" i="66" s="1"/>
  <c r="AV195" i="66"/>
  <c r="AW195" i="66" s="1"/>
  <c r="AV196" i="66"/>
  <c r="AW196" i="66" s="1"/>
  <c r="AV197" i="66"/>
  <c r="AW197" i="66"/>
  <c r="AV198" i="66"/>
  <c r="AW198" i="66" s="1"/>
  <c r="AV199" i="66"/>
  <c r="AW199" i="66"/>
  <c r="AV200" i="66"/>
  <c r="AW200" i="66" s="1"/>
  <c r="AV201" i="66"/>
  <c r="AW201" i="66" s="1"/>
  <c r="AV202" i="66"/>
  <c r="AW202" i="66" s="1"/>
  <c r="AV203" i="66"/>
  <c r="AW203" i="66"/>
  <c r="AV204" i="66"/>
  <c r="AW204" i="66" s="1"/>
  <c r="AV205" i="66"/>
  <c r="AW205" i="66"/>
  <c r="AV206" i="66"/>
  <c r="AW206" i="66" s="1"/>
  <c r="AV207" i="66"/>
  <c r="AW207" i="66" s="1"/>
  <c r="AV208" i="66"/>
  <c r="AW208" i="66" s="1"/>
  <c r="AV209" i="66"/>
  <c r="AW209" i="66"/>
  <c r="AV210" i="66"/>
  <c r="AW210" i="66" s="1"/>
  <c r="AV211" i="66"/>
  <c r="AW211" i="66"/>
  <c r="AV212" i="66"/>
  <c r="AW212" i="66" s="1"/>
  <c r="AV213" i="66"/>
  <c r="AW213" i="66" s="1"/>
  <c r="AV214" i="66"/>
  <c r="AW214" i="66" s="1"/>
  <c r="AV215" i="66"/>
  <c r="AW215" i="66"/>
  <c r="AV216" i="66"/>
  <c r="AW216" i="66" s="1"/>
  <c r="AV217" i="66"/>
  <c r="AW217" i="66"/>
  <c r="AV218" i="66"/>
  <c r="AW218" i="66" s="1"/>
  <c r="AV219" i="66"/>
  <c r="AW219" i="66" s="1"/>
  <c r="AV220" i="66"/>
  <c r="AW220" i="66" s="1"/>
  <c r="AV221" i="66"/>
  <c r="AW221" i="66"/>
  <c r="AV222" i="66"/>
  <c r="AW222" i="66" s="1"/>
  <c r="AV223" i="66"/>
  <c r="AW223" i="66"/>
  <c r="AV224" i="66"/>
  <c r="AW224" i="66" s="1"/>
  <c r="AV225" i="66"/>
  <c r="AW225" i="66" s="1"/>
  <c r="AV226" i="66"/>
  <c r="AW226" i="66" s="1"/>
  <c r="AV227" i="66"/>
  <c r="AW227" i="66"/>
  <c r="AV228" i="66"/>
  <c r="AW228" i="66" s="1"/>
  <c r="AV229" i="66"/>
  <c r="AW229" i="66"/>
  <c r="AV230" i="66"/>
  <c r="AW230" i="66" s="1"/>
  <c r="AV231" i="66"/>
  <c r="AW231" i="66" s="1"/>
  <c r="AV232" i="66"/>
  <c r="AW232" i="66" s="1"/>
  <c r="AV233" i="66"/>
  <c r="AW233" i="66"/>
  <c r="AV234" i="66"/>
  <c r="AW234" i="66" s="1"/>
  <c r="AV235" i="66"/>
  <c r="AW235" i="66"/>
  <c r="AV236" i="66"/>
  <c r="AW236" i="66" s="1"/>
  <c r="AV237" i="66"/>
  <c r="AW237" i="66" s="1"/>
  <c r="AV238" i="66"/>
  <c r="AW238" i="66" s="1"/>
  <c r="AV239" i="66"/>
  <c r="AW239" i="66"/>
  <c r="AV240" i="66"/>
  <c r="AW240" i="66" s="1"/>
  <c r="AV241" i="66"/>
  <c r="AW241" i="66"/>
  <c r="AV242" i="66"/>
  <c r="AW242" i="66" s="1"/>
  <c r="AV243" i="66"/>
  <c r="AW243" i="66" s="1"/>
  <c r="AV244" i="66"/>
  <c r="AW244" i="66" s="1"/>
  <c r="AV245" i="66"/>
  <c r="AW245" i="66"/>
  <c r="AV246" i="66"/>
  <c r="AW246" i="66" s="1"/>
  <c r="AV247" i="66"/>
  <c r="AW247" i="66"/>
  <c r="AV248" i="66"/>
  <c r="AW248" i="66" s="1"/>
  <c r="AV249" i="66"/>
  <c r="AW249" i="66" s="1"/>
  <c r="AV250" i="66"/>
  <c r="AW250" i="66" s="1"/>
  <c r="AV251" i="66"/>
  <c r="AW251" i="66"/>
  <c r="AV252" i="66"/>
  <c r="AW252" i="66" s="1"/>
  <c r="AV253" i="66"/>
  <c r="AW253" i="66"/>
  <c r="AV254" i="66"/>
  <c r="AW254" i="66" s="1"/>
  <c r="AV255" i="66"/>
  <c r="AW255" i="66" s="1"/>
  <c r="AV256" i="66"/>
  <c r="AW256" i="66" s="1"/>
  <c r="AV257" i="66"/>
  <c r="AW257" i="66"/>
  <c r="AV258" i="66"/>
  <c r="AW258" i="66" s="1"/>
  <c r="AV259" i="66"/>
  <c r="AW259" i="66"/>
  <c r="AV260" i="66"/>
  <c r="AW260" i="66" s="1"/>
  <c r="AV261" i="66"/>
  <c r="AW261" i="66" s="1"/>
  <c r="AV262" i="66"/>
  <c r="AW262" i="66" s="1"/>
  <c r="AV263" i="66"/>
  <c r="AW263" i="66"/>
  <c r="AV264" i="66"/>
  <c r="AW264" i="66" s="1"/>
  <c r="AV265" i="66"/>
  <c r="AW265" i="66"/>
  <c r="AV266" i="66"/>
  <c r="AW266" i="66" s="1"/>
  <c r="AV267" i="66"/>
  <c r="AW267" i="66" s="1"/>
  <c r="AV268" i="66"/>
  <c r="AW268" i="66" s="1"/>
  <c r="AV269" i="66"/>
  <c r="AW269" i="66"/>
  <c r="AV270" i="66"/>
  <c r="AW270" i="66" s="1"/>
  <c r="AV271" i="66"/>
  <c r="AW271" i="66"/>
  <c r="AV272" i="66"/>
  <c r="AW272" i="66" s="1"/>
  <c r="AV273" i="66"/>
  <c r="AW273" i="66" s="1"/>
  <c r="AV274" i="66"/>
  <c r="AW274" i="66" s="1"/>
  <c r="AV275" i="66"/>
  <c r="AW275" i="66"/>
  <c r="AV276" i="66"/>
  <c r="AW276" i="66" s="1"/>
  <c r="AV277" i="66"/>
  <c r="AW277" i="66"/>
  <c r="AV278" i="66"/>
  <c r="AW278" i="66" s="1"/>
  <c r="AV279" i="66"/>
  <c r="AW279" i="66" s="1"/>
  <c r="AV280" i="66"/>
  <c r="AW280" i="66" s="1"/>
  <c r="AV281" i="66"/>
  <c r="AW281" i="66"/>
  <c r="AV282" i="66"/>
  <c r="AW282" i="66" s="1"/>
  <c r="AV283" i="66"/>
  <c r="AW283" i="66"/>
  <c r="AV284" i="66"/>
  <c r="AW284" i="66" s="1"/>
  <c r="AV285" i="66"/>
  <c r="AW285" i="66" s="1"/>
  <c r="AV286" i="66"/>
  <c r="AW286" i="66" s="1"/>
  <c r="AV287" i="66"/>
  <c r="AW287" i="66"/>
  <c r="AV288" i="66"/>
  <c r="AW288" i="66" s="1"/>
  <c r="AV289" i="66"/>
  <c r="AW289" i="66"/>
  <c r="AV290" i="66"/>
  <c r="AW290" i="66" s="1"/>
  <c r="AV291" i="66"/>
  <c r="AW291" i="66" s="1"/>
  <c r="AV292" i="66"/>
  <c r="AW292" i="66" s="1"/>
  <c r="AV293" i="66"/>
  <c r="AW293" i="66"/>
  <c r="AV294" i="66"/>
  <c r="AW294" i="66" s="1"/>
  <c r="AV295" i="66"/>
  <c r="AW295" i="66"/>
  <c r="AV296" i="66"/>
  <c r="AW296" i="66" s="1"/>
  <c r="AV297" i="66"/>
  <c r="AW297" i="66" s="1"/>
  <c r="AV298" i="66"/>
  <c r="AW298" i="66" s="1"/>
  <c r="AV299" i="66"/>
  <c r="AW299" i="66"/>
  <c r="AV300" i="66"/>
  <c r="AW300" i="66" s="1"/>
  <c r="AV301" i="66"/>
  <c r="AW301" i="66"/>
  <c r="AV302" i="66"/>
  <c r="AW302" i="66" s="1"/>
  <c r="AV303" i="66"/>
  <c r="AW303" i="66" s="1"/>
  <c r="AV304" i="66"/>
  <c r="AW304" i="66" s="1"/>
  <c r="AV305" i="66"/>
  <c r="AW305" i="66"/>
  <c r="AV306" i="66"/>
  <c r="AW306" i="66" s="1"/>
  <c r="AV307" i="66"/>
  <c r="AW307" i="66"/>
  <c r="AV308" i="66"/>
  <c r="AW308" i="66" s="1"/>
  <c r="AV309" i="66"/>
  <c r="AW309" i="66" s="1"/>
  <c r="AV310" i="66"/>
  <c r="AW310" i="66" s="1"/>
  <c r="AV311" i="66"/>
  <c r="AW311" i="66"/>
  <c r="AV312" i="66"/>
  <c r="AW312" i="66" s="1"/>
  <c r="AV313" i="66"/>
  <c r="AW313" i="66"/>
  <c r="AV314" i="66"/>
  <c r="AW314" i="66" s="1"/>
  <c r="AV315" i="66"/>
  <c r="AW315" i="66" s="1"/>
  <c r="AV316" i="66"/>
  <c r="AW316" i="66" s="1"/>
  <c r="AV317" i="66"/>
  <c r="AW317" i="66"/>
  <c r="AV318" i="66"/>
  <c r="AW318" i="66" s="1"/>
  <c r="AV319" i="66"/>
  <c r="AW319" i="66"/>
  <c r="AV320" i="66"/>
  <c r="AW320" i="66" s="1"/>
  <c r="AV321" i="66"/>
  <c r="AW321" i="66" s="1"/>
  <c r="AV322" i="66"/>
  <c r="AW322" i="66" s="1"/>
  <c r="AV323" i="66"/>
  <c r="AW323" i="66"/>
  <c r="AV324" i="66"/>
  <c r="AW324" i="66" s="1"/>
  <c r="AV325" i="66"/>
  <c r="AW325" i="66"/>
  <c r="AV326" i="66"/>
  <c r="AW326" i="66" s="1"/>
  <c r="AV327" i="66"/>
  <c r="AW327" i="66" s="1"/>
  <c r="AV328" i="66"/>
  <c r="AW328" i="66" s="1"/>
  <c r="AV329" i="66"/>
  <c r="AW329" i="66"/>
  <c r="AV330" i="66"/>
  <c r="AW330" i="66" s="1"/>
  <c r="AV331" i="66"/>
  <c r="AW331" i="66"/>
  <c r="AV332" i="66"/>
  <c r="AW332" i="66" s="1"/>
  <c r="AV333" i="66"/>
  <c r="AW333" i="66" s="1"/>
  <c r="AV334" i="66"/>
  <c r="AW334" i="66" s="1"/>
  <c r="AV335" i="66"/>
  <c r="AW335" i="66"/>
  <c r="AV336" i="66"/>
  <c r="AW336" i="66" s="1"/>
  <c r="AV337" i="66"/>
  <c r="AW337" i="66"/>
  <c r="AV338" i="66"/>
  <c r="AW338" i="66" s="1"/>
  <c r="AV339" i="66"/>
  <c r="AW339" i="66" s="1"/>
  <c r="AV340" i="66"/>
  <c r="AW340" i="66" s="1"/>
  <c r="AV341" i="66"/>
  <c r="AW341" i="66"/>
  <c r="AV342" i="66"/>
  <c r="AW342" i="66" s="1"/>
  <c r="AV343" i="66"/>
  <c r="AW343" i="66"/>
  <c r="AV344" i="66"/>
  <c r="AW344" i="66" s="1"/>
  <c r="AV345" i="66"/>
  <c r="AW345" i="66" s="1"/>
  <c r="AV346" i="66"/>
  <c r="AW346" i="66" s="1"/>
  <c r="AV347" i="66"/>
  <c r="AW347" i="66"/>
  <c r="AV348" i="66"/>
  <c r="AW348" i="66" s="1"/>
  <c r="AV349" i="66"/>
  <c r="AW349" i="66"/>
  <c r="AV350" i="66"/>
  <c r="AW350" i="66" s="1"/>
  <c r="AV351" i="66"/>
  <c r="AW351" i="66" s="1"/>
  <c r="AV352" i="66"/>
  <c r="AW352" i="66" s="1"/>
  <c r="AV353" i="66"/>
  <c r="AW353" i="66"/>
  <c r="AV354" i="66"/>
  <c r="AW354" i="66" s="1"/>
  <c r="AV355" i="66"/>
  <c r="AW355" i="66"/>
  <c r="AV356" i="66"/>
  <c r="AW356" i="66" s="1"/>
  <c r="AV357" i="66"/>
  <c r="AW357" i="66" s="1"/>
  <c r="AV358" i="66"/>
  <c r="AW358" i="66" s="1"/>
  <c r="AV359" i="66"/>
  <c r="AW359" i="66"/>
  <c r="AV360" i="66"/>
  <c r="AW360" i="66" s="1"/>
  <c r="AV361" i="66"/>
  <c r="AW361" i="66"/>
  <c r="AV362" i="66"/>
  <c r="AW362" i="66" s="1"/>
  <c r="AV363" i="66"/>
  <c r="AW363" i="66" s="1"/>
  <c r="AV364" i="66"/>
  <c r="AW364" i="66" s="1"/>
  <c r="AV365" i="66"/>
  <c r="AW365" i="66"/>
  <c r="AV366" i="66"/>
  <c r="AW366" i="66" s="1"/>
  <c r="AV367" i="66"/>
  <c r="AW367" i="66"/>
  <c r="AV368" i="66"/>
  <c r="AW368" i="66" s="1"/>
  <c r="AV369" i="66"/>
  <c r="AW369" i="66" s="1"/>
  <c r="AV370" i="66"/>
  <c r="AW370" i="66" s="1"/>
  <c r="AV371" i="66"/>
  <c r="AW371" i="66"/>
  <c r="AV372" i="66"/>
  <c r="AW372" i="66" s="1"/>
  <c r="AV373" i="66"/>
  <c r="AW373" i="66"/>
  <c r="AV374" i="66"/>
  <c r="AW374" i="66" s="1"/>
  <c r="AV375" i="66"/>
  <c r="AW375" i="66" s="1"/>
  <c r="AV376" i="66"/>
  <c r="AW376" i="66" s="1"/>
  <c r="AV377" i="66"/>
  <c r="AW377" i="66"/>
  <c r="AV378" i="66"/>
  <c r="AW378" i="66" s="1"/>
  <c r="AV379" i="66"/>
  <c r="AW379" i="66"/>
  <c r="AV380" i="66"/>
  <c r="AW380" i="66" s="1"/>
  <c r="AV381" i="66"/>
  <c r="AW381" i="66" s="1"/>
  <c r="AV382" i="66"/>
  <c r="AW382" i="66" s="1"/>
  <c r="AV383" i="66"/>
  <c r="AW383" i="66"/>
  <c r="AV384" i="66"/>
  <c r="AW384" i="66" s="1"/>
  <c r="AV385" i="66"/>
  <c r="AW385" i="66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/>
  <c r="AL184" i="66"/>
  <c r="AM184" i="66" s="1"/>
  <c r="AL185" i="66"/>
  <c r="AM185" i="66" s="1"/>
  <c r="AL186" i="66"/>
  <c r="AM186" i="66" s="1"/>
  <c r="AL187" i="66"/>
  <c r="AM187" i="66"/>
  <c r="AL188" i="66"/>
  <c r="AM188" i="66" s="1"/>
  <c r="AL189" i="66"/>
  <c r="AM189" i="66"/>
  <c r="AL190" i="66"/>
  <c r="AM190" i="66" s="1"/>
  <c r="AL191" i="66"/>
  <c r="AM191" i="66" s="1"/>
  <c r="AL192" i="66"/>
  <c r="AM192" i="66" s="1"/>
  <c r="AL193" i="66"/>
  <c r="AM193" i="66"/>
  <c r="AL194" i="66"/>
  <c r="AM194" i="66" s="1"/>
  <c r="AL195" i="66"/>
  <c r="AM195" i="66"/>
  <c r="AL196" i="66"/>
  <c r="AM196" i="66" s="1"/>
  <c r="AL197" i="66"/>
  <c r="AM197" i="66" s="1"/>
  <c r="AL198" i="66"/>
  <c r="AM198" i="66" s="1"/>
  <c r="AL199" i="66"/>
  <c r="AM199" i="66"/>
  <c r="AL200" i="66"/>
  <c r="AM200" i="66" s="1"/>
  <c r="AL201" i="66"/>
  <c r="AM201" i="66"/>
  <c r="AL202" i="66"/>
  <c r="AM202" i="66" s="1"/>
  <c r="AL203" i="66"/>
  <c r="AM203" i="66" s="1"/>
  <c r="AL204" i="66"/>
  <c r="AM204" i="66" s="1"/>
  <c r="AL205" i="66"/>
  <c r="AM205" i="66"/>
  <c r="AL206" i="66"/>
  <c r="AM206" i="66" s="1"/>
  <c r="AL207" i="66"/>
  <c r="AM207" i="66"/>
  <c r="AL208" i="66"/>
  <c r="AM208" i="66" s="1"/>
  <c r="AL209" i="66"/>
  <c r="AM209" i="66" s="1"/>
  <c r="AL210" i="66"/>
  <c r="AM210" i="66" s="1"/>
  <c r="AL211" i="66"/>
  <c r="AM211" i="66"/>
  <c r="AL212" i="66"/>
  <c r="AM212" i="66" s="1"/>
  <c r="AL213" i="66"/>
  <c r="AM213" i="66"/>
  <c r="AL214" i="66"/>
  <c r="AM214" i="66"/>
  <c r="AL215" i="66"/>
  <c r="AM215" i="66" s="1"/>
  <c r="AL216" i="66"/>
  <c r="AM216" i="66" s="1"/>
  <c r="AL217" i="66"/>
  <c r="AM217" i="66"/>
  <c r="AL218" i="66"/>
  <c r="AM218" i="66"/>
  <c r="AL219" i="66"/>
  <c r="AM219" i="66"/>
  <c r="AL220" i="66"/>
  <c r="AM220" i="66"/>
  <c r="AL221" i="66"/>
  <c r="AM221" i="66" s="1"/>
  <c r="AL222" i="66"/>
  <c r="AM222" i="66" s="1"/>
  <c r="AL223" i="66"/>
  <c r="AM223" i="66"/>
  <c r="AL224" i="66"/>
  <c r="AM224" i="66" s="1"/>
  <c r="AL225" i="66"/>
  <c r="AM225" i="66"/>
  <c r="AL226" i="66"/>
  <c r="AM226" i="66" s="1"/>
  <c r="AL227" i="66"/>
  <c r="AM227" i="66" s="1"/>
  <c r="AL228" i="66"/>
  <c r="AM228" i="66" s="1"/>
  <c r="AL229" i="66"/>
  <c r="AM229" i="66"/>
  <c r="AL230" i="66"/>
  <c r="AM230" i="66" s="1"/>
  <c r="AL231" i="66"/>
  <c r="AM231" i="66"/>
  <c r="AL232" i="66"/>
  <c r="AM232" i="66"/>
  <c r="AL233" i="66"/>
  <c r="AM233" i="66" s="1"/>
  <c r="AL234" i="66"/>
  <c r="AM234" i="66" s="1"/>
  <c r="AL235" i="66"/>
  <c r="AM235" i="66"/>
  <c r="AL236" i="66"/>
  <c r="AM236" i="66"/>
  <c r="AL237" i="66"/>
  <c r="AM237" i="66"/>
  <c r="AL238" i="66"/>
  <c r="AM238" i="66" s="1"/>
  <c r="AL239" i="66"/>
  <c r="AM239" i="66" s="1"/>
  <c r="AL240" i="66"/>
  <c r="AM240" i="66" s="1"/>
  <c r="AL241" i="66"/>
  <c r="AM241" i="66"/>
  <c r="AL242" i="66"/>
  <c r="AM242" i="66"/>
  <c r="AL243" i="66"/>
  <c r="AM243" i="66"/>
  <c r="AL244" i="66"/>
  <c r="AM244" i="66" s="1"/>
  <c r="AL245" i="66"/>
  <c r="AM245" i="66" s="1"/>
  <c r="AL246" i="66"/>
  <c r="AM246" i="66" s="1"/>
  <c r="AL247" i="66"/>
  <c r="AM247" i="66"/>
  <c r="AL248" i="66"/>
  <c r="AM248" i="66"/>
  <c r="AL249" i="66"/>
  <c r="AM249" i="66" s="1"/>
  <c r="AL250" i="66"/>
  <c r="AM250" i="66" s="1"/>
  <c r="AL251" i="66"/>
  <c r="AM251" i="66" s="1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 s="1"/>
  <c r="AL258" i="66"/>
  <c r="AM258" i="66" s="1"/>
  <c r="AL259" i="66"/>
  <c r="AM259" i="66" s="1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/>
  <c r="AD191" i="66"/>
  <c r="AE191" i="66" s="1"/>
  <c r="AD192" i="66"/>
  <c r="AE192" i="66"/>
  <c r="AD193" i="66"/>
  <c r="AE193" i="66" s="1"/>
  <c r="AD194" i="66"/>
  <c r="AE194" i="66"/>
  <c r="AD195" i="66"/>
  <c r="AE195" i="66"/>
  <c r="AD196" i="66"/>
  <c r="AE196" i="66"/>
  <c r="AD197" i="66"/>
  <c r="AE197" i="66"/>
  <c r="AD198" i="66"/>
  <c r="AE198" i="66" s="1"/>
  <c r="AD199" i="66"/>
  <c r="AE199" i="66" s="1"/>
  <c r="AD200" i="66"/>
  <c r="AE200" i="66"/>
  <c r="AD201" i="66"/>
  <c r="AE201" i="66" s="1"/>
  <c r="AD202" i="66"/>
  <c r="AE202" i="66"/>
  <c r="AD203" i="66"/>
  <c r="AE203" i="66" s="1"/>
  <c r="AD204" i="66"/>
  <c r="AE204" i="66" s="1"/>
  <c r="AD205" i="66"/>
  <c r="AE205" i="66" s="1"/>
  <c r="AD206" i="66"/>
  <c r="AE206" i="66" s="1"/>
  <c r="AD207" i="66"/>
  <c r="AE207" i="66"/>
  <c r="AD208" i="66"/>
  <c r="AE208" i="66"/>
  <c r="AD209" i="66"/>
  <c r="AE209" i="66"/>
  <c r="AD210" i="66"/>
  <c r="AE210" i="66"/>
  <c r="AD211" i="66"/>
  <c r="AE211" i="66" s="1"/>
  <c r="AD212" i="66"/>
  <c r="AE212" i="66"/>
  <c r="AD213" i="66"/>
  <c r="AE213" i="66"/>
  <c r="AD214" i="66"/>
  <c r="AE214" i="66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/>
  <c r="AD221" i="66"/>
  <c r="AE221" i="66"/>
  <c r="AD222" i="66"/>
  <c r="AE222" i="66"/>
  <c r="AD223" i="66"/>
  <c r="AE223" i="66" s="1"/>
  <c r="AD224" i="66"/>
  <c r="AE224" i="66" s="1"/>
  <c r="AD225" i="66"/>
  <c r="AE225" i="66"/>
  <c r="AD226" i="66"/>
  <c r="AE226" i="66"/>
  <c r="AD227" i="66"/>
  <c r="AE227" i="66" s="1"/>
  <c r="AD228" i="66"/>
  <c r="AE228" i="66" s="1"/>
  <c r="AD229" i="66"/>
  <c r="AE229" i="66" s="1"/>
  <c r="AD230" i="66"/>
  <c r="AE230" i="66" s="1"/>
  <c r="AD231" i="66"/>
  <c r="AE231" i="66"/>
  <c r="AD232" i="66"/>
  <c r="AE232" i="66"/>
  <c r="AD233" i="66"/>
  <c r="AE233" i="66" s="1"/>
  <c r="AD234" i="66"/>
  <c r="AE234" i="66" s="1"/>
  <c r="AD235" i="66"/>
  <c r="AE235" i="66" s="1"/>
  <c r="AD236" i="66"/>
  <c r="AE236" i="66" s="1"/>
  <c r="AD237" i="66"/>
  <c r="AE237" i="66"/>
  <c r="AD238" i="66"/>
  <c r="AE238" i="66"/>
  <c r="AD239" i="66"/>
  <c r="AE239" i="66" s="1"/>
  <c r="AD240" i="66"/>
  <c r="AE240" i="66" s="1"/>
  <c r="AD241" i="66"/>
  <c r="AE241" i="66" s="1"/>
  <c r="AD242" i="66"/>
  <c r="AE242" i="66" s="1"/>
  <c r="AD243" i="66"/>
  <c r="AE243" i="66"/>
  <c r="AD244" i="66"/>
  <c r="AE244" i="66"/>
  <c r="AD245" i="66"/>
  <c r="AE245" i="66" s="1"/>
  <c r="AD246" i="66"/>
  <c r="AE246" i="66" s="1"/>
  <c r="AD247" i="66"/>
  <c r="AE247" i="66" s="1"/>
  <c r="AD248" i="66"/>
  <c r="AE248" i="66" s="1"/>
  <c r="AD249" i="66"/>
  <c r="AE249" i="66"/>
  <c r="AD250" i="66"/>
  <c r="AE250" i="66"/>
  <c r="AD251" i="66"/>
  <c r="AE251" i="66" s="1"/>
  <c r="AD252" i="66"/>
  <c r="AE252" i="66"/>
  <c r="AD253" i="66"/>
  <c r="AE253" i="66" s="1"/>
  <c r="AD254" i="66"/>
  <c r="AE254" i="66" s="1"/>
  <c r="AD255" i="66"/>
  <c r="AE255" i="66"/>
  <c r="AD256" i="66"/>
  <c r="AE256" i="66"/>
  <c r="AD257" i="66"/>
  <c r="AE257" i="66" s="1"/>
  <c r="AD258" i="66"/>
  <c r="AE258" i="66"/>
  <c r="AD259" i="66"/>
  <c r="AE259" i="66" s="1"/>
  <c r="AD260" i="66"/>
  <c r="AE260" i="66" s="1"/>
  <c r="AD261" i="66"/>
  <c r="AE261" i="66"/>
  <c r="AD262" i="66"/>
  <c r="AE262" i="66"/>
  <c r="AD263" i="66"/>
  <c r="AE263" i="66" s="1"/>
  <c r="AD264" i="66"/>
  <c r="AE264" i="66"/>
  <c r="AD265" i="66"/>
  <c r="AE265" i="66" s="1"/>
  <c r="AD266" i="66"/>
  <c r="AE266" i="66" s="1"/>
  <c r="AD267" i="66"/>
  <c r="AE267" i="66"/>
  <c r="AD268" i="66"/>
  <c r="AE268" i="66"/>
  <c r="AD269" i="66"/>
  <c r="AE269" i="66" s="1"/>
  <c r="AD270" i="66"/>
  <c r="AE270" i="66"/>
  <c r="AD271" i="66"/>
  <c r="AE271" i="66" s="1"/>
  <c r="AD272" i="66"/>
  <c r="AE272" i="66" s="1"/>
  <c r="AD273" i="66"/>
  <c r="AE273" i="66"/>
  <c r="AD274" i="66"/>
  <c r="AE274" i="66"/>
  <c r="AD275" i="66"/>
  <c r="AE275" i="66" s="1"/>
  <c r="AD276" i="66"/>
  <c r="AE276" i="66"/>
  <c r="AD277" i="66"/>
  <c r="AE277" i="66" s="1"/>
  <c r="AD278" i="66"/>
  <c r="AE278" i="66" s="1"/>
  <c r="AD279" i="66"/>
  <c r="AE279" i="66"/>
  <c r="AD280" i="66"/>
  <c r="AE280" i="66"/>
  <c r="AD281" i="66"/>
  <c r="AE281" i="66" s="1"/>
  <c r="AD282" i="66"/>
  <c r="AE282" i="66"/>
  <c r="AD283" i="66"/>
  <c r="AE283" i="66" s="1"/>
  <c r="AD284" i="66"/>
  <c r="AE284" i="66" s="1"/>
  <c r="AD285" i="66"/>
  <c r="AE285" i="66"/>
  <c r="AD286" i="66"/>
  <c r="AE286" i="66"/>
  <c r="AD287" i="66"/>
  <c r="AE287" i="66" s="1"/>
  <c r="AD288" i="66"/>
  <c r="AE288" i="66"/>
  <c r="AD289" i="66"/>
  <c r="AE289" i="66" s="1"/>
  <c r="AD290" i="66"/>
  <c r="AE290" i="66" s="1"/>
  <c r="AD291" i="66"/>
  <c r="AE291" i="66"/>
  <c r="AD292" i="66"/>
  <c r="AE292" i="66"/>
  <c r="AD293" i="66"/>
  <c r="AE293" i="66" s="1"/>
  <c r="AD294" i="66"/>
  <c r="AE294" i="66"/>
  <c r="AD295" i="66"/>
  <c r="AE295" i="66" s="1"/>
  <c r="AD296" i="66"/>
  <c r="AE296" i="66" s="1"/>
  <c r="AD297" i="66"/>
  <c r="AE297" i="66"/>
  <c r="AD298" i="66"/>
  <c r="AE298" i="66"/>
  <c r="AD299" i="66"/>
  <c r="AE299" i="66" s="1"/>
  <c r="AD300" i="66"/>
  <c r="AE300" i="66"/>
  <c r="AD301" i="66"/>
  <c r="AE301" i="66" s="1"/>
  <c r="AD302" i="66"/>
  <c r="AE302" i="66" s="1"/>
  <c r="AD303" i="66"/>
  <c r="AE303" i="66"/>
  <c r="AD304" i="66"/>
  <c r="AE304" i="66"/>
  <c r="AD305" i="66"/>
  <c r="AE305" i="66" s="1"/>
  <c r="AD306" i="66"/>
  <c r="AE306" i="66"/>
  <c r="AD307" i="66"/>
  <c r="AE307" i="66" s="1"/>
  <c r="AD308" i="66"/>
  <c r="AE308" i="66" s="1"/>
  <c r="AD309" i="66"/>
  <c r="AE309" i="66"/>
  <c r="AD310" i="66"/>
  <c r="AE310" i="66"/>
  <c r="AD311" i="66"/>
  <c r="AE311" i="66" s="1"/>
  <c r="AD312" i="66"/>
  <c r="AE312" i="66"/>
  <c r="AD313" i="66"/>
  <c r="AE313" i="66" s="1"/>
  <c r="AD314" i="66"/>
  <c r="AE314" i="66" s="1"/>
  <c r="AD315" i="66"/>
  <c r="AE315" i="66"/>
  <c r="AD316" i="66"/>
  <c r="AE316" i="66"/>
  <c r="AD317" i="66"/>
  <c r="AE317" i="66" s="1"/>
  <c r="AD318" i="66"/>
  <c r="AE318" i="66"/>
  <c r="AD319" i="66"/>
  <c r="AE319" i="66" s="1"/>
  <c r="AD320" i="66"/>
  <c r="AE320" i="66" s="1"/>
  <c r="AD321" i="66"/>
  <c r="AE321" i="66"/>
  <c r="AD322" i="66"/>
  <c r="AE322" i="66"/>
  <c r="AD323" i="66"/>
  <c r="AE323" i="66" s="1"/>
  <c r="AD324" i="66"/>
  <c r="AE324" i="66"/>
  <c r="AD325" i="66"/>
  <c r="AE325" i="66" s="1"/>
  <c r="AD326" i="66"/>
  <c r="AE326" i="66" s="1"/>
  <c r="AD327" i="66"/>
  <c r="AE327" i="66"/>
  <c r="AD328" i="66"/>
  <c r="AE328" i="66"/>
  <c r="AD329" i="66"/>
  <c r="AE329" i="66" s="1"/>
  <c r="AD330" i="66"/>
  <c r="AE330" i="66"/>
  <c r="AD331" i="66"/>
  <c r="AE331" i="66" s="1"/>
  <c r="AD332" i="66"/>
  <c r="AE332" i="66" s="1"/>
  <c r="AD333" i="66"/>
  <c r="AE333" i="66"/>
  <c r="AD334" i="66"/>
  <c r="AE334" i="66"/>
  <c r="AD335" i="66"/>
  <c r="AE335" i="66" s="1"/>
  <c r="AD336" i="66"/>
  <c r="AE336" i="66"/>
  <c r="AD337" i="66"/>
  <c r="AE337" i="66" s="1"/>
  <c r="AD338" i="66"/>
  <c r="AE338" i="66" s="1"/>
  <c r="AD339" i="66"/>
  <c r="AE339" i="66"/>
  <c r="AD340" i="66"/>
  <c r="AE340" i="66"/>
  <c r="AD341" i="66"/>
  <c r="AE341" i="66" s="1"/>
  <c r="AD342" i="66"/>
  <c r="AE342" i="66"/>
  <c r="AD343" i="66"/>
  <c r="AE343" i="66" s="1"/>
  <c r="AD344" i="66"/>
  <c r="AE344" i="66" s="1"/>
  <c r="AD345" i="66"/>
  <c r="AE345" i="66"/>
  <c r="AD346" i="66"/>
  <c r="AE346" i="66"/>
  <c r="AD347" i="66"/>
  <c r="AE347" i="66" s="1"/>
  <c r="AD348" i="66"/>
  <c r="AE348" i="66"/>
  <c r="AD349" i="66"/>
  <c r="AE349" i="66" s="1"/>
  <c r="AD350" i="66"/>
  <c r="AE350" i="66" s="1"/>
  <c r="AD351" i="66"/>
  <c r="AE351" i="66"/>
  <c r="AD352" i="66"/>
  <c r="AE352" i="66"/>
  <c r="AD353" i="66"/>
  <c r="AE353" i="66" s="1"/>
  <c r="AD354" i="66"/>
  <c r="AE354" i="66"/>
  <c r="AD355" i="66"/>
  <c r="AE355" i="66" s="1"/>
  <c r="AD356" i="66"/>
  <c r="AE356" i="66" s="1"/>
  <c r="AD357" i="66"/>
  <c r="AE357" i="66"/>
  <c r="AD358" i="66"/>
  <c r="AE358" i="66"/>
  <c r="AD359" i="66"/>
  <c r="AE359" i="66" s="1"/>
  <c r="AD360" i="66"/>
  <c r="AE360" i="66"/>
  <c r="AD361" i="66"/>
  <c r="AE361" i="66" s="1"/>
  <c r="AD362" i="66"/>
  <c r="AE362" i="66" s="1"/>
  <c r="AD363" i="66"/>
  <c r="AE363" i="66"/>
  <c r="AD364" i="66"/>
  <c r="AE364" i="66"/>
  <c r="AD365" i="66"/>
  <c r="AE365" i="66" s="1"/>
  <c r="AD366" i="66"/>
  <c r="AE366" i="66"/>
  <c r="AD367" i="66"/>
  <c r="AE367" i="66" s="1"/>
  <c r="AD368" i="66"/>
  <c r="AE368" i="66" s="1"/>
  <c r="AD369" i="66"/>
  <c r="AE369" i="66"/>
  <c r="AD370" i="66"/>
  <c r="AE370" i="66"/>
  <c r="AD371" i="66"/>
  <c r="AE371" i="66" s="1"/>
  <c r="AD372" i="66"/>
  <c r="AE372" i="66"/>
  <c r="AD373" i="66"/>
  <c r="AE373" i="66" s="1"/>
  <c r="AD374" i="66"/>
  <c r="AE374" i="66" s="1"/>
  <c r="AD375" i="66"/>
  <c r="AE375" i="66"/>
  <c r="AD376" i="66"/>
  <c r="AE376" i="66"/>
  <c r="AD377" i="66"/>
  <c r="AE377" i="66" s="1"/>
  <c r="AD378" i="66"/>
  <c r="AE378" i="66"/>
  <c r="AD379" i="66"/>
  <c r="AE379" i="66" s="1"/>
  <c r="AD380" i="66"/>
  <c r="AE380" i="66" s="1"/>
  <c r="AD381" i="66"/>
  <c r="AE381" i="66"/>
  <c r="AD382" i="66"/>
  <c r="AE382" i="66"/>
  <c r="AD383" i="66"/>
  <c r="AE383" i="66" s="1"/>
  <c r="AD384" i="66"/>
  <c r="AE384" i="66"/>
  <c r="AD385" i="66"/>
  <c r="AE385" i="66" s="1"/>
  <c r="AD386" i="66"/>
  <c r="AE386" i="66" s="1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/>
  <c r="L354" i="66"/>
  <c r="M354" i="66" s="1"/>
  <c r="L355" i="66"/>
  <c r="M355" i="66"/>
  <c r="L356" i="66"/>
  <c r="M356" i="66"/>
  <c r="L357" i="66"/>
  <c r="M357" i="66" s="1"/>
  <c r="L358" i="66"/>
  <c r="M358" i="66" s="1"/>
  <c r="L359" i="66"/>
  <c r="M359" i="66"/>
  <c r="L360" i="66"/>
  <c r="M360" i="66" s="1"/>
  <c r="L361" i="66"/>
  <c r="M361" i="66"/>
  <c r="L362" i="66"/>
  <c r="M362" i="66"/>
  <c r="L363" i="66"/>
  <c r="M363" i="66" s="1"/>
  <c r="L364" i="66"/>
  <c r="M364" i="66" s="1"/>
  <c r="L365" i="66"/>
  <c r="M365" i="66"/>
  <c r="L366" i="66"/>
  <c r="M366" i="66" s="1"/>
  <c r="L367" i="66"/>
  <c r="M367" i="66"/>
  <c r="L368" i="66"/>
  <c r="M368" i="66"/>
  <c r="L369" i="66"/>
  <c r="M369" i="66" s="1"/>
  <c r="L370" i="66"/>
  <c r="M370" i="66" s="1"/>
  <c r="L371" i="66"/>
  <c r="M371" i="66"/>
  <c r="L372" i="66"/>
  <c r="M372" i="66" s="1"/>
  <c r="L373" i="66"/>
  <c r="M373" i="66"/>
  <c r="L374" i="66"/>
  <c r="M374" i="66"/>
  <c r="L375" i="66"/>
  <c r="M375" i="66" s="1"/>
  <c r="L376" i="66"/>
  <c r="M376" i="66" s="1"/>
  <c r="L377" i="66"/>
  <c r="M377" i="66"/>
  <c r="L378" i="66"/>
  <c r="M378" i="66" s="1"/>
  <c r="L379" i="66"/>
  <c r="M379" i="66"/>
  <c r="L380" i="66"/>
  <c r="M380" i="66"/>
  <c r="L381" i="66"/>
  <c r="M381" i="66" s="1"/>
  <c r="L382" i="66"/>
  <c r="M382" i="66" s="1"/>
  <c r="L383" i="66"/>
  <c r="M383" i="66"/>
  <c r="L384" i="66"/>
  <c r="M384" i="66" s="1"/>
  <c r="L385" i="66"/>
  <c r="M385" i="66" s="1"/>
  <c r="L386" i="66"/>
  <c r="M386" i="66" s="1"/>
  <c r="L387" i="66"/>
  <c r="M387" i="66" s="1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F7" i="66"/>
  <c r="CE7" i="66" s="1"/>
  <c r="BV7" i="66"/>
  <c r="BU7" i="66" s="1"/>
  <c r="BN7" i="66"/>
  <c r="BM7" i="66" s="1"/>
  <c r="BD7" i="66"/>
  <c r="BC7" i="66" s="1"/>
  <c r="AL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V6" i="66"/>
  <c r="AD6" i="66"/>
  <c r="T6" i="66"/>
  <c r="L6" i="66"/>
  <c r="FH5" i="66"/>
  <c r="EI5" i="66"/>
  <c r="DY5" i="66"/>
  <c r="DG5" i="66"/>
  <c r="CY5" i="66"/>
  <c r="CG5" i="66"/>
  <c r="BW5" i="66"/>
  <c r="BO5" i="66"/>
  <c r="FD4" i="66"/>
  <c r="FF4" i="66" s="1"/>
  <c r="EE4" i="66"/>
  <c r="EG4" i="66" s="1"/>
  <c r="DU4" i="66"/>
  <c r="DW4" i="66" s="1"/>
  <c r="DM4" i="66"/>
  <c r="DO4" i="66" s="1"/>
  <c r="CU4" i="66"/>
  <c r="CW4" i="66" s="1"/>
  <c r="CC4" i="66"/>
  <c r="CE4" i="66" s="1"/>
  <c r="BS4" i="66"/>
  <c r="BU4" i="66" s="1"/>
  <c r="BK4" i="66"/>
  <c r="BM4" i="66" s="1"/>
  <c r="BA4" i="66"/>
  <c r="BC4" i="66" s="1"/>
  <c r="AS4" i="66"/>
  <c r="AU4" i="66" s="1"/>
  <c r="I4" i="66"/>
  <c r="K4" i="66" s="1"/>
  <c r="FH3" i="66"/>
  <c r="FD3" i="66"/>
  <c r="EI3" i="66"/>
  <c r="EG3" i="66"/>
  <c r="EE3" i="66"/>
  <c r="DY3" i="66"/>
  <c r="DU3" i="66"/>
  <c r="DQ3" i="66"/>
  <c r="DM3" i="66"/>
  <c r="DG3" i="66"/>
  <c r="CY3" i="66"/>
  <c r="CW3" i="66"/>
  <c r="CU3" i="66"/>
  <c r="CG3" i="66"/>
  <c r="CE3" i="66"/>
  <c r="CC3" i="66"/>
  <c r="BW3" i="66"/>
  <c r="BS3" i="66"/>
  <c r="BO3" i="66"/>
  <c r="BK3" i="66"/>
  <c r="BM3" i="66" s="1"/>
  <c r="BA3" i="66"/>
  <c r="AS3" i="66"/>
  <c r="AU3" i="66" s="1"/>
  <c r="AA3" i="66"/>
  <c r="Q3" i="66"/>
  <c r="A4" i="63" a="1"/>
  <c r="Q4" i="66" l="1"/>
  <c r="S4" i="66" s="1"/>
  <c r="AI3" i="66"/>
  <c r="CK3" i="66"/>
  <c r="EE6" i="66"/>
  <c r="AA4" i="66"/>
  <c r="AC4" i="66" s="1"/>
  <c r="DC4" i="66"/>
  <c r="DE4" i="66" s="1"/>
  <c r="S6" i="66"/>
  <c r="CY7" i="67"/>
  <c r="CY5" i="67"/>
  <c r="CY3" i="67"/>
  <c r="AD9" i="67"/>
  <c r="B13" i="67" s="1"/>
  <c r="AW9" i="66"/>
  <c r="CO3" i="66"/>
  <c r="DF6" i="66"/>
  <c r="DE6" i="66" s="1"/>
  <c r="BE7" i="67"/>
  <c r="BE3" i="67"/>
  <c r="BE5" i="67"/>
  <c r="AI4" i="66"/>
  <c r="AK4" i="66" s="1"/>
  <c r="T7" i="66"/>
  <c r="S7" i="66" s="1"/>
  <c r="CU6" i="66"/>
  <c r="A21" i="66" s="1"/>
  <c r="CO5" i="66"/>
  <c r="AL6" i="66"/>
  <c r="AK6" i="66" s="1"/>
  <c r="AD7" i="66"/>
  <c r="AC7" i="66" s="1"/>
  <c r="K6" i="66"/>
  <c r="G2" i="66" s="1"/>
  <c r="EM3" i="66"/>
  <c r="AU6" i="66"/>
  <c r="AK7" i="66"/>
  <c r="BW7" i="67"/>
  <c r="BW5" i="67"/>
  <c r="BW3" i="67"/>
  <c r="BV4" i="67" s="1"/>
  <c r="AV7" i="66"/>
  <c r="AU7" i="66" s="1"/>
  <c r="EE6" i="67"/>
  <c r="EH4" i="67" s="1"/>
  <c r="EH2" i="67" s="1"/>
  <c r="EE9" i="67" s="1"/>
  <c r="E25" i="67" s="1"/>
  <c r="DC3" i="66"/>
  <c r="EV3" i="66"/>
  <c r="DQ5" i="66"/>
  <c r="EM4" i="66"/>
  <c r="EO4" i="66" s="1"/>
  <c r="EZ3" i="66"/>
  <c r="EV4" i="66"/>
  <c r="EX4" i="66" s="1"/>
  <c r="AV9" i="67"/>
  <c r="B15" i="67" s="1"/>
  <c r="AM5" i="67"/>
  <c r="DO3" i="66"/>
  <c r="DM6" i="66" s="1"/>
  <c r="EQ5" i="66"/>
  <c r="BK6" i="66"/>
  <c r="A17" i="66" s="1"/>
  <c r="EQ3" i="66"/>
  <c r="I3" i="66"/>
  <c r="K3" i="66" s="1"/>
  <c r="CC6" i="66"/>
  <c r="A19" i="66" s="1"/>
  <c r="CK4" i="66"/>
  <c r="CM4" i="66" s="1"/>
  <c r="EZ5" i="66"/>
  <c r="CM7" i="66"/>
  <c r="AE9" i="66"/>
  <c r="AE7" i="66" s="1"/>
  <c r="G2" i="67"/>
  <c r="L9" i="67"/>
  <c r="B11" i="67" s="1"/>
  <c r="AW5" i="67"/>
  <c r="CX4" i="68"/>
  <c r="CX2" i="68" s="1"/>
  <c r="DY7" i="67"/>
  <c r="DY3" i="67"/>
  <c r="DY5" i="67"/>
  <c r="DW3" i="67"/>
  <c r="DU6" i="67" s="1"/>
  <c r="BO5" i="67"/>
  <c r="C14" i="69"/>
  <c r="AL2" i="69"/>
  <c r="D14" i="69" s="1"/>
  <c r="C12" i="69"/>
  <c r="T2" i="69"/>
  <c r="D12" i="69" s="1"/>
  <c r="D15" i="69"/>
  <c r="AS9" i="69"/>
  <c r="E15" i="69" s="1"/>
  <c r="D21" i="69"/>
  <c r="CU9" i="69"/>
  <c r="E21" i="69" s="1"/>
  <c r="D11" i="69"/>
  <c r="I9" i="69"/>
  <c r="E11" i="69" s="1"/>
  <c r="C16" i="69"/>
  <c r="BD2" i="69"/>
  <c r="D16" i="69" s="1"/>
  <c r="D13" i="69"/>
  <c r="AA9" i="69"/>
  <c r="E13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 s="1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CN4" i="67"/>
  <c r="EP4" i="67"/>
  <c r="EP2" i="67" s="1"/>
  <c r="DF4" i="67"/>
  <c r="A4" i="63"/>
  <c r="BE9" i="66"/>
  <c r="AY2" i="66"/>
  <c r="AW3" i="66"/>
  <c r="AS6" i="66"/>
  <c r="A15" i="66" s="1"/>
  <c r="AM9" i="66"/>
  <c r="AC6" i="66"/>
  <c r="Y2" i="66" s="1"/>
  <c r="AC3" i="66"/>
  <c r="AA6" i="66" s="1"/>
  <c r="A13" i="66" s="1"/>
  <c r="U9" i="66"/>
  <c r="M9" i="66"/>
  <c r="I6" i="66"/>
  <c r="A11" i="66" s="1"/>
  <c r="S3" i="66"/>
  <c r="Q6" i="66" s="1"/>
  <c r="AK3" i="66"/>
  <c r="BC3" i="66"/>
  <c r="BA6" i="66" s="1"/>
  <c r="BU3" i="66"/>
  <c r="BS6" i="66" s="1"/>
  <c r="CM3" i="66"/>
  <c r="DE3" i="66"/>
  <c r="DW3" i="66"/>
  <c r="DU6" i="66" s="1"/>
  <c r="DX4" i="66" s="1"/>
  <c r="DX2" i="66" s="1"/>
  <c r="EO3" i="66"/>
  <c r="FF3" i="66"/>
  <c r="FD6" i="66" s="1"/>
  <c r="G4" i="66"/>
  <c r="AQ4" i="66"/>
  <c r="AV9" i="66"/>
  <c r="B15" i="66" s="1"/>
  <c r="BN9" i="66"/>
  <c r="B17" i="66" s="1"/>
  <c r="CF9" i="66"/>
  <c r="B19" i="66" s="1"/>
  <c r="CX9" i="66"/>
  <c r="B21" i="66" s="1"/>
  <c r="DP9" i="66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J6" i="63"/>
  <c r="E6" i="63"/>
  <c r="AL4" i="67" l="1"/>
  <c r="CK6" i="66"/>
  <c r="AE5" i="66"/>
  <c r="EX3" i="66"/>
  <c r="EV6" i="66" s="1"/>
  <c r="EY4" i="66" s="1"/>
  <c r="EY2" i="66" s="1"/>
  <c r="EV9" i="66" s="1"/>
  <c r="AG2" i="66"/>
  <c r="DC6" i="66"/>
  <c r="AE3" i="66"/>
  <c r="L4" i="67"/>
  <c r="DX4" i="67"/>
  <c r="DX2" i="67" s="1"/>
  <c r="AW7" i="66"/>
  <c r="AW5" i="66"/>
  <c r="AD9" i="66"/>
  <c r="B13" i="66" s="1"/>
  <c r="L9" i="66"/>
  <c r="B11" i="66" s="1"/>
  <c r="AI6" i="66"/>
  <c r="O2" i="66"/>
  <c r="AG4" i="66"/>
  <c r="O4" i="66"/>
  <c r="FG4" i="66"/>
  <c r="FG2" i="66" s="1"/>
  <c r="AQ2" i="66"/>
  <c r="DP4" i="66"/>
  <c r="DP2" i="66" s="1"/>
  <c r="DM9" i="66" s="1"/>
  <c r="E23" i="66" s="1"/>
  <c r="EM6" i="66"/>
  <c r="EP4" i="66" s="1"/>
  <c r="EP2" i="66" s="1"/>
  <c r="D11" i="68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AL4" i="66" s="1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V4" i="66"/>
  <c r="CX4" i="66"/>
  <c r="AD4" i="66"/>
  <c r="CF4" i="66"/>
  <c r="CF2" i="66" s="1"/>
  <c r="L4" i="66"/>
  <c r="BN4" i="66"/>
  <c r="L6" i="63"/>
  <c r="C6" i="63"/>
  <c r="B6" i="63"/>
  <c r="H6" i="63"/>
  <c r="D6" i="63"/>
  <c r="G6" i="63"/>
  <c r="J5" i="63"/>
  <c r="J4" i="63"/>
  <c r="I6" i="63"/>
  <c r="E5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D5" i="63"/>
  <c r="I4" i="63"/>
  <c r="C5" i="63"/>
  <c r="B5" i="63"/>
  <c r="G4" i="63"/>
  <c r="L5" i="63"/>
  <c r="G5" i="63"/>
  <c r="H5" i="63"/>
  <c r="I5" i="63"/>
  <c r="H4" i="63"/>
  <c r="A3" i="63" a="1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E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4" i="63"/>
  <c r="L4" i="63"/>
  <c r="C4" i="63"/>
  <c r="B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Y2" i="64" l="1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V4" i="64" l="1"/>
  <c r="AV2" i="64" s="1"/>
  <c r="AS9" i="64" s="1"/>
  <c r="E15" i="64" s="1"/>
  <c r="AI6" i="64"/>
  <c r="A14" i="64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15" i="64" l="1"/>
  <c r="T4" i="64"/>
  <c r="T2" i="64" s="1"/>
  <c r="D12" i="64" s="1"/>
  <c r="C22" i="64"/>
  <c r="D15" i="64"/>
  <c r="C20" i="64"/>
  <c r="BD4" i="64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BD2" i="64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J3" i="63"/>
  <c r="E3" i="63"/>
  <c r="E2" i="63"/>
  <c r="D2" i="63"/>
  <c r="D3" i="63"/>
  <c r="H3" i="63"/>
  <c r="L2" i="63"/>
  <c r="C2" i="63"/>
  <c r="C3" i="63"/>
  <c r="B3" i="63"/>
  <c r="I3" i="63"/>
  <c r="G2" i="63"/>
  <c r="L3" i="63"/>
  <c r="G3" i="63"/>
  <c r="I2" i="63"/>
  <c r="H2" i="63"/>
  <c r="B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<sst xmlns="http://schemas.openxmlformats.org/spreadsheetml/2006/main" count="2050" uniqueCount="46">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</sst>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H388"/>
  <sheetViews>
    <sheetView topLeftCell="AU1" workbookViewId="0">
      <selection activeCell="BD11" sqref="BD11:BE388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26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26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26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26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26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26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25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25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25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25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25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25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1.7120353284200043</v>
      </c>
      <c r="J6" s="25"/>
      <c r="K6" s="2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27">
        <f>(Q3-Q4)/(S3-S4)*(-S4)+Q4</f>
        <v>1.7126631661451495</v>
      </c>
      <c r="R6" s="27"/>
      <c r="S6" s="2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25">
        <f>(AA3-AA4)/(AC3-AC4)*(-AC4)+AA4</f>
        <v>1.7160717739332709</v>
      </c>
      <c r="AB6" s="25"/>
      <c r="AC6" s="2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27">
        <f>(AI3-AI4)/(AK3-AK4)*(-AK4)+AI4</f>
        <v>1.7121476027651517</v>
      </c>
      <c r="AJ6" s="27"/>
      <c r="AK6" s="2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25">
        <f>(AS3-AS4)/(AU3-AU4)*(-AU4)+AS4</f>
        <v>1.7163886094360967</v>
      </c>
      <c r="AT6" s="25"/>
      <c r="AU6" s="2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27">
        <f>(BA3-BA4)/(BC3-BC4)*(-BC4)+BA4</f>
        <v>1.7103457530772976</v>
      </c>
      <c r="BB6" s="27"/>
      <c r="BC6" s="2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2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2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2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2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2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2.4629929325386479</v>
      </c>
      <c r="J9" s="2"/>
      <c r="K9" s="2"/>
      <c r="L9" s="3">
        <f>(L6-L7)/(K6-K7)*(-K7)+L7</f>
        <v>15.890499999999998</v>
      </c>
      <c r="M9" s="15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5">
        <f>MAX(U11:U1056)</f>
        <v>19.29844722</v>
      </c>
      <c r="X9" s="9"/>
      <c r="Y9" s="2"/>
      <c r="Z9" s="2"/>
      <c r="AA9" s="14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5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5">
        <f>MAX(AM11:AM1056)</f>
        <v>19.016366380000001</v>
      </c>
      <c r="AP9" s="9"/>
      <c r="AQ9" s="2"/>
      <c r="AR9" s="2"/>
      <c r="AS9" s="14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5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5">
        <f>MAX(BE11:BE1056)</f>
        <v>18.78120564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1.7120353284200043</v>
      </c>
      <c r="B11" s="18">
        <f>IFERROR(L9,0)</f>
        <v>15.890499999999998</v>
      </c>
      <c r="C11" s="19">
        <f>IFERROR(L4,0)</f>
        <v>0.72728169427521516</v>
      </c>
      <c r="D11" s="20">
        <f>IFERROR(L2,0)</f>
        <v>19.78576932</v>
      </c>
      <c r="E11" s="20">
        <f>IFERROR(I9,0)</f>
        <v>2.4629929325386479</v>
      </c>
      <c r="F11" s="9"/>
      <c r="G11" s="21">
        <v>1.7948900000000001</v>
      </c>
      <c r="H11" s="21">
        <v>49.065199999999997</v>
      </c>
      <c r="I11" s="21">
        <v>1.3766499999999999E-2</v>
      </c>
      <c r="J11" s="21">
        <v>1</v>
      </c>
      <c r="K11" s="21">
        <v>1.79382</v>
      </c>
      <c r="L11">
        <f>-I11/$F$2*1000</f>
        <v>-13.766499999999999</v>
      </c>
      <c r="M11">
        <f>L11*G11</f>
        <v>-24.709353184999998</v>
      </c>
      <c r="N11" s="9"/>
      <c r="O11" s="21">
        <v>-9.49097E-2</v>
      </c>
      <c r="P11" s="21">
        <v>98.491600000000005</v>
      </c>
      <c r="Q11" s="21">
        <v>-1.5887499999999999E-2</v>
      </c>
      <c r="R11" s="21">
        <v>1</v>
      </c>
      <c r="S11" s="21">
        <v>-9.5336900000000002E-2</v>
      </c>
      <c r="T11">
        <f>-Q11/$F$2*1000</f>
        <v>15.887499999999999</v>
      </c>
      <c r="U11">
        <f>T11*O11</f>
        <v>-1.5078778587499999</v>
      </c>
      <c r="V11" s="22"/>
      <c r="W11" s="23"/>
      <c r="X11" s="9"/>
      <c r="Y11" s="21">
        <v>1.7948900000000001</v>
      </c>
      <c r="Z11" s="21">
        <v>127.949</v>
      </c>
      <c r="AA11" s="21">
        <v>1.4074700000000001E-2</v>
      </c>
      <c r="AB11" s="21">
        <v>1</v>
      </c>
      <c r="AC11" s="21">
        <v>1.79474</v>
      </c>
      <c r="AD11">
        <f>-AA11/$F$2*1000</f>
        <v>-14.0747</v>
      </c>
      <c r="AE11">
        <f>AD11*Y11</f>
        <v>-25.262538283000001</v>
      </c>
      <c r="AF11" s="9"/>
      <c r="AG11" s="21">
        <v>-9.49097E-2</v>
      </c>
      <c r="AH11" s="21">
        <v>177.422</v>
      </c>
      <c r="AI11" s="21">
        <v>-1.58142E-2</v>
      </c>
      <c r="AJ11" s="21">
        <v>1</v>
      </c>
      <c r="AK11" s="21">
        <v>-9.5428499999999999E-2</v>
      </c>
      <c r="AL11">
        <f>-AI11/$F$2*1000</f>
        <v>15.8142</v>
      </c>
      <c r="AM11">
        <f>AL11*AG11</f>
        <v>-1.5009209777399999</v>
      </c>
      <c r="AP11" s="9"/>
      <c r="AQ11" s="21">
        <v>1.7948900000000001</v>
      </c>
      <c r="AR11" s="21">
        <v>226.869</v>
      </c>
      <c r="AS11" s="21">
        <v>1.427E-2</v>
      </c>
      <c r="AT11" s="21">
        <v>1</v>
      </c>
      <c r="AU11" s="21">
        <v>1.79443</v>
      </c>
      <c r="AV11">
        <f>-AS11/$F$2*1000</f>
        <v>-14.27</v>
      </c>
      <c r="AW11">
        <f>AV11*AQ11</f>
        <v>-25.6130803</v>
      </c>
      <c r="AX11" s="9"/>
      <c r="AY11" s="21">
        <v>-9.49097E-2</v>
      </c>
      <c r="AZ11" s="21">
        <v>261.209</v>
      </c>
      <c r="BA11" s="21">
        <v>-1.5832499999999999E-2</v>
      </c>
      <c r="BB11" s="21">
        <v>1</v>
      </c>
      <c r="BC11" s="21">
        <v>-9.5428499999999999E-2</v>
      </c>
      <c r="BD11">
        <f>-BA11/$F$2*1000</f>
        <v>15.8325</v>
      </c>
      <c r="BE11">
        <f>BD11*AY11</f>
        <v>-1.50265782525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1.7126631661451495</v>
      </c>
      <c r="B12" s="18">
        <f>IFERROR(T9,0)</f>
        <v>15.835797565292179</v>
      </c>
      <c r="C12" s="19">
        <f>IFERROR(T4,0)</f>
        <v>0.71155826507334219</v>
      </c>
      <c r="D12" s="20">
        <f>IFERROR(T2,0)</f>
        <v>19.29844722</v>
      </c>
      <c r="E12" s="20"/>
      <c r="F12" s="9"/>
      <c r="G12" s="21">
        <v>1.78986</v>
      </c>
      <c r="H12" s="21">
        <v>49.075299999999999</v>
      </c>
      <c r="I12" s="21">
        <v>1.2637300000000001E-2</v>
      </c>
      <c r="J12" s="21">
        <v>2</v>
      </c>
      <c r="K12" s="21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1">
        <v>-8.9874300000000004E-2</v>
      </c>
      <c r="P12" s="21">
        <v>98.5017</v>
      </c>
      <c r="Q12" s="21">
        <v>-1.5881300000000001E-2</v>
      </c>
      <c r="R12" s="21">
        <v>2</v>
      </c>
      <c r="S12" s="21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2"/>
      <c r="W12" s="23"/>
      <c r="X12" s="9"/>
      <c r="Y12" s="21">
        <v>1.78986</v>
      </c>
      <c r="Z12" s="21">
        <v>127.959</v>
      </c>
      <c r="AA12" s="21">
        <v>1.2796E-2</v>
      </c>
      <c r="AB12" s="21">
        <v>2</v>
      </c>
      <c r="AC12" s="21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1">
        <v>-8.9874300000000004E-2</v>
      </c>
      <c r="AH12" s="21">
        <v>177.43199999999999</v>
      </c>
      <c r="AI12" s="21">
        <v>-1.5808099999999999E-2</v>
      </c>
      <c r="AJ12" s="21">
        <v>2</v>
      </c>
      <c r="AK12" s="21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1">
        <v>1.78986</v>
      </c>
      <c r="AR12" s="21">
        <v>226.87899999999999</v>
      </c>
      <c r="AS12" s="21">
        <v>1.2970000000000001E-2</v>
      </c>
      <c r="AT12" s="21">
        <v>2</v>
      </c>
      <c r="AU12" s="21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1">
        <v>-8.9874300000000004E-2</v>
      </c>
      <c r="AZ12" s="21">
        <v>261.21899999999999</v>
      </c>
      <c r="BA12" s="21">
        <v>-1.5820299999999999E-2</v>
      </c>
      <c r="BB12" s="21">
        <v>2</v>
      </c>
      <c r="BC12" s="21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1.7160717739332709</v>
      </c>
      <c r="B13" s="18">
        <f>IFERROR(AD9,0)</f>
        <v>15.846033341513932</v>
      </c>
      <c r="C13" s="19">
        <f>IFERROR(AD4,0)</f>
        <v>0.71920959555236774</v>
      </c>
      <c r="D13" s="20">
        <f>IFERROR(AD2,0)</f>
        <v>19.557416579999998</v>
      </c>
      <c r="E13" s="20">
        <f>IFERROR(AA9,0)</f>
        <v>2.7664707032588747</v>
      </c>
      <c r="F13" s="9"/>
      <c r="G13" s="21">
        <v>1.7848200000000001</v>
      </c>
      <c r="H13" s="21">
        <v>49.085299999999997</v>
      </c>
      <c r="I13" s="21">
        <v>1.1593600000000001E-2</v>
      </c>
      <c r="J13" s="21">
        <v>3</v>
      </c>
      <c r="K13" s="21">
        <v>1.7843599999999999</v>
      </c>
      <c r="L13">
        <f t="shared" si="0"/>
        <v>-11.5936</v>
      </c>
      <c r="M13">
        <f t="shared" si="1"/>
        <v>-20.692489152</v>
      </c>
      <c r="N13" s="9"/>
      <c r="O13" s="21">
        <v>-8.4838899999999995E-2</v>
      </c>
      <c r="P13" s="21">
        <v>98.511799999999994</v>
      </c>
      <c r="Q13" s="21">
        <v>-1.5878300000000001E-2</v>
      </c>
      <c r="R13" s="21">
        <v>3</v>
      </c>
      <c r="S13" s="21">
        <v>-8.5449200000000003E-2</v>
      </c>
      <c r="T13">
        <f t="shared" si="2"/>
        <v>15.878300000000001</v>
      </c>
      <c r="U13">
        <f t="shared" si="3"/>
        <v>-1.3470975058700001</v>
      </c>
      <c r="V13" s="22"/>
      <c r="W13" s="23"/>
      <c r="X13" s="9"/>
      <c r="Y13" s="21">
        <v>1.7848200000000001</v>
      </c>
      <c r="Z13" s="21">
        <v>127.96899999999999</v>
      </c>
      <c r="AA13" s="21">
        <v>1.16638E-2</v>
      </c>
      <c r="AB13" s="21">
        <v>3</v>
      </c>
      <c r="AC13" s="21">
        <v>1.78406</v>
      </c>
      <c r="AD13">
        <f t="shared" si="4"/>
        <v>-11.6638</v>
      </c>
      <c r="AE13">
        <f t="shared" si="5"/>
        <v>-20.817783516000002</v>
      </c>
      <c r="AF13" s="9"/>
      <c r="AG13" s="21">
        <v>-8.4838899999999995E-2</v>
      </c>
      <c r="AH13" s="21">
        <v>177.44200000000001</v>
      </c>
      <c r="AI13" s="21">
        <v>-1.5805099999999999E-2</v>
      </c>
      <c r="AJ13" s="21">
        <v>3</v>
      </c>
      <c r="AK13" s="21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1">
        <v>1.7848200000000001</v>
      </c>
      <c r="AR13" s="21">
        <v>226.88900000000001</v>
      </c>
      <c r="AS13" s="21">
        <v>1.17859E-2</v>
      </c>
      <c r="AT13" s="21">
        <v>3</v>
      </c>
      <c r="AU13" s="21">
        <v>1.78406</v>
      </c>
      <c r="AV13">
        <f t="shared" si="8"/>
        <v>-11.7859</v>
      </c>
      <c r="AW13">
        <f t="shared" si="9"/>
        <v>-21.035710038000001</v>
      </c>
      <c r="AX13" s="9"/>
      <c r="AY13" s="21">
        <v>-8.4838899999999995E-2</v>
      </c>
      <c r="AZ13" s="21">
        <v>261.22899999999998</v>
      </c>
      <c r="BA13" s="21">
        <v>-1.5811200000000001E-2</v>
      </c>
      <c r="BB13" s="21">
        <v>3</v>
      </c>
      <c r="BC13" s="21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1.7121476027651517</v>
      </c>
      <c r="B14" s="18">
        <f>IFERROR(AL9,0)</f>
        <v>15.774857262706799</v>
      </c>
      <c r="C14" s="19">
        <f>IFERROR(AL4,0)</f>
        <v>0.70407819691465356</v>
      </c>
      <c r="D14" s="20">
        <f>IFERROR(AL2,0)</f>
        <v>19.016366380000004</v>
      </c>
      <c r="E14" s="20"/>
      <c r="F14" s="9"/>
      <c r="G14" s="21">
        <v>1.77979</v>
      </c>
      <c r="H14" s="21">
        <v>49.095399999999998</v>
      </c>
      <c r="I14" s="21">
        <v>1.06018E-2</v>
      </c>
      <c r="J14" s="21">
        <v>4</v>
      </c>
      <c r="K14" s="21">
        <v>1.77887</v>
      </c>
      <c r="L14">
        <f t="shared" si="0"/>
        <v>-10.601799999999999</v>
      </c>
      <c r="M14">
        <f t="shared" si="1"/>
        <v>-18.868977621999999</v>
      </c>
      <c r="N14" s="9"/>
      <c r="O14" s="21">
        <v>-7.9803499999999999E-2</v>
      </c>
      <c r="P14" s="21">
        <v>98.521799999999999</v>
      </c>
      <c r="Q14" s="21">
        <v>-1.58722E-2</v>
      </c>
      <c r="R14" s="21">
        <v>4</v>
      </c>
      <c r="S14" s="21">
        <v>-8.0322299999999999E-2</v>
      </c>
      <c r="T14">
        <f t="shared" si="2"/>
        <v>15.872199999999999</v>
      </c>
      <c r="U14">
        <f t="shared" si="3"/>
        <v>-1.2666571126999999</v>
      </c>
      <c r="V14" s="22"/>
      <c r="W14" s="23"/>
      <c r="X14" s="9"/>
      <c r="Y14" s="21">
        <v>1.77979</v>
      </c>
      <c r="Z14" s="21">
        <v>127.979</v>
      </c>
      <c r="AA14" s="21">
        <v>1.06079E-2</v>
      </c>
      <c r="AB14" s="21">
        <v>4</v>
      </c>
      <c r="AC14" s="21">
        <v>1.77887</v>
      </c>
      <c r="AD14">
        <f t="shared" si="4"/>
        <v>-10.607900000000001</v>
      </c>
      <c r="AE14">
        <f t="shared" si="5"/>
        <v>-18.879834341000002</v>
      </c>
      <c r="AF14" s="9"/>
      <c r="AG14" s="21">
        <v>-7.9803499999999999E-2</v>
      </c>
      <c r="AH14" s="21">
        <v>177.452</v>
      </c>
      <c r="AI14" s="21">
        <v>-1.5802E-2</v>
      </c>
      <c r="AJ14" s="21">
        <v>4</v>
      </c>
      <c r="AK14" s="21">
        <v>-8.0322299999999999E-2</v>
      </c>
      <c r="AL14">
        <f t="shared" si="6"/>
        <v>15.802</v>
      </c>
      <c r="AM14">
        <f t="shared" si="7"/>
        <v>-1.2610549069999999</v>
      </c>
      <c r="AP14" s="9"/>
      <c r="AQ14" s="21">
        <v>1.77979</v>
      </c>
      <c r="AR14" s="21">
        <v>226.899</v>
      </c>
      <c r="AS14" s="21">
        <v>1.06903E-2</v>
      </c>
      <c r="AT14" s="21">
        <v>4</v>
      </c>
      <c r="AU14" s="21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1">
        <v>-7.9803499999999999E-2</v>
      </c>
      <c r="AZ14" s="21">
        <v>261.23899999999998</v>
      </c>
      <c r="BA14" s="21">
        <v>-1.5799000000000001E-2</v>
      </c>
      <c r="BB14" s="21">
        <v>4</v>
      </c>
      <c r="BC14" s="21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1.7163886094360967</v>
      </c>
      <c r="B15" s="18">
        <f>IFERROR(AV9,0)</f>
        <v>15.75765607959779</v>
      </c>
      <c r="C15" s="19">
        <f>IFERROR(AV4,0)</f>
        <v>0.71306815489895237</v>
      </c>
      <c r="D15" s="20">
        <f>IFERROR(AV2,0)</f>
        <v>19.285827718</v>
      </c>
      <c r="E15" s="20">
        <f>IFERROR(AS9,0)</f>
        <v>2.6165435333067024</v>
      </c>
      <c r="F15" s="9"/>
      <c r="G15" s="21">
        <v>1.77475</v>
      </c>
      <c r="H15" s="21">
        <v>49.105499999999999</v>
      </c>
      <c r="I15" s="21">
        <v>9.6679699999999997E-3</v>
      </c>
      <c r="J15" s="21">
        <v>5</v>
      </c>
      <c r="K15" s="21">
        <v>1.77399</v>
      </c>
      <c r="L15">
        <f t="shared" si="0"/>
        <v>-9.6679700000000004</v>
      </c>
      <c r="M15">
        <f t="shared" si="1"/>
        <v>-17.158229757500003</v>
      </c>
      <c r="N15" s="9"/>
      <c r="O15" s="21">
        <v>-7.4768100000000004E-2</v>
      </c>
      <c r="P15" s="21">
        <v>98.531899999999993</v>
      </c>
      <c r="Q15" s="21">
        <v>-1.5866100000000001E-2</v>
      </c>
      <c r="R15" s="21">
        <v>5</v>
      </c>
      <c r="S15" s="21">
        <v>-7.5256299999999998E-2</v>
      </c>
      <c r="T15">
        <f t="shared" si="2"/>
        <v>15.866100000000001</v>
      </c>
      <c r="U15">
        <f t="shared" si="3"/>
        <v>-1.1862781514100003</v>
      </c>
      <c r="V15" s="22"/>
      <c r="W15" s="23"/>
      <c r="X15" s="9"/>
      <c r="Y15" s="21">
        <v>1.77475</v>
      </c>
      <c r="Z15" s="21">
        <v>127.989</v>
      </c>
      <c r="AA15" s="21">
        <v>9.6008299999999994E-3</v>
      </c>
      <c r="AB15" s="21">
        <v>5</v>
      </c>
      <c r="AC15" s="21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1">
        <v>-7.4768100000000004E-2</v>
      </c>
      <c r="AH15" s="21">
        <v>177.46199999999999</v>
      </c>
      <c r="AI15" s="21">
        <v>-1.5795900000000002E-2</v>
      </c>
      <c r="AJ15" s="21">
        <v>5</v>
      </c>
      <c r="AK15" s="21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1">
        <v>1.77475</v>
      </c>
      <c r="AR15" s="21">
        <v>226.90899999999999</v>
      </c>
      <c r="AS15" s="21">
        <v>9.6343999999999996E-3</v>
      </c>
      <c r="AT15" s="21">
        <v>5</v>
      </c>
      <c r="AU15" s="21">
        <v>1.7746</v>
      </c>
      <c r="AV15">
        <f t="shared" si="8"/>
        <v>-9.6343999999999994</v>
      </c>
      <c r="AW15">
        <f t="shared" si="9"/>
        <v>-17.098651399999998</v>
      </c>
      <c r="AX15" s="9"/>
      <c r="AY15" s="21">
        <v>-7.4768100000000004E-2</v>
      </c>
      <c r="AZ15" s="21">
        <v>261.24900000000002</v>
      </c>
      <c r="BA15" s="21">
        <v>-1.5780599999999999E-2</v>
      </c>
      <c r="BB15" s="21">
        <v>5</v>
      </c>
      <c r="BC15" s="21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1.7103457530772976</v>
      </c>
      <c r="B16" s="18">
        <f>IFERROR(BD9,0)</f>
        <v>15.750177396590184</v>
      </c>
      <c r="C16" s="19">
        <f>IFERROR(BD4,0)</f>
        <v>0.69719474438472162</v>
      </c>
      <c r="D16" s="20">
        <f>IFERROR(BD2,0)</f>
        <v>18.78120564</v>
      </c>
      <c r="E16" s="20"/>
      <c r="F16" s="9"/>
      <c r="G16" s="21">
        <v>1.7697099999999999</v>
      </c>
      <c r="H16" s="21">
        <v>49.115600000000001</v>
      </c>
      <c r="I16" s="21">
        <v>8.7615999999999996E-3</v>
      </c>
      <c r="J16" s="21">
        <v>6</v>
      </c>
      <c r="K16" s="21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1">
        <v>-6.9732699999999995E-2</v>
      </c>
      <c r="P16" s="21">
        <v>98.542000000000002</v>
      </c>
      <c r="Q16" s="21">
        <v>-1.5859999999999999E-2</v>
      </c>
      <c r="R16" s="21">
        <v>6</v>
      </c>
      <c r="S16" s="21">
        <v>-7.0281999999999997E-2</v>
      </c>
      <c r="T16">
        <f t="shared" si="2"/>
        <v>15.86</v>
      </c>
      <c r="U16">
        <f t="shared" si="3"/>
        <v>-1.1059606219999998</v>
      </c>
      <c r="V16" s="22"/>
      <c r="W16" s="23"/>
      <c r="X16" s="9"/>
      <c r="Y16" s="21">
        <v>1.7697099999999999</v>
      </c>
      <c r="Z16" s="21">
        <v>127.999</v>
      </c>
      <c r="AA16" s="21">
        <v>8.6364700000000003E-3</v>
      </c>
      <c r="AB16" s="21">
        <v>6</v>
      </c>
      <c r="AC16" s="21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1">
        <v>-6.9732699999999995E-2</v>
      </c>
      <c r="AH16" s="21">
        <v>177.47200000000001</v>
      </c>
      <c r="AI16" s="21">
        <v>-1.5799000000000001E-2</v>
      </c>
      <c r="AJ16" s="21">
        <v>6</v>
      </c>
      <c r="AK16" s="21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1">
        <v>1.7697099999999999</v>
      </c>
      <c r="AR16" s="21">
        <v>226.91900000000001</v>
      </c>
      <c r="AS16" s="21">
        <v>8.6456299999999996E-3</v>
      </c>
      <c r="AT16" s="21">
        <v>6</v>
      </c>
      <c r="AU16" s="21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1">
        <v>-6.9732699999999995E-2</v>
      </c>
      <c r="AZ16" s="21">
        <v>261.25900000000001</v>
      </c>
      <c r="BA16" s="21">
        <v>-1.5777599999999999E-2</v>
      </c>
      <c r="BB16" s="21">
        <v>6</v>
      </c>
      <c r="BC16" s="21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49.125599999999999</v>
      </c>
      <c r="I17" s="21">
        <v>7.8857400000000005E-3</v>
      </c>
      <c r="J17" s="21">
        <v>7</v>
      </c>
      <c r="K17" s="21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1">
        <v>-6.4697299999999999E-2</v>
      </c>
      <c r="P17" s="21">
        <v>98.552099999999996</v>
      </c>
      <c r="Q17" s="21">
        <v>-1.58569E-2</v>
      </c>
      <c r="R17" s="21">
        <v>7</v>
      </c>
      <c r="S17" s="21">
        <v>-6.5032999999999994E-2</v>
      </c>
      <c r="T17">
        <f t="shared" si="2"/>
        <v>15.8569</v>
      </c>
      <c r="U17">
        <f t="shared" si="3"/>
        <v>-1.0258986163699999</v>
      </c>
      <c r="V17" s="22"/>
      <c r="W17" s="23"/>
      <c r="X17" s="9"/>
      <c r="Y17" s="21">
        <v>1.76468</v>
      </c>
      <c r="Z17" s="21">
        <v>128.00899999999999</v>
      </c>
      <c r="AA17" s="21">
        <v>7.6690700000000001E-3</v>
      </c>
      <c r="AB17" s="21">
        <v>7</v>
      </c>
      <c r="AC17" s="21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1">
        <v>-6.4697299999999999E-2</v>
      </c>
      <c r="AH17" s="21">
        <v>177.483</v>
      </c>
      <c r="AI17" s="21">
        <v>-1.5805099999999999E-2</v>
      </c>
      <c r="AJ17" s="21">
        <v>7</v>
      </c>
      <c r="AK17" s="21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1">
        <v>1.76468</v>
      </c>
      <c r="AR17" s="21">
        <v>226.929</v>
      </c>
      <c r="AS17" s="21">
        <v>7.6812699999999996E-3</v>
      </c>
      <c r="AT17" s="21">
        <v>7</v>
      </c>
      <c r="AU17" s="21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1">
        <v>-6.4697299999999999E-2</v>
      </c>
      <c r="AZ17" s="21">
        <v>261.26900000000001</v>
      </c>
      <c r="BA17" s="21">
        <v>-1.57745E-2</v>
      </c>
      <c r="BB17" s="21">
        <v>7</v>
      </c>
      <c r="BC17" s="21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49.1357</v>
      </c>
      <c r="I18" s="21">
        <v>7.0373500000000004E-3</v>
      </c>
      <c r="J18" s="21">
        <v>8</v>
      </c>
      <c r="K18" s="21">
        <v>1.7587299999999999</v>
      </c>
      <c r="L18">
        <f t="shared" si="0"/>
        <v>-7.03735</v>
      </c>
      <c r="M18">
        <f t="shared" si="1"/>
        <v>-12.383202554</v>
      </c>
      <c r="N18" s="9"/>
      <c r="O18" s="21">
        <v>-5.9661899999999997E-2</v>
      </c>
      <c r="P18" s="21">
        <v>98.562100000000001</v>
      </c>
      <c r="Q18" s="21">
        <v>-1.5853900000000001E-2</v>
      </c>
      <c r="R18" s="21">
        <v>8</v>
      </c>
      <c r="S18" s="21">
        <v>-6.0241700000000002E-2</v>
      </c>
      <c r="T18">
        <f t="shared" si="2"/>
        <v>15.853900000000001</v>
      </c>
      <c r="U18">
        <f t="shared" si="3"/>
        <v>-0.94587379641000002</v>
      </c>
      <c r="V18" s="22"/>
      <c r="W18" s="23"/>
      <c r="X18" s="9"/>
      <c r="Y18" s="21">
        <v>1.7596400000000001</v>
      </c>
      <c r="Z18" s="21">
        <v>128.01900000000001</v>
      </c>
      <c r="AA18" s="21">
        <v>6.7779499999999996E-3</v>
      </c>
      <c r="AB18" s="21">
        <v>8</v>
      </c>
      <c r="AC18" s="21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1">
        <v>-5.9661899999999997E-2</v>
      </c>
      <c r="AH18" s="21">
        <v>177.49299999999999</v>
      </c>
      <c r="AI18" s="21">
        <v>-1.5808099999999999E-2</v>
      </c>
      <c r="AJ18" s="21">
        <v>8</v>
      </c>
      <c r="AK18" s="21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1">
        <v>1.7596400000000001</v>
      </c>
      <c r="AR18" s="21">
        <v>226.93899999999999</v>
      </c>
      <c r="AS18" s="21">
        <v>6.7749000000000004E-3</v>
      </c>
      <c r="AT18" s="21">
        <v>8</v>
      </c>
      <c r="AU18" s="21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1">
        <v>-5.9661899999999997E-2</v>
      </c>
      <c r="AZ18" s="21">
        <v>261.279</v>
      </c>
      <c r="BA18" s="21">
        <v>-1.5765399999999999E-2</v>
      </c>
      <c r="BB18" s="21">
        <v>8</v>
      </c>
      <c r="BC18" s="21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49.145800000000001</v>
      </c>
      <c r="I19" s="21">
        <v>6.2042199999999999E-3</v>
      </c>
      <c r="J19" s="21">
        <v>9</v>
      </c>
      <c r="K19" s="21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1">
        <v>-5.4626500000000001E-2</v>
      </c>
      <c r="P19" s="21">
        <v>98.572199999999995</v>
      </c>
      <c r="Q19" s="21">
        <v>-1.58569E-2</v>
      </c>
      <c r="R19" s="21">
        <v>9</v>
      </c>
      <c r="S19" s="21">
        <v>-5.5175799999999997E-2</v>
      </c>
      <c r="T19">
        <f t="shared" si="2"/>
        <v>15.8569</v>
      </c>
      <c r="U19">
        <f t="shared" si="3"/>
        <v>-0.86620694784999996</v>
      </c>
      <c r="V19" s="22"/>
      <c r="W19" s="23"/>
      <c r="X19" s="9"/>
      <c r="Y19" s="21">
        <v>1.75461</v>
      </c>
      <c r="Z19" s="21">
        <v>128.029</v>
      </c>
      <c r="AA19" s="21">
        <v>5.9021000000000004E-3</v>
      </c>
      <c r="AB19" s="21">
        <v>9</v>
      </c>
      <c r="AC19" s="21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1">
        <v>-5.4626500000000001E-2</v>
      </c>
      <c r="AH19" s="21">
        <v>177.50299999999999</v>
      </c>
      <c r="AI19" s="21">
        <v>-1.5805099999999999E-2</v>
      </c>
      <c r="AJ19" s="21">
        <v>9</v>
      </c>
      <c r="AK19" s="21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1">
        <v>1.75461</v>
      </c>
      <c r="AR19" s="21">
        <v>226.94900000000001</v>
      </c>
      <c r="AS19" s="21">
        <v>5.8654800000000002E-3</v>
      </c>
      <c r="AT19" s="21">
        <v>9</v>
      </c>
      <c r="AU19" s="21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1">
        <v>-5.4626500000000001E-2</v>
      </c>
      <c r="AZ19" s="21">
        <v>261.28899999999999</v>
      </c>
      <c r="BA19" s="21">
        <v>-1.57623E-2</v>
      </c>
      <c r="BB19" s="21">
        <v>9</v>
      </c>
      <c r="BC19" s="21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49.155799999999999</v>
      </c>
      <c r="I20" s="21">
        <v>5.3802499999999996E-3</v>
      </c>
      <c r="J20" s="21">
        <v>10</v>
      </c>
      <c r="K20" s="21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1">
        <v>-4.9591099999999999E-2</v>
      </c>
      <c r="P20" s="21">
        <v>98.582300000000004</v>
      </c>
      <c r="Q20" s="21">
        <v>-1.58569E-2</v>
      </c>
      <c r="R20" s="21">
        <v>10</v>
      </c>
      <c r="S20" s="21">
        <v>-5.0109899999999999E-2</v>
      </c>
      <c r="T20">
        <f t="shared" si="2"/>
        <v>15.8569</v>
      </c>
      <c r="U20">
        <f t="shared" si="3"/>
        <v>-0.78636111358999994</v>
      </c>
      <c r="V20" s="22"/>
      <c r="W20" s="23"/>
      <c r="X20" s="9"/>
      <c r="Y20" s="21">
        <v>1.7495700000000001</v>
      </c>
      <c r="Z20" s="21">
        <v>128.03899999999999</v>
      </c>
      <c r="AA20" s="21">
        <v>5.0476100000000001E-3</v>
      </c>
      <c r="AB20" s="21">
        <v>10</v>
      </c>
      <c r="AC20" s="21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1">
        <v>-4.9591099999999999E-2</v>
      </c>
      <c r="AH20" s="21">
        <v>177.51300000000001</v>
      </c>
      <c r="AI20" s="21">
        <v>-1.5792799999999999E-2</v>
      </c>
      <c r="AJ20" s="21">
        <v>10</v>
      </c>
      <c r="AK20" s="21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1">
        <v>1.7495700000000001</v>
      </c>
      <c r="AR20" s="21">
        <v>226.959</v>
      </c>
      <c r="AS20" s="21">
        <v>5.0109899999999999E-3</v>
      </c>
      <c r="AT20" s="21">
        <v>10</v>
      </c>
      <c r="AU20" s="21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1">
        <v>-4.9591099999999999E-2</v>
      </c>
      <c r="AZ20" s="21">
        <v>261.29899999999998</v>
      </c>
      <c r="BA20" s="21">
        <v>-1.57593E-2</v>
      </c>
      <c r="BB20" s="21">
        <v>10</v>
      </c>
      <c r="BC20" s="21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49.165900000000001</v>
      </c>
      <c r="I21" s="21">
        <v>4.5831300000000004E-3</v>
      </c>
      <c r="J21" s="21">
        <v>11</v>
      </c>
      <c r="K21" s="21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1">
        <v>-4.4555699999999997E-2</v>
      </c>
      <c r="P21" s="21">
        <v>98.592299999999994</v>
      </c>
      <c r="Q21" s="21">
        <v>-1.5859999999999999E-2</v>
      </c>
      <c r="R21" s="21">
        <v>11</v>
      </c>
      <c r="S21" s="21">
        <v>-4.4891399999999998E-2</v>
      </c>
      <c r="T21">
        <f t="shared" si="2"/>
        <v>15.86</v>
      </c>
      <c r="U21">
        <f t="shared" si="3"/>
        <v>-0.70665340199999993</v>
      </c>
      <c r="V21" s="22"/>
      <c r="W21" s="23"/>
      <c r="X21" s="9"/>
      <c r="Y21" s="21">
        <v>1.74454</v>
      </c>
      <c r="Z21" s="21">
        <v>128.04900000000001</v>
      </c>
      <c r="AA21" s="21">
        <v>4.2157000000000002E-3</v>
      </c>
      <c r="AB21" s="21">
        <v>11</v>
      </c>
      <c r="AC21" s="21">
        <v>1.7440800000000001</v>
      </c>
      <c r="AD21">
        <f t="shared" si="4"/>
        <v>-4.2157</v>
      </c>
      <c r="AE21">
        <f t="shared" si="5"/>
        <v>-7.3544572779999999</v>
      </c>
      <c r="AF21" s="9"/>
      <c r="AG21" s="21">
        <v>-4.4555699999999997E-2</v>
      </c>
      <c r="AH21" s="21">
        <v>177.523</v>
      </c>
      <c r="AI21" s="21">
        <v>-1.5786700000000001E-2</v>
      </c>
      <c r="AJ21" s="21">
        <v>11</v>
      </c>
      <c r="AK21" s="21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1">
        <v>1.74454</v>
      </c>
      <c r="AR21" s="21">
        <v>226.96899999999999</v>
      </c>
      <c r="AS21" s="21">
        <v>4.1784700000000001E-3</v>
      </c>
      <c r="AT21" s="21">
        <v>11</v>
      </c>
      <c r="AU21" s="21">
        <v>1.74377</v>
      </c>
      <c r="AV21">
        <f t="shared" si="8"/>
        <v>-4.1784699999999999</v>
      </c>
      <c r="AW21">
        <f t="shared" si="9"/>
        <v>-7.2895080537999997</v>
      </c>
      <c r="AX21" s="9"/>
      <c r="AY21" s="21">
        <v>-4.4555699999999997E-2</v>
      </c>
      <c r="AZ21" s="21">
        <v>261.30900000000003</v>
      </c>
      <c r="BA21" s="21">
        <v>-1.5756200000000001E-2</v>
      </c>
      <c r="BB21" s="21">
        <v>11</v>
      </c>
      <c r="BC21" s="21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49.176000000000002</v>
      </c>
      <c r="I22" s="21">
        <v>3.8067600000000002E-3</v>
      </c>
      <c r="J22" s="21">
        <v>12</v>
      </c>
      <c r="K22" s="21">
        <v>1.73889</v>
      </c>
      <c r="L22">
        <f t="shared" si="0"/>
        <v>-3.8067600000000001</v>
      </c>
      <c r="M22">
        <f t="shared" si="1"/>
        <v>-6.6218590200000005</v>
      </c>
      <c r="N22" s="9"/>
      <c r="O22" s="21">
        <v>-3.9520300000000001E-2</v>
      </c>
      <c r="P22" s="21">
        <v>98.602400000000003</v>
      </c>
      <c r="Q22" s="21">
        <v>-1.5862999999999999E-2</v>
      </c>
      <c r="R22" s="21">
        <v>12</v>
      </c>
      <c r="S22" s="21">
        <v>-3.9849900000000001E-2</v>
      </c>
      <c r="T22">
        <f t="shared" si="2"/>
        <v>15.862999999999998</v>
      </c>
      <c r="U22">
        <f t="shared" si="3"/>
        <v>-0.62691051889999994</v>
      </c>
      <c r="V22" s="22"/>
      <c r="W22" s="23"/>
      <c r="X22" s="9"/>
      <c r="Y22" s="21">
        <v>1.7395</v>
      </c>
      <c r="Z22" s="21">
        <v>128.059</v>
      </c>
      <c r="AA22" s="21">
        <v>3.4100300000000001E-3</v>
      </c>
      <c r="AB22" s="21">
        <v>12</v>
      </c>
      <c r="AC22" s="21">
        <v>1.73828</v>
      </c>
      <c r="AD22">
        <f t="shared" si="4"/>
        <v>-3.4100299999999999</v>
      </c>
      <c r="AE22">
        <f t="shared" si="5"/>
        <v>-5.9317471849999999</v>
      </c>
      <c r="AF22" s="9"/>
      <c r="AG22" s="21">
        <v>-3.9520300000000001E-2</v>
      </c>
      <c r="AH22" s="21">
        <v>177.53299999999999</v>
      </c>
      <c r="AI22" s="21">
        <v>-1.5783700000000001E-2</v>
      </c>
      <c r="AJ22" s="21">
        <v>12</v>
      </c>
      <c r="AK22" s="21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1">
        <v>1.7395</v>
      </c>
      <c r="AR22" s="21">
        <v>226.97900000000001</v>
      </c>
      <c r="AS22" s="21">
        <v>3.35907E-3</v>
      </c>
      <c r="AT22" s="21">
        <v>12</v>
      </c>
      <c r="AU22" s="21">
        <v>1.73828</v>
      </c>
      <c r="AV22">
        <f t="shared" si="8"/>
        <v>-3.35907</v>
      </c>
      <c r="AW22">
        <f t="shared" si="9"/>
        <v>-5.8431022649999997</v>
      </c>
      <c r="AX22" s="9"/>
      <c r="AY22" s="21">
        <v>-3.9520300000000001E-2</v>
      </c>
      <c r="AZ22" s="21">
        <v>261.31900000000002</v>
      </c>
      <c r="BA22" s="21">
        <v>-1.5753199999999998E-2</v>
      </c>
      <c r="BB22" s="21">
        <v>12</v>
      </c>
      <c r="BC22" s="21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49.186100000000003</v>
      </c>
      <c r="I23" s="21">
        <v>3.0441299999999999E-3</v>
      </c>
      <c r="J23" s="21">
        <v>13</v>
      </c>
      <c r="K23" s="21">
        <v>1.7337</v>
      </c>
      <c r="L23">
        <f t="shared" si="0"/>
        <v>-3.04413</v>
      </c>
      <c r="M23">
        <f t="shared" si="1"/>
        <v>-5.2799521610999998</v>
      </c>
      <c r="N23" s="9"/>
      <c r="O23" s="21">
        <v>-3.4484899999999999E-2</v>
      </c>
      <c r="P23" s="21">
        <v>98.612499999999997</v>
      </c>
      <c r="Q23" s="21">
        <v>-1.5859999999999999E-2</v>
      </c>
      <c r="R23" s="21">
        <v>13</v>
      </c>
      <c r="S23" s="21">
        <v>-3.47931E-2</v>
      </c>
      <c r="T23">
        <f t="shared" si="2"/>
        <v>15.86</v>
      </c>
      <c r="U23">
        <f t="shared" si="3"/>
        <v>-0.54693051399999992</v>
      </c>
      <c r="V23" s="22"/>
      <c r="W23" s="23"/>
      <c r="X23" s="9"/>
      <c r="Y23" s="21">
        <v>1.73447</v>
      </c>
      <c r="Z23" s="21">
        <v>128.07</v>
      </c>
      <c r="AA23" s="21">
        <v>2.6306200000000002E-3</v>
      </c>
      <c r="AB23" s="21">
        <v>13</v>
      </c>
      <c r="AC23" s="21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1">
        <v>-3.4484899999999999E-2</v>
      </c>
      <c r="AH23" s="21">
        <v>177.54300000000001</v>
      </c>
      <c r="AI23" s="21">
        <v>-1.5786700000000001E-2</v>
      </c>
      <c r="AJ23" s="21">
        <v>13</v>
      </c>
      <c r="AK23" s="21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1">
        <v>1.73447</v>
      </c>
      <c r="AR23" s="21">
        <v>226.989</v>
      </c>
      <c r="AS23" s="21">
        <v>2.5592000000000002E-3</v>
      </c>
      <c r="AT23" s="21">
        <v>13</v>
      </c>
      <c r="AU23" s="21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1">
        <v>-3.4484899999999999E-2</v>
      </c>
      <c r="AZ23" s="21">
        <v>261.33</v>
      </c>
      <c r="BA23" s="21">
        <v>-1.5753199999999998E-2</v>
      </c>
      <c r="BB23" s="21">
        <v>13</v>
      </c>
      <c r="BC23" s="21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49.196100000000001</v>
      </c>
      <c r="I24" s="21">
        <v>2.3049899999999998E-3</v>
      </c>
      <c r="J24" s="21">
        <v>14</v>
      </c>
      <c r="K24" s="21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1">
        <v>-2.94495E-2</v>
      </c>
      <c r="P24" s="21">
        <v>98.622600000000006</v>
      </c>
      <c r="Q24" s="21">
        <v>-1.5853900000000001E-2</v>
      </c>
      <c r="R24" s="21">
        <v>14</v>
      </c>
      <c r="S24" s="21">
        <v>-2.98187E-2</v>
      </c>
      <c r="T24">
        <f t="shared" si="2"/>
        <v>15.853900000000001</v>
      </c>
      <c r="U24">
        <f t="shared" si="3"/>
        <v>-0.46688942805000005</v>
      </c>
      <c r="V24" s="22"/>
      <c r="W24" s="23"/>
      <c r="X24" s="9"/>
      <c r="Y24" s="21">
        <v>1.72943</v>
      </c>
      <c r="Z24" s="21">
        <v>128.08000000000001</v>
      </c>
      <c r="AA24" s="21">
        <v>1.87378E-3</v>
      </c>
      <c r="AB24" s="21">
        <v>14</v>
      </c>
      <c r="AC24" s="21">
        <v>1.7285200000000001</v>
      </c>
      <c r="AD24">
        <f t="shared" si="4"/>
        <v>-1.87378</v>
      </c>
      <c r="AE24">
        <f t="shared" si="5"/>
        <v>-3.2405713454000002</v>
      </c>
      <c r="AF24" s="9"/>
      <c r="AG24" s="21">
        <v>-2.94495E-2</v>
      </c>
      <c r="AH24" s="21">
        <v>177.553</v>
      </c>
      <c r="AI24" s="21">
        <v>-1.5783700000000001E-2</v>
      </c>
      <c r="AJ24" s="21">
        <v>14</v>
      </c>
      <c r="AK24" s="21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1">
        <v>1.72943</v>
      </c>
      <c r="AR24" s="21">
        <v>226.999</v>
      </c>
      <c r="AS24" s="21">
        <v>1.7983999999999999E-3</v>
      </c>
      <c r="AT24" s="21">
        <v>14</v>
      </c>
      <c r="AU24" s="21">
        <v>1.7285200000000001</v>
      </c>
      <c r="AV24">
        <f t="shared" si="8"/>
        <v>-1.7984</v>
      </c>
      <c r="AW24">
        <f t="shared" si="9"/>
        <v>-3.1102069120000002</v>
      </c>
      <c r="AX24" s="9"/>
      <c r="AY24" s="21">
        <v>-2.94495E-2</v>
      </c>
      <c r="AZ24" s="21">
        <v>261.33999999999997</v>
      </c>
      <c r="BA24" s="21">
        <v>-1.5753199999999998E-2</v>
      </c>
      <c r="BB24" s="21">
        <v>14</v>
      </c>
      <c r="BC24" s="21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49.206200000000003</v>
      </c>
      <c r="I25" s="21">
        <v>1.5762300000000001E-3</v>
      </c>
      <c r="J25" s="21">
        <v>15</v>
      </c>
      <c r="K25" s="21">
        <v>1.72394</v>
      </c>
      <c r="L25">
        <f t="shared" si="0"/>
        <v>-1.57623</v>
      </c>
      <c r="M25">
        <f t="shared" si="1"/>
        <v>-2.7180510120000001</v>
      </c>
      <c r="N25" s="9"/>
      <c r="O25" s="21">
        <v>-2.4414100000000001E-2</v>
      </c>
      <c r="P25" s="21">
        <v>98.632599999999996</v>
      </c>
      <c r="Q25" s="21">
        <v>-1.5850800000000002E-2</v>
      </c>
      <c r="R25" s="21">
        <v>15</v>
      </c>
      <c r="S25" s="21">
        <v>-2.4752799999999998E-2</v>
      </c>
      <c r="T25">
        <f t="shared" si="2"/>
        <v>15.850800000000001</v>
      </c>
      <c r="U25">
        <f t="shared" si="3"/>
        <v>-0.38698301628000004</v>
      </c>
      <c r="V25" s="22"/>
      <c r="W25" s="23"/>
      <c r="X25" s="9"/>
      <c r="Y25" s="21">
        <v>1.7243999999999999</v>
      </c>
      <c r="Z25" s="21">
        <v>128.09</v>
      </c>
      <c r="AA25" s="21">
        <v>1.1379999999999999E-3</v>
      </c>
      <c r="AB25" s="21">
        <v>15</v>
      </c>
      <c r="AC25" s="21">
        <v>1.72333</v>
      </c>
      <c r="AD25">
        <f t="shared" si="4"/>
        <v>-1.1379999999999999</v>
      </c>
      <c r="AE25">
        <f t="shared" si="5"/>
        <v>-1.9623671999999996</v>
      </c>
      <c r="AF25" s="9"/>
      <c r="AG25" s="21">
        <v>-2.4414100000000001E-2</v>
      </c>
      <c r="AH25" s="21">
        <v>177.56299999999999</v>
      </c>
      <c r="AI25" s="21">
        <v>-1.5783700000000001E-2</v>
      </c>
      <c r="AJ25" s="21">
        <v>15</v>
      </c>
      <c r="AK25" s="21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1">
        <v>1.7243999999999999</v>
      </c>
      <c r="AR25" s="21">
        <v>227.01</v>
      </c>
      <c r="AS25" s="21">
        <v>1.05682E-3</v>
      </c>
      <c r="AT25" s="21">
        <v>15</v>
      </c>
      <c r="AU25" s="21">
        <v>1.72333</v>
      </c>
      <c r="AV25">
        <f t="shared" si="8"/>
        <v>-1.0568200000000001</v>
      </c>
      <c r="AW25">
        <f t="shared" si="9"/>
        <v>-1.8223804080000001</v>
      </c>
      <c r="AX25" s="9"/>
      <c r="AY25" s="21">
        <v>-2.4414100000000001E-2</v>
      </c>
      <c r="AZ25" s="21">
        <v>261.35000000000002</v>
      </c>
      <c r="BA25" s="21">
        <v>-1.5753199999999998E-2</v>
      </c>
      <c r="BB25" s="21">
        <v>15</v>
      </c>
      <c r="BC25" s="21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49.216299999999997</v>
      </c>
      <c r="I26" s="21">
        <v>8.8134800000000001E-4</v>
      </c>
      <c r="J26" s="21">
        <v>16</v>
      </c>
      <c r="K26" s="21">
        <v>1.71844</v>
      </c>
      <c r="L26">
        <f t="shared" si="0"/>
        <v>-0.88134800000000002</v>
      </c>
      <c r="M26">
        <f t="shared" si="1"/>
        <v>-1.5153544972799999</v>
      </c>
      <c r="N26" s="9"/>
      <c r="O26" s="21">
        <v>-1.9378699999999999E-2</v>
      </c>
      <c r="P26" s="21">
        <v>98.642700000000005</v>
      </c>
      <c r="Q26" s="21">
        <v>-1.5847799999999999E-2</v>
      </c>
      <c r="R26" s="21">
        <v>16</v>
      </c>
      <c r="S26" s="21">
        <v>-1.96869E-2</v>
      </c>
      <c r="T26">
        <f t="shared" si="2"/>
        <v>15.847799999999999</v>
      </c>
      <c r="U26">
        <f t="shared" si="3"/>
        <v>-0.30710976185999994</v>
      </c>
      <c r="V26" s="22"/>
      <c r="W26" s="23"/>
      <c r="X26" s="9"/>
      <c r="Y26" s="21">
        <v>1.71936</v>
      </c>
      <c r="Z26" s="21">
        <v>128.1</v>
      </c>
      <c r="AA26" s="21">
        <v>4.2715500000000003E-4</v>
      </c>
      <c r="AB26" s="21">
        <v>16</v>
      </c>
      <c r="AC26" s="21">
        <v>1.71906</v>
      </c>
      <c r="AD26">
        <f t="shared" si="4"/>
        <v>-0.42715500000000001</v>
      </c>
      <c r="AE26">
        <f t="shared" si="5"/>
        <v>-0.73443322080000006</v>
      </c>
      <c r="AF26" s="9"/>
      <c r="AG26" s="21">
        <v>-1.9378699999999999E-2</v>
      </c>
      <c r="AH26" s="21">
        <v>177.57300000000001</v>
      </c>
      <c r="AI26" s="21">
        <v>-1.5783700000000001E-2</v>
      </c>
      <c r="AJ26" s="21">
        <v>16</v>
      </c>
      <c r="AK26" s="21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1">
        <v>1.71936</v>
      </c>
      <c r="AR26" s="21">
        <v>227.02</v>
      </c>
      <c r="AS26" s="21">
        <v>3.4146099999999999E-4</v>
      </c>
      <c r="AT26" s="21">
        <v>16</v>
      </c>
      <c r="AU26" s="21">
        <v>1.71936</v>
      </c>
      <c r="AV26">
        <f t="shared" si="8"/>
        <v>-0.34146100000000001</v>
      </c>
      <c r="AW26">
        <f t="shared" si="9"/>
        <v>-0.58709438495999999</v>
      </c>
      <c r="AX26" s="9"/>
      <c r="AY26" s="21">
        <v>-1.9378699999999999E-2</v>
      </c>
      <c r="AZ26" s="21">
        <v>261.36</v>
      </c>
      <c r="BA26" s="21">
        <v>-1.57593E-2</v>
      </c>
      <c r="BB26" s="21">
        <v>16</v>
      </c>
      <c r="BC26" s="21">
        <v>-1.96869E-2</v>
      </c>
      <c r="BD26">
        <f t="shared" si="10"/>
        <v>15.7593</v>
      </c>
      <c r="BE26">
        <f t="shared" si="11"/>
        <v>-0.30539474690999996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49.226300000000002</v>
      </c>
      <c r="I27" s="21">
        <v>1.96472E-4</v>
      </c>
      <c r="J27" s="21">
        <v>17</v>
      </c>
      <c r="K27" s="21">
        <v>1.71356</v>
      </c>
      <c r="L27">
        <f t="shared" si="0"/>
        <v>-0.19647200000000001</v>
      </c>
      <c r="M27">
        <f t="shared" si="1"/>
        <v>-0.33681587904000004</v>
      </c>
      <c r="N27" s="9"/>
      <c r="O27" s="21">
        <v>-1.43433E-2</v>
      </c>
      <c r="P27" s="21">
        <v>98.652799999999999</v>
      </c>
      <c r="Q27" s="21">
        <v>-1.5847799999999999E-2</v>
      </c>
      <c r="R27" s="21">
        <v>17</v>
      </c>
      <c r="S27" s="21">
        <v>-1.46362E-2</v>
      </c>
      <c r="T27">
        <f t="shared" si="2"/>
        <v>15.847799999999999</v>
      </c>
      <c r="U27">
        <f t="shared" si="3"/>
        <v>-0.22730974973999998</v>
      </c>
      <c r="X27" s="9"/>
      <c r="Y27" s="21">
        <v>1.7143200000000001</v>
      </c>
      <c r="Z27" s="21">
        <v>128.11000000000001</v>
      </c>
      <c r="AA27" s="21">
        <v>-2.7185099999999998E-4</v>
      </c>
      <c r="AB27" s="21">
        <v>17</v>
      </c>
      <c r="AC27" s="21">
        <v>1.71417</v>
      </c>
      <c r="AD27">
        <f t="shared" si="4"/>
        <v>0.27185100000000001</v>
      </c>
      <c r="AE27">
        <f t="shared" si="5"/>
        <v>0.46603960632000002</v>
      </c>
      <c r="AF27" s="9"/>
      <c r="AG27" s="21">
        <v>-1.43433E-2</v>
      </c>
      <c r="AH27" s="21">
        <v>177.583</v>
      </c>
      <c r="AI27" s="21">
        <v>-1.5783700000000001E-2</v>
      </c>
      <c r="AJ27" s="21">
        <v>17</v>
      </c>
      <c r="AK27" s="21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1">
        <v>1.7143200000000001</v>
      </c>
      <c r="AR27" s="21">
        <v>227.03</v>
      </c>
      <c r="AS27" s="21">
        <v>-3.5952800000000002E-4</v>
      </c>
      <c r="AT27" s="21">
        <v>17</v>
      </c>
      <c r="AU27" s="21">
        <v>1.71326</v>
      </c>
      <c r="AV27">
        <f t="shared" si="8"/>
        <v>0.35952800000000001</v>
      </c>
      <c r="AW27">
        <f t="shared" si="9"/>
        <v>0.61634604096000001</v>
      </c>
      <c r="AX27" s="9"/>
      <c r="AY27" s="21">
        <v>-1.43433E-2</v>
      </c>
      <c r="AZ27" s="21">
        <v>261.37</v>
      </c>
      <c r="BA27" s="21">
        <v>-1.57623E-2</v>
      </c>
      <c r="BB27" s="21">
        <v>17</v>
      </c>
      <c r="BC27" s="21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49.236400000000003</v>
      </c>
      <c r="I28" s="21">
        <v>-4.7232099999999999E-4</v>
      </c>
      <c r="J28" s="21">
        <v>18</v>
      </c>
      <c r="K28" s="21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1">
        <v>-9.3078599999999994E-3</v>
      </c>
      <c r="P28" s="21">
        <v>98.662800000000004</v>
      </c>
      <c r="Q28" s="21">
        <v>-1.58417E-2</v>
      </c>
      <c r="R28" s="21">
        <v>18</v>
      </c>
      <c r="S28" s="21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1">
        <v>1.70929</v>
      </c>
      <c r="Z28" s="21">
        <v>128.12</v>
      </c>
      <c r="AA28" s="21">
        <v>-9.3322800000000003E-4</v>
      </c>
      <c r="AB28" s="21">
        <v>18</v>
      </c>
      <c r="AC28" s="21">
        <v>1.70868</v>
      </c>
      <c r="AD28">
        <f t="shared" si="4"/>
        <v>0.93322800000000006</v>
      </c>
      <c r="AE28">
        <f t="shared" si="5"/>
        <v>1.59515728812</v>
      </c>
      <c r="AF28" s="9"/>
      <c r="AG28" s="21">
        <v>-9.3078599999999994E-3</v>
      </c>
      <c r="AH28" s="21">
        <v>177.59299999999999</v>
      </c>
      <c r="AI28" s="21">
        <v>-1.5780599999999999E-2</v>
      </c>
      <c r="AJ28" s="21">
        <v>18</v>
      </c>
      <c r="AK28" s="21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1">
        <v>1.70929</v>
      </c>
      <c r="AR28" s="21">
        <v>227.04</v>
      </c>
      <c r="AS28" s="21">
        <v>-1.02081E-3</v>
      </c>
      <c r="AT28" s="21">
        <v>18</v>
      </c>
      <c r="AU28" s="21">
        <v>1.70868</v>
      </c>
      <c r="AV28">
        <f t="shared" si="8"/>
        <v>1.02081</v>
      </c>
      <c r="AW28">
        <f t="shared" si="9"/>
        <v>1.7448603248999999</v>
      </c>
      <c r="AX28" s="9"/>
      <c r="AY28" s="21">
        <v>-9.3078599999999994E-3</v>
      </c>
      <c r="AZ28" s="21">
        <v>261.38</v>
      </c>
      <c r="BA28" s="21">
        <v>-1.57623E-2</v>
      </c>
      <c r="BB28" s="21">
        <v>18</v>
      </c>
      <c r="BC28" s="21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49.246499999999997</v>
      </c>
      <c r="I29" s="21">
        <v>-1.1285399999999999E-3</v>
      </c>
      <c r="J29" s="21">
        <v>19</v>
      </c>
      <c r="K29" s="21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1">
        <v>-4.2724599999999996E-3</v>
      </c>
      <c r="P29" s="21">
        <v>98.672899999999998</v>
      </c>
      <c r="Q29" s="21">
        <v>-1.5838600000000001E-2</v>
      </c>
      <c r="R29" s="21">
        <v>19</v>
      </c>
      <c r="S29" s="21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1">
        <v>1.70425</v>
      </c>
      <c r="Z29" s="21">
        <v>128.13</v>
      </c>
      <c r="AA29" s="21">
        <v>-1.56982E-3</v>
      </c>
      <c r="AB29" s="21">
        <v>19</v>
      </c>
      <c r="AC29" s="21">
        <v>1.7034899999999999</v>
      </c>
      <c r="AD29">
        <f t="shared" si="4"/>
        <v>1.56982</v>
      </c>
      <c r="AE29">
        <f t="shared" si="5"/>
        <v>2.6753657350000002</v>
      </c>
      <c r="AF29" s="9"/>
      <c r="AG29" s="21">
        <v>-4.2724599999999996E-3</v>
      </c>
      <c r="AH29" s="21">
        <v>177.60300000000001</v>
      </c>
      <c r="AI29" s="21">
        <v>-1.5777599999999999E-2</v>
      </c>
      <c r="AJ29" s="21">
        <v>19</v>
      </c>
      <c r="AK29" s="21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1">
        <v>1.70425</v>
      </c>
      <c r="AR29" s="21">
        <v>227.05</v>
      </c>
      <c r="AS29" s="21">
        <v>-1.66077E-3</v>
      </c>
      <c r="AT29" s="21">
        <v>19</v>
      </c>
      <c r="AU29" s="21">
        <v>1.70319</v>
      </c>
      <c r="AV29">
        <f t="shared" si="8"/>
        <v>1.6607700000000001</v>
      </c>
      <c r="AW29">
        <f t="shared" si="9"/>
        <v>2.8303672725000002</v>
      </c>
      <c r="AX29" s="9"/>
      <c r="AY29" s="21">
        <v>-4.2724599999999996E-3</v>
      </c>
      <c r="AZ29" s="21">
        <v>261.39</v>
      </c>
      <c r="BA29" s="21">
        <v>-1.5756200000000001E-2</v>
      </c>
      <c r="BB29" s="21">
        <v>19</v>
      </c>
      <c r="BC29" s="21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49.256599999999999</v>
      </c>
      <c r="I30" s="21">
        <v>-1.7404199999999999E-3</v>
      </c>
      <c r="J30" s="21">
        <v>20</v>
      </c>
      <c r="K30" s="21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1">
        <v>7.6293900000000002E-4</v>
      </c>
      <c r="P30" s="21">
        <v>98.683000000000007</v>
      </c>
      <c r="Q30" s="21">
        <v>-1.58417E-2</v>
      </c>
      <c r="R30" s="21">
        <v>20</v>
      </c>
      <c r="S30" s="21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1">
        <v>1.69922</v>
      </c>
      <c r="Z30" s="21">
        <v>128.13999999999999</v>
      </c>
      <c r="AA30" s="21">
        <v>-2.1945200000000002E-3</v>
      </c>
      <c r="AB30" s="21">
        <v>20</v>
      </c>
      <c r="AC30" s="21">
        <v>1.69922</v>
      </c>
      <c r="AD30">
        <f t="shared" si="4"/>
        <v>2.1945200000000002</v>
      </c>
      <c r="AE30">
        <f t="shared" si="5"/>
        <v>3.7289722744000002</v>
      </c>
      <c r="AF30" s="9"/>
      <c r="AG30" s="21">
        <v>7.6293900000000002E-4</v>
      </c>
      <c r="AH30" s="21">
        <v>177.613</v>
      </c>
      <c r="AI30" s="21">
        <v>-1.57745E-2</v>
      </c>
      <c r="AJ30" s="21">
        <v>20</v>
      </c>
      <c r="AK30" s="21">
        <v>5.8593700000000002E-4</v>
      </c>
      <c r="AL30">
        <f t="shared" si="6"/>
        <v>15.7745</v>
      </c>
      <c r="AM30">
        <f t="shared" si="7"/>
        <v>1.20349812555E-2</v>
      </c>
      <c r="AP30" s="9"/>
      <c r="AQ30" s="21">
        <v>1.69922</v>
      </c>
      <c r="AR30" s="21">
        <v>227.06</v>
      </c>
      <c r="AS30" s="21">
        <v>-2.2607399999999998E-3</v>
      </c>
      <c r="AT30" s="21">
        <v>20</v>
      </c>
      <c r="AU30" s="21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1">
        <v>7.6293900000000002E-4</v>
      </c>
      <c r="AZ30" s="21">
        <v>261.39999999999998</v>
      </c>
      <c r="BA30" s="21">
        <v>-1.57501E-2</v>
      </c>
      <c r="BB30" s="21">
        <v>20</v>
      </c>
      <c r="BC30" s="21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49.266599999999997</v>
      </c>
      <c r="I31" s="21">
        <v>-2.3373399999999998E-3</v>
      </c>
      <c r="J31" s="21">
        <v>21</v>
      </c>
      <c r="K31" s="21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1">
        <v>5.7983399999999999E-3</v>
      </c>
      <c r="P31" s="21">
        <v>98.693100000000001</v>
      </c>
      <c r="Q31" s="21">
        <v>-1.58447E-2</v>
      </c>
      <c r="R31" s="21">
        <v>21</v>
      </c>
      <c r="S31" s="21">
        <v>5.5725100000000001E-3</v>
      </c>
      <c r="T31">
        <f t="shared" si="2"/>
        <v>15.8447</v>
      </c>
      <c r="U31">
        <f t="shared" si="3"/>
        <v>9.1872957797999991E-2</v>
      </c>
      <c r="X31" s="9"/>
      <c r="Y31" s="21">
        <v>1.69418</v>
      </c>
      <c r="Z31" s="21">
        <v>128.15</v>
      </c>
      <c r="AA31" s="21">
        <v>-2.7789300000000002E-3</v>
      </c>
      <c r="AB31" s="21">
        <v>21</v>
      </c>
      <c r="AC31" s="21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1">
        <v>5.7983399999999999E-3</v>
      </c>
      <c r="AH31" s="21">
        <v>177.624</v>
      </c>
      <c r="AI31" s="21">
        <v>-1.5771500000000001E-2</v>
      </c>
      <c r="AJ31" s="21">
        <v>21</v>
      </c>
      <c r="AK31" s="21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1">
        <v>1.69418</v>
      </c>
      <c r="AR31" s="21">
        <v>227.07</v>
      </c>
      <c r="AS31" s="21">
        <v>-2.8381299999999999E-3</v>
      </c>
      <c r="AT31" s="21">
        <v>21</v>
      </c>
      <c r="AU31" s="21">
        <v>1.6934199999999999</v>
      </c>
      <c r="AV31">
        <f t="shared" si="8"/>
        <v>2.83813</v>
      </c>
      <c r="AW31">
        <f t="shared" si="9"/>
        <v>4.8083030834000002</v>
      </c>
      <c r="AX31" s="9"/>
      <c r="AY31" s="21">
        <v>5.7983399999999999E-3</v>
      </c>
      <c r="AZ31" s="21">
        <v>261.41000000000003</v>
      </c>
      <c r="BA31" s="21">
        <v>-1.5744000000000001E-2</v>
      </c>
      <c r="BB31" s="21">
        <v>21</v>
      </c>
      <c r="BC31" s="21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49.276699999999998</v>
      </c>
      <c r="I32" s="21">
        <v>-2.9141200000000001E-3</v>
      </c>
      <c r="J32" s="21">
        <v>22</v>
      </c>
      <c r="K32" s="21">
        <v>1.6879299999999999</v>
      </c>
      <c r="L32">
        <f t="shared" si="0"/>
        <v>2.91412</v>
      </c>
      <c r="M32">
        <f t="shared" si="1"/>
        <v>4.9223857979999996</v>
      </c>
      <c r="N32" s="9"/>
      <c r="O32" s="21">
        <v>1.08337E-2</v>
      </c>
      <c r="P32" s="21">
        <v>98.703100000000006</v>
      </c>
      <c r="Q32" s="21">
        <v>-1.5847799999999999E-2</v>
      </c>
      <c r="R32" s="21">
        <v>22</v>
      </c>
      <c r="S32" s="21">
        <v>1.06079E-2</v>
      </c>
      <c r="T32">
        <f t="shared" si="2"/>
        <v>15.847799999999999</v>
      </c>
      <c r="U32">
        <f t="shared" si="3"/>
        <v>0.17169031086</v>
      </c>
      <c r="X32" s="9"/>
      <c r="Y32" s="21">
        <v>1.6891499999999999</v>
      </c>
      <c r="Z32" s="21">
        <v>128.16</v>
      </c>
      <c r="AA32" s="21">
        <v>-3.34045E-3</v>
      </c>
      <c r="AB32" s="21">
        <v>22</v>
      </c>
      <c r="AC32" s="21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1">
        <v>1.08337E-2</v>
      </c>
      <c r="AH32" s="21">
        <v>177.63399999999999</v>
      </c>
      <c r="AI32" s="21">
        <v>-1.57745E-2</v>
      </c>
      <c r="AJ32" s="21">
        <v>22</v>
      </c>
      <c r="AK32" s="21">
        <v>1.06903E-2</v>
      </c>
      <c r="AL32">
        <f t="shared" si="6"/>
        <v>15.7745</v>
      </c>
      <c r="AM32">
        <f t="shared" si="7"/>
        <v>0.17089620065</v>
      </c>
      <c r="AP32" s="9"/>
      <c r="AQ32" s="21">
        <v>1.6891499999999999</v>
      </c>
      <c r="AR32" s="21">
        <v>227.08</v>
      </c>
      <c r="AS32" s="21">
        <v>-3.39355E-3</v>
      </c>
      <c r="AT32" s="21">
        <v>22</v>
      </c>
      <c r="AU32" s="21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1">
        <v>1.08337E-2</v>
      </c>
      <c r="AZ32" s="21">
        <v>261.42</v>
      </c>
      <c r="BA32" s="21">
        <v>-1.57349E-2</v>
      </c>
      <c r="BB32" s="21">
        <v>22</v>
      </c>
      <c r="BC32" s="21">
        <v>1.06567E-2</v>
      </c>
      <c r="BD32">
        <f t="shared" si="10"/>
        <v>15.7349</v>
      </c>
      <c r="BE32">
        <f t="shared" si="11"/>
        <v>0.17046718613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49.286799999999999</v>
      </c>
      <c r="I33" s="21">
        <v>-3.46649E-3</v>
      </c>
      <c r="J33" s="21">
        <v>23</v>
      </c>
      <c r="K33" s="21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1">
        <v>1.5869100000000001E-2</v>
      </c>
      <c r="P33" s="21">
        <v>98.713200000000001</v>
      </c>
      <c r="Q33" s="21">
        <v>-1.5847799999999999E-2</v>
      </c>
      <c r="R33" s="21">
        <v>23</v>
      </c>
      <c r="S33" s="21">
        <v>1.57593E-2</v>
      </c>
      <c r="T33">
        <f t="shared" si="2"/>
        <v>15.847799999999999</v>
      </c>
      <c r="U33">
        <f t="shared" si="3"/>
        <v>0.25149032298000001</v>
      </c>
      <c r="X33" s="9"/>
      <c r="Y33" s="21">
        <v>1.68411</v>
      </c>
      <c r="Z33" s="21">
        <v>128.16999999999999</v>
      </c>
      <c r="AA33" s="21">
        <v>-3.8702400000000001E-3</v>
      </c>
      <c r="AB33" s="21">
        <v>23</v>
      </c>
      <c r="AC33" s="21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1">
        <v>1.5869100000000001E-2</v>
      </c>
      <c r="AH33" s="21">
        <v>177.64400000000001</v>
      </c>
      <c r="AI33" s="21">
        <v>-1.5783700000000001E-2</v>
      </c>
      <c r="AJ33" s="21">
        <v>23</v>
      </c>
      <c r="AK33" s="21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1">
        <v>1.68411</v>
      </c>
      <c r="AR33" s="21">
        <v>227.09</v>
      </c>
      <c r="AS33" s="21">
        <v>-3.9151000000000004E-3</v>
      </c>
      <c r="AT33" s="21">
        <v>23</v>
      </c>
      <c r="AU33" s="21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1">
        <v>1.5869100000000001E-2</v>
      </c>
      <c r="AZ33" s="21">
        <v>261.43</v>
      </c>
      <c r="BA33" s="21">
        <v>-1.5728800000000001E-2</v>
      </c>
      <c r="BB33" s="21">
        <v>23</v>
      </c>
      <c r="BC33" s="21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49.296799999999998</v>
      </c>
      <c r="I34" s="21">
        <v>-3.9968900000000003E-3</v>
      </c>
      <c r="J34" s="21">
        <v>24</v>
      </c>
      <c r="K34" s="21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1">
        <v>2.0904499999999999E-2</v>
      </c>
      <c r="P34" s="21">
        <v>98.723299999999995</v>
      </c>
      <c r="Q34" s="21">
        <v>-1.5847799999999999E-2</v>
      </c>
      <c r="R34" s="21">
        <v>24</v>
      </c>
      <c r="S34" s="21">
        <v>2.0834399999999999E-2</v>
      </c>
      <c r="T34">
        <f t="shared" si="2"/>
        <v>15.847799999999999</v>
      </c>
      <c r="U34">
        <f t="shared" si="3"/>
        <v>0.3312903351</v>
      </c>
      <c r="X34" s="9"/>
      <c r="Y34" s="21">
        <v>1.6790799999999999</v>
      </c>
      <c r="Z34" s="21">
        <v>128.18</v>
      </c>
      <c r="AA34" s="21">
        <v>-4.3817099999999996E-3</v>
      </c>
      <c r="AB34" s="21">
        <v>24</v>
      </c>
      <c r="AC34" s="21">
        <v>1.6781600000000001</v>
      </c>
      <c r="AD34">
        <f t="shared" si="4"/>
        <v>4.38171</v>
      </c>
      <c r="AE34">
        <f t="shared" si="5"/>
        <v>7.3572416267999996</v>
      </c>
      <c r="AF34" s="9"/>
      <c r="AG34" s="21">
        <v>2.0904499999999999E-2</v>
      </c>
      <c r="AH34" s="21">
        <v>177.654</v>
      </c>
      <c r="AI34" s="21">
        <v>-1.5777599999999999E-2</v>
      </c>
      <c r="AJ34" s="21">
        <v>24</v>
      </c>
      <c r="AK34" s="21">
        <v>2.07397E-2</v>
      </c>
      <c r="AL34">
        <f t="shared" si="6"/>
        <v>15.7776</v>
      </c>
      <c r="AM34">
        <f t="shared" si="7"/>
        <v>0.3298228392</v>
      </c>
      <c r="AP34" s="9"/>
      <c r="AQ34" s="21">
        <v>1.6790799999999999</v>
      </c>
      <c r="AR34" s="21">
        <v>227.1</v>
      </c>
      <c r="AS34" s="21">
        <v>-4.4198600000000003E-3</v>
      </c>
      <c r="AT34" s="21">
        <v>24</v>
      </c>
      <c r="AU34" s="21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1">
        <v>2.0904499999999999E-2</v>
      </c>
      <c r="AZ34" s="21">
        <v>261.44</v>
      </c>
      <c r="BA34" s="21">
        <v>-1.57349E-2</v>
      </c>
      <c r="BB34" s="21">
        <v>24</v>
      </c>
      <c r="BC34" s="21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49.306899999999999</v>
      </c>
      <c r="I35" s="21">
        <v>-4.5037799999999998E-3</v>
      </c>
      <c r="J35" s="21">
        <v>25</v>
      </c>
      <c r="K35" s="21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1">
        <v>2.5939899999999998E-2</v>
      </c>
      <c r="P35" s="21">
        <v>98.7333</v>
      </c>
      <c r="Q35" s="21">
        <v>-1.5847799999999999E-2</v>
      </c>
      <c r="R35" s="21">
        <v>25</v>
      </c>
      <c r="S35" s="21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1">
        <v>1.67404</v>
      </c>
      <c r="Z35" s="21">
        <v>128.19</v>
      </c>
      <c r="AA35" s="21">
        <v>-4.8669400000000002E-3</v>
      </c>
      <c r="AB35" s="21">
        <v>25</v>
      </c>
      <c r="AC35" s="21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1">
        <v>2.5939899999999998E-2</v>
      </c>
      <c r="AH35" s="21">
        <v>177.66399999999999</v>
      </c>
      <c r="AI35" s="21">
        <v>-1.57745E-2</v>
      </c>
      <c r="AJ35" s="21">
        <v>25</v>
      </c>
      <c r="AK35" s="21">
        <v>2.57568E-2</v>
      </c>
      <c r="AL35">
        <f t="shared" si="6"/>
        <v>15.7745</v>
      </c>
      <c r="AM35">
        <f t="shared" si="7"/>
        <v>0.40918895254999998</v>
      </c>
      <c r="AP35" s="9"/>
      <c r="AQ35" s="21">
        <v>1.67404</v>
      </c>
      <c r="AR35" s="21">
        <v>227.11</v>
      </c>
      <c r="AS35" s="21">
        <v>-4.8925799999999997E-3</v>
      </c>
      <c r="AT35" s="21">
        <v>25</v>
      </c>
      <c r="AU35" s="21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1">
        <v>2.5939899999999998E-2</v>
      </c>
      <c r="AZ35" s="21">
        <v>261.45</v>
      </c>
      <c r="BA35" s="21">
        <v>-1.5741000000000002E-2</v>
      </c>
      <c r="BB35" s="21">
        <v>25</v>
      </c>
      <c r="BC35" s="21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49.317</v>
      </c>
      <c r="I36" s="21">
        <v>-4.9816900000000004E-3</v>
      </c>
      <c r="J36" s="21">
        <v>26</v>
      </c>
      <c r="K36" s="21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1">
        <v>3.0975300000000001E-2</v>
      </c>
      <c r="P36" s="21">
        <v>98.743399999999994</v>
      </c>
      <c r="Q36" s="21">
        <v>-1.58447E-2</v>
      </c>
      <c r="R36" s="21">
        <v>26</v>
      </c>
      <c r="S36" s="21">
        <v>3.0847200000000002E-2</v>
      </c>
      <c r="T36">
        <f t="shared" si="2"/>
        <v>15.8447</v>
      </c>
      <c r="U36">
        <f t="shared" si="3"/>
        <v>0.49079433590999999</v>
      </c>
      <c r="X36" s="9"/>
      <c r="Y36" s="21">
        <v>1.6690100000000001</v>
      </c>
      <c r="Z36" s="21">
        <v>128.19999999999999</v>
      </c>
      <c r="AA36" s="21">
        <v>-5.3192100000000004E-3</v>
      </c>
      <c r="AB36" s="21">
        <v>26</v>
      </c>
      <c r="AC36" s="21">
        <v>1.6677900000000001</v>
      </c>
      <c r="AD36">
        <f t="shared" si="4"/>
        <v>5.31921</v>
      </c>
      <c r="AE36">
        <f t="shared" si="5"/>
        <v>8.8778146821000004</v>
      </c>
      <c r="AF36" s="9"/>
      <c r="AG36" s="21">
        <v>3.0975300000000001E-2</v>
      </c>
      <c r="AH36" s="21">
        <v>177.67400000000001</v>
      </c>
      <c r="AI36" s="21">
        <v>-1.5768399999999998E-2</v>
      </c>
      <c r="AJ36" s="21">
        <v>26</v>
      </c>
      <c r="AK36" s="21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1">
        <v>1.6690100000000001</v>
      </c>
      <c r="AR36" s="21">
        <v>227.12</v>
      </c>
      <c r="AS36" s="21">
        <v>-5.33447E-3</v>
      </c>
      <c r="AT36" s="21">
        <v>26</v>
      </c>
      <c r="AU36" s="21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1">
        <v>3.0975300000000001E-2</v>
      </c>
      <c r="AZ36" s="21">
        <v>261.45999999999998</v>
      </c>
      <c r="BA36" s="21">
        <v>-1.5741000000000002E-2</v>
      </c>
      <c r="BB36" s="21">
        <v>26</v>
      </c>
      <c r="BC36" s="21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49.327100000000002</v>
      </c>
      <c r="I37" s="21">
        <v>-5.4321300000000003E-3</v>
      </c>
      <c r="J37" s="21">
        <v>27</v>
      </c>
      <c r="K37" s="21">
        <v>1.6629</v>
      </c>
      <c r="L37">
        <f t="shared" si="0"/>
        <v>5.4321299999999999</v>
      </c>
      <c r="M37">
        <f t="shared" si="1"/>
        <v>9.0389013561000002</v>
      </c>
      <c r="N37" s="9"/>
      <c r="O37" s="21">
        <v>3.60107E-2</v>
      </c>
      <c r="P37" s="21">
        <v>98.753500000000003</v>
      </c>
      <c r="Q37" s="21">
        <v>-1.5847799999999999E-2</v>
      </c>
      <c r="R37" s="21">
        <v>27</v>
      </c>
      <c r="S37" s="21">
        <v>3.59528E-2</v>
      </c>
      <c r="T37">
        <f t="shared" si="2"/>
        <v>15.847799999999999</v>
      </c>
      <c r="U37">
        <f t="shared" si="3"/>
        <v>0.57069037146000001</v>
      </c>
      <c r="X37" s="9"/>
      <c r="Y37" s="21">
        <v>1.6639699999999999</v>
      </c>
      <c r="Z37" s="21">
        <v>128.21100000000001</v>
      </c>
      <c r="AA37" s="21">
        <v>-5.7464600000000001E-3</v>
      </c>
      <c r="AB37" s="21">
        <v>27</v>
      </c>
      <c r="AC37" s="21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1">
        <v>3.60107E-2</v>
      </c>
      <c r="AH37" s="21">
        <v>177.684</v>
      </c>
      <c r="AI37" s="21">
        <v>-1.57623E-2</v>
      </c>
      <c r="AJ37" s="21">
        <v>27</v>
      </c>
      <c r="AK37" s="21">
        <v>3.5897800000000001E-2</v>
      </c>
      <c r="AL37">
        <f t="shared" si="6"/>
        <v>15.7623</v>
      </c>
      <c r="AM37">
        <f t="shared" si="7"/>
        <v>0.56761145661000001</v>
      </c>
      <c r="AP37" s="9"/>
      <c r="AQ37" s="21">
        <v>1.6639699999999999</v>
      </c>
      <c r="AR37" s="21">
        <v>227.13</v>
      </c>
      <c r="AS37" s="21">
        <v>-5.7495100000000002E-3</v>
      </c>
      <c r="AT37" s="21">
        <v>27</v>
      </c>
      <c r="AU37" s="21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1">
        <v>3.60107E-2</v>
      </c>
      <c r="AZ37" s="21">
        <v>261.471</v>
      </c>
      <c r="BA37" s="21">
        <v>-1.5741000000000002E-2</v>
      </c>
      <c r="BB37" s="21">
        <v>27</v>
      </c>
      <c r="BC37" s="21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49.3371</v>
      </c>
      <c r="I38" s="21">
        <v>-5.85938E-3</v>
      </c>
      <c r="J38" s="21">
        <v>28</v>
      </c>
      <c r="K38" s="21">
        <v>1.65802</v>
      </c>
      <c r="L38">
        <f t="shared" si="0"/>
        <v>5.8593799999999998</v>
      </c>
      <c r="M38">
        <f t="shared" si="1"/>
        <v>9.7203598572000001</v>
      </c>
      <c r="N38" s="9"/>
      <c r="O38" s="21">
        <v>4.1046100000000002E-2</v>
      </c>
      <c r="P38" s="21">
        <v>98.763499999999993</v>
      </c>
      <c r="Q38" s="21">
        <v>-1.5850800000000002E-2</v>
      </c>
      <c r="R38" s="21">
        <v>28</v>
      </c>
      <c r="S38" s="21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1">
        <v>1.6589400000000001</v>
      </c>
      <c r="Z38" s="21">
        <v>128.221</v>
      </c>
      <c r="AA38" s="21">
        <v>-6.1462399999999999E-3</v>
      </c>
      <c r="AB38" s="21">
        <v>28</v>
      </c>
      <c r="AC38" s="21">
        <v>1.65771</v>
      </c>
      <c r="AD38">
        <f t="shared" si="4"/>
        <v>6.1462399999999997</v>
      </c>
      <c r="AE38">
        <f t="shared" si="5"/>
        <v>10.196243385600001</v>
      </c>
      <c r="AF38" s="9"/>
      <c r="AG38" s="21">
        <v>4.1046100000000002E-2</v>
      </c>
      <c r="AH38" s="21">
        <v>177.69399999999999</v>
      </c>
      <c r="AI38" s="21">
        <v>-1.57623E-2</v>
      </c>
      <c r="AJ38" s="21">
        <v>28</v>
      </c>
      <c r="AK38" s="21">
        <v>4.09729E-2</v>
      </c>
      <c r="AL38">
        <f t="shared" si="6"/>
        <v>15.7623</v>
      </c>
      <c r="AM38">
        <f t="shared" si="7"/>
        <v>0.64698094203000001</v>
      </c>
      <c r="AP38" s="9"/>
      <c r="AQ38" s="21">
        <v>1.6589400000000001</v>
      </c>
      <c r="AR38" s="21">
        <v>227.14</v>
      </c>
      <c r="AS38" s="21">
        <v>-6.1462399999999999E-3</v>
      </c>
      <c r="AT38" s="21">
        <v>28</v>
      </c>
      <c r="AU38" s="21">
        <v>1.65863</v>
      </c>
      <c r="AV38">
        <f t="shared" si="8"/>
        <v>6.1462399999999997</v>
      </c>
      <c r="AW38">
        <f t="shared" si="9"/>
        <v>10.196243385600001</v>
      </c>
      <c r="AX38" s="9"/>
      <c r="AY38" s="21">
        <v>4.1046100000000002E-2</v>
      </c>
      <c r="AZ38" s="21">
        <v>261.48099999999999</v>
      </c>
      <c r="BA38" s="21">
        <v>-1.5728800000000001E-2</v>
      </c>
      <c r="BB38" s="21">
        <v>28</v>
      </c>
      <c r="BC38" s="21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49.347200000000001</v>
      </c>
      <c r="I39" s="21">
        <v>-6.2622099999999998E-3</v>
      </c>
      <c r="J39" s="21">
        <v>29</v>
      </c>
      <c r="K39" s="21">
        <v>1.65344</v>
      </c>
      <c r="L39">
        <f t="shared" si="0"/>
        <v>6.2622099999999996</v>
      </c>
      <c r="M39">
        <f t="shared" si="1"/>
        <v>10.357069118999998</v>
      </c>
      <c r="N39" s="9"/>
      <c r="O39" s="21">
        <v>4.6081499999999997E-2</v>
      </c>
      <c r="P39" s="21">
        <v>98.773600000000002</v>
      </c>
      <c r="Q39" s="21">
        <v>-1.5853900000000001E-2</v>
      </c>
      <c r="R39" s="21">
        <v>29</v>
      </c>
      <c r="S39" s="21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1">
        <v>1.6538999999999999</v>
      </c>
      <c r="Z39" s="21">
        <v>128.23099999999999</v>
      </c>
      <c r="AA39" s="21">
        <v>-6.5277099999999999E-3</v>
      </c>
      <c r="AB39" s="21">
        <v>29</v>
      </c>
      <c r="AC39" s="21">
        <v>1.65283</v>
      </c>
      <c r="AD39">
        <f t="shared" si="4"/>
        <v>6.5277099999999999</v>
      </c>
      <c r="AE39">
        <f t="shared" si="5"/>
        <v>10.796179569</v>
      </c>
      <c r="AF39" s="9"/>
      <c r="AG39" s="21">
        <v>4.6081499999999997E-2</v>
      </c>
      <c r="AH39" s="21">
        <v>177.70400000000001</v>
      </c>
      <c r="AI39" s="21">
        <v>-1.5753199999999998E-2</v>
      </c>
      <c r="AJ39" s="21">
        <v>29</v>
      </c>
      <c r="AK39" s="21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1">
        <v>1.6538999999999999</v>
      </c>
      <c r="AR39" s="21">
        <v>227.15100000000001</v>
      </c>
      <c r="AS39" s="21">
        <v>-6.5216099999999997E-3</v>
      </c>
      <c r="AT39" s="21">
        <v>29</v>
      </c>
      <c r="AU39" s="21">
        <v>1.65283</v>
      </c>
      <c r="AV39">
        <f t="shared" si="8"/>
        <v>6.5216099999999999</v>
      </c>
      <c r="AW39">
        <f t="shared" si="9"/>
        <v>10.786090779</v>
      </c>
      <c r="AX39" s="9"/>
      <c r="AY39" s="21">
        <v>4.6081499999999997E-2</v>
      </c>
      <c r="AZ39" s="21">
        <v>261.49099999999999</v>
      </c>
      <c r="BA39" s="21">
        <v>-1.5731800000000001E-2</v>
      </c>
      <c r="BB39" s="21">
        <v>29</v>
      </c>
      <c r="BC39" s="21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49.357300000000002</v>
      </c>
      <c r="I40" s="21">
        <v>-6.6528300000000002E-3</v>
      </c>
      <c r="J40" s="21">
        <v>30</v>
      </c>
      <c r="K40" s="21">
        <v>1.64825</v>
      </c>
      <c r="L40">
        <f t="shared" si="0"/>
        <v>6.6528299999999998</v>
      </c>
      <c r="M40">
        <f t="shared" si="1"/>
        <v>10.9695852738</v>
      </c>
      <c r="N40" s="9"/>
      <c r="O40" s="21">
        <v>5.11169E-2</v>
      </c>
      <c r="P40" s="21">
        <v>98.783699999999996</v>
      </c>
      <c r="Q40" s="21">
        <v>-1.5850800000000002E-2</v>
      </c>
      <c r="R40" s="21">
        <v>30</v>
      </c>
      <c r="S40" s="21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1">
        <v>1.64886</v>
      </c>
      <c r="Z40" s="21">
        <v>128.24100000000001</v>
      </c>
      <c r="AA40" s="21">
        <v>-6.8969699999999997E-3</v>
      </c>
      <c r="AB40" s="21">
        <v>30</v>
      </c>
      <c r="AC40" s="21">
        <v>1.64795</v>
      </c>
      <c r="AD40">
        <f t="shared" si="4"/>
        <v>6.8969699999999996</v>
      </c>
      <c r="AE40">
        <f t="shared" si="5"/>
        <v>11.372137954199999</v>
      </c>
      <c r="AF40" s="9"/>
      <c r="AG40" s="21">
        <v>5.11169E-2</v>
      </c>
      <c r="AH40" s="21">
        <v>177.714</v>
      </c>
      <c r="AI40" s="21">
        <v>-1.5753199999999998E-2</v>
      </c>
      <c r="AJ40" s="21">
        <v>30</v>
      </c>
      <c r="AK40" s="21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1">
        <v>1.64886</v>
      </c>
      <c r="AR40" s="21">
        <v>227.161</v>
      </c>
      <c r="AS40" s="21">
        <v>-6.8817100000000001E-3</v>
      </c>
      <c r="AT40" s="21">
        <v>30</v>
      </c>
      <c r="AU40" s="21">
        <v>1.64825</v>
      </c>
      <c r="AV40">
        <f t="shared" si="8"/>
        <v>6.88171</v>
      </c>
      <c r="AW40">
        <f t="shared" si="9"/>
        <v>11.3469763506</v>
      </c>
      <c r="AX40" s="9"/>
      <c r="AY40" s="21">
        <v>5.11169E-2</v>
      </c>
      <c r="AZ40" s="21">
        <v>261.50099999999998</v>
      </c>
      <c r="BA40" s="21">
        <v>-1.5725699999999999E-2</v>
      </c>
      <c r="BB40" s="21">
        <v>30</v>
      </c>
      <c r="BC40" s="21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49.3673</v>
      </c>
      <c r="I41" s="21">
        <v>-7.02515E-3</v>
      </c>
      <c r="J41" s="21">
        <v>31</v>
      </c>
      <c r="K41" s="21">
        <v>1.64337</v>
      </c>
      <c r="L41">
        <f t="shared" si="0"/>
        <v>7.02515</v>
      </c>
      <c r="M41">
        <f t="shared" si="1"/>
        <v>11.5481523245</v>
      </c>
      <c r="N41" s="9"/>
      <c r="O41" s="21">
        <v>5.6152300000000002E-2</v>
      </c>
      <c r="P41" s="21">
        <v>98.793800000000005</v>
      </c>
      <c r="Q41" s="21">
        <v>-1.5847799999999999E-2</v>
      </c>
      <c r="R41" s="21">
        <v>31</v>
      </c>
      <c r="S41" s="21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1">
        <v>1.6438299999999999</v>
      </c>
      <c r="Z41" s="21">
        <v>128.251</v>
      </c>
      <c r="AA41" s="21">
        <v>-7.2418200000000004E-3</v>
      </c>
      <c r="AB41" s="21">
        <v>31</v>
      </c>
      <c r="AC41" s="21">
        <v>1.64307</v>
      </c>
      <c r="AD41">
        <f t="shared" si="4"/>
        <v>7.2418200000000006</v>
      </c>
      <c r="AE41">
        <f t="shared" si="5"/>
        <v>11.904320970600001</v>
      </c>
      <c r="AF41" s="9"/>
      <c r="AG41" s="21">
        <v>5.6152300000000002E-2</v>
      </c>
      <c r="AH41" s="21">
        <v>177.72399999999999</v>
      </c>
      <c r="AI41" s="21">
        <v>-1.57471E-2</v>
      </c>
      <c r="AJ41" s="21">
        <v>31</v>
      </c>
      <c r="AK41" s="21">
        <v>5.5664100000000001E-2</v>
      </c>
      <c r="AL41">
        <f t="shared" si="6"/>
        <v>15.7471</v>
      </c>
      <c r="AM41">
        <f t="shared" si="7"/>
        <v>0.88423588333000003</v>
      </c>
      <c r="AP41" s="9"/>
      <c r="AQ41" s="21">
        <v>1.6438299999999999</v>
      </c>
      <c r="AR41" s="21">
        <v>227.17099999999999</v>
      </c>
      <c r="AS41" s="21">
        <v>-7.2143600000000004E-3</v>
      </c>
      <c r="AT41" s="21">
        <v>31</v>
      </c>
      <c r="AU41" s="21">
        <v>1.64307</v>
      </c>
      <c r="AV41">
        <f t="shared" si="8"/>
        <v>7.2143600000000001</v>
      </c>
      <c r="AW41">
        <f t="shared" si="9"/>
        <v>11.859181398799999</v>
      </c>
      <c r="AX41" s="9"/>
      <c r="AY41" s="21">
        <v>5.6152300000000002E-2</v>
      </c>
      <c r="AZ41" s="21">
        <v>261.51100000000002</v>
      </c>
      <c r="BA41" s="21">
        <v>-1.5725699999999999E-2</v>
      </c>
      <c r="BB41" s="21">
        <v>31</v>
      </c>
      <c r="BC41" s="21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49.377400000000002</v>
      </c>
      <c r="I42" s="21">
        <v>-7.3791500000000001E-3</v>
      </c>
      <c r="J42" s="21">
        <v>32</v>
      </c>
      <c r="K42" s="21">
        <v>1.63788</v>
      </c>
      <c r="L42">
        <f t="shared" si="0"/>
        <v>7.3791500000000001</v>
      </c>
      <c r="M42">
        <f t="shared" si="1"/>
        <v>12.092877228500001</v>
      </c>
      <c r="N42" s="9"/>
      <c r="O42" s="21">
        <v>6.1187699999999998E-2</v>
      </c>
      <c r="P42" s="21">
        <v>98.803799999999995</v>
      </c>
      <c r="Q42" s="21">
        <v>-1.5838600000000001E-2</v>
      </c>
      <c r="R42" s="21">
        <v>32</v>
      </c>
      <c r="S42" s="21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1">
        <v>1.63879</v>
      </c>
      <c r="Z42" s="21">
        <v>128.261</v>
      </c>
      <c r="AA42" s="21">
        <v>-7.57751E-3</v>
      </c>
      <c r="AB42" s="21">
        <v>32</v>
      </c>
      <c r="AC42" s="21">
        <v>1.63788</v>
      </c>
      <c r="AD42">
        <f t="shared" si="4"/>
        <v>7.5775100000000002</v>
      </c>
      <c r="AE42">
        <f t="shared" si="5"/>
        <v>12.417947612900001</v>
      </c>
      <c r="AF42" s="9"/>
      <c r="AG42" s="21">
        <v>6.1187699999999998E-2</v>
      </c>
      <c r="AH42" s="21">
        <v>177.73400000000001</v>
      </c>
      <c r="AI42" s="21">
        <v>-1.5744000000000001E-2</v>
      </c>
      <c r="AJ42" s="21">
        <v>32</v>
      </c>
      <c r="AK42" s="21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1">
        <v>1.63879</v>
      </c>
      <c r="AR42" s="21">
        <v>227.18100000000001</v>
      </c>
      <c r="AS42" s="21">
        <v>-7.55005E-3</v>
      </c>
      <c r="AT42" s="21">
        <v>32</v>
      </c>
      <c r="AU42" s="21">
        <v>1.63788</v>
      </c>
      <c r="AV42">
        <f t="shared" si="8"/>
        <v>7.5500499999999997</v>
      </c>
      <c r="AW42">
        <f t="shared" si="9"/>
        <v>12.3729464395</v>
      </c>
      <c r="AX42" s="9"/>
      <c r="AY42" s="21">
        <v>6.1187699999999998E-2</v>
      </c>
      <c r="AZ42" s="21">
        <v>261.52100000000002</v>
      </c>
      <c r="BA42" s="21">
        <v>-1.5722699999999999E-2</v>
      </c>
      <c r="BB42" s="21">
        <v>32</v>
      </c>
      <c r="BC42" s="21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49.387500000000003</v>
      </c>
      <c r="I43" s="21">
        <v>-7.7178999999999998E-3</v>
      </c>
      <c r="J43" s="21">
        <v>33</v>
      </c>
      <c r="K43" s="21">
        <v>1.633</v>
      </c>
      <c r="L43">
        <f t="shared" si="0"/>
        <v>7.7179000000000002</v>
      </c>
      <c r="M43">
        <f t="shared" si="1"/>
        <v>12.609196304000001</v>
      </c>
      <c r="N43" s="9"/>
      <c r="O43" s="21">
        <v>6.6223099999999993E-2</v>
      </c>
      <c r="P43" s="21">
        <v>98.813900000000004</v>
      </c>
      <c r="Q43" s="21">
        <v>-1.5835599999999998E-2</v>
      </c>
      <c r="R43" s="21">
        <v>33</v>
      </c>
      <c r="S43" s="21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1">
        <v>1.6337600000000001</v>
      </c>
      <c r="Z43" s="21">
        <v>128.27099999999999</v>
      </c>
      <c r="AA43" s="21">
        <v>-7.901E-3</v>
      </c>
      <c r="AB43" s="21">
        <v>33</v>
      </c>
      <c r="AC43" s="21">
        <v>1.6333</v>
      </c>
      <c r="AD43">
        <f t="shared" si="4"/>
        <v>7.9009999999999998</v>
      </c>
      <c r="AE43">
        <f t="shared" si="5"/>
        <v>12.90833776</v>
      </c>
      <c r="AF43" s="9"/>
      <c r="AG43" s="21">
        <v>6.6223099999999993E-2</v>
      </c>
      <c r="AH43" s="21">
        <v>177.744</v>
      </c>
      <c r="AI43" s="21">
        <v>-1.5737899999999999E-2</v>
      </c>
      <c r="AJ43" s="21">
        <v>33</v>
      </c>
      <c r="AK43" s="21">
        <v>6.5551799999999993E-2</v>
      </c>
      <c r="AL43">
        <f t="shared" si="6"/>
        <v>15.7379</v>
      </c>
      <c r="AM43">
        <f t="shared" si="7"/>
        <v>1.0422125254899999</v>
      </c>
      <c r="AP43" s="9"/>
      <c r="AQ43" s="21">
        <v>1.6337600000000001</v>
      </c>
      <c r="AR43" s="21">
        <v>227.191</v>
      </c>
      <c r="AS43" s="21">
        <v>-7.8582800000000005E-3</v>
      </c>
      <c r="AT43" s="21">
        <v>33</v>
      </c>
      <c r="AU43" s="21">
        <v>1.6333</v>
      </c>
      <c r="AV43">
        <f t="shared" si="8"/>
        <v>7.8582800000000006</v>
      </c>
      <c r="AW43">
        <f t="shared" si="9"/>
        <v>12.838543532800001</v>
      </c>
      <c r="AX43" s="9"/>
      <c r="AY43" s="21">
        <v>6.6223099999999993E-2</v>
      </c>
      <c r="AZ43" s="21">
        <v>261.53100000000001</v>
      </c>
      <c r="BA43" s="21">
        <v>-1.5716600000000001E-2</v>
      </c>
      <c r="BB43" s="21">
        <v>33</v>
      </c>
      <c r="BC43" s="21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49.397599999999997</v>
      </c>
      <c r="I44" s="21">
        <v>-8.04443E-3</v>
      </c>
      <c r="J44" s="21">
        <v>34</v>
      </c>
      <c r="K44" s="21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1">
        <v>7.1258500000000002E-2</v>
      </c>
      <c r="P44" s="21">
        <v>98.823999999999998</v>
      </c>
      <c r="Q44" s="21">
        <v>-1.5832499999999999E-2</v>
      </c>
      <c r="R44" s="21">
        <v>34</v>
      </c>
      <c r="S44" s="21">
        <v>7.07092E-2</v>
      </c>
      <c r="T44">
        <f t="shared" si="2"/>
        <v>15.8325</v>
      </c>
      <c r="U44">
        <f t="shared" si="3"/>
        <v>1.1282002012500001</v>
      </c>
      <c r="X44" s="9"/>
      <c r="Y44" s="21">
        <v>1.6287199999999999</v>
      </c>
      <c r="Z44" s="21">
        <v>128.28100000000001</v>
      </c>
      <c r="AA44" s="21">
        <v>-8.2092299999999997E-3</v>
      </c>
      <c r="AB44" s="21">
        <v>34</v>
      </c>
      <c r="AC44" s="21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1">
        <v>7.1258500000000002E-2</v>
      </c>
      <c r="AH44" s="21">
        <v>177.75399999999999</v>
      </c>
      <c r="AI44" s="21">
        <v>-1.57349E-2</v>
      </c>
      <c r="AJ44" s="21">
        <v>34</v>
      </c>
      <c r="AK44" s="21">
        <v>7.0678699999999997E-2</v>
      </c>
      <c r="AL44">
        <f t="shared" si="6"/>
        <v>15.7349</v>
      </c>
      <c r="AM44">
        <f t="shared" si="7"/>
        <v>1.1212453716499999</v>
      </c>
      <c r="AP44" s="9"/>
      <c r="AQ44" s="21">
        <v>1.6287199999999999</v>
      </c>
      <c r="AR44" s="21">
        <v>227.20099999999999</v>
      </c>
      <c r="AS44" s="21">
        <v>-8.1603999999999999E-3</v>
      </c>
      <c r="AT44" s="21">
        <v>34</v>
      </c>
      <c r="AU44" s="21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1">
        <v>7.1258500000000002E-2</v>
      </c>
      <c r="AZ44" s="21">
        <v>261.541</v>
      </c>
      <c r="BA44" s="21">
        <v>-1.5713499999999998E-2</v>
      </c>
      <c r="BB44" s="21">
        <v>34</v>
      </c>
      <c r="BC44" s="21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49.407600000000002</v>
      </c>
      <c r="I45" s="21">
        <v>-8.3526599999999996E-3</v>
      </c>
      <c r="J45" s="21">
        <v>35</v>
      </c>
      <c r="K45" s="21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1">
        <v>7.6293899999999998E-2</v>
      </c>
      <c r="P45" s="21">
        <v>98.834000000000003</v>
      </c>
      <c r="Q45" s="21">
        <v>-1.5823400000000001E-2</v>
      </c>
      <c r="R45" s="21">
        <v>35</v>
      </c>
      <c r="S45" s="21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1">
        <v>1.6236900000000001</v>
      </c>
      <c r="Z45" s="21">
        <v>128.291</v>
      </c>
      <c r="AA45" s="21">
        <v>-8.4960899999999995E-3</v>
      </c>
      <c r="AB45" s="21">
        <v>35</v>
      </c>
      <c r="AC45" s="21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1">
        <v>7.6293899999999998E-2</v>
      </c>
      <c r="AH45" s="21">
        <v>177.76499999999999</v>
      </c>
      <c r="AI45" s="21">
        <v>-1.5728800000000001E-2</v>
      </c>
      <c r="AJ45" s="21">
        <v>35</v>
      </c>
      <c r="AK45" s="21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1">
        <v>1.6236900000000001</v>
      </c>
      <c r="AR45" s="21">
        <v>227.21100000000001</v>
      </c>
      <c r="AS45" s="21">
        <v>-8.4411599999999996E-3</v>
      </c>
      <c r="AT45" s="21">
        <v>35</v>
      </c>
      <c r="AU45" s="21">
        <v>1.6229199999999999</v>
      </c>
      <c r="AV45">
        <f t="shared" si="8"/>
        <v>8.44116</v>
      </c>
      <c r="AW45">
        <f t="shared" si="9"/>
        <v>13.705827080400001</v>
      </c>
      <c r="AX45" s="9"/>
      <c r="AY45" s="21">
        <v>7.6293899999999998E-2</v>
      </c>
      <c r="AZ45" s="21">
        <v>261.55099999999999</v>
      </c>
      <c r="BA45" s="21">
        <v>-1.57074E-2</v>
      </c>
      <c r="BB45" s="21">
        <v>35</v>
      </c>
      <c r="BC45" s="21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49.417700000000004</v>
      </c>
      <c r="I46" s="21">
        <v>-8.6456299999999996E-3</v>
      </c>
      <c r="J46" s="21">
        <v>36</v>
      </c>
      <c r="K46" s="21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1">
        <v>8.1329299999999993E-2</v>
      </c>
      <c r="P46" s="21">
        <v>98.844099999999997</v>
      </c>
      <c r="Q46" s="21">
        <v>-1.5820299999999999E-2</v>
      </c>
      <c r="R46" s="21">
        <v>36</v>
      </c>
      <c r="S46" s="21">
        <v>8.0932599999999993E-2</v>
      </c>
      <c r="T46">
        <f t="shared" si="2"/>
        <v>15.8203</v>
      </c>
      <c r="U46">
        <f t="shared" si="3"/>
        <v>1.28665392479</v>
      </c>
      <c r="X46" s="9"/>
      <c r="Y46" s="21">
        <v>1.6186499999999999</v>
      </c>
      <c r="Z46" s="21">
        <v>128.30099999999999</v>
      </c>
      <c r="AA46" s="21">
        <v>-8.7676999999999998E-3</v>
      </c>
      <c r="AB46" s="21">
        <v>36</v>
      </c>
      <c r="AC46" s="21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1">
        <v>8.1329299999999993E-2</v>
      </c>
      <c r="AH46" s="21">
        <v>177.77500000000001</v>
      </c>
      <c r="AI46" s="21">
        <v>-1.5725699999999999E-2</v>
      </c>
      <c r="AJ46" s="21">
        <v>36</v>
      </c>
      <c r="AK46" s="21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1">
        <v>1.6186499999999999</v>
      </c>
      <c r="AR46" s="21">
        <v>227.221</v>
      </c>
      <c r="AS46" s="21">
        <v>-8.7066699999999997E-3</v>
      </c>
      <c r="AT46" s="21">
        <v>36</v>
      </c>
      <c r="AU46" s="21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1">
        <v>8.1329299999999993E-2</v>
      </c>
      <c r="AZ46" s="21">
        <v>261.56099999999998</v>
      </c>
      <c r="BA46" s="21">
        <v>-1.5704300000000001E-2</v>
      </c>
      <c r="BB46" s="21">
        <v>36</v>
      </c>
      <c r="BC46" s="21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49.427799999999998</v>
      </c>
      <c r="I47" s="21">
        <v>-8.9172399999999999E-3</v>
      </c>
      <c r="J47" s="21">
        <v>37</v>
      </c>
      <c r="K47" s="21">
        <v>1.6128499999999999</v>
      </c>
      <c r="L47">
        <f t="shared" si="0"/>
        <v>8.9172399999999996</v>
      </c>
      <c r="M47">
        <f t="shared" si="1"/>
        <v>14.3890368088</v>
      </c>
      <c r="N47" s="9"/>
      <c r="O47" s="21">
        <v>8.6364700000000003E-2</v>
      </c>
      <c r="P47" s="21">
        <v>98.854200000000006</v>
      </c>
      <c r="Q47" s="21">
        <v>-1.58142E-2</v>
      </c>
      <c r="R47" s="21">
        <v>37</v>
      </c>
      <c r="S47" s="21">
        <v>8.5754399999999995E-2</v>
      </c>
      <c r="T47">
        <f t="shared" si="2"/>
        <v>15.8142</v>
      </c>
      <c r="U47">
        <f t="shared" si="3"/>
        <v>1.36578863874</v>
      </c>
      <c r="X47" s="9"/>
      <c r="Y47" s="21">
        <v>1.6136200000000001</v>
      </c>
      <c r="Z47" s="21">
        <v>128.31100000000001</v>
      </c>
      <c r="AA47" s="21">
        <v>-9.0362499999999991E-3</v>
      </c>
      <c r="AB47" s="21">
        <v>37</v>
      </c>
      <c r="AC47" s="21">
        <v>1.6128499999999999</v>
      </c>
      <c r="AD47">
        <f t="shared" si="4"/>
        <v>9.036249999999999</v>
      </c>
      <c r="AE47">
        <f t="shared" si="5"/>
        <v>14.581073725</v>
      </c>
      <c r="AF47" s="9"/>
      <c r="AG47" s="21">
        <v>8.6364700000000003E-2</v>
      </c>
      <c r="AH47" s="21">
        <v>177.785</v>
      </c>
      <c r="AI47" s="21">
        <v>-1.5725699999999999E-2</v>
      </c>
      <c r="AJ47" s="21">
        <v>37</v>
      </c>
      <c r="AK47" s="21">
        <v>8.58154E-2</v>
      </c>
      <c r="AL47">
        <f t="shared" si="6"/>
        <v>15.725699999999998</v>
      </c>
      <c r="AM47">
        <f t="shared" si="7"/>
        <v>1.35814536279</v>
      </c>
      <c r="AP47" s="9"/>
      <c r="AQ47" s="21">
        <v>1.6136200000000001</v>
      </c>
      <c r="AR47" s="21">
        <v>227.23099999999999</v>
      </c>
      <c r="AS47" s="21">
        <v>-8.9599599999999995E-3</v>
      </c>
      <c r="AT47" s="21">
        <v>37</v>
      </c>
      <c r="AU47" s="21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1">
        <v>8.6364700000000003E-2</v>
      </c>
      <c r="AZ47" s="21">
        <v>261.57100000000003</v>
      </c>
      <c r="BA47" s="21">
        <v>-1.5695199999999999E-2</v>
      </c>
      <c r="BB47" s="21">
        <v>37</v>
      </c>
      <c r="BC47" s="21">
        <v>8.58154E-2</v>
      </c>
      <c r="BD47">
        <f t="shared" si="10"/>
        <v>15.6952</v>
      </c>
      <c r="BE47">
        <f t="shared" si="11"/>
        <v>1.35551123944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49.437800000000003</v>
      </c>
      <c r="I48" s="21">
        <v>-9.1857899999999992E-3</v>
      </c>
      <c r="J48" s="21">
        <v>38</v>
      </c>
      <c r="K48" s="21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1">
        <v>9.1400099999999998E-2</v>
      </c>
      <c r="P48" s="21">
        <v>98.8643</v>
      </c>
      <c r="Q48" s="21">
        <v>-1.5811200000000001E-2</v>
      </c>
      <c r="R48" s="21">
        <v>38</v>
      </c>
      <c r="S48" s="21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1">
        <v>1.6085799999999999</v>
      </c>
      <c r="Z48" s="21">
        <v>128.321</v>
      </c>
      <c r="AA48" s="21">
        <v>-9.2834500000000004E-3</v>
      </c>
      <c r="AB48" s="21">
        <v>38</v>
      </c>
      <c r="AC48" s="21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1">
        <v>9.1400099999999998E-2</v>
      </c>
      <c r="AH48" s="21">
        <v>177.79499999999999</v>
      </c>
      <c r="AI48" s="21">
        <v>-1.5728800000000001E-2</v>
      </c>
      <c r="AJ48" s="21">
        <v>38</v>
      </c>
      <c r="AK48" s="21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1">
        <v>1.6085799999999999</v>
      </c>
      <c r="AR48" s="21">
        <v>227.24100000000001</v>
      </c>
      <c r="AS48" s="21">
        <v>-9.2071500000000008E-3</v>
      </c>
      <c r="AT48" s="21">
        <v>38</v>
      </c>
      <c r="AU48" s="21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1">
        <v>9.1400099999999998E-2</v>
      </c>
      <c r="AZ48" s="21">
        <v>261.58100000000002</v>
      </c>
      <c r="BA48" s="21">
        <v>-1.5685999999999999E-2</v>
      </c>
      <c r="BB48" s="21">
        <v>38</v>
      </c>
      <c r="BC48" s="21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49.447899999999997</v>
      </c>
      <c r="I49" s="21">
        <v>-9.4421399999999999E-3</v>
      </c>
      <c r="J49" s="21">
        <v>39</v>
      </c>
      <c r="K49" s="21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1">
        <v>9.6435499999999993E-2</v>
      </c>
      <c r="P49" s="21">
        <v>98.874300000000005</v>
      </c>
      <c r="Q49" s="21">
        <v>-1.5805099999999999E-2</v>
      </c>
      <c r="R49" s="21">
        <v>39</v>
      </c>
      <c r="S49" s="21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1">
        <v>1.60355</v>
      </c>
      <c r="Z49" s="21">
        <v>128.33099999999999</v>
      </c>
      <c r="AA49" s="21">
        <v>-9.5245399999999997E-3</v>
      </c>
      <c r="AB49" s="21">
        <v>39</v>
      </c>
      <c r="AC49" s="21">
        <v>1.6027800000000001</v>
      </c>
      <c r="AD49">
        <f t="shared" si="4"/>
        <v>9.52454</v>
      </c>
      <c r="AE49">
        <f t="shared" si="5"/>
        <v>15.273076117</v>
      </c>
      <c r="AF49" s="9"/>
      <c r="AG49" s="21">
        <v>9.6435499999999993E-2</v>
      </c>
      <c r="AH49" s="21">
        <v>177.80500000000001</v>
      </c>
      <c r="AI49" s="21">
        <v>-1.5725699999999999E-2</v>
      </c>
      <c r="AJ49" s="21">
        <v>39</v>
      </c>
      <c r="AK49" s="21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1">
        <v>1.60355</v>
      </c>
      <c r="AR49" s="21">
        <v>227.251</v>
      </c>
      <c r="AS49" s="21">
        <v>-9.4451899999999991E-3</v>
      </c>
      <c r="AT49" s="21">
        <v>39</v>
      </c>
      <c r="AU49" s="21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1">
        <v>9.6435499999999993E-2</v>
      </c>
      <c r="AZ49" s="21">
        <v>261.59100000000001</v>
      </c>
      <c r="BA49" s="21">
        <v>-1.5676900000000001E-2</v>
      </c>
      <c r="BB49" s="21">
        <v>39</v>
      </c>
      <c r="BC49" s="21">
        <v>9.5947299999999999E-2</v>
      </c>
      <c r="BD49">
        <f t="shared" si="10"/>
        <v>15.6769</v>
      </c>
      <c r="BE49">
        <f t="shared" si="11"/>
        <v>1.51180968995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49.457999999999998</v>
      </c>
      <c r="I50" s="21">
        <v>-9.6893299999999995E-3</v>
      </c>
      <c r="J50" s="21">
        <v>40</v>
      </c>
      <c r="K50" s="21">
        <v>1.5975999999999999</v>
      </c>
      <c r="L50">
        <f t="shared" si="0"/>
        <v>9.68933</v>
      </c>
      <c r="M50">
        <f t="shared" si="1"/>
        <v>15.4884908983</v>
      </c>
      <c r="N50" s="9"/>
      <c r="O50" s="21">
        <v>0.10147100000000001</v>
      </c>
      <c r="P50" s="21">
        <v>98.884399999999999</v>
      </c>
      <c r="Q50" s="21">
        <v>-1.5802E-2</v>
      </c>
      <c r="R50" s="21">
        <v>40</v>
      </c>
      <c r="S50" s="21">
        <v>0.10086100000000001</v>
      </c>
      <c r="T50">
        <f t="shared" si="2"/>
        <v>15.802</v>
      </c>
      <c r="U50">
        <f t="shared" si="3"/>
        <v>1.603444742</v>
      </c>
      <c r="X50" s="9"/>
      <c r="Y50" s="21">
        <v>1.5985100000000001</v>
      </c>
      <c r="Z50" s="21">
        <v>128.34100000000001</v>
      </c>
      <c r="AA50" s="21">
        <v>-9.7564699999999997E-3</v>
      </c>
      <c r="AB50" s="21">
        <v>40</v>
      </c>
      <c r="AC50" s="21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1">
        <v>0.10147100000000001</v>
      </c>
      <c r="AH50" s="21">
        <v>177.815</v>
      </c>
      <c r="AI50" s="21">
        <v>-1.5722699999999999E-2</v>
      </c>
      <c r="AJ50" s="21">
        <v>40</v>
      </c>
      <c r="AK50" s="21">
        <v>0.100952</v>
      </c>
      <c r="AL50">
        <f t="shared" si="6"/>
        <v>15.7227</v>
      </c>
      <c r="AM50">
        <f t="shared" si="7"/>
        <v>1.5953980917000001</v>
      </c>
      <c r="AP50" s="9"/>
      <c r="AQ50" s="21">
        <v>1.5985100000000001</v>
      </c>
      <c r="AR50" s="21">
        <v>227.261</v>
      </c>
      <c r="AS50" s="21">
        <v>-9.6649200000000005E-3</v>
      </c>
      <c r="AT50" s="21">
        <v>40</v>
      </c>
      <c r="AU50" s="21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1">
        <v>0.10147100000000001</v>
      </c>
      <c r="AZ50" s="21">
        <v>261.601</v>
      </c>
      <c r="BA50" s="21">
        <v>-1.56799E-2</v>
      </c>
      <c r="BB50" s="21">
        <v>40</v>
      </c>
      <c r="BC50" s="21">
        <v>0.100922</v>
      </c>
      <c r="BD50">
        <f t="shared" si="10"/>
        <v>15.6799</v>
      </c>
      <c r="BE50">
        <f t="shared" si="11"/>
        <v>1.5910551329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49.468000000000004</v>
      </c>
      <c r="I51" s="21">
        <v>-9.91211E-3</v>
      </c>
      <c r="J51" s="21">
        <v>41</v>
      </c>
      <c r="K51" s="21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1">
        <v>0.106506</v>
      </c>
      <c r="P51" s="21">
        <v>98.894499999999994</v>
      </c>
      <c r="Q51" s="21">
        <v>-1.5808099999999999E-2</v>
      </c>
      <c r="R51" s="21">
        <v>41</v>
      </c>
      <c r="S51" s="21">
        <v>0.105896</v>
      </c>
      <c r="T51">
        <f t="shared" si="2"/>
        <v>15.808099999999998</v>
      </c>
      <c r="U51">
        <f t="shared" si="3"/>
        <v>1.6836574985999999</v>
      </c>
      <c r="X51" s="9"/>
      <c r="Y51" s="21">
        <v>1.59348</v>
      </c>
      <c r="Z51" s="21">
        <v>128.352</v>
      </c>
      <c r="AA51" s="21">
        <v>-9.9731400000000001E-3</v>
      </c>
      <c r="AB51" s="21">
        <v>41</v>
      </c>
      <c r="AC51" s="21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1">
        <v>0.106506</v>
      </c>
      <c r="AH51" s="21">
        <v>177.82499999999999</v>
      </c>
      <c r="AI51" s="21">
        <v>-1.5716600000000001E-2</v>
      </c>
      <c r="AJ51" s="21">
        <v>41</v>
      </c>
      <c r="AK51" s="21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1">
        <v>1.59348</v>
      </c>
      <c r="AR51" s="21">
        <v>227.27099999999999</v>
      </c>
      <c r="AS51" s="21">
        <v>-9.8754900000000007E-3</v>
      </c>
      <c r="AT51" s="21">
        <v>41</v>
      </c>
      <c r="AU51" s="21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1">
        <v>0.106506</v>
      </c>
      <c r="AZ51" s="21">
        <v>261.61200000000002</v>
      </c>
      <c r="BA51" s="21">
        <v>-1.5676900000000001E-2</v>
      </c>
      <c r="BB51" s="21">
        <v>41</v>
      </c>
      <c r="BC51" s="21">
        <v>0.105865</v>
      </c>
      <c r="BD51">
        <f t="shared" si="10"/>
        <v>15.6769</v>
      </c>
      <c r="BE51">
        <f t="shared" si="11"/>
        <v>1.6696839113999999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49.478099999999998</v>
      </c>
      <c r="I52" s="21">
        <v>-1.01227E-2</v>
      </c>
      <c r="J52" s="21">
        <v>42</v>
      </c>
      <c r="K52" s="21">
        <v>1.5872200000000001</v>
      </c>
      <c r="L52">
        <f t="shared" si="0"/>
        <v>10.1227</v>
      </c>
      <c r="M52">
        <f t="shared" si="1"/>
        <v>16.079301588</v>
      </c>
      <c r="N52" s="9"/>
      <c r="O52" s="21">
        <v>0.111542</v>
      </c>
      <c r="P52" s="21">
        <v>98.904499999999999</v>
      </c>
      <c r="Q52" s="21">
        <v>-1.58142E-2</v>
      </c>
      <c r="R52" s="21">
        <v>42</v>
      </c>
      <c r="S52" s="21">
        <v>0.11096200000000001</v>
      </c>
      <c r="T52">
        <f t="shared" si="2"/>
        <v>15.8142</v>
      </c>
      <c r="U52">
        <f t="shared" si="3"/>
        <v>1.7639474963999999</v>
      </c>
      <c r="X52" s="9"/>
      <c r="Y52" s="21">
        <v>1.5884400000000001</v>
      </c>
      <c r="Z52" s="21">
        <v>128.36199999999999</v>
      </c>
      <c r="AA52" s="21">
        <v>-1.0180700000000001E-2</v>
      </c>
      <c r="AB52" s="21">
        <v>42</v>
      </c>
      <c r="AC52" s="21">
        <v>1.58691</v>
      </c>
      <c r="AD52">
        <f t="shared" si="4"/>
        <v>10.180700000000002</v>
      </c>
      <c r="AE52">
        <f t="shared" si="5"/>
        <v>16.171431108000004</v>
      </c>
      <c r="AF52" s="9"/>
      <c r="AG52" s="21">
        <v>0.111542</v>
      </c>
      <c r="AH52" s="21">
        <v>177.83500000000001</v>
      </c>
      <c r="AI52" s="21">
        <v>-1.5713499999999998E-2</v>
      </c>
      <c r="AJ52" s="21">
        <v>42</v>
      </c>
      <c r="AK52" s="21">
        <v>0.110901</v>
      </c>
      <c r="AL52">
        <f t="shared" si="6"/>
        <v>15.713499999999998</v>
      </c>
      <c r="AM52">
        <f t="shared" si="7"/>
        <v>1.7527152169999998</v>
      </c>
      <c r="AP52" s="9"/>
      <c r="AQ52" s="21">
        <v>1.5884400000000001</v>
      </c>
      <c r="AR52" s="21">
        <v>227.28100000000001</v>
      </c>
      <c r="AS52" s="21">
        <v>-1.00739E-2</v>
      </c>
      <c r="AT52" s="21">
        <v>42</v>
      </c>
      <c r="AU52" s="21">
        <v>1.5878300000000001</v>
      </c>
      <c r="AV52">
        <f t="shared" si="8"/>
        <v>10.0739</v>
      </c>
      <c r="AW52">
        <f t="shared" si="9"/>
        <v>16.001785716000001</v>
      </c>
      <c r="AX52" s="9"/>
      <c r="AY52" s="21">
        <v>0.111542</v>
      </c>
      <c r="AZ52" s="21">
        <v>261.62200000000001</v>
      </c>
      <c r="BA52" s="21">
        <v>-1.5682999999999999E-2</v>
      </c>
      <c r="BB52" s="21">
        <v>42</v>
      </c>
      <c r="BC52" s="21">
        <v>0.11099199999999999</v>
      </c>
      <c r="BD52">
        <f t="shared" si="10"/>
        <v>15.683</v>
      </c>
      <c r="BE52">
        <f t="shared" si="11"/>
        <v>1.749313186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49.488199999999999</v>
      </c>
      <c r="I53" s="21">
        <v>-1.0330199999999999E-2</v>
      </c>
      <c r="J53" s="21">
        <v>43</v>
      </c>
      <c r="K53" s="21">
        <v>1.58203</v>
      </c>
      <c r="L53">
        <f t="shared" si="0"/>
        <v>10.3302</v>
      </c>
      <c r="M53">
        <f t="shared" si="1"/>
        <v>16.356838679999999</v>
      </c>
      <c r="N53" s="9"/>
      <c r="O53" s="21">
        <v>0.116577</v>
      </c>
      <c r="P53" s="21">
        <v>98.914599999999993</v>
      </c>
      <c r="Q53" s="21">
        <v>-1.5823400000000001E-2</v>
      </c>
      <c r="R53" s="21">
        <v>43</v>
      </c>
      <c r="S53" s="21">
        <v>0.115967</v>
      </c>
      <c r="T53">
        <f t="shared" si="2"/>
        <v>15.823400000000001</v>
      </c>
      <c r="U53">
        <f t="shared" si="3"/>
        <v>1.8446445018000002</v>
      </c>
      <c r="X53" s="9"/>
      <c r="Y53" s="21">
        <v>1.5833999999999999</v>
      </c>
      <c r="Z53" s="21">
        <v>128.37200000000001</v>
      </c>
      <c r="AA53" s="21">
        <v>-1.0372899999999999E-2</v>
      </c>
      <c r="AB53" s="21">
        <v>43</v>
      </c>
      <c r="AC53" s="21">
        <v>1.5823400000000001</v>
      </c>
      <c r="AD53">
        <f t="shared" si="4"/>
        <v>10.3729</v>
      </c>
      <c r="AE53">
        <f t="shared" si="5"/>
        <v>16.424449859999999</v>
      </c>
      <c r="AF53" s="9"/>
      <c r="AG53" s="21">
        <v>0.116577</v>
      </c>
      <c r="AH53" s="21">
        <v>177.845</v>
      </c>
      <c r="AI53" s="21">
        <v>-1.57074E-2</v>
      </c>
      <c r="AJ53" s="21">
        <v>43</v>
      </c>
      <c r="AK53" s="21">
        <v>0.115997</v>
      </c>
      <c r="AL53">
        <f t="shared" si="6"/>
        <v>15.7074</v>
      </c>
      <c r="AM53">
        <f t="shared" si="7"/>
        <v>1.8311215698000001</v>
      </c>
      <c r="AP53" s="9"/>
      <c r="AQ53" s="21">
        <v>1.5833999999999999</v>
      </c>
      <c r="AR53" s="21">
        <v>227.292</v>
      </c>
      <c r="AS53" s="21">
        <v>-1.02539E-2</v>
      </c>
      <c r="AT53" s="21">
        <v>43</v>
      </c>
      <c r="AU53" s="21">
        <v>1.58264</v>
      </c>
      <c r="AV53">
        <f t="shared" si="8"/>
        <v>10.2539</v>
      </c>
      <c r="AW53">
        <f t="shared" si="9"/>
        <v>16.236025259999998</v>
      </c>
      <c r="AX53" s="9"/>
      <c r="AY53" s="21">
        <v>0.116577</v>
      </c>
      <c r="AZ53" s="21">
        <v>261.63200000000001</v>
      </c>
      <c r="BA53" s="21">
        <v>-1.56921E-2</v>
      </c>
      <c r="BB53" s="21">
        <v>43</v>
      </c>
      <c r="BC53" s="21">
        <v>0.115997</v>
      </c>
      <c r="BD53">
        <f t="shared" si="10"/>
        <v>15.6921</v>
      </c>
      <c r="BE53">
        <f t="shared" si="11"/>
        <v>1.8293379417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49.4983</v>
      </c>
      <c r="I54" s="21">
        <v>-1.0528600000000001E-2</v>
      </c>
      <c r="J54" s="21">
        <v>44</v>
      </c>
      <c r="K54" s="21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1">
        <v>0.121613</v>
      </c>
      <c r="P54" s="21">
        <v>98.924700000000001</v>
      </c>
      <c r="Q54" s="21">
        <v>-1.5820299999999999E-2</v>
      </c>
      <c r="R54" s="21">
        <v>44</v>
      </c>
      <c r="S54" s="21">
        <v>0.121063</v>
      </c>
      <c r="T54">
        <f t="shared" si="2"/>
        <v>15.8203</v>
      </c>
      <c r="U54">
        <f t="shared" si="3"/>
        <v>1.9239541438999999</v>
      </c>
      <c r="X54" s="9"/>
      <c r="Y54" s="21">
        <v>1.5783700000000001</v>
      </c>
      <c r="Z54" s="21">
        <v>128.38200000000001</v>
      </c>
      <c r="AA54" s="21">
        <v>-1.0553E-2</v>
      </c>
      <c r="AB54" s="21">
        <v>44</v>
      </c>
      <c r="AC54" s="21">
        <v>1.57745</v>
      </c>
      <c r="AD54">
        <f t="shared" si="4"/>
        <v>10.552999999999999</v>
      </c>
      <c r="AE54">
        <f t="shared" si="5"/>
        <v>16.656538609999998</v>
      </c>
      <c r="AF54" s="9"/>
      <c r="AG54" s="21">
        <v>0.121613</v>
      </c>
      <c r="AH54" s="21">
        <v>177.85499999999999</v>
      </c>
      <c r="AI54" s="21">
        <v>-1.5701300000000001E-2</v>
      </c>
      <c r="AJ54" s="21">
        <v>44</v>
      </c>
      <c r="AK54" s="21">
        <v>0.121155</v>
      </c>
      <c r="AL54">
        <f t="shared" si="6"/>
        <v>15.701300000000002</v>
      </c>
      <c r="AM54">
        <f t="shared" si="7"/>
        <v>1.9094821969000002</v>
      </c>
      <c r="AP54" s="9"/>
      <c r="AQ54" s="21">
        <v>1.5783700000000001</v>
      </c>
      <c r="AR54" s="21">
        <v>227.30199999999999</v>
      </c>
      <c r="AS54" s="21">
        <v>-1.0434000000000001E-2</v>
      </c>
      <c r="AT54" s="21">
        <v>44</v>
      </c>
      <c r="AU54" s="21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1">
        <v>0.121613</v>
      </c>
      <c r="AZ54" s="21">
        <v>261.642</v>
      </c>
      <c r="BA54" s="21">
        <v>-1.56921E-2</v>
      </c>
      <c r="BB54" s="21">
        <v>44</v>
      </c>
      <c r="BC54" s="21">
        <v>0.121124</v>
      </c>
      <c r="BD54">
        <f t="shared" si="10"/>
        <v>15.6921</v>
      </c>
      <c r="BE54">
        <f t="shared" si="11"/>
        <v>1.9083633573000001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49.508299999999998</v>
      </c>
      <c r="I55" s="21">
        <v>-1.07239E-2</v>
      </c>
      <c r="J55" s="21">
        <v>45</v>
      </c>
      <c r="K55" s="21">
        <v>1.57257</v>
      </c>
      <c r="L55">
        <f t="shared" si="0"/>
        <v>10.7239</v>
      </c>
      <c r="M55">
        <f t="shared" si="1"/>
        <v>16.872233587</v>
      </c>
      <c r="N55" s="9"/>
      <c r="O55" s="21">
        <v>0.12664800000000001</v>
      </c>
      <c r="P55" s="21">
        <v>98.934799999999996</v>
      </c>
      <c r="Q55" s="21">
        <v>-1.5817299999999999E-2</v>
      </c>
      <c r="R55" s="21">
        <v>45</v>
      </c>
      <c r="S55" s="21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1">
        <v>1.5733299999999999</v>
      </c>
      <c r="Z55" s="21">
        <v>128.392</v>
      </c>
      <c r="AA55" s="21">
        <v>-1.073E-2</v>
      </c>
      <c r="AB55" s="21">
        <v>45</v>
      </c>
      <c r="AC55" s="21">
        <v>1.57257</v>
      </c>
      <c r="AD55">
        <f t="shared" si="4"/>
        <v>10.73</v>
      </c>
      <c r="AE55">
        <f t="shared" si="5"/>
        <v>16.881830900000001</v>
      </c>
      <c r="AF55" s="9"/>
      <c r="AG55" s="21">
        <v>0.12664800000000001</v>
      </c>
      <c r="AH55" s="21">
        <v>177.86500000000001</v>
      </c>
      <c r="AI55" s="21">
        <v>-1.5701300000000001E-2</v>
      </c>
      <c r="AJ55" s="21">
        <v>45</v>
      </c>
      <c r="AK55" s="21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1">
        <v>1.5733299999999999</v>
      </c>
      <c r="AR55" s="21">
        <v>227.31200000000001</v>
      </c>
      <c r="AS55" s="21">
        <v>-1.06201E-2</v>
      </c>
      <c r="AT55" s="21">
        <v>45</v>
      </c>
      <c r="AU55" s="21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1">
        <v>0.12664800000000001</v>
      </c>
      <c r="AZ55" s="21">
        <v>261.65199999999999</v>
      </c>
      <c r="BA55" s="21">
        <v>-1.56921E-2</v>
      </c>
      <c r="BB55" s="21">
        <v>45</v>
      </c>
      <c r="BC55" s="21">
        <v>0.12609899999999999</v>
      </c>
      <c r="BD55">
        <f t="shared" si="10"/>
        <v>15.6921</v>
      </c>
      <c r="BE55">
        <f t="shared" si="11"/>
        <v>1.9873730808000001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49.5184</v>
      </c>
      <c r="I56" s="21">
        <v>-1.091E-2</v>
      </c>
      <c r="J56" s="21">
        <v>46</v>
      </c>
      <c r="K56" s="21">
        <v>1.56738</v>
      </c>
      <c r="L56">
        <f t="shared" si="0"/>
        <v>10.91</v>
      </c>
      <c r="M56">
        <f t="shared" si="1"/>
        <v>17.110153</v>
      </c>
      <c r="N56" s="9"/>
      <c r="O56" s="21">
        <v>0.13168299999999999</v>
      </c>
      <c r="P56" s="21">
        <v>98.944800000000001</v>
      </c>
      <c r="Q56" s="21">
        <v>-1.5820299999999999E-2</v>
      </c>
      <c r="R56" s="21">
        <v>46</v>
      </c>
      <c r="S56" s="21">
        <v>0.13119500000000001</v>
      </c>
      <c r="T56">
        <f t="shared" si="2"/>
        <v>15.8203</v>
      </c>
      <c r="U56">
        <f t="shared" si="3"/>
        <v>2.0832645648999999</v>
      </c>
      <c r="X56" s="9"/>
      <c r="Y56" s="21">
        <v>1.5683</v>
      </c>
      <c r="Z56" s="21">
        <v>128.40199999999999</v>
      </c>
      <c r="AA56" s="21">
        <v>-1.0907E-2</v>
      </c>
      <c r="AB56" s="21">
        <v>46</v>
      </c>
      <c r="AC56" s="21">
        <v>1.56738</v>
      </c>
      <c r="AD56">
        <f t="shared" si="4"/>
        <v>10.907</v>
      </c>
      <c r="AE56">
        <f t="shared" si="5"/>
        <v>17.1054481</v>
      </c>
      <c r="AF56" s="9"/>
      <c r="AG56" s="21">
        <v>0.13168299999999999</v>
      </c>
      <c r="AH56" s="21">
        <v>177.875</v>
      </c>
      <c r="AI56" s="21">
        <v>-1.57074E-2</v>
      </c>
      <c r="AJ56" s="21">
        <v>46</v>
      </c>
      <c r="AK56" s="21">
        <v>0.131104</v>
      </c>
      <c r="AL56">
        <f t="shared" si="6"/>
        <v>15.7074</v>
      </c>
      <c r="AM56">
        <f t="shared" si="7"/>
        <v>2.0683975541999997</v>
      </c>
      <c r="AP56" s="9"/>
      <c r="AQ56" s="21">
        <v>1.5683</v>
      </c>
      <c r="AR56" s="21">
        <v>227.322</v>
      </c>
      <c r="AS56" s="21">
        <v>-1.07971E-2</v>
      </c>
      <c r="AT56" s="21">
        <v>46</v>
      </c>
      <c r="AU56" s="21">
        <v>1.56769</v>
      </c>
      <c r="AV56">
        <f t="shared" si="8"/>
        <v>10.7971</v>
      </c>
      <c r="AW56">
        <f t="shared" si="9"/>
        <v>16.93309193</v>
      </c>
      <c r="AX56" s="9"/>
      <c r="AY56" s="21">
        <v>0.13168299999999999</v>
      </c>
      <c r="AZ56" s="21">
        <v>261.66199999999998</v>
      </c>
      <c r="BA56" s="21">
        <v>-1.56921E-2</v>
      </c>
      <c r="BB56" s="21">
        <v>46</v>
      </c>
      <c r="BC56" s="21">
        <v>0.131104</v>
      </c>
      <c r="BD56">
        <f t="shared" si="10"/>
        <v>15.6921</v>
      </c>
      <c r="BE56">
        <f t="shared" si="11"/>
        <v>2.0663828042999999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49.528500000000001</v>
      </c>
      <c r="I57" s="21">
        <v>-1.10901E-2</v>
      </c>
      <c r="J57" s="21">
        <v>47</v>
      </c>
      <c r="K57" s="21">
        <v>1.5625</v>
      </c>
      <c r="L57">
        <f t="shared" si="0"/>
        <v>11.0901</v>
      </c>
      <c r="M57">
        <f t="shared" si="1"/>
        <v>17.336709725999999</v>
      </c>
      <c r="N57" s="9"/>
      <c r="O57" s="21">
        <v>0.13671900000000001</v>
      </c>
      <c r="P57" s="21">
        <v>98.954899999999995</v>
      </c>
      <c r="Q57" s="21">
        <v>-1.5826400000000001E-2</v>
      </c>
      <c r="R57" s="21">
        <v>47</v>
      </c>
      <c r="S57" s="21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1">
        <v>1.5632600000000001</v>
      </c>
      <c r="Z57" s="21">
        <v>128.41200000000001</v>
      </c>
      <c r="AA57" s="21">
        <v>-1.10718E-2</v>
      </c>
      <c r="AB57" s="21">
        <v>47</v>
      </c>
      <c r="AC57" s="21">
        <v>1.5625</v>
      </c>
      <c r="AD57">
        <f t="shared" si="4"/>
        <v>11.0718</v>
      </c>
      <c r="AE57">
        <f t="shared" si="5"/>
        <v>17.308102068</v>
      </c>
      <c r="AF57" s="9"/>
      <c r="AG57" s="21">
        <v>0.13671900000000001</v>
      </c>
      <c r="AH57" s="21">
        <v>177.88499999999999</v>
      </c>
      <c r="AI57" s="21">
        <v>-1.5713499999999998E-2</v>
      </c>
      <c r="AJ57" s="21">
        <v>47</v>
      </c>
      <c r="AK57" s="21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1">
        <v>1.5632600000000001</v>
      </c>
      <c r="AR57" s="21">
        <v>227.33199999999999</v>
      </c>
      <c r="AS57" s="21">
        <v>-1.09619E-2</v>
      </c>
      <c r="AT57" s="21">
        <v>47</v>
      </c>
      <c r="AU57" s="21">
        <v>1.56219</v>
      </c>
      <c r="AV57">
        <f t="shared" si="8"/>
        <v>10.9619</v>
      </c>
      <c r="AW57">
        <f t="shared" si="9"/>
        <v>17.136299793999999</v>
      </c>
      <c r="AX57" s="9"/>
      <c r="AY57" s="21">
        <v>0.13671900000000001</v>
      </c>
      <c r="AZ57" s="21">
        <v>261.67200000000003</v>
      </c>
      <c r="BA57" s="21">
        <v>-1.5685999999999999E-2</v>
      </c>
      <c r="BB57" s="21">
        <v>47</v>
      </c>
      <c r="BC57" s="21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49.538499999999999</v>
      </c>
      <c r="I58" s="21">
        <v>-1.1261E-2</v>
      </c>
      <c r="J58" s="21">
        <v>48</v>
      </c>
      <c r="K58" s="21">
        <v>1.55792</v>
      </c>
      <c r="L58">
        <f t="shared" si="0"/>
        <v>11.261000000000001</v>
      </c>
      <c r="M58">
        <f t="shared" si="1"/>
        <v>17.547228030000003</v>
      </c>
      <c r="N58" s="9"/>
      <c r="O58" s="21">
        <v>0.14175399999999999</v>
      </c>
      <c r="P58" s="21">
        <v>98.965000000000003</v>
      </c>
      <c r="Q58" s="21">
        <v>-1.5826400000000001E-2</v>
      </c>
      <c r="R58" s="21">
        <v>48</v>
      </c>
      <c r="S58" s="21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1">
        <v>1.55823</v>
      </c>
      <c r="Z58" s="21">
        <v>128.422</v>
      </c>
      <c r="AA58" s="21">
        <v>-1.12335E-2</v>
      </c>
      <c r="AB58" s="21">
        <v>48</v>
      </c>
      <c r="AC58" s="21">
        <v>1.55731</v>
      </c>
      <c r="AD58">
        <f t="shared" si="4"/>
        <v>11.233500000000001</v>
      </c>
      <c r="AE58">
        <f t="shared" si="5"/>
        <v>17.504376705000002</v>
      </c>
      <c r="AF58" s="9"/>
      <c r="AG58" s="21">
        <v>0.14175399999999999</v>
      </c>
      <c r="AH58" s="21">
        <v>177.89500000000001</v>
      </c>
      <c r="AI58" s="21">
        <v>-1.5722699999999999E-2</v>
      </c>
      <c r="AJ58" s="21">
        <v>48</v>
      </c>
      <c r="AK58" s="21">
        <v>0.14114399999999999</v>
      </c>
      <c r="AL58">
        <f t="shared" si="6"/>
        <v>15.7227</v>
      </c>
      <c r="AM58">
        <f t="shared" si="7"/>
        <v>2.2287556157999999</v>
      </c>
      <c r="AP58" s="9"/>
      <c r="AQ58" s="21">
        <v>1.55823</v>
      </c>
      <c r="AR58" s="21">
        <v>227.34200000000001</v>
      </c>
      <c r="AS58" s="21">
        <v>-1.11176E-2</v>
      </c>
      <c r="AT58" s="21">
        <v>48</v>
      </c>
      <c r="AU58" s="21">
        <v>1.55823</v>
      </c>
      <c r="AV58">
        <f t="shared" si="8"/>
        <v>11.117599999999999</v>
      </c>
      <c r="AW58">
        <f t="shared" si="9"/>
        <v>17.323777847999999</v>
      </c>
      <c r="AX58" s="9"/>
      <c r="AY58" s="21">
        <v>0.14175399999999999</v>
      </c>
      <c r="AZ58" s="21">
        <v>261.68200000000002</v>
      </c>
      <c r="BA58" s="21">
        <v>-1.5682999999999999E-2</v>
      </c>
      <c r="BB58" s="21">
        <v>48</v>
      </c>
      <c r="BC58" s="21">
        <v>0.141266</v>
      </c>
      <c r="BD58">
        <f t="shared" si="10"/>
        <v>15.683</v>
      </c>
      <c r="BE58">
        <f t="shared" si="11"/>
        <v>2.2231279819999998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49.5486</v>
      </c>
      <c r="I59" s="21">
        <v>-1.1413599999999999E-2</v>
      </c>
      <c r="J59" s="21">
        <v>49</v>
      </c>
      <c r="K59" s="21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1">
        <v>0.14679</v>
      </c>
      <c r="P59" s="21">
        <v>98.974999999999994</v>
      </c>
      <c r="Q59" s="21">
        <v>-1.5826400000000001E-2</v>
      </c>
      <c r="R59" s="21">
        <v>49</v>
      </c>
      <c r="S59" s="21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1">
        <v>1.5531900000000001</v>
      </c>
      <c r="Z59" s="21">
        <v>128.43199999999999</v>
      </c>
      <c r="AA59" s="21">
        <v>-1.13922E-2</v>
      </c>
      <c r="AB59" s="21">
        <v>49</v>
      </c>
      <c r="AC59" s="21">
        <v>1.55243</v>
      </c>
      <c r="AD59">
        <f t="shared" si="4"/>
        <v>11.392200000000001</v>
      </c>
      <c r="AE59">
        <f t="shared" si="5"/>
        <v>17.694251118</v>
      </c>
      <c r="AF59" s="9"/>
      <c r="AG59" s="21">
        <v>0.14679</v>
      </c>
      <c r="AH59" s="21">
        <v>177.90600000000001</v>
      </c>
      <c r="AI59" s="21">
        <v>-1.5728800000000001E-2</v>
      </c>
      <c r="AJ59" s="21">
        <v>49</v>
      </c>
      <c r="AK59" s="21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1">
        <v>1.5531900000000001</v>
      </c>
      <c r="AR59" s="21">
        <v>227.352</v>
      </c>
      <c r="AS59" s="21">
        <v>-1.12671E-2</v>
      </c>
      <c r="AT59" s="21">
        <v>49</v>
      </c>
      <c r="AU59" s="21">
        <v>1.55243</v>
      </c>
      <c r="AV59">
        <f t="shared" si="8"/>
        <v>11.267100000000001</v>
      </c>
      <c r="AW59">
        <f t="shared" si="9"/>
        <v>17.499947049000003</v>
      </c>
      <c r="AX59" s="9"/>
      <c r="AY59" s="21">
        <v>0.14679</v>
      </c>
      <c r="AZ59" s="21">
        <v>261.69200000000001</v>
      </c>
      <c r="BA59" s="21">
        <v>-1.5685999999999999E-2</v>
      </c>
      <c r="BB59" s="21">
        <v>49</v>
      </c>
      <c r="BC59" s="21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49.558700000000002</v>
      </c>
      <c r="I60" s="21">
        <v>-1.1550899999999999E-2</v>
      </c>
      <c r="J60" s="21">
        <v>50</v>
      </c>
      <c r="K60" s="21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1">
        <v>0.15182499999999999</v>
      </c>
      <c r="P60" s="21">
        <v>98.985100000000003</v>
      </c>
      <c r="Q60" s="21">
        <v>-1.5823400000000001E-2</v>
      </c>
      <c r="R60" s="21">
        <v>50</v>
      </c>
      <c r="S60" s="21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1">
        <v>1.54816</v>
      </c>
      <c r="Z60" s="21">
        <v>128.44200000000001</v>
      </c>
      <c r="AA60" s="21">
        <v>-1.1544799999999999E-2</v>
      </c>
      <c r="AB60" s="21">
        <v>50</v>
      </c>
      <c r="AC60" s="21">
        <v>1.54694</v>
      </c>
      <c r="AD60">
        <f t="shared" si="4"/>
        <v>11.544799999999999</v>
      </c>
      <c r="AE60">
        <f t="shared" si="5"/>
        <v>17.873197567999998</v>
      </c>
      <c r="AF60" s="9"/>
      <c r="AG60" s="21">
        <v>0.15182499999999999</v>
      </c>
      <c r="AH60" s="21">
        <v>177.916</v>
      </c>
      <c r="AI60" s="21">
        <v>-1.5725699999999999E-2</v>
      </c>
      <c r="AJ60" s="21">
        <v>50</v>
      </c>
      <c r="AK60" s="21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1">
        <v>1.54816</v>
      </c>
      <c r="AR60" s="21">
        <v>227.36199999999999</v>
      </c>
      <c r="AS60" s="21">
        <v>-1.1410500000000001E-2</v>
      </c>
      <c r="AT60" s="21">
        <v>50</v>
      </c>
      <c r="AU60" s="21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1">
        <v>0.15182499999999999</v>
      </c>
      <c r="AZ60" s="21">
        <v>261.702</v>
      </c>
      <c r="BA60" s="21">
        <v>-1.5682999999999999E-2</v>
      </c>
      <c r="BB60" s="21">
        <v>50</v>
      </c>
      <c r="BC60" s="21">
        <v>0.151306</v>
      </c>
      <c r="BD60">
        <f t="shared" si="10"/>
        <v>15.683</v>
      </c>
      <c r="BE60">
        <f t="shared" si="11"/>
        <v>2.3810714749999997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49.568800000000003</v>
      </c>
      <c r="I61" s="21">
        <v>-1.16913E-2</v>
      </c>
      <c r="J61" s="21">
        <v>51</v>
      </c>
      <c r="K61" s="21">
        <v>1.54236</v>
      </c>
      <c r="L61">
        <f t="shared" si="0"/>
        <v>11.6913</v>
      </c>
      <c r="M61">
        <f t="shared" si="1"/>
        <v>18.041078856000002</v>
      </c>
      <c r="N61" s="9"/>
      <c r="O61" s="21">
        <v>0.15686</v>
      </c>
      <c r="P61" s="21">
        <v>98.995199999999997</v>
      </c>
      <c r="Q61" s="21">
        <v>-1.58142E-2</v>
      </c>
      <c r="R61" s="21">
        <v>51</v>
      </c>
      <c r="S61" s="21">
        <v>0.15625</v>
      </c>
      <c r="T61">
        <f t="shared" si="2"/>
        <v>15.8142</v>
      </c>
      <c r="U61">
        <f t="shared" si="3"/>
        <v>2.4806154120000001</v>
      </c>
      <c r="X61" s="9"/>
      <c r="Y61" s="21">
        <v>1.54312</v>
      </c>
      <c r="Z61" s="21">
        <v>128.452</v>
      </c>
      <c r="AA61" s="21">
        <v>-1.16974E-2</v>
      </c>
      <c r="AB61" s="21">
        <v>51</v>
      </c>
      <c r="AC61" s="21">
        <v>1.5420499999999999</v>
      </c>
      <c r="AD61">
        <f t="shared" si="4"/>
        <v>11.6974</v>
      </c>
      <c r="AE61">
        <f t="shared" si="5"/>
        <v>18.050491888</v>
      </c>
      <c r="AF61" s="9"/>
      <c r="AG61" s="21">
        <v>0.15686</v>
      </c>
      <c r="AH61" s="21">
        <v>177.92599999999999</v>
      </c>
      <c r="AI61" s="21">
        <v>-1.5722699999999999E-2</v>
      </c>
      <c r="AJ61" s="21">
        <v>51</v>
      </c>
      <c r="AK61" s="21">
        <v>0.15631100000000001</v>
      </c>
      <c r="AL61">
        <f t="shared" si="6"/>
        <v>15.7227</v>
      </c>
      <c r="AM61">
        <f t="shared" si="7"/>
        <v>2.4662627219999997</v>
      </c>
      <c r="AP61" s="9"/>
      <c r="AQ61" s="21">
        <v>1.54312</v>
      </c>
      <c r="AR61" s="21">
        <v>227.37200000000001</v>
      </c>
      <c r="AS61" s="21">
        <v>-1.1544799999999999E-2</v>
      </c>
      <c r="AT61" s="21">
        <v>51</v>
      </c>
      <c r="AU61" s="21">
        <v>1.54236</v>
      </c>
      <c r="AV61">
        <f t="shared" si="8"/>
        <v>11.544799999999999</v>
      </c>
      <c r="AW61">
        <f t="shared" si="9"/>
        <v>17.815011775999999</v>
      </c>
      <c r="AX61" s="9"/>
      <c r="AY61" s="21">
        <v>0.15686</v>
      </c>
      <c r="AZ61" s="21">
        <v>261.71199999999999</v>
      </c>
      <c r="BA61" s="21">
        <v>-1.5685999999999999E-2</v>
      </c>
      <c r="BB61" s="21">
        <v>51</v>
      </c>
      <c r="BC61" s="21">
        <v>0.15625</v>
      </c>
      <c r="BD61">
        <f t="shared" si="10"/>
        <v>15.685999999999998</v>
      </c>
      <c r="BE61">
        <f t="shared" si="11"/>
        <v>2.4605059599999999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49.578800000000001</v>
      </c>
      <c r="I62" s="21">
        <v>-1.18286E-2</v>
      </c>
      <c r="J62" s="21">
        <v>52</v>
      </c>
      <c r="K62" s="21">
        <v>1.5377799999999999</v>
      </c>
      <c r="L62">
        <f t="shared" si="0"/>
        <v>11.8286</v>
      </c>
      <c r="M62">
        <f t="shared" si="1"/>
        <v>18.193451373999999</v>
      </c>
      <c r="N62" s="9"/>
      <c r="O62" s="21">
        <v>0.16189600000000001</v>
      </c>
      <c r="P62" s="21">
        <v>99.005300000000005</v>
      </c>
      <c r="Q62" s="21">
        <v>-1.5811200000000001E-2</v>
      </c>
      <c r="R62" s="21">
        <v>52</v>
      </c>
      <c r="S62" s="21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1">
        <v>1.53809</v>
      </c>
      <c r="Z62" s="21">
        <v>128.46199999999999</v>
      </c>
      <c r="AA62" s="21">
        <v>-1.18286E-2</v>
      </c>
      <c r="AB62" s="21">
        <v>52</v>
      </c>
      <c r="AC62" s="21">
        <v>1.5371699999999999</v>
      </c>
      <c r="AD62">
        <f t="shared" si="4"/>
        <v>11.8286</v>
      </c>
      <c r="AE62">
        <f t="shared" si="5"/>
        <v>18.193451373999999</v>
      </c>
      <c r="AF62" s="9"/>
      <c r="AG62" s="21">
        <v>0.16189600000000001</v>
      </c>
      <c r="AH62" s="21">
        <v>177.93600000000001</v>
      </c>
      <c r="AI62" s="21">
        <v>-1.5722699999999999E-2</v>
      </c>
      <c r="AJ62" s="21">
        <v>52</v>
      </c>
      <c r="AK62" s="21">
        <v>0.16125500000000001</v>
      </c>
      <c r="AL62">
        <f t="shared" si="6"/>
        <v>15.7227</v>
      </c>
      <c r="AM62">
        <f t="shared" si="7"/>
        <v>2.5454422392000002</v>
      </c>
      <c r="AP62" s="9"/>
      <c r="AQ62" s="21">
        <v>1.53809</v>
      </c>
      <c r="AR62" s="21">
        <v>227.38200000000001</v>
      </c>
      <c r="AS62" s="21">
        <v>-1.16791E-2</v>
      </c>
      <c r="AT62" s="21">
        <v>52</v>
      </c>
      <c r="AU62" s="21">
        <v>1.5371699999999999</v>
      </c>
      <c r="AV62">
        <f t="shared" si="8"/>
        <v>11.6791</v>
      </c>
      <c r="AW62">
        <f t="shared" si="9"/>
        <v>17.963506919</v>
      </c>
      <c r="AX62" s="9"/>
      <c r="AY62" s="21">
        <v>0.16189600000000001</v>
      </c>
      <c r="AZ62" s="21">
        <v>261.72199999999998</v>
      </c>
      <c r="BA62" s="21">
        <v>-1.5685999999999999E-2</v>
      </c>
      <c r="BB62" s="21">
        <v>52</v>
      </c>
      <c r="BC62" s="21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49.588900000000002</v>
      </c>
      <c r="I63" s="21">
        <v>-1.19629E-2</v>
      </c>
      <c r="J63" s="21">
        <v>53</v>
      </c>
      <c r="K63" s="21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1">
        <v>0.166931</v>
      </c>
      <c r="P63" s="21">
        <v>99.015299999999996</v>
      </c>
      <c r="Q63" s="21">
        <v>-1.5811200000000001E-2</v>
      </c>
      <c r="R63" s="21">
        <v>53</v>
      </c>
      <c r="S63" s="21">
        <v>0.166382</v>
      </c>
      <c r="T63">
        <f t="shared" si="2"/>
        <v>15.811200000000001</v>
      </c>
      <c r="U63">
        <f t="shared" si="3"/>
        <v>2.6393794272000002</v>
      </c>
      <c r="X63" s="9"/>
      <c r="Y63" s="21">
        <v>1.53305</v>
      </c>
      <c r="Z63" s="21">
        <v>128.47200000000001</v>
      </c>
      <c r="AA63" s="21">
        <v>-1.1953699999999999E-2</v>
      </c>
      <c r="AB63" s="21">
        <v>53</v>
      </c>
      <c r="AC63" s="21">
        <v>1.5328999999999999</v>
      </c>
      <c r="AD63">
        <f t="shared" si="4"/>
        <v>11.9537</v>
      </c>
      <c r="AE63">
        <f t="shared" si="5"/>
        <v>18.325619785000001</v>
      </c>
      <c r="AF63" s="9"/>
      <c r="AG63" s="21">
        <v>0.166931</v>
      </c>
      <c r="AH63" s="21">
        <v>177.946</v>
      </c>
      <c r="AI63" s="21">
        <v>-1.57196E-2</v>
      </c>
      <c r="AJ63" s="21">
        <v>53</v>
      </c>
      <c r="AK63" s="21">
        <v>0.166351</v>
      </c>
      <c r="AL63">
        <f t="shared" si="6"/>
        <v>15.7196</v>
      </c>
      <c r="AM63">
        <f t="shared" si="7"/>
        <v>2.6240885476</v>
      </c>
      <c r="AP63" s="9"/>
      <c r="AQ63" s="21">
        <v>1.53305</v>
      </c>
      <c r="AR63" s="21">
        <v>227.392</v>
      </c>
      <c r="AS63" s="21">
        <v>-1.1810299999999999E-2</v>
      </c>
      <c r="AT63" s="21">
        <v>53</v>
      </c>
      <c r="AU63" s="21">
        <v>1.5322899999999999</v>
      </c>
      <c r="AV63">
        <f t="shared" si="8"/>
        <v>11.8103</v>
      </c>
      <c r="AW63">
        <f t="shared" si="9"/>
        <v>18.105780415000002</v>
      </c>
      <c r="AX63" s="9"/>
      <c r="AY63" s="21">
        <v>0.166931</v>
      </c>
      <c r="AZ63" s="21">
        <v>261.73200000000003</v>
      </c>
      <c r="BA63" s="21">
        <v>-1.5682999999999999E-2</v>
      </c>
      <c r="BB63" s="21">
        <v>53</v>
      </c>
      <c r="BC63" s="21">
        <v>0.166351</v>
      </c>
      <c r="BD63">
        <f t="shared" si="10"/>
        <v>15.683</v>
      </c>
      <c r="BE63">
        <f t="shared" si="11"/>
        <v>2.6179788729999998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49.598999999999997</v>
      </c>
      <c r="I64" s="21">
        <v>-1.21002E-2</v>
      </c>
      <c r="J64" s="21">
        <v>54</v>
      </c>
      <c r="K64" s="21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1">
        <v>0.17196700000000001</v>
      </c>
      <c r="P64" s="21">
        <v>99.025400000000005</v>
      </c>
      <c r="Q64" s="21">
        <v>-1.58142E-2</v>
      </c>
      <c r="R64" s="21">
        <v>54</v>
      </c>
      <c r="S64" s="21">
        <v>0.17132600000000001</v>
      </c>
      <c r="T64">
        <f t="shared" si="2"/>
        <v>15.8142</v>
      </c>
      <c r="U64">
        <f t="shared" si="3"/>
        <v>2.7195205314000002</v>
      </c>
      <c r="X64" s="9"/>
      <c r="Y64" s="21">
        <v>1.5280199999999999</v>
      </c>
      <c r="Z64" s="21">
        <v>128.482</v>
      </c>
      <c r="AA64" s="21">
        <v>-1.20728E-2</v>
      </c>
      <c r="AB64" s="21">
        <v>54</v>
      </c>
      <c r="AC64" s="21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1">
        <v>0.17196700000000001</v>
      </c>
      <c r="AH64" s="21">
        <v>177.95599999999999</v>
      </c>
      <c r="AI64" s="21">
        <v>-1.5710399999999999E-2</v>
      </c>
      <c r="AJ64" s="21">
        <v>54</v>
      </c>
      <c r="AK64" s="21">
        <v>0.17144799999999999</v>
      </c>
      <c r="AL64">
        <f t="shared" si="6"/>
        <v>15.7104</v>
      </c>
      <c r="AM64">
        <f t="shared" si="7"/>
        <v>2.7016703568000002</v>
      </c>
      <c r="AP64" s="9"/>
      <c r="AQ64" s="21">
        <v>1.5280199999999999</v>
      </c>
      <c r="AR64" s="21">
        <v>227.40199999999999</v>
      </c>
      <c r="AS64" s="21">
        <v>-1.1935400000000001E-2</v>
      </c>
      <c r="AT64" s="21">
        <v>54</v>
      </c>
      <c r="AU64" s="21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1">
        <v>0.17196700000000001</v>
      </c>
      <c r="AZ64" s="21">
        <v>261.74200000000002</v>
      </c>
      <c r="BA64" s="21">
        <v>-1.56799E-2</v>
      </c>
      <c r="BB64" s="21">
        <v>54</v>
      </c>
      <c r="BC64" s="21">
        <v>0.17141700000000001</v>
      </c>
      <c r="BD64">
        <f t="shared" si="10"/>
        <v>15.6799</v>
      </c>
      <c r="BE64">
        <f t="shared" si="11"/>
        <v>2.6964253632999999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49.609000000000002</v>
      </c>
      <c r="I65" s="21">
        <v>-1.22314E-2</v>
      </c>
      <c r="J65" s="21">
        <v>55</v>
      </c>
      <c r="K65" s="21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1">
        <v>0.17700199999999999</v>
      </c>
      <c r="P65" s="21">
        <v>99.035499999999999</v>
      </c>
      <c r="Q65" s="21">
        <v>-1.5817299999999999E-2</v>
      </c>
      <c r="R65" s="21">
        <v>55</v>
      </c>
      <c r="S65" s="21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1">
        <v>1.52298</v>
      </c>
      <c r="Z65" s="21">
        <v>128.49299999999999</v>
      </c>
      <c r="AA65" s="21">
        <v>-1.21948E-2</v>
      </c>
      <c r="AB65" s="21">
        <v>55</v>
      </c>
      <c r="AC65" s="21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1">
        <v>0.17700199999999999</v>
      </c>
      <c r="AH65" s="21">
        <v>177.96600000000001</v>
      </c>
      <c r="AI65" s="21">
        <v>-1.57074E-2</v>
      </c>
      <c r="AJ65" s="21">
        <v>55</v>
      </c>
      <c r="AK65" s="21">
        <v>0.176483</v>
      </c>
      <c r="AL65">
        <f t="shared" si="6"/>
        <v>15.7074</v>
      </c>
      <c r="AM65">
        <f t="shared" si="7"/>
        <v>2.7802412147999997</v>
      </c>
      <c r="AP65" s="9"/>
      <c r="AQ65" s="21">
        <v>1.52298</v>
      </c>
      <c r="AR65" s="21">
        <v>227.41200000000001</v>
      </c>
      <c r="AS65" s="21">
        <v>-1.2042199999999999E-2</v>
      </c>
      <c r="AT65" s="21">
        <v>55</v>
      </c>
      <c r="AU65" s="21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1">
        <v>0.17700199999999999</v>
      </c>
      <c r="AZ65" s="21">
        <v>261.75299999999999</v>
      </c>
      <c r="BA65" s="21">
        <v>-1.5676900000000001E-2</v>
      </c>
      <c r="BB65" s="21">
        <v>55</v>
      </c>
      <c r="BC65" s="21">
        <v>0.17639199999999999</v>
      </c>
      <c r="BD65">
        <f t="shared" si="10"/>
        <v>15.6769</v>
      </c>
      <c r="BE65">
        <f t="shared" si="11"/>
        <v>2.7748426537999999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49.619100000000003</v>
      </c>
      <c r="I66" s="21">
        <v>-1.2356600000000001E-2</v>
      </c>
      <c r="J66" s="21">
        <v>56</v>
      </c>
      <c r="K66" s="21">
        <v>1.5170300000000001</v>
      </c>
      <c r="L66">
        <f t="shared" si="0"/>
        <v>12.3566</v>
      </c>
      <c r="M66">
        <f t="shared" si="1"/>
        <v>18.756577404000002</v>
      </c>
      <c r="N66" s="9"/>
      <c r="O66" s="21">
        <v>0.182037</v>
      </c>
      <c r="P66" s="21">
        <v>99.045500000000004</v>
      </c>
      <c r="Q66" s="21">
        <v>-1.5811200000000001E-2</v>
      </c>
      <c r="R66" s="21">
        <v>56</v>
      </c>
      <c r="S66" s="21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1">
        <v>1.5179400000000001</v>
      </c>
      <c r="Z66" s="21">
        <v>128.50299999999999</v>
      </c>
      <c r="AA66" s="21">
        <v>-1.23138E-2</v>
      </c>
      <c r="AB66" s="21">
        <v>56</v>
      </c>
      <c r="AC66" s="21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1">
        <v>0.182037</v>
      </c>
      <c r="AH66" s="21">
        <v>177.976</v>
      </c>
      <c r="AI66" s="21">
        <v>-1.5704300000000001E-2</v>
      </c>
      <c r="AJ66" s="21">
        <v>56</v>
      </c>
      <c r="AK66" s="21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1">
        <v>1.5179400000000001</v>
      </c>
      <c r="AR66" s="21">
        <v>227.422</v>
      </c>
      <c r="AS66" s="21">
        <v>-1.21399E-2</v>
      </c>
      <c r="AT66" s="21">
        <v>56</v>
      </c>
      <c r="AU66" s="21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1">
        <v>0.182037</v>
      </c>
      <c r="AZ66" s="21">
        <v>261.76299999999998</v>
      </c>
      <c r="BA66" s="21">
        <v>-1.56677E-2</v>
      </c>
      <c r="BB66" s="21">
        <v>56</v>
      </c>
      <c r="BC66" s="21">
        <v>0.181427</v>
      </c>
      <c r="BD66">
        <f t="shared" si="10"/>
        <v>15.6677</v>
      </c>
      <c r="BE66">
        <f t="shared" si="11"/>
        <v>2.8521011049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49.629199999999997</v>
      </c>
      <c r="I67" s="21">
        <v>-1.2472499999999999E-2</v>
      </c>
      <c r="J67" s="21">
        <v>57</v>
      </c>
      <c r="K67" s="21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1">
        <v>0.18707299999999999</v>
      </c>
      <c r="P67" s="21">
        <v>99.055599999999998</v>
      </c>
      <c r="Q67" s="21">
        <v>-1.5805099999999999E-2</v>
      </c>
      <c r="R67" s="21">
        <v>57</v>
      </c>
      <c r="S67" s="21">
        <v>0.186554</v>
      </c>
      <c r="T67">
        <f t="shared" si="2"/>
        <v>15.805099999999999</v>
      </c>
      <c r="U67">
        <f t="shared" si="3"/>
        <v>2.9567074722999998</v>
      </c>
      <c r="X67" s="9"/>
      <c r="Y67" s="21">
        <v>1.51291</v>
      </c>
      <c r="Z67" s="21">
        <v>128.51300000000001</v>
      </c>
      <c r="AA67" s="21">
        <v>-1.2423699999999999E-2</v>
      </c>
      <c r="AB67" s="21">
        <v>57</v>
      </c>
      <c r="AC67" s="21">
        <v>1.5121500000000001</v>
      </c>
      <c r="AD67">
        <f t="shared" si="4"/>
        <v>12.4237</v>
      </c>
      <c r="AE67">
        <f t="shared" si="5"/>
        <v>18.795939966999999</v>
      </c>
      <c r="AF67" s="9"/>
      <c r="AG67" s="21">
        <v>0.18707299999999999</v>
      </c>
      <c r="AH67" s="21">
        <v>177.98599999999999</v>
      </c>
      <c r="AI67" s="21">
        <v>-1.5695199999999999E-2</v>
      </c>
      <c r="AJ67" s="21">
        <v>57</v>
      </c>
      <c r="AK67" s="21">
        <v>0.18646199999999999</v>
      </c>
      <c r="AL67">
        <f t="shared" si="6"/>
        <v>15.6952</v>
      </c>
      <c r="AM67">
        <f t="shared" si="7"/>
        <v>2.9361481495999997</v>
      </c>
      <c r="AP67" s="9"/>
      <c r="AQ67" s="21">
        <v>1.51291</v>
      </c>
      <c r="AR67" s="21">
        <v>227.43299999999999</v>
      </c>
      <c r="AS67" s="21">
        <v>-1.22375E-2</v>
      </c>
      <c r="AT67" s="21">
        <v>57</v>
      </c>
      <c r="AU67" s="21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1">
        <v>0.18707299999999999</v>
      </c>
      <c r="AZ67" s="21">
        <v>261.77300000000002</v>
      </c>
      <c r="BA67" s="21">
        <v>-1.56647E-2</v>
      </c>
      <c r="BB67" s="21">
        <v>57</v>
      </c>
      <c r="BC67" s="21">
        <v>0.186554</v>
      </c>
      <c r="BD67">
        <f t="shared" si="10"/>
        <v>15.6647</v>
      </c>
      <c r="BE67">
        <f t="shared" si="11"/>
        <v>2.9304424230999997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49.639299999999999</v>
      </c>
      <c r="I68" s="21">
        <v>-1.2594599999999999E-2</v>
      </c>
      <c r="J68" s="21">
        <v>58</v>
      </c>
      <c r="K68" s="21">
        <v>1.50726</v>
      </c>
      <c r="L68">
        <f t="shared" si="0"/>
        <v>12.5946</v>
      </c>
      <c r="M68">
        <f t="shared" si="1"/>
        <v>18.991019502</v>
      </c>
      <c r="N68" s="9"/>
      <c r="O68" s="21">
        <v>0.192108</v>
      </c>
      <c r="P68" s="21">
        <v>99.065700000000007</v>
      </c>
      <c r="Q68" s="21">
        <v>-1.5802E-2</v>
      </c>
      <c r="R68" s="21">
        <v>58</v>
      </c>
      <c r="S68" s="21">
        <v>0.19140599999999999</v>
      </c>
      <c r="T68">
        <f t="shared" si="2"/>
        <v>15.802</v>
      </c>
      <c r="U68">
        <f t="shared" si="3"/>
        <v>3.0356906160000001</v>
      </c>
      <c r="X68" s="9"/>
      <c r="Y68" s="21">
        <v>1.50787</v>
      </c>
      <c r="Z68" s="21">
        <v>128.523</v>
      </c>
      <c r="AA68" s="21">
        <v>-1.2533600000000001E-2</v>
      </c>
      <c r="AB68" s="21">
        <v>58</v>
      </c>
      <c r="AC68" s="21">
        <v>1.50665</v>
      </c>
      <c r="AD68">
        <f t="shared" si="4"/>
        <v>12.5336</v>
      </c>
      <c r="AE68">
        <f t="shared" si="5"/>
        <v>18.899039431999999</v>
      </c>
      <c r="AF68" s="9"/>
      <c r="AG68" s="21">
        <v>0.192108</v>
      </c>
      <c r="AH68" s="21">
        <v>177.99600000000001</v>
      </c>
      <c r="AI68" s="21">
        <v>-1.5682999999999999E-2</v>
      </c>
      <c r="AJ68" s="21">
        <v>58</v>
      </c>
      <c r="AK68" s="21">
        <v>0.191498</v>
      </c>
      <c r="AL68">
        <f t="shared" si="6"/>
        <v>15.683</v>
      </c>
      <c r="AM68">
        <f t="shared" si="7"/>
        <v>3.0128297640000001</v>
      </c>
      <c r="AP68" s="9"/>
      <c r="AQ68" s="21">
        <v>1.50787</v>
      </c>
      <c r="AR68" s="21">
        <v>227.44300000000001</v>
      </c>
      <c r="AS68" s="21">
        <v>-1.23383E-2</v>
      </c>
      <c r="AT68" s="21">
        <v>58</v>
      </c>
      <c r="AU68" s="21">
        <v>1.50726</v>
      </c>
      <c r="AV68">
        <f t="shared" si="8"/>
        <v>12.3383</v>
      </c>
      <c r="AW68">
        <f t="shared" si="9"/>
        <v>18.604552421000001</v>
      </c>
      <c r="AX68" s="9"/>
      <c r="AY68" s="21">
        <v>0.192108</v>
      </c>
      <c r="AZ68" s="21">
        <v>261.78300000000002</v>
      </c>
      <c r="BA68" s="21">
        <v>-1.5661600000000001E-2</v>
      </c>
      <c r="BB68" s="21">
        <v>58</v>
      </c>
      <c r="BC68" s="21">
        <v>0.191498</v>
      </c>
      <c r="BD68">
        <f t="shared" si="10"/>
        <v>15.661600000000002</v>
      </c>
      <c r="BE68">
        <f t="shared" si="11"/>
        <v>3.0087186528000003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49.649299999999997</v>
      </c>
      <c r="I69" s="21">
        <v>-1.26953E-2</v>
      </c>
      <c r="J69" s="21">
        <v>59</v>
      </c>
      <c r="K69" s="21">
        <v>1.50238</v>
      </c>
      <c r="L69">
        <f t="shared" si="0"/>
        <v>12.6953</v>
      </c>
      <c r="M69">
        <f t="shared" si="1"/>
        <v>19.079004651999998</v>
      </c>
      <c r="N69" s="9"/>
      <c r="O69" s="21">
        <v>0.19714400000000001</v>
      </c>
      <c r="P69" s="21">
        <v>99.075699999999998</v>
      </c>
      <c r="Q69" s="21">
        <v>-1.5802E-2</v>
      </c>
      <c r="R69" s="21">
        <v>59</v>
      </c>
      <c r="S69" s="21">
        <v>0.19656399999999999</v>
      </c>
      <c r="T69">
        <f t="shared" si="2"/>
        <v>15.802</v>
      </c>
      <c r="U69">
        <f t="shared" si="3"/>
        <v>3.115269488</v>
      </c>
      <c r="X69" s="9"/>
      <c r="Y69" s="21">
        <v>1.50284</v>
      </c>
      <c r="Z69" s="21">
        <v>128.53299999999999</v>
      </c>
      <c r="AA69" s="21">
        <v>-1.26312E-2</v>
      </c>
      <c r="AB69" s="21">
        <v>59</v>
      </c>
      <c r="AC69" s="21">
        <v>1.50238</v>
      </c>
      <c r="AD69">
        <f t="shared" si="4"/>
        <v>12.6312</v>
      </c>
      <c r="AE69">
        <f t="shared" si="5"/>
        <v>18.982672607999998</v>
      </c>
      <c r="AF69" s="9"/>
      <c r="AG69" s="21">
        <v>0.19714400000000001</v>
      </c>
      <c r="AH69" s="21">
        <v>178.006</v>
      </c>
      <c r="AI69" s="21">
        <v>-1.56799E-2</v>
      </c>
      <c r="AJ69" s="21">
        <v>59</v>
      </c>
      <c r="AK69" s="21">
        <v>0.19656399999999999</v>
      </c>
      <c r="AL69">
        <f t="shared" si="6"/>
        <v>15.6799</v>
      </c>
      <c r="AM69">
        <f t="shared" si="7"/>
        <v>3.0911982056</v>
      </c>
      <c r="AP69" s="9"/>
      <c r="AQ69" s="21">
        <v>1.50284</v>
      </c>
      <c r="AR69" s="21">
        <v>227.453</v>
      </c>
      <c r="AS69" s="21">
        <v>-1.24329E-2</v>
      </c>
      <c r="AT69" s="21">
        <v>59</v>
      </c>
      <c r="AU69" s="21">
        <v>1.50238</v>
      </c>
      <c r="AV69">
        <f t="shared" si="8"/>
        <v>12.4329</v>
      </c>
      <c r="AW69">
        <f t="shared" si="9"/>
        <v>18.684659436</v>
      </c>
      <c r="AX69" s="9"/>
      <c r="AY69" s="21">
        <v>0.19714400000000001</v>
      </c>
      <c r="AZ69" s="21">
        <v>261.79300000000001</v>
      </c>
      <c r="BA69" s="21">
        <v>-1.5655499999999999E-2</v>
      </c>
      <c r="BB69" s="21">
        <v>59</v>
      </c>
      <c r="BC69" s="21">
        <v>0.19659399999999999</v>
      </c>
      <c r="BD69">
        <f t="shared" si="10"/>
        <v>15.6555</v>
      </c>
      <c r="BE69">
        <f t="shared" si="11"/>
        <v>3.0863878920000003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49.659399999999998</v>
      </c>
      <c r="I70" s="21">
        <v>-1.27899E-2</v>
      </c>
      <c r="J70" s="21">
        <v>60</v>
      </c>
      <c r="K70" s="21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1">
        <v>0.202179</v>
      </c>
      <c r="P70" s="21">
        <v>99.085800000000006</v>
      </c>
      <c r="Q70" s="21">
        <v>-1.5795900000000002E-2</v>
      </c>
      <c r="R70" s="21">
        <v>60</v>
      </c>
      <c r="S70" s="21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1">
        <v>1.4978</v>
      </c>
      <c r="Z70" s="21">
        <v>128.54300000000001</v>
      </c>
      <c r="AA70" s="21">
        <v>-1.2722799999999999E-2</v>
      </c>
      <c r="AB70" s="21">
        <v>60</v>
      </c>
      <c r="AC70" s="21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1">
        <v>0.202179</v>
      </c>
      <c r="AH70" s="21">
        <v>178.01599999999999</v>
      </c>
      <c r="AI70" s="21">
        <v>-1.56799E-2</v>
      </c>
      <c r="AJ70" s="21">
        <v>60</v>
      </c>
      <c r="AK70" s="21">
        <v>0.201569</v>
      </c>
      <c r="AL70">
        <f t="shared" si="6"/>
        <v>15.6799</v>
      </c>
      <c r="AM70">
        <f t="shared" si="7"/>
        <v>3.1701465021000002</v>
      </c>
      <c r="AP70" s="9"/>
      <c r="AQ70" s="21">
        <v>1.4978</v>
      </c>
      <c r="AR70" s="21">
        <v>227.46299999999999</v>
      </c>
      <c r="AS70" s="21">
        <v>-1.25244E-2</v>
      </c>
      <c r="AT70" s="21">
        <v>60</v>
      </c>
      <c r="AU70" s="21">
        <v>1.4975000000000001</v>
      </c>
      <c r="AV70">
        <f t="shared" si="8"/>
        <v>12.5244</v>
      </c>
      <c r="AW70">
        <f t="shared" si="9"/>
        <v>18.759046319999999</v>
      </c>
      <c r="AX70" s="9"/>
      <c r="AY70" s="21">
        <v>0.202179</v>
      </c>
      <c r="AZ70" s="21">
        <v>261.803</v>
      </c>
      <c r="BA70" s="21">
        <v>-1.56525E-2</v>
      </c>
      <c r="BB70" s="21">
        <v>60</v>
      </c>
      <c r="BC70" s="21">
        <v>0.20163</v>
      </c>
      <c r="BD70">
        <f t="shared" si="10"/>
        <v>15.6525</v>
      </c>
      <c r="BE70">
        <f t="shared" si="11"/>
        <v>3.1646067974999998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49.669499999999999</v>
      </c>
      <c r="I71" s="21">
        <v>-1.28845E-2</v>
      </c>
      <c r="J71" s="21">
        <v>61</v>
      </c>
      <c r="K71" s="21">
        <v>1.49231</v>
      </c>
      <c r="L71">
        <f t="shared" si="0"/>
        <v>12.884500000000001</v>
      </c>
      <c r="M71">
        <f t="shared" si="1"/>
        <v>19.233595064999999</v>
      </c>
      <c r="N71" s="9"/>
      <c r="O71" s="21">
        <v>0.20721400000000001</v>
      </c>
      <c r="P71" s="21">
        <v>99.0959</v>
      </c>
      <c r="Q71" s="21">
        <v>-1.57898E-2</v>
      </c>
      <c r="R71" s="21">
        <v>61</v>
      </c>
      <c r="S71" s="21">
        <v>0.20657300000000001</v>
      </c>
      <c r="T71">
        <f t="shared" si="2"/>
        <v>15.7898</v>
      </c>
      <c r="U71">
        <f t="shared" si="3"/>
        <v>3.2718676171999999</v>
      </c>
      <c r="X71" s="9"/>
      <c r="Y71" s="21">
        <v>1.4927699999999999</v>
      </c>
      <c r="Z71" s="21">
        <v>128.553</v>
      </c>
      <c r="AA71" s="21">
        <v>-1.2814300000000001E-2</v>
      </c>
      <c r="AB71" s="21">
        <v>61</v>
      </c>
      <c r="AC71" s="21">
        <v>1.492</v>
      </c>
      <c r="AD71">
        <f t="shared" si="4"/>
        <v>12.814300000000001</v>
      </c>
      <c r="AE71">
        <f t="shared" si="5"/>
        <v>19.128802611000001</v>
      </c>
      <c r="AF71" s="9"/>
      <c r="AG71" s="21">
        <v>0.20721400000000001</v>
      </c>
      <c r="AH71" s="21">
        <v>178.02600000000001</v>
      </c>
      <c r="AI71" s="21">
        <v>-1.5682999999999999E-2</v>
      </c>
      <c r="AJ71" s="21">
        <v>61</v>
      </c>
      <c r="AK71" s="21">
        <v>0.20663500000000001</v>
      </c>
      <c r="AL71">
        <f t="shared" si="6"/>
        <v>15.683</v>
      </c>
      <c r="AM71">
        <f t="shared" si="7"/>
        <v>3.2497371620000002</v>
      </c>
      <c r="AP71" s="9"/>
      <c r="AQ71" s="21">
        <v>1.4927699999999999</v>
      </c>
      <c r="AR71" s="21">
        <v>227.47300000000001</v>
      </c>
      <c r="AS71" s="21">
        <v>-1.26129E-2</v>
      </c>
      <c r="AT71" s="21">
        <v>61</v>
      </c>
      <c r="AU71" s="21">
        <v>1.49261</v>
      </c>
      <c r="AV71">
        <f t="shared" si="8"/>
        <v>12.6129</v>
      </c>
      <c r="AW71">
        <f t="shared" si="9"/>
        <v>18.828158732999999</v>
      </c>
      <c r="AX71" s="9"/>
      <c r="AY71" s="21">
        <v>0.20721400000000001</v>
      </c>
      <c r="AZ71" s="21">
        <v>261.81299999999999</v>
      </c>
      <c r="BA71" s="21">
        <v>-1.5646400000000001E-2</v>
      </c>
      <c r="BB71" s="21">
        <v>61</v>
      </c>
      <c r="BC71" s="21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49.679499999999997</v>
      </c>
      <c r="I72" s="21">
        <v>-1.2970000000000001E-2</v>
      </c>
      <c r="J72" s="21">
        <v>62</v>
      </c>
      <c r="K72" s="21">
        <v>1.48712</v>
      </c>
      <c r="L72">
        <f t="shared" si="0"/>
        <v>12.97</v>
      </c>
      <c r="M72">
        <f t="shared" si="1"/>
        <v>19.2958581</v>
      </c>
      <c r="N72" s="9"/>
      <c r="O72" s="21">
        <v>0.21224999999999999</v>
      </c>
      <c r="P72" s="21">
        <v>99.105999999999995</v>
      </c>
      <c r="Q72" s="21">
        <v>-1.5786700000000001E-2</v>
      </c>
      <c r="R72" s="21">
        <v>62</v>
      </c>
      <c r="S72" s="21">
        <v>0.211761</v>
      </c>
      <c r="T72">
        <f t="shared" si="2"/>
        <v>15.786700000000002</v>
      </c>
      <c r="U72">
        <f t="shared" si="3"/>
        <v>3.3507270750000004</v>
      </c>
      <c r="X72" s="9"/>
      <c r="Y72" s="21">
        <v>1.48773</v>
      </c>
      <c r="Z72" s="21">
        <v>128.56299999999999</v>
      </c>
      <c r="AA72" s="21">
        <v>-1.2893699999999999E-2</v>
      </c>
      <c r="AB72" s="21">
        <v>62</v>
      </c>
      <c r="AC72" s="21">
        <v>1.48743</v>
      </c>
      <c r="AD72">
        <f t="shared" si="4"/>
        <v>12.893699999999999</v>
      </c>
      <c r="AE72">
        <f t="shared" si="5"/>
        <v>19.182344300999997</v>
      </c>
      <c r="AF72" s="9"/>
      <c r="AG72" s="21">
        <v>0.21224999999999999</v>
      </c>
      <c r="AH72" s="21">
        <v>178.036</v>
      </c>
      <c r="AI72" s="21">
        <v>-1.5685999999999999E-2</v>
      </c>
      <c r="AJ72" s="21">
        <v>62</v>
      </c>
      <c r="AK72" s="21">
        <v>0.2117</v>
      </c>
      <c r="AL72">
        <f t="shared" si="6"/>
        <v>15.685999999999998</v>
      </c>
      <c r="AM72">
        <f t="shared" si="7"/>
        <v>3.3293534999999994</v>
      </c>
      <c r="AP72" s="9"/>
      <c r="AQ72" s="21">
        <v>1.48773</v>
      </c>
      <c r="AR72" s="21">
        <v>227.483</v>
      </c>
      <c r="AS72" s="21">
        <v>-1.26953E-2</v>
      </c>
      <c r="AT72" s="21">
        <v>62</v>
      </c>
      <c r="AU72" s="21">
        <v>1.48773</v>
      </c>
      <c r="AV72">
        <f t="shared" si="8"/>
        <v>12.6953</v>
      </c>
      <c r="AW72">
        <f t="shared" si="9"/>
        <v>18.887178669000001</v>
      </c>
      <c r="AX72" s="9"/>
      <c r="AY72" s="21">
        <v>0.21224999999999999</v>
      </c>
      <c r="AZ72" s="21">
        <v>261.82299999999998</v>
      </c>
      <c r="BA72" s="21">
        <v>-1.5646400000000001E-2</v>
      </c>
      <c r="BB72" s="21">
        <v>62</v>
      </c>
      <c r="BC72" s="21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49.689599999999999</v>
      </c>
      <c r="I73" s="21">
        <v>-1.3064600000000001E-2</v>
      </c>
      <c r="J73" s="21">
        <v>63</v>
      </c>
      <c r="K73" s="21">
        <v>1.48224</v>
      </c>
      <c r="L73">
        <f t="shared" si="0"/>
        <v>13.0646</v>
      </c>
      <c r="M73">
        <f t="shared" si="1"/>
        <v>19.370882420000001</v>
      </c>
      <c r="N73" s="9"/>
      <c r="O73" s="21">
        <v>0.21728500000000001</v>
      </c>
      <c r="P73" s="21">
        <v>99.116</v>
      </c>
      <c r="Q73" s="21">
        <v>-1.5783700000000001E-2</v>
      </c>
      <c r="R73" s="21">
        <v>63</v>
      </c>
      <c r="S73" s="21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1">
        <v>1.4826999999999999</v>
      </c>
      <c r="Z73" s="21">
        <v>128.57300000000001</v>
      </c>
      <c r="AA73" s="21">
        <v>-1.29639E-2</v>
      </c>
      <c r="AB73" s="21">
        <v>63</v>
      </c>
      <c r="AC73" s="21">
        <v>1.48163</v>
      </c>
      <c r="AD73">
        <f t="shared" si="4"/>
        <v>12.963900000000001</v>
      </c>
      <c r="AE73">
        <f t="shared" si="5"/>
        <v>19.221574529999998</v>
      </c>
      <c r="AF73" s="9"/>
      <c r="AG73" s="21">
        <v>0.21728500000000001</v>
      </c>
      <c r="AH73" s="21">
        <v>178.047</v>
      </c>
      <c r="AI73" s="21">
        <v>-1.5682999999999999E-2</v>
      </c>
      <c r="AJ73" s="21">
        <v>63</v>
      </c>
      <c r="AK73" s="21">
        <v>0.21667500000000001</v>
      </c>
      <c r="AL73">
        <f t="shared" si="6"/>
        <v>15.683</v>
      </c>
      <c r="AM73">
        <f t="shared" si="7"/>
        <v>3.4076806550000001</v>
      </c>
      <c r="AP73" s="9"/>
      <c r="AQ73" s="21">
        <v>1.4826999999999999</v>
      </c>
      <c r="AR73" s="21">
        <v>227.49299999999999</v>
      </c>
      <c r="AS73" s="21">
        <v>-1.27808E-2</v>
      </c>
      <c r="AT73" s="21">
        <v>63</v>
      </c>
      <c r="AU73" s="21">
        <v>1.48163</v>
      </c>
      <c r="AV73">
        <f t="shared" si="8"/>
        <v>12.780799999999999</v>
      </c>
      <c r="AW73">
        <f t="shared" si="9"/>
        <v>18.950092159999997</v>
      </c>
      <c r="AX73" s="9"/>
      <c r="AY73" s="21">
        <v>0.21728500000000001</v>
      </c>
      <c r="AZ73" s="21">
        <v>261.83300000000003</v>
      </c>
      <c r="BA73" s="21">
        <v>-1.5646400000000001E-2</v>
      </c>
      <c r="BB73" s="21">
        <v>63</v>
      </c>
      <c r="BC73" s="21">
        <v>0.216644</v>
      </c>
      <c r="BD73">
        <f t="shared" si="10"/>
        <v>15.646400000000002</v>
      </c>
      <c r="BE73">
        <f t="shared" si="11"/>
        <v>3.3997280240000003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49.6997</v>
      </c>
      <c r="I74" s="21">
        <v>-1.3159199999999999E-2</v>
      </c>
      <c r="J74" s="21">
        <v>64</v>
      </c>
      <c r="K74" s="21">
        <v>1.47705</v>
      </c>
      <c r="L74">
        <f t="shared" si="0"/>
        <v>13.1592</v>
      </c>
      <c r="M74">
        <f t="shared" si="1"/>
        <v>19.444823471999999</v>
      </c>
      <c r="N74" s="9"/>
      <c r="O74" s="21">
        <v>0.22232099999999999</v>
      </c>
      <c r="P74" s="21">
        <v>99.126099999999994</v>
      </c>
      <c r="Q74" s="21">
        <v>-1.5786700000000001E-2</v>
      </c>
      <c r="R74" s="21">
        <v>64</v>
      </c>
      <c r="S74" s="21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1">
        <v>1.47766</v>
      </c>
      <c r="Z74" s="21">
        <v>128.583</v>
      </c>
      <c r="AA74" s="21">
        <v>-1.30463E-2</v>
      </c>
      <c r="AB74" s="21">
        <v>64</v>
      </c>
      <c r="AC74" s="21">
        <v>1.47705</v>
      </c>
      <c r="AD74">
        <f t="shared" si="4"/>
        <v>13.0463</v>
      </c>
      <c r="AE74">
        <f t="shared" si="5"/>
        <v>19.277995658000002</v>
      </c>
      <c r="AF74" s="9"/>
      <c r="AG74" s="21">
        <v>0.22232099999999999</v>
      </c>
      <c r="AH74" s="21">
        <v>178.05699999999999</v>
      </c>
      <c r="AI74" s="21">
        <v>-1.5682999999999999E-2</v>
      </c>
      <c r="AJ74" s="21">
        <v>64</v>
      </c>
      <c r="AK74" s="21">
        <v>0.22174099999999999</v>
      </c>
      <c r="AL74">
        <f t="shared" si="6"/>
        <v>15.683</v>
      </c>
      <c r="AM74">
        <f t="shared" si="7"/>
        <v>3.4866602429999998</v>
      </c>
      <c r="AP74" s="9"/>
      <c r="AQ74" s="21">
        <v>1.47766</v>
      </c>
      <c r="AR74" s="21">
        <v>227.50299999999999</v>
      </c>
      <c r="AS74" s="21">
        <v>-1.2860099999999999E-2</v>
      </c>
      <c r="AT74" s="21">
        <v>64</v>
      </c>
      <c r="AU74" s="21">
        <v>1.47705</v>
      </c>
      <c r="AV74">
        <f t="shared" si="8"/>
        <v>12.860099999999999</v>
      </c>
      <c r="AW74">
        <f t="shared" si="9"/>
        <v>19.002855365999999</v>
      </c>
      <c r="AX74" s="9"/>
      <c r="AY74" s="21">
        <v>0.22232099999999999</v>
      </c>
      <c r="AZ74" s="21">
        <v>261.84300000000002</v>
      </c>
      <c r="BA74" s="21">
        <v>-1.5649400000000001E-2</v>
      </c>
      <c r="BB74" s="21">
        <v>64</v>
      </c>
      <c r="BC74" s="21">
        <v>0.22167999999999999</v>
      </c>
      <c r="BD74">
        <f t="shared" si="10"/>
        <v>15.6494</v>
      </c>
      <c r="BE74">
        <f t="shared" si="11"/>
        <v>3.4791902574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49.709800000000001</v>
      </c>
      <c r="I75" s="21">
        <v>-1.32385E-2</v>
      </c>
      <c r="J75" s="21">
        <v>65</v>
      </c>
      <c r="K75" s="21">
        <v>1.4718599999999999</v>
      </c>
      <c r="L75">
        <f t="shared" si="0"/>
        <v>13.2385</v>
      </c>
      <c r="M75">
        <f t="shared" si="1"/>
        <v>19.495412255000002</v>
      </c>
      <c r="N75" s="9"/>
      <c r="O75" s="21">
        <v>0.227356</v>
      </c>
      <c r="P75" s="21">
        <v>99.136200000000002</v>
      </c>
      <c r="Q75" s="21">
        <v>-1.57898E-2</v>
      </c>
      <c r="R75" s="21">
        <v>65</v>
      </c>
      <c r="S75" s="21">
        <v>0.22677600000000001</v>
      </c>
      <c r="T75">
        <f t="shared" si="2"/>
        <v>15.7898</v>
      </c>
      <c r="U75">
        <f t="shared" si="3"/>
        <v>3.5899057688</v>
      </c>
      <c r="X75" s="9"/>
      <c r="Y75" s="21">
        <v>1.4726300000000001</v>
      </c>
      <c r="Z75" s="21">
        <v>128.59299999999999</v>
      </c>
      <c r="AA75" s="21">
        <v>-1.31226E-2</v>
      </c>
      <c r="AB75" s="21">
        <v>65</v>
      </c>
      <c r="AC75" s="21">
        <v>1.4718599999999999</v>
      </c>
      <c r="AD75">
        <f t="shared" si="4"/>
        <v>13.1226</v>
      </c>
      <c r="AE75">
        <f t="shared" si="5"/>
        <v>19.324734438</v>
      </c>
      <c r="AF75" s="9"/>
      <c r="AG75" s="21">
        <v>0.227356</v>
      </c>
      <c r="AH75" s="21">
        <v>178.06700000000001</v>
      </c>
      <c r="AI75" s="21">
        <v>-1.56799E-2</v>
      </c>
      <c r="AJ75" s="21">
        <v>65</v>
      </c>
      <c r="AK75" s="21">
        <v>0.226715</v>
      </c>
      <c r="AL75">
        <f t="shared" si="6"/>
        <v>15.6799</v>
      </c>
      <c r="AM75">
        <f t="shared" si="7"/>
        <v>3.5649193444000002</v>
      </c>
      <c r="AP75" s="9"/>
      <c r="AQ75" s="21">
        <v>1.4726300000000001</v>
      </c>
      <c r="AR75" s="21">
        <v>227.51300000000001</v>
      </c>
      <c r="AS75" s="21">
        <v>-1.29333E-2</v>
      </c>
      <c r="AT75" s="21">
        <v>65</v>
      </c>
      <c r="AU75" s="21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1">
        <v>0.227356</v>
      </c>
      <c r="AZ75" s="21">
        <v>261.85300000000001</v>
      </c>
      <c r="BA75" s="21">
        <v>-1.5643299999999999E-2</v>
      </c>
      <c r="BB75" s="21">
        <v>65</v>
      </c>
      <c r="BC75" s="21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49.719799999999999</v>
      </c>
      <c r="I76" s="21">
        <v>-1.3317900000000001E-2</v>
      </c>
      <c r="J76" s="21">
        <v>66</v>
      </c>
      <c r="K76" s="21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1">
        <v>0.23239099999999999</v>
      </c>
      <c r="P76" s="21">
        <v>99.146199999999993</v>
      </c>
      <c r="Q76" s="21">
        <v>-1.57898E-2</v>
      </c>
      <c r="R76" s="21">
        <v>66</v>
      </c>
      <c r="S76" s="21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1">
        <v>1.46759</v>
      </c>
      <c r="Z76" s="21">
        <v>128.60300000000001</v>
      </c>
      <c r="AA76" s="21">
        <v>-1.31989E-2</v>
      </c>
      <c r="AB76" s="21">
        <v>66</v>
      </c>
      <c r="AC76" s="21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1">
        <v>0.23239099999999999</v>
      </c>
      <c r="AH76" s="21">
        <v>178.077</v>
      </c>
      <c r="AI76" s="21">
        <v>-1.5676900000000001E-2</v>
      </c>
      <c r="AJ76" s="21">
        <v>66</v>
      </c>
      <c r="AK76" s="21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1">
        <v>1.46759</v>
      </c>
      <c r="AR76" s="21">
        <v>227.523</v>
      </c>
      <c r="AS76" s="21">
        <v>-1.2997399999999999E-2</v>
      </c>
      <c r="AT76" s="21">
        <v>66</v>
      </c>
      <c r="AU76" s="21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1">
        <v>0.23239099999999999</v>
      </c>
      <c r="AZ76" s="21">
        <v>261.863</v>
      </c>
      <c r="BA76" s="21">
        <v>-1.5640299999999999E-2</v>
      </c>
      <c r="BB76" s="21">
        <v>66</v>
      </c>
      <c r="BC76" s="21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49.729900000000001</v>
      </c>
      <c r="I77" s="21">
        <v>-1.33942E-2</v>
      </c>
      <c r="J77" s="21">
        <v>67</v>
      </c>
      <c r="K77" s="21">
        <v>1.4621</v>
      </c>
      <c r="L77">
        <f t="shared" si="12"/>
        <v>13.3942</v>
      </c>
      <c r="M77">
        <f t="shared" si="13"/>
        <v>19.589687210000001</v>
      </c>
      <c r="N77" s="9"/>
      <c r="O77" s="21">
        <v>0.237427</v>
      </c>
      <c r="P77" s="21">
        <v>99.156300000000002</v>
      </c>
      <c r="Q77" s="21">
        <v>-1.5786700000000001E-2</v>
      </c>
      <c r="R77" s="21">
        <v>67</v>
      </c>
      <c r="S77" s="21">
        <v>0.236877</v>
      </c>
      <c r="T77">
        <f t="shared" si="14"/>
        <v>15.786700000000002</v>
      </c>
      <c r="U77">
        <f t="shared" si="15"/>
        <v>3.7481888209000003</v>
      </c>
      <c r="X77" s="9"/>
      <c r="Y77" s="21">
        <v>1.46255</v>
      </c>
      <c r="Z77" s="21">
        <v>128.613</v>
      </c>
      <c r="AA77" s="21">
        <v>-1.32751E-2</v>
      </c>
      <c r="AB77" s="21">
        <v>67</v>
      </c>
      <c r="AC77" s="21">
        <v>1.4617899999999999</v>
      </c>
      <c r="AD77">
        <f t="shared" si="16"/>
        <v>13.2751</v>
      </c>
      <c r="AE77">
        <f t="shared" si="17"/>
        <v>19.415497505000001</v>
      </c>
      <c r="AF77" s="9"/>
      <c r="AG77" s="21">
        <v>0.237427</v>
      </c>
      <c r="AH77" s="21">
        <v>178.08699999999999</v>
      </c>
      <c r="AI77" s="21">
        <v>-1.5670799999999999E-2</v>
      </c>
      <c r="AJ77" s="21">
        <v>67</v>
      </c>
      <c r="AK77" s="21">
        <v>0.236786</v>
      </c>
      <c r="AL77">
        <f t="shared" si="18"/>
        <v>15.670799999999998</v>
      </c>
      <c r="AM77">
        <f t="shared" si="19"/>
        <v>3.7206710315999993</v>
      </c>
      <c r="AP77" s="9"/>
      <c r="AQ77" s="21">
        <v>1.46255</v>
      </c>
      <c r="AR77" s="21">
        <v>227.53299999999999</v>
      </c>
      <c r="AS77" s="21">
        <v>-1.30676E-2</v>
      </c>
      <c r="AT77" s="21">
        <v>67</v>
      </c>
      <c r="AU77" s="21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1">
        <v>0.237427</v>
      </c>
      <c r="AZ77" s="21">
        <v>261.87299999999999</v>
      </c>
      <c r="BA77" s="21">
        <v>-1.56372E-2</v>
      </c>
      <c r="BB77" s="21">
        <v>67</v>
      </c>
      <c r="BC77" s="21">
        <v>0.236847</v>
      </c>
      <c r="BD77">
        <f t="shared" si="22"/>
        <v>15.6372</v>
      </c>
      <c r="BE77">
        <f t="shared" si="23"/>
        <v>3.7126934843999999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49.74</v>
      </c>
      <c r="I78" s="21">
        <v>-1.3473499999999999E-2</v>
      </c>
      <c r="J78" s="21">
        <v>68</v>
      </c>
      <c r="K78" s="21">
        <v>1.4572099999999999</v>
      </c>
      <c r="L78">
        <f t="shared" si="12"/>
        <v>13.4735</v>
      </c>
      <c r="M78">
        <f t="shared" si="13"/>
        <v>19.637895719999999</v>
      </c>
      <c r="N78" s="9"/>
      <c r="O78" s="21">
        <v>0.24246200000000001</v>
      </c>
      <c r="P78" s="21">
        <v>99.166399999999996</v>
      </c>
      <c r="Q78" s="21">
        <v>-1.5780599999999999E-2</v>
      </c>
      <c r="R78" s="21">
        <v>68</v>
      </c>
      <c r="S78" s="21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1">
        <v>1.4575199999999999</v>
      </c>
      <c r="Z78" s="21">
        <v>128.62299999999999</v>
      </c>
      <c r="AA78" s="21">
        <v>-1.33484E-2</v>
      </c>
      <c r="AB78" s="21">
        <v>68</v>
      </c>
      <c r="AC78" s="21">
        <v>1.4569099999999999</v>
      </c>
      <c r="AD78">
        <f t="shared" si="16"/>
        <v>13.3484</v>
      </c>
      <c r="AE78">
        <f t="shared" si="17"/>
        <v>19.455559967999999</v>
      </c>
      <c r="AF78" s="9"/>
      <c r="AG78" s="21">
        <v>0.24246200000000001</v>
      </c>
      <c r="AH78" s="21">
        <v>178.09700000000001</v>
      </c>
      <c r="AI78" s="21">
        <v>-1.56647E-2</v>
      </c>
      <c r="AJ78" s="21">
        <v>68</v>
      </c>
      <c r="AK78" s="21">
        <v>0.24185200000000001</v>
      </c>
      <c r="AL78">
        <f t="shared" si="18"/>
        <v>15.6647</v>
      </c>
      <c r="AM78">
        <f t="shared" si="19"/>
        <v>3.7980944914000001</v>
      </c>
      <c r="AP78" s="9"/>
      <c r="AQ78" s="21">
        <v>1.4575199999999999</v>
      </c>
      <c r="AR78" s="21">
        <v>227.54300000000001</v>
      </c>
      <c r="AS78" s="21">
        <v>-1.31317E-2</v>
      </c>
      <c r="AT78" s="21">
        <v>68</v>
      </c>
      <c r="AU78" s="21">
        <v>1.4569099999999999</v>
      </c>
      <c r="AV78">
        <f t="shared" si="20"/>
        <v>13.1317</v>
      </c>
      <c r="AW78">
        <f t="shared" si="21"/>
        <v>19.139715383999999</v>
      </c>
      <c r="AX78" s="9"/>
      <c r="AY78" s="21">
        <v>0.24246200000000001</v>
      </c>
      <c r="AZ78" s="21">
        <v>261.88299999999998</v>
      </c>
      <c r="BA78" s="21">
        <v>-1.56372E-2</v>
      </c>
      <c r="BB78" s="21">
        <v>68</v>
      </c>
      <c r="BC78" s="21">
        <v>0.24191299999999999</v>
      </c>
      <c r="BD78">
        <f t="shared" si="22"/>
        <v>15.6372</v>
      </c>
      <c r="BE78">
        <f t="shared" si="23"/>
        <v>3.7914267864000002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49.75</v>
      </c>
      <c r="I79" s="21">
        <v>-1.3543700000000001E-2</v>
      </c>
      <c r="J79" s="21">
        <v>69</v>
      </c>
      <c r="K79" s="21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1">
        <v>0.247498</v>
      </c>
      <c r="P79" s="21">
        <v>99.176500000000004</v>
      </c>
      <c r="Q79" s="21">
        <v>-1.5771500000000001E-2</v>
      </c>
      <c r="R79" s="21">
        <v>69</v>
      </c>
      <c r="S79" s="21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1">
        <v>1.45248</v>
      </c>
      <c r="Z79" s="21">
        <v>128.63399999999999</v>
      </c>
      <c r="AA79" s="21">
        <v>-1.34155E-2</v>
      </c>
      <c r="AB79" s="21">
        <v>69</v>
      </c>
      <c r="AC79" s="21">
        <v>1.4517199999999999</v>
      </c>
      <c r="AD79">
        <f t="shared" si="16"/>
        <v>13.4155</v>
      </c>
      <c r="AE79">
        <f t="shared" si="17"/>
        <v>19.485745439999999</v>
      </c>
      <c r="AF79" s="9"/>
      <c r="AG79" s="21">
        <v>0.247498</v>
      </c>
      <c r="AH79" s="21">
        <v>178.107</v>
      </c>
      <c r="AI79" s="21">
        <v>-1.5661600000000001E-2</v>
      </c>
      <c r="AJ79" s="21">
        <v>69</v>
      </c>
      <c r="AK79" s="21">
        <v>0.246979</v>
      </c>
      <c r="AL79">
        <f t="shared" si="18"/>
        <v>15.661600000000002</v>
      </c>
      <c r="AM79">
        <f t="shared" si="19"/>
        <v>3.8762146768000005</v>
      </c>
      <c r="AP79" s="9"/>
      <c r="AQ79" s="21">
        <v>1.45248</v>
      </c>
      <c r="AR79" s="21">
        <v>227.553</v>
      </c>
      <c r="AS79" s="21">
        <v>-1.3201900000000001E-2</v>
      </c>
      <c r="AT79" s="21">
        <v>69</v>
      </c>
      <c r="AU79" s="21">
        <v>1.4523299999999999</v>
      </c>
      <c r="AV79">
        <f t="shared" si="20"/>
        <v>13.2019</v>
      </c>
      <c r="AW79">
        <f t="shared" si="21"/>
        <v>19.175495712</v>
      </c>
      <c r="AX79" s="9"/>
      <c r="AY79" s="21">
        <v>0.247498</v>
      </c>
      <c r="AZ79" s="21">
        <v>261.89400000000001</v>
      </c>
      <c r="BA79" s="21">
        <v>-1.5634200000000001E-2</v>
      </c>
      <c r="BB79" s="21">
        <v>69</v>
      </c>
      <c r="BC79" s="21">
        <v>0.246918</v>
      </c>
      <c r="BD79">
        <f t="shared" si="22"/>
        <v>15.634200000000002</v>
      </c>
      <c r="BE79">
        <f t="shared" si="23"/>
        <v>3.8694332316000004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49.760100000000001</v>
      </c>
      <c r="I80" s="21">
        <v>-1.36139E-2</v>
      </c>
      <c r="J80" s="21">
        <v>70</v>
      </c>
      <c r="K80" s="21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1">
        <v>0.25253300000000001</v>
      </c>
      <c r="P80" s="21">
        <v>99.186499999999995</v>
      </c>
      <c r="Q80" s="21">
        <v>-1.5768399999999998E-2</v>
      </c>
      <c r="R80" s="21">
        <v>70</v>
      </c>
      <c r="S80" s="21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1">
        <v>1.4474499999999999</v>
      </c>
      <c r="Z80" s="21">
        <v>128.64400000000001</v>
      </c>
      <c r="AA80" s="21">
        <v>-1.34827E-2</v>
      </c>
      <c r="AB80" s="21">
        <v>70</v>
      </c>
      <c r="AC80" s="21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1">
        <v>0.25253300000000001</v>
      </c>
      <c r="AH80" s="21">
        <v>178.11699999999999</v>
      </c>
      <c r="AI80" s="21">
        <v>-1.56677E-2</v>
      </c>
      <c r="AJ80" s="21">
        <v>70</v>
      </c>
      <c r="AK80" s="21">
        <v>0.251892</v>
      </c>
      <c r="AL80">
        <f t="shared" si="18"/>
        <v>15.6677</v>
      </c>
      <c r="AM80">
        <f t="shared" si="19"/>
        <v>3.9566112841000001</v>
      </c>
      <c r="AP80" s="9"/>
      <c r="AQ80" s="21">
        <v>1.4474499999999999</v>
      </c>
      <c r="AR80" s="21">
        <v>227.56299999999999</v>
      </c>
      <c r="AS80" s="21">
        <v>-1.32599E-2</v>
      </c>
      <c r="AT80" s="21">
        <v>70</v>
      </c>
      <c r="AU80" s="21">
        <v>1.4468399999999999</v>
      </c>
      <c r="AV80">
        <f t="shared" si="20"/>
        <v>13.2599</v>
      </c>
      <c r="AW80">
        <f t="shared" si="21"/>
        <v>19.193042254999998</v>
      </c>
      <c r="AX80" s="9"/>
      <c r="AY80" s="21">
        <v>0.25253300000000001</v>
      </c>
      <c r="AZ80" s="21">
        <v>261.904</v>
      </c>
      <c r="BA80" s="21">
        <v>-1.5634200000000001E-2</v>
      </c>
      <c r="BB80" s="21">
        <v>70</v>
      </c>
      <c r="BC80" s="21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49.770200000000003</v>
      </c>
      <c r="I81" s="21">
        <v>-1.3671900000000001E-2</v>
      </c>
      <c r="J81" s="21">
        <v>71</v>
      </c>
      <c r="K81" s="21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1">
        <v>0.25756800000000002</v>
      </c>
      <c r="P81" s="21">
        <v>99.196600000000004</v>
      </c>
      <c r="Q81" s="21">
        <v>-1.5765399999999999E-2</v>
      </c>
      <c r="R81" s="21">
        <v>71</v>
      </c>
      <c r="S81" s="21">
        <v>0.25692700000000002</v>
      </c>
      <c r="T81">
        <f t="shared" si="14"/>
        <v>15.7654</v>
      </c>
      <c r="U81">
        <f t="shared" si="15"/>
        <v>4.0606625472000006</v>
      </c>
      <c r="X81" s="9"/>
      <c r="Y81" s="21">
        <v>1.44241</v>
      </c>
      <c r="Z81" s="21">
        <v>128.654</v>
      </c>
      <c r="AA81" s="21">
        <v>-1.3543700000000001E-2</v>
      </c>
      <c r="AB81" s="21">
        <v>71</v>
      </c>
      <c r="AC81" s="21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1">
        <v>0.25756800000000002</v>
      </c>
      <c r="AH81" s="21">
        <v>178.12700000000001</v>
      </c>
      <c r="AI81" s="21">
        <v>-1.5658600000000002E-2</v>
      </c>
      <c r="AJ81" s="21">
        <v>71</v>
      </c>
      <c r="AK81" s="21">
        <v>0.25705</v>
      </c>
      <c r="AL81">
        <f t="shared" si="18"/>
        <v>15.658600000000002</v>
      </c>
      <c r="AM81">
        <f t="shared" si="19"/>
        <v>4.033154284800001</v>
      </c>
      <c r="AP81" s="9"/>
      <c r="AQ81" s="21">
        <v>1.44241</v>
      </c>
      <c r="AR81" s="21">
        <v>227.57300000000001</v>
      </c>
      <c r="AS81" s="21">
        <v>-1.33209E-2</v>
      </c>
      <c r="AT81" s="21">
        <v>71</v>
      </c>
      <c r="AU81" s="21">
        <v>1.4413499999999999</v>
      </c>
      <c r="AV81">
        <f t="shared" si="20"/>
        <v>13.3209</v>
      </c>
      <c r="AW81">
        <f t="shared" si="21"/>
        <v>19.214199368999999</v>
      </c>
      <c r="AX81" s="9"/>
      <c r="AY81" s="21">
        <v>0.25756800000000002</v>
      </c>
      <c r="AZ81" s="21">
        <v>261.91399999999999</v>
      </c>
      <c r="BA81" s="21">
        <v>-1.5631099999999998E-2</v>
      </c>
      <c r="BB81" s="21">
        <v>71</v>
      </c>
      <c r="BC81" s="21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49.780200000000001</v>
      </c>
      <c r="I82" s="21">
        <v>-1.3726800000000001E-2</v>
      </c>
      <c r="J82" s="21">
        <v>72</v>
      </c>
      <c r="K82" s="21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1">
        <v>0.262604</v>
      </c>
      <c r="P82" s="21">
        <v>99.206699999999998</v>
      </c>
      <c r="Q82" s="21">
        <v>-1.57623E-2</v>
      </c>
      <c r="R82" s="21">
        <v>72</v>
      </c>
      <c r="S82" s="21">
        <v>0.261963</v>
      </c>
      <c r="T82">
        <f t="shared" si="14"/>
        <v>15.7623</v>
      </c>
      <c r="U82">
        <f t="shared" si="15"/>
        <v>4.1392430292000002</v>
      </c>
      <c r="X82" s="9"/>
      <c r="Y82" s="21">
        <v>1.4373800000000001</v>
      </c>
      <c r="Z82" s="21">
        <v>128.66399999999999</v>
      </c>
      <c r="AA82" s="21">
        <v>-1.3595599999999999E-2</v>
      </c>
      <c r="AB82" s="21">
        <v>72</v>
      </c>
      <c r="AC82" s="21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1">
        <v>0.262604</v>
      </c>
      <c r="AH82" s="21">
        <v>178.137</v>
      </c>
      <c r="AI82" s="21">
        <v>-1.56525E-2</v>
      </c>
      <c r="AJ82" s="21">
        <v>72</v>
      </c>
      <c r="AK82" s="21">
        <v>0.26199299999999998</v>
      </c>
      <c r="AL82">
        <f t="shared" si="18"/>
        <v>15.6525</v>
      </c>
      <c r="AM82">
        <f t="shared" si="19"/>
        <v>4.11040911</v>
      </c>
      <c r="AP82" s="9"/>
      <c r="AQ82" s="21">
        <v>1.4373800000000001</v>
      </c>
      <c r="AR82" s="21">
        <v>227.584</v>
      </c>
      <c r="AS82" s="21">
        <v>-1.3372800000000001E-2</v>
      </c>
      <c r="AT82" s="21">
        <v>72</v>
      </c>
      <c r="AU82" s="21">
        <v>1.4367700000000001</v>
      </c>
      <c r="AV82">
        <f t="shared" si="20"/>
        <v>13.3728</v>
      </c>
      <c r="AW82">
        <f t="shared" si="21"/>
        <v>19.221795264000001</v>
      </c>
      <c r="AX82" s="9"/>
      <c r="AY82" s="21">
        <v>0.262604</v>
      </c>
      <c r="AZ82" s="21">
        <v>261.92399999999998</v>
      </c>
      <c r="BA82" s="21">
        <v>-1.5628099999999999E-2</v>
      </c>
      <c r="BB82" s="21">
        <v>72</v>
      </c>
      <c r="BC82" s="21">
        <v>0.261963</v>
      </c>
      <c r="BD82">
        <f t="shared" si="22"/>
        <v>15.628099999999998</v>
      </c>
      <c r="BE82">
        <f t="shared" si="23"/>
        <v>4.1040015723999996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49.790300000000002</v>
      </c>
      <c r="I83" s="21">
        <v>-1.3787799999999999E-2</v>
      </c>
      <c r="J83" s="21">
        <v>73</v>
      </c>
      <c r="K83" s="21">
        <v>1.43127</v>
      </c>
      <c r="L83">
        <f t="shared" si="12"/>
        <v>13.787799999999999</v>
      </c>
      <c r="M83">
        <f t="shared" si="13"/>
        <v>19.748817451999997</v>
      </c>
      <c r="N83" s="9"/>
      <c r="O83" s="21">
        <v>0.26763900000000002</v>
      </c>
      <c r="P83" s="21">
        <v>99.216700000000003</v>
      </c>
      <c r="Q83" s="21">
        <v>-1.57593E-2</v>
      </c>
      <c r="R83" s="21">
        <v>73</v>
      </c>
      <c r="S83" s="21">
        <v>0.26696799999999998</v>
      </c>
      <c r="T83">
        <f t="shared" si="14"/>
        <v>15.7593</v>
      </c>
      <c r="U83">
        <f t="shared" si="15"/>
        <v>4.2178032927000002</v>
      </c>
      <c r="X83" s="9"/>
      <c r="Y83" s="21">
        <v>1.4323399999999999</v>
      </c>
      <c r="Z83" s="21">
        <v>128.67400000000001</v>
      </c>
      <c r="AA83" s="21">
        <v>-1.3644399999999999E-2</v>
      </c>
      <c r="AB83" s="21">
        <v>73</v>
      </c>
      <c r="AC83" s="21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1">
        <v>0.26763900000000002</v>
      </c>
      <c r="AH83" s="21">
        <v>178.14699999999999</v>
      </c>
      <c r="AI83" s="21">
        <v>-1.56525E-2</v>
      </c>
      <c r="AJ83" s="21">
        <v>73</v>
      </c>
      <c r="AK83" s="21">
        <v>0.26696799999999998</v>
      </c>
      <c r="AL83">
        <f t="shared" si="18"/>
        <v>15.6525</v>
      </c>
      <c r="AM83">
        <f t="shared" si="19"/>
        <v>4.1892194475000002</v>
      </c>
      <c r="AP83" s="9"/>
      <c r="AQ83" s="21">
        <v>1.4323399999999999</v>
      </c>
      <c r="AR83" s="21">
        <v>227.59399999999999</v>
      </c>
      <c r="AS83" s="21">
        <v>-1.3427700000000001E-2</v>
      </c>
      <c r="AT83" s="21">
        <v>73</v>
      </c>
      <c r="AU83" s="21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1">
        <v>0.26763900000000002</v>
      </c>
      <c r="AZ83" s="21">
        <v>261.93400000000003</v>
      </c>
      <c r="BA83" s="21">
        <v>-1.5631099999999998E-2</v>
      </c>
      <c r="BB83" s="21">
        <v>73</v>
      </c>
      <c r="BC83" s="21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49.800400000000003</v>
      </c>
      <c r="I84" s="21">
        <v>-1.38519E-2</v>
      </c>
      <c r="J84" s="21">
        <v>74</v>
      </c>
      <c r="K84" s="21">
        <v>1.42639</v>
      </c>
      <c r="L84">
        <f t="shared" si="12"/>
        <v>13.851900000000001</v>
      </c>
      <c r="M84">
        <f t="shared" si="13"/>
        <v>19.770955389000001</v>
      </c>
      <c r="N84" s="9"/>
      <c r="O84" s="21">
        <v>0.272675</v>
      </c>
      <c r="P84" s="21">
        <v>99.226799999999997</v>
      </c>
      <c r="Q84" s="21">
        <v>-1.57593E-2</v>
      </c>
      <c r="R84" s="21">
        <v>74</v>
      </c>
      <c r="S84" s="21">
        <v>0.27206399999999997</v>
      </c>
      <c r="T84">
        <f t="shared" si="14"/>
        <v>15.7593</v>
      </c>
      <c r="U84">
        <f t="shared" si="15"/>
        <v>4.2971671274999999</v>
      </c>
      <c r="X84" s="9"/>
      <c r="Y84" s="21">
        <v>1.4273100000000001</v>
      </c>
      <c r="Z84" s="21">
        <v>128.684</v>
      </c>
      <c r="AA84" s="21">
        <v>-1.3693200000000001E-2</v>
      </c>
      <c r="AB84" s="21">
        <v>74</v>
      </c>
      <c r="AC84" s="21">
        <v>1.42639</v>
      </c>
      <c r="AD84">
        <f t="shared" si="16"/>
        <v>13.693200000000001</v>
      </c>
      <c r="AE84">
        <f t="shared" si="17"/>
        <v>19.544441292000002</v>
      </c>
      <c r="AF84" s="9"/>
      <c r="AG84" s="21">
        <v>0.272675</v>
      </c>
      <c r="AH84" s="21">
        <v>178.15700000000001</v>
      </c>
      <c r="AI84" s="21">
        <v>-1.5655499999999999E-2</v>
      </c>
      <c r="AJ84" s="21">
        <v>74</v>
      </c>
      <c r="AK84" s="21">
        <v>0.272034</v>
      </c>
      <c r="AL84">
        <f t="shared" si="18"/>
        <v>15.6555</v>
      </c>
      <c r="AM84">
        <f t="shared" si="19"/>
        <v>4.2688634624999997</v>
      </c>
      <c r="AP84" s="9"/>
      <c r="AQ84" s="21">
        <v>1.4273100000000001</v>
      </c>
      <c r="AR84" s="21">
        <v>227.60400000000001</v>
      </c>
      <c r="AS84" s="21">
        <v>-1.34827E-2</v>
      </c>
      <c r="AT84" s="21">
        <v>74</v>
      </c>
      <c r="AU84" s="21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1">
        <v>0.272675</v>
      </c>
      <c r="AZ84" s="21">
        <v>261.94400000000002</v>
      </c>
      <c r="BA84" s="21">
        <v>-1.5621899999999999E-2</v>
      </c>
      <c r="BB84" s="21">
        <v>74</v>
      </c>
      <c r="BC84" s="21">
        <v>0.27209499999999998</v>
      </c>
      <c r="BD84">
        <f t="shared" si="22"/>
        <v>15.6219</v>
      </c>
      <c r="BE84">
        <f t="shared" si="23"/>
        <v>4.2597015825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49.810499999999998</v>
      </c>
      <c r="I85" s="21">
        <v>-1.39069E-2</v>
      </c>
      <c r="J85" s="21">
        <v>75</v>
      </c>
      <c r="K85" s="21">
        <v>1.4212</v>
      </c>
      <c r="L85">
        <f t="shared" si="12"/>
        <v>13.9069</v>
      </c>
      <c r="M85">
        <f t="shared" si="13"/>
        <v>19.779366662999998</v>
      </c>
      <c r="N85" s="9"/>
      <c r="O85" s="21">
        <v>0.27771000000000001</v>
      </c>
      <c r="P85" s="21">
        <v>99.236900000000006</v>
      </c>
      <c r="Q85" s="21">
        <v>-1.5756200000000001E-2</v>
      </c>
      <c r="R85" s="21">
        <v>75</v>
      </c>
      <c r="S85" s="21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1">
        <v>1.4222699999999999</v>
      </c>
      <c r="Z85" s="21">
        <v>128.69399999999999</v>
      </c>
      <c r="AA85" s="21">
        <v>-1.37482E-2</v>
      </c>
      <c r="AB85" s="21">
        <v>75</v>
      </c>
      <c r="AC85" s="21">
        <v>1.4212</v>
      </c>
      <c r="AD85">
        <f t="shared" si="16"/>
        <v>13.748200000000001</v>
      </c>
      <c r="AE85">
        <f t="shared" si="17"/>
        <v>19.553652413999998</v>
      </c>
      <c r="AF85" s="9"/>
      <c r="AG85" s="21">
        <v>0.27771000000000001</v>
      </c>
      <c r="AH85" s="21">
        <v>178.167</v>
      </c>
      <c r="AI85" s="21">
        <v>-1.5655499999999999E-2</v>
      </c>
      <c r="AJ85" s="21">
        <v>75</v>
      </c>
      <c r="AK85" s="21">
        <v>0.27710000000000001</v>
      </c>
      <c r="AL85">
        <f t="shared" si="18"/>
        <v>15.6555</v>
      </c>
      <c r="AM85">
        <f t="shared" si="19"/>
        <v>4.347688905</v>
      </c>
      <c r="AP85" s="9"/>
      <c r="AQ85" s="21">
        <v>1.4222699999999999</v>
      </c>
      <c r="AR85" s="21">
        <v>227.614</v>
      </c>
      <c r="AS85" s="21">
        <v>-1.3543700000000001E-2</v>
      </c>
      <c r="AT85" s="21">
        <v>75</v>
      </c>
      <c r="AU85" s="21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1">
        <v>0.27771000000000001</v>
      </c>
      <c r="AZ85" s="21">
        <v>261.95400000000001</v>
      </c>
      <c r="BA85" s="21">
        <v>-1.56189E-2</v>
      </c>
      <c r="BB85" s="21">
        <v>75</v>
      </c>
      <c r="BC85" s="21">
        <v>0.27710000000000001</v>
      </c>
      <c r="BD85">
        <f t="shared" si="22"/>
        <v>15.6189</v>
      </c>
      <c r="BE85">
        <f t="shared" si="23"/>
        <v>4.3375247190000001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49.820500000000003</v>
      </c>
      <c r="I86" s="21">
        <v>-1.3952600000000001E-2</v>
      </c>
      <c r="J86" s="21">
        <v>76</v>
      </c>
      <c r="K86" s="21">
        <v>1.41693</v>
      </c>
      <c r="L86">
        <f t="shared" si="12"/>
        <v>13.9526</v>
      </c>
      <c r="M86">
        <f t="shared" si="13"/>
        <v>19.774182824</v>
      </c>
      <c r="N86" s="9"/>
      <c r="O86" s="21">
        <v>0.28274500000000002</v>
      </c>
      <c r="P86" s="21">
        <v>99.247</v>
      </c>
      <c r="Q86" s="21">
        <v>-1.5756200000000001E-2</v>
      </c>
      <c r="R86" s="21">
        <v>76</v>
      </c>
      <c r="S86" s="21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1">
        <v>1.4172400000000001</v>
      </c>
      <c r="Z86" s="21">
        <v>128.70400000000001</v>
      </c>
      <c r="AA86" s="21">
        <v>-1.37939E-2</v>
      </c>
      <c r="AB86" s="21">
        <v>76</v>
      </c>
      <c r="AC86" s="21">
        <v>1.41632</v>
      </c>
      <c r="AD86">
        <f t="shared" si="16"/>
        <v>13.793899999999999</v>
      </c>
      <c r="AE86">
        <f t="shared" si="17"/>
        <v>19.549266836000001</v>
      </c>
      <c r="AF86" s="9"/>
      <c r="AG86" s="21">
        <v>0.28274500000000002</v>
      </c>
      <c r="AH86" s="21">
        <v>178.17699999999999</v>
      </c>
      <c r="AI86" s="21">
        <v>-1.5658600000000002E-2</v>
      </c>
      <c r="AJ86" s="21">
        <v>76</v>
      </c>
      <c r="AK86" s="21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1">
        <v>1.4172400000000001</v>
      </c>
      <c r="AR86" s="21">
        <v>227.624</v>
      </c>
      <c r="AS86" s="21">
        <v>-1.3604700000000001E-2</v>
      </c>
      <c r="AT86" s="21">
        <v>76</v>
      </c>
      <c r="AU86" s="21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1">
        <v>0.28274500000000002</v>
      </c>
      <c r="AZ86" s="21">
        <v>261.964</v>
      </c>
      <c r="BA86" s="21">
        <v>-1.56189E-2</v>
      </c>
      <c r="BB86" s="21">
        <v>76</v>
      </c>
      <c r="BC86" s="21">
        <v>0.28210400000000002</v>
      </c>
      <c r="BD86">
        <f t="shared" si="22"/>
        <v>15.6189</v>
      </c>
      <c r="BE86">
        <f t="shared" si="23"/>
        <v>4.4161658805000004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49.830599999999997</v>
      </c>
      <c r="I87" s="21">
        <v>-1.40106E-2</v>
      </c>
      <c r="J87" s="21">
        <v>77</v>
      </c>
      <c r="K87" s="21">
        <v>1.41144</v>
      </c>
      <c r="L87">
        <f t="shared" si="12"/>
        <v>14.0106</v>
      </c>
      <c r="M87">
        <f t="shared" si="13"/>
        <v>19.78576932</v>
      </c>
      <c r="N87" s="9"/>
      <c r="O87" s="21">
        <v>0.28778100000000001</v>
      </c>
      <c r="P87" s="21">
        <v>99.257000000000005</v>
      </c>
      <c r="Q87" s="21">
        <v>-1.57471E-2</v>
      </c>
      <c r="R87" s="21">
        <v>77</v>
      </c>
      <c r="S87" s="21">
        <v>0.28729199999999999</v>
      </c>
      <c r="T87">
        <f t="shared" si="14"/>
        <v>15.7471</v>
      </c>
      <c r="U87">
        <f t="shared" si="15"/>
        <v>4.5317161850999996</v>
      </c>
      <c r="X87" s="9"/>
      <c r="Y87" s="21">
        <v>1.4121999999999999</v>
      </c>
      <c r="Z87" s="21">
        <v>128.714</v>
      </c>
      <c r="AA87" s="21">
        <v>-1.3848900000000001E-2</v>
      </c>
      <c r="AB87" s="21">
        <v>77</v>
      </c>
      <c r="AC87" s="21">
        <v>1.41113</v>
      </c>
      <c r="AD87">
        <f t="shared" si="16"/>
        <v>13.8489</v>
      </c>
      <c r="AE87">
        <f t="shared" si="17"/>
        <v>19.557416579999998</v>
      </c>
      <c r="AF87" s="9"/>
      <c r="AG87" s="21">
        <v>0.28778100000000001</v>
      </c>
      <c r="AH87" s="21">
        <v>178.18799999999999</v>
      </c>
      <c r="AI87" s="21">
        <v>-1.56525E-2</v>
      </c>
      <c r="AJ87" s="21">
        <v>77</v>
      </c>
      <c r="AK87" s="21">
        <v>0.28726200000000002</v>
      </c>
      <c r="AL87">
        <f t="shared" si="18"/>
        <v>15.6525</v>
      </c>
      <c r="AM87">
        <f t="shared" si="19"/>
        <v>4.5044921025000004</v>
      </c>
      <c r="AP87" s="9"/>
      <c r="AQ87" s="21">
        <v>1.4121999999999999</v>
      </c>
      <c r="AR87" s="21">
        <v>227.63399999999999</v>
      </c>
      <c r="AS87" s="21">
        <v>-1.36536E-2</v>
      </c>
      <c r="AT87" s="21">
        <v>77</v>
      </c>
      <c r="AU87" s="21">
        <v>1.41174</v>
      </c>
      <c r="AV87">
        <f t="shared" si="20"/>
        <v>13.653600000000001</v>
      </c>
      <c r="AW87">
        <f t="shared" si="21"/>
        <v>19.281613919999998</v>
      </c>
      <c r="AX87" s="9"/>
      <c r="AY87" s="21">
        <v>0.28778100000000001</v>
      </c>
      <c r="AZ87" s="21">
        <v>261.97399999999999</v>
      </c>
      <c r="BA87" s="21">
        <v>-1.5621899999999999E-2</v>
      </c>
      <c r="BB87" s="21">
        <v>77</v>
      </c>
      <c r="BC87" s="21">
        <v>0.28720099999999998</v>
      </c>
      <c r="BD87">
        <f t="shared" si="22"/>
        <v>15.6219</v>
      </c>
      <c r="BE87">
        <f t="shared" si="23"/>
        <v>4.4956860039000004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49.840699999999998</v>
      </c>
      <c r="I88" s="21">
        <v>-1.40564E-2</v>
      </c>
      <c r="J88" s="21">
        <v>78</v>
      </c>
      <c r="K88" s="21">
        <v>1.40625</v>
      </c>
      <c r="L88">
        <f t="shared" si="12"/>
        <v>14.0564</v>
      </c>
      <c r="M88">
        <f t="shared" si="13"/>
        <v>19.779744388000001</v>
      </c>
      <c r="N88" s="9"/>
      <c r="O88" s="21">
        <v>0.29281600000000002</v>
      </c>
      <c r="P88" s="21">
        <v>99.267099999999999</v>
      </c>
      <c r="Q88" s="21">
        <v>-1.5737899999999999E-2</v>
      </c>
      <c r="R88" s="21">
        <v>78</v>
      </c>
      <c r="S88" s="21">
        <v>0.29211399999999998</v>
      </c>
      <c r="T88">
        <f t="shared" si="14"/>
        <v>15.7379</v>
      </c>
      <c r="U88">
        <f t="shared" si="15"/>
        <v>4.6083089264000003</v>
      </c>
      <c r="X88" s="9"/>
      <c r="Y88" s="21">
        <v>1.40717</v>
      </c>
      <c r="Z88" s="21">
        <v>128.72399999999999</v>
      </c>
      <c r="AA88" s="21">
        <v>-1.3894699999999999E-2</v>
      </c>
      <c r="AB88" s="21">
        <v>78</v>
      </c>
      <c r="AC88" s="21">
        <v>1.40656</v>
      </c>
      <c r="AD88">
        <f t="shared" si="16"/>
        <v>13.8947</v>
      </c>
      <c r="AE88">
        <f t="shared" si="17"/>
        <v>19.552204999000001</v>
      </c>
      <c r="AF88" s="9"/>
      <c r="AG88" s="21">
        <v>0.29281600000000002</v>
      </c>
      <c r="AH88" s="21">
        <v>178.19800000000001</v>
      </c>
      <c r="AI88" s="21">
        <v>-1.5646400000000001E-2</v>
      </c>
      <c r="AJ88" s="21">
        <v>78</v>
      </c>
      <c r="AK88" s="21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1">
        <v>1.40717</v>
      </c>
      <c r="AR88" s="21">
        <v>227.64400000000001</v>
      </c>
      <c r="AS88" s="21">
        <v>-1.37054E-2</v>
      </c>
      <c r="AT88" s="21">
        <v>78</v>
      </c>
      <c r="AU88" s="21">
        <v>1.40594</v>
      </c>
      <c r="AV88">
        <f t="shared" si="20"/>
        <v>13.705399999999999</v>
      </c>
      <c r="AW88">
        <f t="shared" si="21"/>
        <v>19.285827718</v>
      </c>
      <c r="AX88" s="9"/>
      <c r="AY88" s="21">
        <v>0.29281600000000002</v>
      </c>
      <c r="AZ88" s="21">
        <v>261.98399999999998</v>
      </c>
      <c r="BA88" s="21">
        <v>-1.56189E-2</v>
      </c>
      <c r="BB88" s="21">
        <v>78</v>
      </c>
      <c r="BC88" s="21">
        <v>0.29217500000000002</v>
      </c>
      <c r="BD88">
        <f t="shared" si="22"/>
        <v>15.6189</v>
      </c>
      <c r="BE88">
        <f t="shared" si="23"/>
        <v>4.5734638223999999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49.850700000000003</v>
      </c>
      <c r="I89" s="21">
        <v>-1.41052E-2</v>
      </c>
      <c r="J89" s="21">
        <v>79</v>
      </c>
      <c r="K89" s="21">
        <v>1.40167</v>
      </c>
      <c r="L89">
        <f t="shared" si="12"/>
        <v>14.1052</v>
      </c>
      <c r="M89">
        <f t="shared" si="13"/>
        <v>19.777324076000003</v>
      </c>
      <c r="N89" s="9"/>
      <c r="O89" s="21">
        <v>0.29785200000000001</v>
      </c>
      <c r="P89" s="21">
        <v>99.277199999999993</v>
      </c>
      <c r="Q89" s="21">
        <v>-1.5741000000000002E-2</v>
      </c>
      <c r="R89" s="21">
        <v>79</v>
      </c>
      <c r="S89" s="21">
        <v>0.29718</v>
      </c>
      <c r="T89">
        <f t="shared" si="14"/>
        <v>15.741000000000001</v>
      </c>
      <c r="U89">
        <f t="shared" si="15"/>
        <v>4.6884883320000004</v>
      </c>
      <c r="X89" s="9"/>
      <c r="Y89" s="21">
        <v>1.4021300000000001</v>
      </c>
      <c r="Z89" s="21">
        <v>128.73400000000001</v>
      </c>
      <c r="AA89" s="21">
        <v>-1.39282E-2</v>
      </c>
      <c r="AB89" s="21">
        <v>79</v>
      </c>
      <c r="AC89" s="21">
        <v>1.40137</v>
      </c>
      <c r="AD89">
        <f t="shared" si="16"/>
        <v>13.9282</v>
      </c>
      <c r="AE89">
        <f t="shared" si="17"/>
        <v>19.529147066</v>
      </c>
      <c r="AF89" s="9"/>
      <c r="AG89" s="21">
        <v>0.29785200000000001</v>
      </c>
      <c r="AH89" s="21">
        <v>178.208</v>
      </c>
      <c r="AI89" s="21">
        <v>-1.5646400000000001E-2</v>
      </c>
      <c r="AJ89" s="21">
        <v>79</v>
      </c>
      <c r="AK89" s="21">
        <v>0.29718</v>
      </c>
      <c r="AL89">
        <f t="shared" si="18"/>
        <v>15.646400000000002</v>
      </c>
      <c r="AM89">
        <f t="shared" si="19"/>
        <v>4.6603115328000007</v>
      </c>
      <c r="AP89" s="9"/>
      <c r="AQ89" s="21">
        <v>1.4021300000000001</v>
      </c>
      <c r="AR89" s="21">
        <v>227.654</v>
      </c>
      <c r="AS89" s="21">
        <v>-1.37512E-2</v>
      </c>
      <c r="AT89" s="21">
        <v>79</v>
      </c>
      <c r="AU89" s="21">
        <v>1.40137</v>
      </c>
      <c r="AV89">
        <f t="shared" si="20"/>
        <v>13.751200000000001</v>
      </c>
      <c r="AW89">
        <f t="shared" si="21"/>
        <v>19.280970056000001</v>
      </c>
      <c r="AX89" s="9"/>
      <c r="AY89" s="21">
        <v>0.29785200000000001</v>
      </c>
      <c r="AZ89" s="21">
        <v>261.99400000000003</v>
      </c>
      <c r="BA89" s="21">
        <v>-1.5609700000000001E-2</v>
      </c>
      <c r="BB89" s="21">
        <v>79</v>
      </c>
      <c r="BC89" s="21">
        <v>0.29718</v>
      </c>
      <c r="BD89">
        <f t="shared" si="22"/>
        <v>15.6097</v>
      </c>
      <c r="BE89">
        <f t="shared" si="23"/>
        <v>4.6493803643999998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49.860799999999998</v>
      </c>
      <c r="I90" s="21">
        <v>-1.4151E-2</v>
      </c>
      <c r="J90" s="21">
        <v>80</v>
      </c>
      <c r="K90" s="21">
        <v>1.3958699999999999</v>
      </c>
      <c r="L90">
        <f t="shared" si="12"/>
        <v>14.151</v>
      </c>
      <c r="M90">
        <f t="shared" si="13"/>
        <v>19.770220589999997</v>
      </c>
      <c r="N90" s="9"/>
      <c r="O90" s="21">
        <v>0.30288700000000002</v>
      </c>
      <c r="P90" s="21">
        <v>99.287199999999999</v>
      </c>
      <c r="Q90" s="21">
        <v>-1.5744000000000001E-2</v>
      </c>
      <c r="R90" s="21">
        <v>80</v>
      </c>
      <c r="S90" s="21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1">
        <v>1.3970899999999999</v>
      </c>
      <c r="Z90" s="21">
        <v>128.744</v>
      </c>
      <c r="AA90" s="21">
        <v>-1.3964799999999999E-2</v>
      </c>
      <c r="AB90" s="21">
        <v>80</v>
      </c>
      <c r="AC90" s="21">
        <v>1.39679</v>
      </c>
      <c r="AD90">
        <f t="shared" si="16"/>
        <v>13.9648</v>
      </c>
      <c r="AE90">
        <f t="shared" si="17"/>
        <v>19.510082432000001</v>
      </c>
      <c r="AF90" s="9"/>
      <c r="AG90" s="21">
        <v>0.30288700000000002</v>
      </c>
      <c r="AH90" s="21">
        <v>178.21799999999999</v>
      </c>
      <c r="AI90" s="21">
        <v>-1.5649400000000001E-2</v>
      </c>
      <c r="AJ90" s="21">
        <v>80</v>
      </c>
      <c r="AK90" s="21">
        <v>0.30224600000000001</v>
      </c>
      <c r="AL90">
        <f t="shared" si="18"/>
        <v>15.6494</v>
      </c>
      <c r="AM90">
        <f t="shared" si="19"/>
        <v>4.7399998178000002</v>
      </c>
      <c r="AP90" s="9"/>
      <c r="AQ90" s="21">
        <v>1.3970899999999999</v>
      </c>
      <c r="AR90" s="21">
        <v>227.66399999999999</v>
      </c>
      <c r="AS90" s="21">
        <v>-1.3787799999999999E-2</v>
      </c>
      <c r="AT90" s="21">
        <v>80</v>
      </c>
      <c r="AU90" s="21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1">
        <v>0.30288700000000002</v>
      </c>
      <c r="AZ90" s="21">
        <v>262.00400000000002</v>
      </c>
      <c r="BA90" s="21">
        <v>-1.55975E-2</v>
      </c>
      <c r="BB90" s="21">
        <v>80</v>
      </c>
      <c r="BC90" s="21">
        <v>0.30227700000000002</v>
      </c>
      <c r="BD90">
        <f t="shared" si="22"/>
        <v>15.5975</v>
      </c>
      <c r="BE90">
        <f t="shared" si="23"/>
        <v>4.7242799825000006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49.870899999999999</v>
      </c>
      <c r="I91" s="21">
        <v>-1.4190700000000001E-2</v>
      </c>
      <c r="J91" s="21">
        <v>81</v>
      </c>
      <c r="K91" s="21">
        <v>1.39069</v>
      </c>
      <c r="L91">
        <f t="shared" si="12"/>
        <v>14.1907</v>
      </c>
      <c r="M91">
        <f t="shared" si="13"/>
        <v>19.754305842000001</v>
      </c>
      <c r="N91" s="9"/>
      <c r="O91" s="21">
        <v>0.30792199999999997</v>
      </c>
      <c r="P91" s="21">
        <v>99.297300000000007</v>
      </c>
      <c r="Q91" s="21">
        <v>-1.5741000000000002E-2</v>
      </c>
      <c r="R91" s="21">
        <v>81</v>
      </c>
      <c r="S91" s="21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1">
        <v>1.3920600000000001</v>
      </c>
      <c r="Z91" s="21">
        <v>128.75399999999999</v>
      </c>
      <c r="AA91" s="21">
        <v>-1.40015E-2</v>
      </c>
      <c r="AB91" s="21">
        <v>81</v>
      </c>
      <c r="AC91" s="21">
        <v>1.3913</v>
      </c>
      <c r="AD91">
        <f t="shared" si="16"/>
        <v>14.0015</v>
      </c>
      <c r="AE91">
        <f t="shared" si="17"/>
        <v>19.490928090000001</v>
      </c>
      <c r="AF91" s="9"/>
      <c r="AG91" s="21">
        <v>0.30792199999999997</v>
      </c>
      <c r="AH91" s="21">
        <v>178.22800000000001</v>
      </c>
      <c r="AI91" s="21">
        <v>-1.5649400000000001E-2</v>
      </c>
      <c r="AJ91" s="21">
        <v>81</v>
      </c>
      <c r="AK91" s="21">
        <v>0.30731199999999997</v>
      </c>
      <c r="AL91">
        <f t="shared" si="18"/>
        <v>15.6494</v>
      </c>
      <c r="AM91">
        <f t="shared" si="19"/>
        <v>4.8187945467999995</v>
      </c>
      <c r="AP91" s="9"/>
      <c r="AQ91" s="21">
        <v>1.3920600000000001</v>
      </c>
      <c r="AR91" s="21">
        <v>227.67400000000001</v>
      </c>
      <c r="AS91" s="21">
        <v>-1.38245E-2</v>
      </c>
      <c r="AT91" s="21">
        <v>81</v>
      </c>
      <c r="AU91" s="21">
        <v>1.3913</v>
      </c>
      <c r="AV91">
        <f t="shared" si="20"/>
        <v>13.8245</v>
      </c>
      <c r="AW91">
        <f t="shared" si="21"/>
        <v>19.24453347</v>
      </c>
      <c r="AX91" s="9"/>
      <c r="AY91" s="21">
        <v>0.30792199999999997</v>
      </c>
      <c r="AZ91" s="21">
        <v>262.01400000000001</v>
      </c>
      <c r="BA91" s="21">
        <v>-1.55853E-2</v>
      </c>
      <c r="BB91" s="21">
        <v>81</v>
      </c>
      <c r="BC91" s="21">
        <v>0.30728100000000003</v>
      </c>
      <c r="BD91">
        <f t="shared" si="22"/>
        <v>15.5853</v>
      </c>
      <c r="BE91">
        <f t="shared" si="23"/>
        <v>4.7990567465999998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49.881</v>
      </c>
      <c r="I92" s="21">
        <v>-1.42334E-2</v>
      </c>
      <c r="J92" s="21">
        <v>82</v>
      </c>
      <c r="K92" s="21">
        <v>1.38611</v>
      </c>
      <c r="L92">
        <f t="shared" si="12"/>
        <v>14.2334</v>
      </c>
      <c r="M92">
        <f t="shared" si="13"/>
        <v>19.742010467999997</v>
      </c>
      <c r="N92" s="9"/>
      <c r="O92" s="21">
        <v>0.31295800000000001</v>
      </c>
      <c r="P92" s="21">
        <v>99.307400000000001</v>
      </c>
      <c r="Q92" s="21">
        <v>-1.5737899999999999E-2</v>
      </c>
      <c r="R92" s="21">
        <v>82</v>
      </c>
      <c r="S92" s="21">
        <v>0.31234699999999999</v>
      </c>
      <c r="T92">
        <f t="shared" si="14"/>
        <v>15.7379</v>
      </c>
      <c r="U92">
        <f t="shared" si="15"/>
        <v>4.9253017082000001</v>
      </c>
      <c r="X92" s="9"/>
      <c r="Y92" s="21">
        <v>1.3870199999999999</v>
      </c>
      <c r="Z92" s="21">
        <v>128.76400000000001</v>
      </c>
      <c r="AA92" s="21">
        <v>-1.4035000000000001E-2</v>
      </c>
      <c r="AB92" s="21">
        <v>82</v>
      </c>
      <c r="AC92" s="21">
        <v>1.3857999999999999</v>
      </c>
      <c r="AD92">
        <f t="shared" si="16"/>
        <v>14.035</v>
      </c>
      <c r="AE92">
        <f t="shared" si="17"/>
        <v>19.466825699999998</v>
      </c>
      <c r="AF92" s="9"/>
      <c r="AG92" s="21">
        <v>0.31295800000000001</v>
      </c>
      <c r="AH92" s="21">
        <v>178.238</v>
      </c>
      <c r="AI92" s="21">
        <v>-1.5649400000000001E-2</v>
      </c>
      <c r="AJ92" s="21">
        <v>82</v>
      </c>
      <c r="AK92" s="21">
        <v>0.31228600000000001</v>
      </c>
      <c r="AL92">
        <f t="shared" si="18"/>
        <v>15.6494</v>
      </c>
      <c r="AM92">
        <f t="shared" si="19"/>
        <v>4.8976049252000005</v>
      </c>
      <c r="AP92" s="9"/>
      <c r="AQ92" s="21">
        <v>1.3870199999999999</v>
      </c>
      <c r="AR92" s="21">
        <v>227.684</v>
      </c>
      <c r="AS92" s="21">
        <v>-1.3858000000000001E-2</v>
      </c>
      <c r="AT92" s="21">
        <v>82</v>
      </c>
      <c r="AU92" s="21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1">
        <v>0.31295800000000001</v>
      </c>
      <c r="AZ92" s="21">
        <v>262.024</v>
      </c>
      <c r="BA92" s="21">
        <v>-1.55792E-2</v>
      </c>
      <c r="BB92" s="21">
        <v>82</v>
      </c>
      <c r="BC92" s="21">
        <v>0.31240800000000002</v>
      </c>
      <c r="BD92">
        <f t="shared" si="22"/>
        <v>15.5792</v>
      </c>
      <c r="BE92">
        <f t="shared" si="23"/>
        <v>4.8756352736000004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49.890999999999998</v>
      </c>
      <c r="I93" s="21">
        <v>-1.42609E-2</v>
      </c>
      <c r="J93" s="21">
        <v>83</v>
      </c>
      <c r="K93" s="21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1">
        <v>0.31799300000000003</v>
      </c>
      <c r="P93" s="21">
        <v>99.317499999999995</v>
      </c>
      <c r="Q93" s="21">
        <v>-1.5737899999999999E-2</v>
      </c>
      <c r="R93" s="21">
        <v>83</v>
      </c>
      <c r="S93" s="21">
        <v>0.317413</v>
      </c>
      <c r="T93">
        <f t="shared" si="14"/>
        <v>15.7379</v>
      </c>
      <c r="U93">
        <f t="shared" si="15"/>
        <v>5.0045420347</v>
      </c>
      <c r="X93" s="9"/>
      <c r="Y93" s="21">
        <v>1.3819900000000001</v>
      </c>
      <c r="Z93" s="21">
        <v>128.774</v>
      </c>
      <c r="AA93" s="21">
        <v>-1.40625E-2</v>
      </c>
      <c r="AB93" s="21">
        <v>83</v>
      </c>
      <c r="AC93" s="21">
        <v>1.3809199999999999</v>
      </c>
      <c r="AD93">
        <f t="shared" si="16"/>
        <v>14.0625</v>
      </c>
      <c r="AE93">
        <f t="shared" si="17"/>
        <v>19.434234374999999</v>
      </c>
      <c r="AF93" s="9"/>
      <c r="AG93" s="21">
        <v>0.31799300000000003</v>
      </c>
      <c r="AH93" s="21">
        <v>178.24799999999999</v>
      </c>
      <c r="AI93" s="21">
        <v>-1.5646400000000001E-2</v>
      </c>
      <c r="AJ93" s="21">
        <v>83</v>
      </c>
      <c r="AK93" s="21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1">
        <v>1.3819900000000001</v>
      </c>
      <c r="AR93" s="21">
        <v>227.69399999999999</v>
      </c>
      <c r="AS93" s="21">
        <v>-1.3894699999999999E-2</v>
      </c>
      <c r="AT93" s="21">
        <v>83</v>
      </c>
      <c r="AU93" s="21">
        <v>1.38123</v>
      </c>
      <c r="AV93">
        <f t="shared" si="20"/>
        <v>13.8947</v>
      </c>
      <c r="AW93">
        <f t="shared" si="21"/>
        <v>19.202336453000001</v>
      </c>
      <c r="AX93" s="9"/>
      <c r="AY93" s="21">
        <v>0.31799300000000003</v>
      </c>
      <c r="AZ93" s="21">
        <v>262.03500000000003</v>
      </c>
      <c r="BA93" s="21">
        <v>-1.55762E-2</v>
      </c>
      <c r="BB93" s="21">
        <v>83</v>
      </c>
      <c r="BC93" s="21">
        <v>0.31738300000000003</v>
      </c>
      <c r="BD93">
        <f t="shared" si="22"/>
        <v>15.5762</v>
      </c>
      <c r="BE93">
        <f t="shared" si="23"/>
        <v>4.9531225666000003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49.9011</v>
      </c>
      <c r="I94" s="21">
        <v>-1.4294400000000001E-2</v>
      </c>
      <c r="J94" s="21">
        <v>84</v>
      </c>
      <c r="K94" s="21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1">
        <v>0.32302900000000001</v>
      </c>
      <c r="P94" s="21">
        <v>99.327500000000001</v>
      </c>
      <c r="Q94" s="21">
        <v>-1.5737899999999999E-2</v>
      </c>
      <c r="R94" s="21">
        <v>84</v>
      </c>
      <c r="S94" s="21">
        <v>0.32232699999999997</v>
      </c>
      <c r="T94">
        <f t="shared" si="14"/>
        <v>15.7379</v>
      </c>
      <c r="U94">
        <f t="shared" si="15"/>
        <v>5.0837980991</v>
      </c>
      <c r="X94" s="9"/>
      <c r="Y94" s="21">
        <v>1.3769499999999999</v>
      </c>
      <c r="Z94" s="21">
        <v>128.785</v>
      </c>
      <c r="AA94" s="21">
        <v>-1.409E-2</v>
      </c>
      <c r="AB94" s="21">
        <v>84</v>
      </c>
      <c r="AC94" s="21">
        <v>1.3763399999999999</v>
      </c>
      <c r="AD94">
        <f t="shared" si="16"/>
        <v>14.09</v>
      </c>
      <c r="AE94">
        <f t="shared" si="17"/>
        <v>19.401225499999999</v>
      </c>
      <c r="AF94" s="9"/>
      <c r="AG94" s="21">
        <v>0.32302900000000001</v>
      </c>
      <c r="AH94" s="21">
        <v>178.25800000000001</v>
      </c>
      <c r="AI94" s="21">
        <v>-1.5640299999999999E-2</v>
      </c>
      <c r="AJ94" s="21">
        <v>84</v>
      </c>
      <c r="AK94" s="21">
        <v>0.32232699999999997</v>
      </c>
      <c r="AL94">
        <f t="shared" si="18"/>
        <v>15.6403</v>
      </c>
      <c r="AM94">
        <f t="shared" si="19"/>
        <v>5.0522704686999997</v>
      </c>
      <c r="AP94" s="9"/>
      <c r="AQ94" s="21">
        <v>1.3769499999999999</v>
      </c>
      <c r="AR94" s="21">
        <v>227.70400000000001</v>
      </c>
      <c r="AS94" s="21">
        <v>-1.39343E-2</v>
      </c>
      <c r="AT94" s="21">
        <v>84</v>
      </c>
      <c r="AU94" s="21">
        <v>1.3760399999999999</v>
      </c>
      <c r="AV94">
        <f t="shared" si="20"/>
        <v>13.9343</v>
      </c>
      <c r="AW94">
        <f t="shared" si="21"/>
        <v>19.186834384999997</v>
      </c>
      <c r="AX94" s="9"/>
      <c r="AY94" s="21">
        <v>0.32302900000000001</v>
      </c>
      <c r="AZ94" s="21">
        <v>262.04500000000002</v>
      </c>
      <c r="BA94" s="21">
        <v>-1.55701E-2</v>
      </c>
      <c r="BB94" s="21">
        <v>84</v>
      </c>
      <c r="BC94" s="21">
        <v>0.322357</v>
      </c>
      <c r="BD94">
        <f t="shared" si="22"/>
        <v>15.5701</v>
      </c>
      <c r="BE94">
        <f t="shared" si="23"/>
        <v>5.0295938328999998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49.911200000000001</v>
      </c>
      <c r="I95" s="21">
        <v>-1.4331099999999999E-2</v>
      </c>
      <c r="J95" s="21">
        <v>85</v>
      </c>
      <c r="K95" s="21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1">
        <v>0.32806400000000002</v>
      </c>
      <c r="P95" s="21">
        <v>99.337599999999995</v>
      </c>
      <c r="Q95" s="21">
        <v>-1.5728800000000001E-2</v>
      </c>
      <c r="R95" s="21">
        <v>85</v>
      </c>
      <c r="S95" s="21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1">
        <v>1.37192</v>
      </c>
      <c r="Z95" s="21">
        <v>128.79499999999999</v>
      </c>
      <c r="AA95" s="21">
        <v>-1.4129600000000001E-2</v>
      </c>
      <c r="AB95" s="21">
        <v>85</v>
      </c>
      <c r="AC95" s="21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1">
        <v>0.32806400000000002</v>
      </c>
      <c r="AH95" s="21">
        <v>178.268</v>
      </c>
      <c r="AI95" s="21">
        <v>-1.5634200000000001E-2</v>
      </c>
      <c r="AJ95" s="21">
        <v>85</v>
      </c>
      <c r="AK95" s="21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1">
        <v>1.37192</v>
      </c>
      <c r="AR95" s="21">
        <v>227.714</v>
      </c>
      <c r="AS95" s="21">
        <v>-1.3974E-2</v>
      </c>
      <c r="AT95" s="21">
        <v>85</v>
      </c>
      <c r="AU95" s="21">
        <v>1.3711500000000001</v>
      </c>
      <c r="AV95">
        <f t="shared" si="20"/>
        <v>13.974</v>
      </c>
      <c r="AW95">
        <f t="shared" si="21"/>
        <v>19.171210080000002</v>
      </c>
      <c r="AX95" s="9"/>
      <c r="AY95" s="21">
        <v>0.32806400000000002</v>
      </c>
      <c r="AZ95" s="21">
        <v>262.05500000000001</v>
      </c>
      <c r="BA95" s="21">
        <v>-1.55701E-2</v>
      </c>
      <c r="BB95" s="21">
        <v>85</v>
      </c>
      <c r="BC95" s="21">
        <v>0.32742300000000002</v>
      </c>
      <c r="BD95">
        <f t="shared" si="22"/>
        <v>15.5701</v>
      </c>
      <c r="BE95">
        <f t="shared" si="23"/>
        <v>5.1079892864000005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49.921199999999999</v>
      </c>
      <c r="I96" s="21">
        <v>-1.43646E-2</v>
      </c>
      <c r="J96" s="21">
        <v>86</v>
      </c>
      <c r="K96" s="21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1">
        <v>0.33309899999999998</v>
      </c>
      <c r="P96" s="21">
        <v>99.347700000000003</v>
      </c>
      <c r="Q96" s="21">
        <v>-1.5722699999999999E-2</v>
      </c>
      <c r="R96" s="21">
        <v>86</v>
      </c>
      <c r="S96" s="21">
        <v>0.33245799999999998</v>
      </c>
      <c r="T96">
        <f t="shared" si="14"/>
        <v>15.7227</v>
      </c>
      <c r="U96">
        <f t="shared" si="15"/>
        <v>5.2372156472999993</v>
      </c>
      <c r="X96" s="9"/>
      <c r="Y96" s="21">
        <v>1.3668800000000001</v>
      </c>
      <c r="Z96" s="21">
        <v>128.80500000000001</v>
      </c>
      <c r="AA96" s="21">
        <v>-1.4175399999999999E-2</v>
      </c>
      <c r="AB96" s="21">
        <v>86</v>
      </c>
      <c r="AC96" s="21">
        <v>1.3662700000000001</v>
      </c>
      <c r="AD96">
        <f t="shared" si="16"/>
        <v>14.1754</v>
      </c>
      <c r="AE96">
        <f t="shared" si="17"/>
        <v>19.376070752</v>
      </c>
      <c r="AF96" s="9"/>
      <c r="AG96" s="21">
        <v>0.33309899999999998</v>
      </c>
      <c r="AH96" s="21">
        <v>178.27799999999999</v>
      </c>
      <c r="AI96" s="21">
        <v>-1.5628099999999999E-2</v>
      </c>
      <c r="AJ96" s="21">
        <v>86</v>
      </c>
      <c r="AK96" s="21">
        <v>0.332428</v>
      </c>
      <c r="AL96">
        <f t="shared" si="18"/>
        <v>15.628099999999998</v>
      </c>
      <c r="AM96">
        <f t="shared" si="19"/>
        <v>5.2057044818999989</v>
      </c>
      <c r="AP96" s="9"/>
      <c r="AQ96" s="21">
        <v>1.3668800000000001</v>
      </c>
      <c r="AR96" s="21">
        <v>227.72499999999999</v>
      </c>
      <c r="AS96" s="21">
        <v>-1.40106E-2</v>
      </c>
      <c r="AT96" s="21">
        <v>86</v>
      </c>
      <c r="AU96" s="21">
        <v>1.3662700000000001</v>
      </c>
      <c r="AV96">
        <f t="shared" si="20"/>
        <v>14.0106</v>
      </c>
      <c r="AW96">
        <f t="shared" si="21"/>
        <v>19.150808928</v>
      </c>
      <c r="AX96" s="9"/>
      <c r="AY96" s="21">
        <v>0.33309899999999998</v>
      </c>
      <c r="AZ96" s="21">
        <v>262.065</v>
      </c>
      <c r="BA96" s="21">
        <v>-1.55701E-2</v>
      </c>
      <c r="BB96" s="21">
        <v>86</v>
      </c>
      <c r="BC96" s="21">
        <v>0.33251999999999998</v>
      </c>
      <c r="BD96">
        <f t="shared" si="22"/>
        <v>15.5701</v>
      </c>
      <c r="BE96">
        <f t="shared" si="23"/>
        <v>5.1863847398999994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49.9313</v>
      </c>
      <c r="I97" s="21">
        <v>-1.44073E-2</v>
      </c>
      <c r="J97" s="21">
        <v>87</v>
      </c>
      <c r="K97" s="21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1">
        <v>0.33813500000000002</v>
      </c>
      <c r="P97" s="21">
        <v>99.357699999999994</v>
      </c>
      <c r="Q97" s="21">
        <v>-1.5722699999999999E-2</v>
      </c>
      <c r="R97" s="21">
        <v>87</v>
      </c>
      <c r="S97" s="21">
        <v>0.33743299999999998</v>
      </c>
      <c r="T97">
        <f t="shared" si="14"/>
        <v>15.7227</v>
      </c>
      <c r="U97">
        <f t="shared" si="15"/>
        <v>5.3163951645000003</v>
      </c>
      <c r="X97" s="9"/>
      <c r="Y97" s="21">
        <v>1.36185</v>
      </c>
      <c r="Z97" s="21">
        <v>128.815</v>
      </c>
      <c r="AA97" s="21">
        <v>-1.4218099999999999E-2</v>
      </c>
      <c r="AB97" s="21">
        <v>87</v>
      </c>
      <c r="AC97" s="21">
        <v>1.3610800000000001</v>
      </c>
      <c r="AD97">
        <f t="shared" si="16"/>
        <v>14.2181</v>
      </c>
      <c r="AE97">
        <f t="shared" si="17"/>
        <v>19.362919484999999</v>
      </c>
      <c r="AF97" s="9"/>
      <c r="AG97" s="21">
        <v>0.33813500000000002</v>
      </c>
      <c r="AH97" s="21">
        <v>178.28800000000001</v>
      </c>
      <c r="AI97" s="21">
        <v>-1.5625E-2</v>
      </c>
      <c r="AJ97" s="21">
        <v>87</v>
      </c>
      <c r="AK97" s="21">
        <v>0.33752399999999999</v>
      </c>
      <c r="AL97">
        <f t="shared" si="18"/>
        <v>15.625</v>
      </c>
      <c r="AM97">
        <f t="shared" si="19"/>
        <v>5.2833593749999999</v>
      </c>
      <c r="AP97" s="9"/>
      <c r="AQ97" s="21">
        <v>1.36185</v>
      </c>
      <c r="AR97" s="21">
        <v>227.73500000000001</v>
      </c>
      <c r="AS97" s="21">
        <v>-1.4041100000000001E-2</v>
      </c>
      <c r="AT97" s="21">
        <v>87</v>
      </c>
      <c r="AU97" s="21">
        <v>1.3604700000000001</v>
      </c>
      <c r="AV97">
        <f t="shared" si="20"/>
        <v>14.0411</v>
      </c>
      <c r="AW97">
        <f t="shared" si="21"/>
        <v>19.121872034999999</v>
      </c>
      <c r="AX97" s="9"/>
      <c r="AY97" s="21">
        <v>0.33813500000000002</v>
      </c>
      <c r="AZ97" s="21">
        <v>262.07499999999999</v>
      </c>
      <c r="BA97" s="21">
        <v>-1.5566999999999999E-2</v>
      </c>
      <c r="BB97" s="21">
        <v>87</v>
      </c>
      <c r="BC97" s="21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49.941400000000002</v>
      </c>
      <c r="I98" s="21">
        <v>-1.44501E-2</v>
      </c>
      <c r="J98" s="21">
        <v>88</v>
      </c>
      <c r="K98" s="21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1">
        <v>0.34316999999999998</v>
      </c>
      <c r="P98" s="21">
        <v>99.367800000000003</v>
      </c>
      <c r="Q98" s="21">
        <v>-1.57196E-2</v>
      </c>
      <c r="R98" s="21">
        <v>88</v>
      </c>
      <c r="S98" s="21">
        <v>0.342499</v>
      </c>
      <c r="T98">
        <f t="shared" si="14"/>
        <v>15.7196</v>
      </c>
      <c r="U98">
        <f t="shared" si="15"/>
        <v>5.3944951319999994</v>
      </c>
      <c r="X98" s="9"/>
      <c r="Y98" s="21">
        <v>1.3568100000000001</v>
      </c>
      <c r="Z98" s="21">
        <v>128.82499999999999</v>
      </c>
      <c r="AA98" s="21">
        <v>-1.4245600000000001E-2</v>
      </c>
      <c r="AB98" s="21">
        <v>88</v>
      </c>
      <c r="AC98" s="21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1">
        <v>0.34316999999999998</v>
      </c>
      <c r="AH98" s="21">
        <v>178.298</v>
      </c>
      <c r="AI98" s="21">
        <v>-1.56189E-2</v>
      </c>
      <c r="AJ98" s="21">
        <v>88</v>
      </c>
      <c r="AK98" s="21">
        <v>0.34252899999999997</v>
      </c>
      <c r="AL98">
        <f t="shared" si="18"/>
        <v>15.6189</v>
      </c>
      <c r="AM98">
        <f t="shared" si="19"/>
        <v>5.3599379129999996</v>
      </c>
      <c r="AP98" s="9"/>
      <c r="AQ98" s="21">
        <v>1.3568100000000001</v>
      </c>
      <c r="AR98" s="21">
        <v>227.745</v>
      </c>
      <c r="AS98" s="21">
        <v>-1.4068600000000001E-2</v>
      </c>
      <c r="AT98" s="21">
        <v>88</v>
      </c>
      <c r="AU98" s="21">
        <v>1.3565100000000001</v>
      </c>
      <c r="AV98">
        <f t="shared" si="20"/>
        <v>14.0686</v>
      </c>
      <c r="AW98">
        <f t="shared" si="21"/>
        <v>19.088417165999999</v>
      </c>
      <c r="AX98" s="9"/>
      <c r="AY98" s="21">
        <v>0.34316999999999998</v>
      </c>
      <c r="AZ98" s="21">
        <v>262.08499999999998</v>
      </c>
      <c r="BA98" s="21">
        <v>-1.5566999999999999E-2</v>
      </c>
      <c r="BB98" s="21">
        <v>88</v>
      </c>
      <c r="BC98" s="21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49.951500000000003</v>
      </c>
      <c r="I99" s="21">
        <v>-1.44867E-2</v>
      </c>
      <c r="J99" s="21">
        <v>89</v>
      </c>
      <c r="K99" s="21">
        <v>1.35101</v>
      </c>
      <c r="L99">
        <f t="shared" si="12"/>
        <v>14.486700000000001</v>
      </c>
      <c r="M99">
        <f t="shared" si="13"/>
        <v>19.582831326000001</v>
      </c>
      <c r="N99" s="9"/>
      <c r="O99" s="21">
        <v>0.34820600000000002</v>
      </c>
      <c r="P99" s="21">
        <v>99.377899999999997</v>
      </c>
      <c r="Q99" s="21">
        <v>-1.57196E-2</v>
      </c>
      <c r="R99" s="21">
        <v>89</v>
      </c>
      <c r="S99" s="21">
        <v>0.34756500000000001</v>
      </c>
      <c r="T99">
        <f t="shared" si="14"/>
        <v>15.7196</v>
      </c>
      <c r="U99">
        <f t="shared" si="15"/>
        <v>5.4736590376000001</v>
      </c>
      <c r="X99" s="9"/>
      <c r="Y99" s="21">
        <v>1.35178</v>
      </c>
      <c r="Z99" s="21">
        <v>128.83500000000001</v>
      </c>
      <c r="AA99" s="21">
        <v>-1.4267E-2</v>
      </c>
      <c r="AB99" s="21">
        <v>89</v>
      </c>
      <c r="AC99" s="21">
        <v>1.3504</v>
      </c>
      <c r="AD99">
        <f t="shared" si="16"/>
        <v>14.266999999999999</v>
      </c>
      <c r="AE99">
        <f t="shared" si="17"/>
        <v>19.285845259999999</v>
      </c>
      <c r="AF99" s="9"/>
      <c r="AG99" s="21">
        <v>0.34820600000000002</v>
      </c>
      <c r="AH99" s="21">
        <v>178.30799999999999</v>
      </c>
      <c r="AI99" s="21">
        <v>-1.56128E-2</v>
      </c>
      <c r="AJ99" s="21">
        <v>89</v>
      </c>
      <c r="AK99" s="21">
        <v>0.34756500000000001</v>
      </c>
      <c r="AL99">
        <f t="shared" si="18"/>
        <v>15.6128</v>
      </c>
      <c r="AM99">
        <f t="shared" si="19"/>
        <v>5.4364706368000002</v>
      </c>
      <c r="AP99" s="9"/>
      <c r="AQ99" s="21">
        <v>1.35178</v>
      </c>
      <c r="AR99" s="21">
        <v>227.755</v>
      </c>
      <c r="AS99" s="21">
        <v>-1.41022E-2</v>
      </c>
      <c r="AT99" s="21">
        <v>89</v>
      </c>
      <c r="AU99" s="21">
        <v>1.35101</v>
      </c>
      <c r="AV99">
        <f t="shared" si="20"/>
        <v>14.1022</v>
      </c>
      <c r="AW99">
        <f t="shared" si="21"/>
        <v>19.063071915999998</v>
      </c>
      <c r="AX99" s="9"/>
      <c r="AY99" s="21">
        <v>0.34820600000000002</v>
      </c>
      <c r="AZ99" s="21">
        <v>262.09500000000003</v>
      </c>
      <c r="BA99" s="21">
        <v>-1.5560900000000001E-2</v>
      </c>
      <c r="BB99" s="21">
        <v>89</v>
      </c>
      <c r="BC99" s="21">
        <v>0.34747299999999998</v>
      </c>
      <c r="BD99">
        <f t="shared" si="22"/>
        <v>15.5609</v>
      </c>
      <c r="BE99">
        <f t="shared" si="23"/>
        <v>5.4183987454000002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49.961500000000001</v>
      </c>
      <c r="I100" s="21">
        <v>-1.4517199999999999E-2</v>
      </c>
      <c r="J100" s="21">
        <v>90</v>
      </c>
      <c r="K100" s="21">
        <v>1.34552</v>
      </c>
      <c r="L100">
        <f t="shared" si="12"/>
        <v>14.517199999999999</v>
      </c>
      <c r="M100">
        <f t="shared" si="13"/>
        <v>19.550893928000001</v>
      </c>
      <c r="N100" s="9"/>
      <c r="O100" s="21">
        <v>0.35324100000000003</v>
      </c>
      <c r="P100" s="21">
        <v>99.387900000000002</v>
      </c>
      <c r="Q100" s="21">
        <v>-1.5716600000000001E-2</v>
      </c>
      <c r="R100" s="21">
        <v>90</v>
      </c>
      <c r="S100" s="21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1">
        <v>1.34674</v>
      </c>
      <c r="Z100" s="21">
        <v>128.845</v>
      </c>
      <c r="AA100" s="21">
        <v>-1.4300500000000001E-2</v>
      </c>
      <c r="AB100" s="21">
        <v>90</v>
      </c>
      <c r="AC100" s="21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1">
        <v>0.35324100000000003</v>
      </c>
      <c r="AH100" s="21">
        <v>178.31800000000001</v>
      </c>
      <c r="AI100" s="21">
        <v>-1.5615800000000001E-2</v>
      </c>
      <c r="AJ100" s="21">
        <v>90</v>
      </c>
      <c r="AK100" s="21">
        <v>0.352661</v>
      </c>
      <c r="AL100">
        <f t="shared" si="18"/>
        <v>15.6158</v>
      </c>
      <c r="AM100">
        <f t="shared" si="19"/>
        <v>5.5161408078000003</v>
      </c>
      <c r="AP100" s="9"/>
      <c r="AQ100" s="21">
        <v>1.34674</v>
      </c>
      <c r="AR100" s="21">
        <v>227.76499999999999</v>
      </c>
      <c r="AS100" s="21">
        <v>-1.4129600000000001E-2</v>
      </c>
      <c r="AT100" s="21">
        <v>90</v>
      </c>
      <c r="AU100" s="21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1">
        <v>0.35324100000000003</v>
      </c>
      <c r="AZ100" s="21">
        <v>262.10500000000002</v>
      </c>
      <c r="BA100" s="21">
        <v>-1.5560900000000001E-2</v>
      </c>
      <c r="BB100" s="21">
        <v>90</v>
      </c>
      <c r="BC100" s="21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49.971600000000002</v>
      </c>
      <c r="I101" s="21">
        <v>-1.45416E-2</v>
      </c>
      <c r="J101" s="21">
        <v>91</v>
      </c>
      <c r="K101" s="21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1">
        <v>0.35827599999999998</v>
      </c>
      <c r="P101" s="21">
        <v>99.397999999999996</v>
      </c>
      <c r="Q101" s="21">
        <v>-1.5713499999999998E-2</v>
      </c>
      <c r="R101" s="21">
        <v>91</v>
      </c>
      <c r="S101" s="21">
        <v>0.357574</v>
      </c>
      <c r="T101">
        <f t="shared" si="14"/>
        <v>15.713499999999998</v>
      </c>
      <c r="U101">
        <f t="shared" si="15"/>
        <v>5.6297699259999989</v>
      </c>
      <c r="X101" s="9"/>
      <c r="Y101" s="21">
        <v>1.34171</v>
      </c>
      <c r="Z101" s="21">
        <v>128.85499999999999</v>
      </c>
      <c r="AA101" s="21">
        <v>-1.43372E-2</v>
      </c>
      <c r="AB101" s="21">
        <v>91</v>
      </c>
      <c r="AC101" s="21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1">
        <v>0.35827599999999998</v>
      </c>
      <c r="AH101" s="21">
        <v>178.32900000000001</v>
      </c>
      <c r="AI101" s="21">
        <v>-1.5621899999999999E-2</v>
      </c>
      <c r="AJ101" s="21">
        <v>91</v>
      </c>
      <c r="AK101" s="21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1">
        <v>1.34171</v>
      </c>
      <c r="AR101" s="21">
        <v>227.77500000000001</v>
      </c>
      <c r="AS101" s="21">
        <v>-1.4151E-2</v>
      </c>
      <c r="AT101" s="21">
        <v>91</v>
      </c>
      <c r="AU101" s="21">
        <v>1.34033</v>
      </c>
      <c r="AV101">
        <f t="shared" si="20"/>
        <v>14.151</v>
      </c>
      <c r="AW101">
        <f t="shared" si="21"/>
        <v>18.986538209999999</v>
      </c>
      <c r="AX101" s="9"/>
      <c r="AY101" s="21">
        <v>0.35827599999999998</v>
      </c>
      <c r="AZ101" s="21">
        <v>262.11500000000001</v>
      </c>
      <c r="BA101" s="21">
        <v>-1.5554800000000001E-2</v>
      </c>
      <c r="BB101" s="21">
        <v>91</v>
      </c>
      <c r="BC101" s="21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49.981699999999996</v>
      </c>
      <c r="I102" s="21">
        <v>-1.45691E-2</v>
      </c>
      <c r="J102" s="21">
        <v>92</v>
      </c>
      <c r="K102" s="21">
        <v>1.33606</v>
      </c>
      <c r="L102">
        <f t="shared" si="12"/>
        <v>14.569100000000001</v>
      </c>
      <c r="M102">
        <f t="shared" si="13"/>
        <v>19.474078897000002</v>
      </c>
      <c r="N102" s="9"/>
      <c r="O102" s="21">
        <v>0.36331200000000002</v>
      </c>
      <c r="P102" s="21">
        <v>99.408100000000005</v>
      </c>
      <c r="Q102" s="21">
        <v>-1.5710399999999999E-2</v>
      </c>
      <c r="R102" s="21">
        <v>92</v>
      </c>
      <c r="S102" s="21">
        <v>0.36257899999999998</v>
      </c>
      <c r="T102">
        <f t="shared" si="14"/>
        <v>15.7104</v>
      </c>
      <c r="U102">
        <f t="shared" si="15"/>
        <v>5.7077768448000006</v>
      </c>
      <c r="X102" s="9"/>
      <c r="Y102" s="21">
        <v>1.33667</v>
      </c>
      <c r="Z102" s="21">
        <v>128.86500000000001</v>
      </c>
      <c r="AA102" s="21">
        <v>-1.43707E-2</v>
      </c>
      <c r="AB102" s="21">
        <v>92</v>
      </c>
      <c r="AC102" s="21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1">
        <v>0.36331200000000002</v>
      </c>
      <c r="AH102" s="21">
        <v>178.339</v>
      </c>
      <c r="AI102" s="21">
        <v>-1.5621899999999999E-2</v>
      </c>
      <c r="AJ102" s="21">
        <v>92</v>
      </c>
      <c r="AK102" s="21">
        <v>0.362701</v>
      </c>
      <c r="AL102">
        <f t="shared" si="18"/>
        <v>15.6219</v>
      </c>
      <c r="AM102">
        <f t="shared" si="19"/>
        <v>5.6756237328000001</v>
      </c>
      <c r="AP102" s="9"/>
      <c r="AQ102" s="21">
        <v>1.33667</v>
      </c>
      <c r="AR102" s="21">
        <v>227.785</v>
      </c>
      <c r="AS102" s="21">
        <v>-1.41724E-2</v>
      </c>
      <c r="AT102" s="21">
        <v>92</v>
      </c>
      <c r="AU102" s="21">
        <v>1.33575</v>
      </c>
      <c r="AV102">
        <f t="shared" si="20"/>
        <v>14.1724</v>
      </c>
      <c r="AW102">
        <f t="shared" si="21"/>
        <v>18.943821908</v>
      </c>
      <c r="AX102" s="9"/>
      <c r="AY102" s="21">
        <v>0.36331200000000002</v>
      </c>
      <c r="AZ102" s="21">
        <v>262.125</v>
      </c>
      <c r="BA102" s="21">
        <v>-1.55426E-2</v>
      </c>
      <c r="BB102" s="21">
        <v>92</v>
      </c>
      <c r="BC102" s="21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49.991700000000002</v>
      </c>
      <c r="I103" s="21">
        <v>-1.4599600000000001E-2</v>
      </c>
      <c r="J103" s="21">
        <v>93</v>
      </c>
      <c r="K103" s="21">
        <v>1.33087</v>
      </c>
      <c r="L103">
        <f t="shared" si="12"/>
        <v>14.599600000000001</v>
      </c>
      <c r="M103">
        <f t="shared" si="13"/>
        <v>19.441265348000002</v>
      </c>
      <c r="N103" s="9"/>
      <c r="O103" s="21">
        <v>0.36834699999999998</v>
      </c>
      <c r="P103" s="21">
        <v>99.418199999999999</v>
      </c>
      <c r="Q103" s="21">
        <v>-1.57074E-2</v>
      </c>
      <c r="R103" s="21">
        <v>93</v>
      </c>
      <c r="S103" s="21">
        <v>0.36770599999999998</v>
      </c>
      <c r="T103">
        <f t="shared" si="14"/>
        <v>15.7074</v>
      </c>
      <c r="U103">
        <f t="shared" si="15"/>
        <v>5.7857736678</v>
      </c>
      <c r="X103" s="9"/>
      <c r="Y103" s="21">
        <v>1.3316300000000001</v>
      </c>
      <c r="Z103" s="21">
        <v>128.875</v>
      </c>
      <c r="AA103" s="21">
        <v>-1.4401199999999999E-2</v>
      </c>
      <c r="AB103" s="21">
        <v>93</v>
      </c>
      <c r="AC103" s="21">
        <v>1.33118</v>
      </c>
      <c r="AD103">
        <f t="shared" si="16"/>
        <v>14.401199999999999</v>
      </c>
      <c r="AE103">
        <f t="shared" si="17"/>
        <v>19.177069956</v>
      </c>
      <c r="AF103" s="9"/>
      <c r="AG103" s="21">
        <v>0.36834699999999998</v>
      </c>
      <c r="AH103" s="21">
        <v>178.34899999999999</v>
      </c>
      <c r="AI103" s="21">
        <v>-1.5621899999999999E-2</v>
      </c>
      <c r="AJ103" s="21">
        <v>93</v>
      </c>
      <c r="AK103" s="21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1">
        <v>1.3316300000000001</v>
      </c>
      <c r="AR103" s="21">
        <v>227.79499999999999</v>
      </c>
      <c r="AS103" s="21">
        <v>-1.4190700000000001E-2</v>
      </c>
      <c r="AT103" s="21">
        <v>93</v>
      </c>
      <c r="AU103" s="21">
        <v>1.33087</v>
      </c>
      <c r="AV103">
        <f t="shared" si="20"/>
        <v>14.1907</v>
      </c>
      <c r="AW103">
        <f t="shared" si="21"/>
        <v>18.896761841</v>
      </c>
      <c r="AX103" s="9"/>
      <c r="AY103" s="21">
        <v>0.36834699999999998</v>
      </c>
      <c r="AZ103" s="21">
        <v>262.13499999999999</v>
      </c>
      <c r="BA103" s="21">
        <v>-1.5539600000000001E-2</v>
      </c>
      <c r="BB103" s="21">
        <v>93</v>
      </c>
      <c r="BC103" s="21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50.001800000000003</v>
      </c>
      <c r="I104" s="21">
        <v>-1.4627100000000001E-2</v>
      </c>
      <c r="J104" s="21">
        <v>94</v>
      </c>
      <c r="K104" s="21">
        <v>1.32599</v>
      </c>
      <c r="L104">
        <f t="shared" si="12"/>
        <v>14.6271</v>
      </c>
      <c r="M104">
        <f t="shared" si="13"/>
        <v>19.404310859999999</v>
      </c>
      <c r="N104" s="9"/>
      <c r="O104" s="21">
        <v>0.37338300000000002</v>
      </c>
      <c r="P104" s="21">
        <v>99.428200000000004</v>
      </c>
      <c r="Q104" s="21">
        <v>-1.5713499999999998E-2</v>
      </c>
      <c r="R104" s="21">
        <v>94</v>
      </c>
      <c r="S104" s="21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1">
        <v>1.3266</v>
      </c>
      <c r="Z104" s="21">
        <v>128.88499999999999</v>
      </c>
      <c r="AA104" s="21">
        <v>-1.44257E-2</v>
      </c>
      <c r="AB104" s="21">
        <v>94</v>
      </c>
      <c r="AC104" s="21">
        <v>1.32599</v>
      </c>
      <c r="AD104">
        <f t="shared" si="16"/>
        <v>14.425699999999999</v>
      </c>
      <c r="AE104">
        <f t="shared" si="17"/>
        <v>19.13713362</v>
      </c>
      <c r="AF104" s="9"/>
      <c r="AG104" s="21">
        <v>0.37338300000000002</v>
      </c>
      <c r="AH104" s="21">
        <v>178.35900000000001</v>
      </c>
      <c r="AI104" s="21">
        <v>-1.5625E-2</v>
      </c>
      <c r="AJ104" s="21">
        <v>94</v>
      </c>
      <c r="AK104" s="21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1">
        <v>1.3266</v>
      </c>
      <c r="AR104" s="21">
        <v>227.80500000000001</v>
      </c>
      <c r="AS104" s="21">
        <v>-1.42273E-2</v>
      </c>
      <c r="AT104" s="21">
        <v>94</v>
      </c>
      <c r="AU104" s="21">
        <v>1.32629</v>
      </c>
      <c r="AV104">
        <f t="shared" si="20"/>
        <v>14.2273</v>
      </c>
      <c r="AW104">
        <f t="shared" si="21"/>
        <v>18.873936180000001</v>
      </c>
      <c r="AX104" s="9"/>
      <c r="AY104" s="21">
        <v>0.37338300000000002</v>
      </c>
      <c r="AZ104" s="21">
        <v>262.14499999999998</v>
      </c>
      <c r="BA104" s="21">
        <v>-1.5545700000000001E-2</v>
      </c>
      <c r="BB104" s="21">
        <v>94</v>
      </c>
      <c r="BC104" s="21">
        <v>0.372803</v>
      </c>
      <c r="BD104">
        <f t="shared" si="22"/>
        <v>15.5457</v>
      </c>
      <c r="BE104">
        <f t="shared" si="23"/>
        <v>5.8045001031000005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50.011899999999997</v>
      </c>
      <c r="I105" s="21">
        <v>-1.46515E-2</v>
      </c>
      <c r="J105" s="21">
        <v>95</v>
      </c>
      <c r="K105" s="21">
        <v>1.3208</v>
      </c>
      <c r="L105">
        <f t="shared" si="12"/>
        <v>14.6515</v>
      </c>
      <c r="M105">
        <f t="shared" si="13"/>
        <v>19.362836340000001</v>
      </c>
      <c r="N105" s="9"/>
      <c r="O105" s="21">
        <v>0.37841799999999998</v>
      </c>
      <c r="P105" s="21">
        <v>99.438299999999998</v>
      </c>
      <c r="Q105" s="21">
        <v>-1.5716600000000001E-2</v>
      </c>
      <c r="R105" s="21">
        <v>95</v>
      </c>
      <c r="S105" s="21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1">
        <v>1.3215600000000001</v>
      </c>
      <c r="Z105" s="21">
        <v>128.89500000000001</v>
      </c>
      <c r="AA105" s="21">
        <v>-1.44531E-2</v>
      </c>
      <c r="AB105" s="21">
        <v>95</v>
      </c>
      <c r="AC105" s="21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1">
        <v>0.37841799999999998</v>
      </c>
      <c r="AH105" s="21">
        <v>178.369</v>
      </c>
      <c r="AI105" s="21">
        <v>-1.5628099999999999E-2</v>
      </c>
      <c r="AJ105" s="21">
        <v>95</v>
      </c>
      <c r="AK105" s="21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1">
        <v>1.3215600000000001</v>
      </c>
      <c r="AR105" s="21">
        <v>227.815</v>
      </c>
      <c r="AS105" s="21">
        <v>-1.4245600000000001E-2</v>
      </c>
      <c r="AT105" s="21">
        <v>95</v>
      </c>
      <c r="AU105" s="21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1">
        <v>0.37841799999999998</v>
      </c>
      <c r="AZ105" s="21">
        <v>262.15499999999997</v>
      </c>
      <c r="BA105" s="21">
        <v>-1.5551799999999999E-2</v>
      </c>
      <c r="BB105" s="21">
        <v>95</v>
      </c>
      <c r="BC105" s="21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50.021999999999998</v>
      </c>
      <c r="I106" s="21">
        <v>-1.46667E-2</v>
      </c>
      <c r="J106" s="21">
        <v>96</v>
      </c>
      <c r="K106" s="21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1">
        <v>0.38345299999999999</v>
      </c>
      <c r="P106" s="21">
        <v>99.448400000000007</v>
      </c>
      <c r="Q106" s="21">
        <v>-1.57196E-2</v>
      </c>
      <c r="R106" s="21">
        <v>96</v>
      </c>
      <c r="S106" s="21">
        <v>0.38281300000000001</v>
      </c>
      <c r="T106">
        <f t="shared" si="14"/>
        <v>15.7196</v>
      </c>
      <c r="U106">
        <f t="shared" si="15"/>
        <v>6.0277277788000001</v>
      </c>
      <c r="X106" s="9"/>
      <c r="Y106" s="21">
        <v>1.31653</v>
      </c>
      <c r="Z106" s="21">
        <v>128.905</v>
      </c>
      <c r="AA106" s="21">
        <v>-1.4477500000000001E-2</v>
      </c>
      <c r="AB106" s="21">
        <v>96</v>
      </c>
      <c r="AC106" s="21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1">
        <v>0.38345299999999999</v>
      </c>
      <c r="AH106" s="21">
        <v>178.37899999999999</v>
      </c>
      <c r="AI106" s="21">
        <v>-1.5628099999999999E-2</v>
      </c>
      <c r="AJ106" s="21">
        <v>96</v>
      </c>
      <c r="AK106" s="21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1">
        <v>1.31653</v>
      </c>
      <c r="AR106" s="21">
        <v>227.82499999999999</v>
      </c>
      <c r="AS106" s="21">
        <v>-1.4257799999999999E-2</v>
      </c>
      <c r="AT106" s="21">
        <v>96</v>
      </c>
      <c r="AU106" s="21">
        <v>1.31653</v>
      </c>
      <c r="AV106">
        <f t="shared" si="20"/>
        <v>14.2578</v>
      </c>
      <c r="AW106">
        <f t="shared" si="21"/>
        <v>18.770821433999998</v>
      </c>
      <c r="AX106" s="9"/>
      <c r="AY106" s="21">
        <v>0.38345299999999999</v>
      </c>
      <c r="AZ106" s="21">
        <v>262.16500000000002</v>
      </c>
      <c r="BA106" s="21">
        <v>-1.5554800000000001E-2</v>
      </c>
      <c r="BB106" s="21">
        <v>96</v>
      </c>
      <c r="BC106" s="21">
        <v>0.38290400000000002</v>
      </c>
      <c r="BD106">
        <f t="shared" si="22"/>
        <v>15.5548</v>
      </c>
      <c r="BE106">
        <f t="shared" si="23"/>
        <v>5.9645347244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50.031999999999996</v>
      </c>
      <c r="I107" s="21">
        <v>-1.46851E-2</v>
      </c>
      <c r="J107" s="21">
        <v>97</v>
      </c>
      <c r="K107" s="21">
        <v>1.31073</v>
      </c>
      <c r="L107">
        <f t="shared" si="12"/>
        <v>14.6851</v>
      </c>
      <c r="M107">
        <f t="shared" si="13"/>
        <v>19.259361799000001</v>
      </c>
      <c r="N107" s="9"/>
      <c r="O107" s="21">
        <v>0.38848899999999997</v>
      </c>
      <c r="P107" s="21">
        <v>99.458399999999997</v>
      </c>
      <c r="Q107" s="21">
        <v>-1.5713499999999998E-2</v>
      </c>
      <c r="R107" s="21">
        <v>97</v>
      </c>
      <c r="S107" s="21">
        <v>0.387878</v>
      </c>
      <c r="T107">
        <f t="shared" si="14"/>
        <v>15.713499999999998</v>
      </c>
      <c r="U107">
        <f t="shared" si="15"/>
        <v>6.1045219014999992</v>
      </c>
      <c r="X107" s="9"/>
      <c r="Y107" s="21">
        <v>1.31149</v>
      </c>
      <c r="Z107" s="21">
        <v>128.91499999999999</v>
      </c>
      <c r="AA107" s="21">
        <v>-1.4511100000000001E-2</v>
      </c>
      <c r="AB107" s="21">
        <v>97</v>
      </c>
      <c r="AC107" s="21">
        <v>1.31104</v>
      </c>
      <c r="AD107">
        <f t="shared" si="16"/>
        <v>14.511100000000001</v>
      </c>
      <c r="AE107">
        <f t="shared" si="17"/>
        <v>19.031162539</v>
      </c>
      <c r="AF107" s="9"/>
      <c r="AG107" s="21">
        <v>0.38848899999999997</v>
      </c>
      <c r="AH107" s="21">
        <v>178.38900000000001</v>
      </c>
      <c r="AI107" s="21">
        <v>-1.5628099999999999E-2</v>
      </c>
      <c r="AJ107" s="21">
        <v>97</v>
      </c>
      <c r="AK107" s="21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1">
        <v>1.31149</v>
      </c>
      <c r="AR107" s="21">
        <v>227.83500000000001</v>
      </c>
      <c r="AS107" s="21">
        <v>-1.42822E-2</v>
      </c>
      <c r="AT107" s="21">
        <v>97</v>
      </c>
      <c r="AU107" s="21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1">
        <v>0.38848899999999997</v>
      </c>
      <c r="AZ107" s="21">
        <v>262.17599999999999</v>
      </c>
      <c r="BA107" s="21">
        <v>-1.5554800000000001E-2</v>
      </c>
      <c r="BB107" s="21">
        <v>97</v>
      </c>
      <c r="BC107" s="21">
        <v>0.387909</v>
      </c>
      <c r="BD107">
        <f t="shared" si="22"/>
        <v>15.5548</v>
      </c>
      <c r="BE107">
        <f t="shared" si="23"/>
        <v>6.0428686971999994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50.042099999999998</v>
      </c>
      <c r="I108" s="21">
        <v>-1.4715600000000001E-2</v>
      </c>
      <c r="J108" s="21">
        <v>98</v>
      </c>
      <c r="K108" s="21">
        <v>1.3055399999999999</v>
      </c>
      <c r="L108">
        <f t="shared" si="12"/>
        <v>14.7156</v>
      </c>
      <c r="M108">
        <f t="shared" si="13"/>
        <v>19.225342775999998</v>
      </c>
      <c r="N108" s="9"/>
      <c r="O108" s="21">
        <v>0.39352399999999998</v>
      </c>
      <c r="P108" s="21">
        <v>99.468500000000006</v>
      </c>
      <c r="Q108" s="21">
        <v>-1.5710399999999999E-2</v>
      </c>
      <c r="R108" s="21">
        <v>98</v>
      </c>
      <c r="S108" s="21">
        <v>0.392822</v>
      </c>
      <c r="T108">
        <f t="shared" si="14"/>
        <v>15.7104</v>
      </c>
      <c r="U108">
        <f t="shared" si="15"/>
        <v>6.1824194495999993</v>
      </c>
      <c r="X108" s="9"/>
      <c r="Y108" s="21">
        <v>1.30646</v>
      </c>
      <c r="Z108" s="21">
        <v>128.92599999999999</v>
      </c>
      <c r="AA108" s="21">
        <v>-1.45355E-2</v>
      </c>
      <c r="AB108" s="21">
        <v>98</v>
      </c>
      <c r="AC108" s="21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1">
        <v>0.39352399999999998</v>
      </c>
      <c r="AH108" s="21">
        <v>178.399</v>
      </c>
      <c r="AI108" s="21">
        <v>-1.5621899999999999E-2</v>
      </c>
      <c r="AJ108" s="21">
        <v>98</v>
      </c>
      <c r="AK108" s="21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1">
        <v>1.30646</v>
      </c>
      <c r="AR108" s="21">
        <v>227.845</v>
      </c>
      <c r="AS108" s="21">
        <v>-1.4306599999999999E-2</v>
      </c>
      <c r="AT108" s="21">
        <v>98</v>
      </c>
      <c r="AU108" s="21">
        <v>1.30585</v>
      </c>
      <c r="AV108">
        <f t="shared" si="20"/>
        <v>14.3066</v>
      </c>
      <c r="AW108">
        <f t="shared" si="21"/>
        <v>18.691000635999998</v>
      </c>
      <c r="AX108" s="9"/>
      <c r="AY108" s="21">
        <v>0.39352399999999998</v>
      </c>
      <c r="AZ108" s="21">
        <v>262.18599999999998</v>
      </c>
      <c r="BA108" s="21">
        <v>-1.55579E-2</v>
      </c>
      <c r="BB108" s="21">
        <v>98</v>
      </c>
      <c r="BC108" s="21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50.052199999999999</v>
      </c>
      <c r="I109" s="21">
        <v>-1.4736900000000001E-2</v>
      </c>
      <c r="J109" s="21">
        <v>99</v>
      </c>
      <c r="K109" s="21">
        <v>1.3009599999999999</v>
      </c>
      <c r="L109">
        <f t="shared" si="12"/>
        <v>14.7369</v>
      </c>
      <c r="M109">
        <f t="shared" si="13"/>
        <v>19.178896397999999</v>
      </c>
      <c r="N109" s="9"/>
      <c r="O109" s="21">
        <v>0.39856000000000003</v>
      </c>
      <c r="P109" s="21">
        <v>99.4786</v>
      </c>
      <c r="Q109" s="21">
        <v>-1.5704300000000001E-2</v>
      </c>
      <c r="R109" s="21">
        <v>99</v>
      </c>
      <c r="S109" s="21">
        <v>0.397949</v>
      </c>
      <c r="T109">
        <f t="shared" si="14"/>
        <v>15.704300000000002</v>
      </c>
      <c r="U109">
        <f t="shared" si="15"/>
        <v>6.259105808000001</v>
      </c>
      <c r="X109" s="9"/>
      <c r="Y109" s="21">
        <v>1.30142</v>
      </c>
      <c r="Z109" s="21">
        <v>128.93600000000001</v>
      </c>
      <c r="AA109" s="21">
        <v>-1.45538E-2</v>
      </c>
      <c r="AB109" s="21">
        <v>99</v>
      </c>
      <c r="AC109" s="21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1">
        <v>0.39856000000000003</v>
      </c>
      <c r="AH109" s="21">
        <v>178.40899999999999</v>
      </c>
      <c r="AI109" s="21">
        <v>-1.5625E-2</v>
      </c>
      <c r="AJ109" s="21">
        <v>99</v>
      </c>
      <c r="AK109" s="21">
        <v>0.39791900000000002</v>
      </c>
      <c r="AL109">
        <f t="shared" si="18"/>
        <v>15.625</v>
      </c>
      <c r="AM109">
        <f t="shared" si="19"/>
        <v>6.2275</v>
      </c>
      <c r="AP109" s="9"/>
      <c r="AQ109" s="21">
        <v>1.30142</v>
      </c>
      <c r="AR109" s="21">
        <v>227.85499999999999</v>
      </c>
      <c r="AS109" s="21">
        <v>-1.4328E-2</v>
      </c>
      <c r="AT109" s="21">
        <v>99</v>
      </c>
      <c r="AU109" s="21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1">
        <v>0.39856000000000003</v>
      </c>
      <c r="AZ109" s="21">
        <v>262.19600000000003</v>
      </c>
      <c r="BA109" s="21">
        <v>-1.5554800000000001E-2</v>
      </c>
      <c r="BB109" s="21">
        <v>99</v>
      </c>
      <c r="BC109" s="21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50.062199999999997</v>
      </c>
      <c r="I110" s="21">
        <v>-1.47583E-2</v>
      </c>
      <c r="J110" s="21">
        <v>100</v>
      </c>
      <c r="K110" s="21">
        <v>1.2960799999999999</v>
      </c>
      <c r="L110">
        <f t="shared" si="12"/>
        <v>14.7583</v>
      </c>
      <c r="M110">
        <f t="shared" si="13"/>
        <v>19.132512537</v>
      </c>
      <c r="N110" s="9"/>
      <c r="O110" s="21">
        <v>0.40359499999999998</v>
      </c>
      <c r="P110" s="21">
        <v>99.488699999999994</v>
      </c>
      <c r="Q110" s="21">
        <v>-1.5701300000000001E-2</v>
      </c>
      <c r="R110" s="21">
        <v>100</v>
      </c>
      <c r="S110" s="21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1">
        <v>1.2963899999999999</v>
      </c>
      <c r="Z110" s="21">
        <v>128.946</v>
      </c>
      <c r="AA110" s="21">
        <v>-1.45813E-2</v>
      </c>
      <c r="AB110" s="21">
        <v>100</v>
      </c>
      <c r="AC110" s="21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1">
        <v>0.40359499999999998</v>
      </c>
      <c r="AH110" s="21">
        <v>178.41900000000001</v>
      </c>
      <c r="AI110" s="21">
        <v>-1.5625E-2</v>
      </c>
      <c r="AJ110" s="21">
        <v>100</v>
      </c>
      <c r="AK110" s="21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1">
        <v>1.2963899999999999</v>
      </c>
      <c r="AR110" s="21">
        <v>227.86600000000001</v>
      </c>
      <c r="AS110" s="21">
        <v>-1.43524E-2</v>
      </c>
      <c r="AT110" s="21">
        <v>100</v>
      </c>
      <c r="AU110" s="21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1">
        <v>0.40359499999999998</v>
      </c>
      <c r="AZ110" s="21">
        <v>262.20600000000002</v>
      </c>
      <c r="BA110" s="21">
        <v>-1.5551799999999999E-2</v>
      </c>
      <c r="BB110" s="21">
        <v>100</v>
      </c>
      <c r="BC110" s="21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50.072299999999998</v>
      </c>
      <c r="I111" s="21">
        <v>-1.47797E-2</v>
      </c>
      <c r="J111" s="21">
        <v>101</v>
      </c>
      <c r="K111" s="21">
        <v>1.2905899999999999</v>
      </c>
      <c r="L111">
        <f t="shared" si="12"/>
        <v>14.7797</v>
      </c>
      <c r="M111">
        <f t="shared" si="13"/>
        <v>19.085765595000002</v>
      </c>
      <c r="N111" s="9"/>
      <c r="O111" s="21">
        <v>0.40862999999999999</v>
      </c>
      <c r="P111" s="21">
        <v>99.498699999999999</v>
      </c>
      <c r="Q111" s="21">
        <v>-1.5695199999999999E-2</v>
      </c>
      <c r="R111" s="21">
        <v>101</v>
      </c>
      <c r="S111" s="21">
        <v>0.40786699999999998</v>
      </c>
      <c r="T111">
        <f t="shared" si="14"/>
        <v>15.6952</v>
      </c>
      <c r="U111">
        <f t="shared" si="15"/>
        <v>6.4135295760000002</v>
      </c>
      <c r="X111" s="9"/>
      <c r="Y111" s="21">
        <v>1.29135</v>
      </c>
      <c r="Z111" s="21">
        <v>128.95599999999999</v>
      </c>
      <c r="AA111" s="21">
        <v>-1.46027E-2</v>
      </c>
      <c r="AB111" s="21">
        <v>101</v>
      </c>
      <c r="AC111" s="21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1">
        <v>0.40862999999999999</v>
      </c>
      <c r="AH111" s="21">
        <v>178.429</v>
      </c>
      <c r="AI111" s="21">
        <v>-1.5625E-2</v>
      </c>
      <c r="AJ111" s="21">
        <v>101</v>
      </c>
      <c r="AK111" s="21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1">
        <v>1.29135</v>
      </c>
      <c r="AR111" s="21">
        <v>227.876</v>
      </c>
      <c r="AS111" s="21">
        <v>-1.4373800000000001E-2</v>
      </c>
      <c r="AT111" s="21">
        <v>101</v>
      </c>
      <c r="AU111" s="21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1">
        <v>0.40862999999999999</v>
      </c>
      <c r="AZ111" s="21">
        <v>262.21600000000001</v>
      </c>
      <c r="BA111" s="21">
        <v>-1.5551799999999999E-2</v>
      </c>
      <c r="BB111" s="21">
        <v>101</v>
      </c>
      <c r="BC111" s="21">
        <v>0.40799000000000002</v>
      </c>
      <c r="BD111">
        <f t="shared" si="22"/>
        <v>15.5518</v>
      </c>
      <c r="BE111">
        <f t="shared" si="23"/>
        <v>6.354932034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50.0824</v>
      </c>
      <c r="I112" s="21">
        <v>-1.48071E-2</v>
      </c>
      <c r="J112" s="21">
        <v>102</v>
      </c>
      <c r="K112" s="21">
        <v>1.2854000000000001</v>
      </c>
      <c r="L112">
        <f t="shared" si="12"/>
        <v>14.8071</v>
      </c>
      <c r="M112">
        <f t="shared" si="13"/>
        <v>19.046668871999998</v>
      </c>
      <c r="N112" s="9"/>
      <c r="O112" s="21">
        <v>0.41366599999999998</v>
      </c>
      <c r="P112" s="21">
        <v>99.508799999999994</v>
      </c>
      <c r="Q112" s="21">
        <v>-1.5685999999999999E-2</v>
      </c>
      <c r="R112" s="21">
        <v>102</v>
      </c>
      <c r="S112" s="21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1">
        <v>1.2863199999999999</v>
      </c>
      <c r="Z112" s="21">
        <v>128.96600000000001</v>
      </c>
      <c r="AA112" s="21">
        <v>-1.4624E-2</v>
      </c>
      <c r="AB112" s="21">
        <v>102</v>
      </c>
      <c r="AC112" s="21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1">
        <v>0.41366599999999998</v>
      </c>
      <c r="AH112" s="21">
        <v>178.43899999999999</v>
      </c>
      <c r="AI112" s="21">
        <v>-1.5625E-2</v>
      </c>
      <c r="AJ112" s="21">
        <v>102</v>
      </c>
      <c r="AK112" s="21">
        <v>0.41302499999999998</v>
      </c>
      <c r="AL112">
        <f t="shared" si="18"/>
        <v>15.625</v>
      </c>
      <c r="AM112">
        <f t="shared" si="19"/>
        <v>6.46353125</v>
      </c>
      <c r="AP112" s="9"/>
      <c r="AQ112" s="21">
        <v>1.2863199999999999</v>
      </c>
      <c r="AR112" s="21">
        <v>227.886</v>
      </c>
      <c r="AS112" s="21">
        <v>-1.4395099999999999E-2</v>
      </c>
      <c r="AT112" s="21">
        <v>102</v>
      </c>
      <c r="AU112" s="21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1">
        <v>0.41366599999999998</v>
      </c>
      <c r="AZ112" s="21">
        <v>262.226</v>
      </c>
      <c r="BA112" s="21">
        <v>-1.5545700000000001E-2</v>
      </c>
      <c r="BB112" s="21">
        <v>102</v>
      </c>
      <c r="BC112" s="21">
        <v>0.41317700000000002</v>
      </c>
      <c r="BD112">
        <f t="shared" si="22"/>
        <v>15.5457</v>
      </c>
      <c r="BE112">
        <f t="shared" si="23"/>
        <v>6.4307275362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50.092399999999998</v>
      </c>
      <c r="I113" s="21">
        <v>-1.4825400000000001E-2</v>
      </c>
      <c r="J113" s="21">
        <v>103</v>
      </c>
      <c r="K113" s="21">
        <v>1.2802100000000001</v>
      </c>
      <c r="L113">
        <f t="shared" si="12"/>
        <v>14.8254</v>
      </c>
      <c r="M113">
        <f t="shared" si="13"/>
        <v>18.995488512000001</v>
      </c>
      <c r="N113" s="9"/>
      <c r="O113" s="21">
        <v>0.41870099999999999</v>
      </c>
      <c r="P113" s="21">
        <v>99.518900000000002</v>
      </c>
      <c r="Q113" s="21">
        <v>-1.5676900000000001E-2</v>
      </c>
      <c r="R113" s="21">
        <v>103</v>
      </c>
      <c r="S113" s="21">
        <v>0.41803000000000001</v>
      </c>
      <c r="T113">
        <f t="shared" si="14"/>
        <v>15.6769</v>
      </c>
      <c r="U113">
        <f t="shared" si="15"/>
        <v>6.5639337068999994</v>
      </c>
      <c r="X113" s="9"/>
      <c r="Y113" s="21">
        <v>1.28128</v>
      </c>
      <c r="Z113" s="21">
        <v>128.976</v>
      </c>
      <c r="AA113" s="21">
        <v>-1.46301E-2</v>
      </c>
      <c r="AB113" s="21">
        <v>103</v>
      </c>
      <c r="AC113" s="21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1">
        <v>0.41870099999999999</v>
      </c>
      <c r="AH113" s="21">
        <v>178.44900000000001</v>
      </c>
      <c r="AI113" s="21">
        <v>-1.5621899999999999E-2</v>
      </c>
      <c r="AJ113" s="21">
        <v>103</v>
      </c>
      <c r="AK113" s="21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1">
        <v>1.28128</v>
      </c>
      <c r="AR113" s="21">
        <v>227.89599999999999</v>
      </c>
      <c r="AS113" s="21">
        <v>-1.44165E-2</v>
      </c>
      <c r="AT113" s="21">
        <v>103</v>
      </c>
      <c r="AU113" s="21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1">
        <v>0.41870099999999999</v>
      </c>
      <c r="AZ113" s="21">
        <v>262.23599999999999</v>
      </c>
      <c r="BA113" s="21">
        <v>-1.5539600000000001E-2</v>
      </c>
      <c r="BB113" s="21">
        <v>103</v>
      </c>
      <c r="BC113" s="21">
        <v>0.41805999999999999</v>
      </c>
      <c r="BD113">
        <f t="shared" si="22"/>
        <v>15.5396</v>
      </c>
      <c r="BE113">
        <f t="shared" si="23"/>
        <v>6.5064460596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50.102499999999999</v>
      </c>
      <c r="I114" s="21">
        <v>-1.4831499999999999E-2</v>
      </c>
      <c r="J114" s="21">
        <v>104</v>
      </c>
      <c r="K114" s="21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1">
        <v>0.42373699999999997</v>
      </c>
      <c r="P114" s="21">
        <v>99.528899999999993</v>
      </c>
      <c r="Q114" s="21">
        <v>-1.5661600000000001E-2</v>
      </c>
      <c r="R114" s="21">
        <v>104</v>
      </c>
      <c r="S114" s="21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1">
        <v>1.2762500000000001</v>
      </c>
      <c r="Z114" s="21">
        <v>128.98599999999999</v>
      </c>
      <c r="AA114" s="21">
        <v>-1.46362E-2</v>
      </c>
      <c r="AB114" s="21">
        <v>104</v>
      </c>
      <c r="AC114" s="21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1">
        <v>0.42373699999999997</v>
      </c>
      <c r="AH114" s="21">
        <v>178.459</v>
      </c>
      <c r="AI114" s="21">
        <v>-1.5628099999999999E-2</v>
      </c>
      <c r="AJ114" s="21">
        <v>104</v>
      </c>
      <c r="AK114" s="21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1">
        <v>1.2762500000000001</v>
      </c>
      <c r="AR114" s="21">
        <v>227.90600000000001</v>
      </c>
      <c r="AS114" s="21">
        <v>-1.4434799999999999E-2</v>
      </c>
      <c r="AT114" s="21">
        <v>104</v>
      </c>
      <c r="AU114" s="21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1">
        <v>0.42373699999999997</v>
      </c>
      <c r="AZ114" s="21">
        <v>262.24599999999998</v>
      </c>
      <c r="BA114" s="21">
        <v>-1.5533399999999999E-2</v>
      </c>
      <c r="BB114" s="21">
        <v>104</v>
      </c>
      <c r="BC114" s="21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50.1126</v>
      </c>
      <c r="I115" s="21">
        <v>-1.4837599999999999E-2</v>
      </c>
      <c r="J115" s="21">
        <v>105</v>
      </c>
      <c r="K115" s="21">
        <v>1.27014</v>
      </c>
      <c r="L115">
        <f t="shared" si="12"/>
        <v>14.8376</v>
      </c>
      <c r="M115">
        <f t="shared" si="13"/>
        <v>18.861705495999999</v>
      </c>
      <c r="N115" s="9"/>
      <c r="O115" s="21">
        <v>0.42877199999999999</v>
      </c>
      <c r="P115" s="21">
        <v>99.539000000000001</v>
      </c>
      <c r="Q115" s="21">
        <v>-1.5655499999999999E-2</v>
      </c>
      <c r="R115" s="21">
        <v>105</v>
      </c>
      <c r="S115" s="21">
        <v>0.42807000000000001</v>
      </c>
      <c r="T115">
        <f t="shared" si="14"/>
        <v>15.6555</v>
      </c>
      <c r="U115">
        <f t="shared" si="15"/>
        <v>6.7126400459999997</v>
      </c>
      <c r="X115" s="9"/>
      <c r="Y115" s="21">
        <v>1.27121</v>
      </c>
      <c r="Z115" s="21">
        <v>128.99600000000001</v>
      </c>
      <c r="AA115" s="21">
        <v>-1.46515E-2</v>
      </c>
      <c r="AB115" s="21">
        <v>105</v>
      </c>
      <c r="AC115" s="21">
        <v>1.27014</v>
      </c>
      <c r="AD115">
        <f t="shared" si="16"/>
        <v>14.6515</v>
      </c>
      <c r="AE115">
        <f t="shared" si="17"/>
        <v>18.625133314999999</v>
      </c>
      <c r="AF115" s="9"/>
      <c r="AG115" s="21">
        <v>0.42877199999999999</v>
      </c>
      <c r="AH115" s="21">
        <v>178.46899999999999</v>
      </c>
      <c r="AI115" s="21">
        <v>-1.5625E-2</v>
      </c>
      <c r="AJ115" s="21">
        <v>105</v>
      </c>
      <c r="AK115" s="21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1">
        <v>1.27121</v>
      </c>
      <c r="AR115" s="21">
        <v>227.916</v>
      </c>
      <c r="AS115" s="21">
        <v>-1.44592E-2</v>
      </c>
      <c r="AT115" s="21">
        <v>105</v>
      </c>
      <c r="AU115" s="21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1">
        <v>0.42877199999999999</v>
      </c>
      <c r="AZ115" s="21">
        <v>262.25599999999997</v>
      </c>
      <c r="BA115" s="21">
        <v>-1.55304E-2</v>
      </c>
      <c r="BB115" s="21">
        <v>105</v>
      </c>
      <c r="BC115" s="21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50.122700000000002</v>
      </c>
      <c r="I116" s="21">
        <v>-1.4849899999999999E-2</v>
      </c>
      <c r="J116" s="21">
        <v>106</v>
      </c>
      <c r="K116" s="21">
        <v>1.2652600000000001</v>
      </c>
      <c r="L116">
        <f t="shared" si="12"/>
        <v>14.8499</v>
      </c>
      <c r="M116">
        <f t="shared" si="13"/>
        <v>18.802497883000001</v>
      </c>
      <c r="N116" s="9"/>
      <c r="O116" s="21">
        <v>0.433807</v>
      </c>
      <c r="P116" s="21">
        <v>99.549099999999996</v>
      </c>
      <c r="Q116" s="21">
        <v>-1.5655499999999999E-2</v>
      </c>
      <c r="R116" s="21">
        <v>106</v>
      </c>
      <c r="S116" s="21">
        <v>0.43316700000000002</v>
      </c>
      <c r="T116">
        <f t="shared" si="14"/>
        <v>15.6555</v>
      </c>
      <c r="U116">
        <f t="shared" si="15"/>
        <v>6.7914654885000001</v>
      </c>
      <c r="X116" s="9"/>
      <c r="Y116" s="21">
        <v>1.26617</v>
      </c>
      <c r="Z116" s="21">
        <v>129.006</v>
      </c>
      <c r="AA116" s="21">
        <v>-1.46698E-2</v>
      </c>
      <c r="AB116" s="21">
        <v>106</v>
      </c>
      <c r="AC116" s="21">
        <v>1.26556</v>
      </c>
      <c r="AD116">
        <f t="shared" si="16"/>
        <v>14.6698</v>
      </c>
      <c r="AE116">
        <f t="shared" si="17"/>
        <v>18.574460666</v>
      </c>
      <c r="AF116" s="9"/>
      <c r="AG116" s="21">
        <v>0.433807</v>
      </c>
      <c r="AH116" s="21">
        <v>178.48</v>
      </c>
      <c r="AI116" s="21">
        <v>-1.5628099999999999E-2</v>
      </c>
      <c r="AJ116" s="21">
        <v>106</v>
      </c>
      <c r="AK116" s="21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1">
        <v>1.26617</v>
      </c>
      <c r="AR116" s="21">
        <v>227.92599999999999</v>
      </c>
      <c r="AS116" s="21">
        <v>-1.44806E-2</v>
      </c>
      <c r="AT116" s="21">
        <v>106</v>
      </c>
      <c r="AU116" s="21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1">
        <v>0.433807</v>
      </c>
      <c r="AZ116" s="21">
        <v>262.26600000000002</v>
      </c>
      <c r="BA116" s="21">
        <v>-1.5521200000000001E-2</v>
      </c>
      <c r="BB116" s="21">
        <v>106</v>
      </c>
      <c r="BC116" s="21">
        <v>0.433228</v>
      </c>
      <c r="BD116">
        <f t="shared" si="22"/>
        <v>15.5212</v>
      </c>
      <c r="BE116">
        <f t="shared" si="23"/>
        <v>6.7332052084000003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50.1327</v>
      </c>
      <c r="I117" s="21">
        <v>-1.4871199999999999E-2</v>
      </c>
      <c r="J117" s="21">
        <v>107</v>
      </c>
      <c r="K117" s="21">
        <v>1.2609900000000001</v>
      </c>
      <c r="L117">
        <f t="shared" si="12"/>
        <v>14.8712</v>
      </c>
      <c r="M117">
        <f t="shared" si="13"/>
        <v>18.754665167999999</v>
      </c>
      <c r="N117" s="9"/>
      <c r="O117" s="21">
        <v>0.43884299999999998</v>
      </c>
      <c r="P117" s="21">
        <v>99.559200000000004</v>
      </c>
      <c r="Q117" s="21">
        <v>-1.5655499999999999E-2</v>
      </c>
      <c r="R117" s="21">
        <v>107</v>
      </c>
      <c r="S117" s="21">
        <v>0.43817099999999998</v>
      </c>
      <c r="T117">
        <f t="shared" si="14"/>
        <v>15.6555</v>
      </c>
      <c r="U117">
        <f t="shared" si="15"/>
        <v>6.8703065864999999</v>
      </c>
      <c r="X117" s="9"/>
      <c r="Y117" s="21">
        <v>1.2611399999999999</v>
      </c>
      <c r="Z117" s="21">
        <v>129.01599999999999</v>
      </c>
      <c r="AA117" s="21">
        <v>-1.4682000000000001E-2</v>
      </c>
      <c r="AB117" s="21">
        <v>107</v>
      </c>
      <c r="AC117" s="21">
        <v>1.26007</v>
      </c>
      <c r="AD117">
        <f t="shared" si="16"/>
        <v>14.682</v>
      </c>
      <c r="AE117">
        <f t="shared" si="17"/>
        <v>18.516057480000001</v>
      </c>
      <c r="AF117" s="9"/>
      <c r="AG117" s="21">
        <v>0.43884299999999998</v>
      </c>
      <c r="AH117" s="21">
        <v>178.49</v>
      </c>
      <c r="AI117" s="21">
        <v>-1.5625E-2</v>
      </c>
      <c r="AJ117" s="21">
        <v>107</v>
      </c>
      <c r="AK117" s="21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1">
        <v>1.2611399999999999</v>
      </c>
      <c r="AR117" s="21">
        <v>227.93600000000001</v>
      </c>
      <c r="AS117" s="21">
        <v>-1.4508099999999999E-2</v>
      </c>
      <c r="AT117" s="21">
        <v>107</v>
      </c>
      <c r="AU117" s="21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1">
        <v>0.43884299999999998</v>
      </c>
      <c r="AZ117" s="21">
        <v>262.27600000000001</v>
      </c>
      <c r="BA117" s="21">
        <v>-1.5509E-2</v>
      </c>
      <c r="BB117" s="21">
        <v>107</v>
      </c>
      <c r="BC117" s="21">
        <v>0.43811</v>
      </c>
      <c r="BD117">
        <f t="shared" si="22"/>
        <v>15.509</v>
      </c>
      <c r="BE117">
        <f t="shared" si="23"/>
        <v>6.8060160869999997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50.142800000000001</v>
      </c>
      <c r="I118" s="21">
        <v>-1.4892600000000001E-2</v>
      </c>
      <c r="J118" s="21">
        <v>108</v>
      </c>
      <c r="K118" s="21">
        <v>1.25549</v>
      </c>
      <c r="L118">
        <f t="shared" si="12"/>
        <v>14.8926</v>
      </c>
      <c r="M118">
        <f t="shared" si="13"/>
        <v>18.706594859999999</v>
      </c>
      <c r="N118" s="9"/>
      <c r="O118" s="21">
        <v>0.44387799999999999</v>
      </c>
      <c r="P118" s="21">
        <v>99.569199999999995</v>
      </c>
      <c r="Q118" s="21">
        <v>-1.5655499999999999E-2</v>
      </c>
      <c r="R118" s="21">
        <v>108</v>
      </c>
      <c r="S118" s="21">
        <v>0.44329800000000003</v>
      </c>
      <c r="T118">
        <f t="shared" si="14"/>
        <v>15.6555</v>
      </c>
      <c r="U118">
        <f t="shared" si="15"/>
        <v>6.9491320290000003</v>
      </c>
      <c r="X118" s="9"/>
      <c r="Y118" s="21">
        <v>1.2561</v>
      </c>
      <c r="Z118" s="21">
        <v>129.02600000000001</v>
      </c>
      <c r="AA118" s="21">
        <v>-1.4700299999999999E-2</v>
      </c>
      <c r="AB118" s="21">
        <v>108</v>
      </c>
      <c r="AC118" s="21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1">
        <v>0.44387799999999999</v>
      </c>
      <c r="AH118" s="21">
        <v>178.5</v>
      </c>
      <c r="AI118" s="21">
        <v>-1.5621899999999999E-2</v>
      </c>
      <c r="AJ118" s="21">
        <v>108</v>
      </c>
      <c r="AK118" s="21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1">
        <v>1.2561</v>
      </c>
      <c r="AR118" s="21">
        <v>227.946</v>
      </c>
      <c r="AS118" s="21">
        <v>-1.4523299999999999E-2</v>
      </c>
      <c r="AT118" s="21">
        <v>108</v>
      </c>
      <c r="AU118" s="21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1">
        <v>0.44387799999999999</v>
      </c>
      <c r="AZ118" s="21">
        <v>262.286</v>
      </c>
      <c r="BA118" s="21">
        <v>-1.54999E-2</v>
      </c>
      <c r="BB118" s="21">
        <v>108</v>
      </c>
      <c r="BC118" s="21">
        <v>0.44323699999999999</v>
      </c>
      <c r="BD118">
        <f t="shared" si="22"/>
        <v>15.4999</v>
      </c>
      <c r="BE118">
        <f t="shared" si="23"/>
        <v>6.8800646122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50.152900000000002</v>
      </c>
      <c r="I119" s="21">
        <v>-1.4913900000000001E-2</v>
      </c>
      <c r="J119" s="21">
        <v>109</v>
      </c>
      <c r="K119" s="21">
        <v>1.25031</v>
      </c>
      <c r="L119">
        <f t="shared" si="12"/>
        <v>14.9139</v>
      </c>
      <c r="M119">
        <f t="shared" si="13"/>
        <v>18.658332872999999</v>
      </c>
      <c r="N119" s="9"/>
      <c r="O119" s="21">
        <v>0.44891399999999998</v>
      </c>
      <c r="P119" s="21">
        <v>99.579300000000003</v>
      </c>
      <c r="Q119" s="21">
        <v>-1.5649400000000001E-2</v>
      </c>
      <c r="R119" s="21">
        <v>109</v>
      </c>
      <c r="S119" s="21">
        <v>0.44827299999999998</v>
      </c>
      <c r="T119">
        <f t="shared" si="14"/>
        <v>15.6494</v>
      </c>
      <c r="U119">
        <f t="shared" si="15"/>
        <v>7.0252347515999993</v>
      </c>
      <c r="X119" s="9"/>
      <c r="Y119" s="21">
        <v>1.2510699999999999</v>
      </c>
      <c r="Z119" s="21">
        <v>129.036</v>
      </c>
      <c r="AA119" s="21">
        <v>-1.47186E-2</v>
      </c>
      <c r="AB119" s="21">
        <v>109</v>
      </c>
      <c r="AC119" s="21">
        <v>1.25031</v>
      </c>
      <c r="AD119">
        <f t="shared" si="16"/>
        <v>14.7186</v>
      </c>
      <c r="AE119">
        <f t="shared" si="17"/>
        <v>18.413998901999999</v>
      </c>
      <c r="AF119" s="9"/>
      <c r="AG119" s="21">
        <v>0.44891399999999998</v>
      </c>
      <c r="AH119" s="21">
        <v>178.51</v>
      </c>
      <c r="AI119" s="21">
        <v>-1.5621899999999999E-2</v>
      </c>
      <c r="AJ119" s="21">
        <v>109</v>
      </c>
      <c r="AK119" s="21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1">
        <v>1.2510699999999999</v>
      </c>
      <c r="AR119" s="21">
        <v>227.95599999999999</v>
      </c>
      <c r="AS119" s="21">
        <v>-1.45355E-2</v>
      </c>
      <c r="AT119" s="21">
        <v>109</v>
      </c>
      <c r="AU119" s="21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1">
        <v>0.44891399999999998</v>
      </c>
      <c r="AZ119" s="21">
        <v>262.29599999999999</v>
      </c>
      <c r="BA119" s="21">
        <v>-1.54938E-2</v>
      </c>
      <c r="BB119" s="21">
        <v>109</v>
      </c>
      <c r="BC119" s="21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50.1629</v>
      </c>
      <c r="I120" s="21">
        <v>-1.4932300000000001E-2</v>
      </c>
      <c r="J120" s="21">
        <v>110</v>
      </c>
      <c r="K120" s="21">
        <v>1.24542</v>
      </c>
      <c r="L120">
        <f t="shared" si="12"/>
        <v>14.932300000000001</v>
      </c>
      <c r="M120">
        <f t="shared" si="13"/>
        <v>18.606093769000001</v>
      </c>
      <c r="N120" s="9"/>
      <c r="O120" s="21">
        <v>0.45394899999999999</v>
      </c>
      <c r="P120" s="21">
        <v>99.589399999999998</v>
      </c>
      <c r="Q120" s="21">
        <v>-1.5646400000000001E-2</v>
      </c>
      <c r="R120" s="21">
        <v>110</v>
      </c>
      <c r="S120" s="21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1">
        <v>1.24603</v>
      </c>
      <c r="Z120" s="21">
        <v>129.04599999999999</v>
      </c>
      <c r="AA120" s="21">
        <v>-1.4742999999999999E-2</v>
      </c>
      <c r="AB120" s="21">
        <v>110</v>
      </c>
      <c r="AC120" s="21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1">
        <v>0.45394899999999999</v>
      </c>
      <c r="AH120" s="21">
        <v>178.52</v>
      </c>
      <c r="AI120" s="21">
        <v>-1.56189E-2</v>
      </c>
      <c r="AJ120" s="21">
        <v>110</v>
      </c>
      <c r="AK120" s="21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1">
        <v>1.24603</v>
      </c>
      <c r="AR120" s="21">
        <v>227.96600000000001</v>
      </c>
      <c r="AS120" s="21">
        <v>-1.4544700000000001E-2</v>
      </c>
      <c r="AT120" s="21">
        <v>110</v>
      </c>
      <c r="AU120" s="21">
        <v>1.24512</v>
      </c>
      <c r="AV120">
        <f t="shared" si="20"/>
        <v>14.544700000000001</v>
      </c>
      <c r="AW120">
        <f t="shared" si="21"/>
        <v>18.123132541</v>
      </c>
      <c r="AX120" s="9"/>
      <c r="AY120" s="21">
        <v>0.45394899999999999</v>
      </c>
      <c r="AZ120" s="21">
        <v>262.30599999999998</v>
      </c>
      <c r="BA120" s="21">
        <v>-1.5484599999999999E-2</v>
      </c>
      <c r="BB120" s="21">
        <v>110</v>
      </c>
      <c r="BC120" s="21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50.173000000000002</v>
      </c>
      <c r="I121" s="21">
        <v>-1.4947500000000001E-2</v>
      </c>
      <c r="J121" s="21">
        <v>111</v>
      </c>
      <c r="K121" s="21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1">
        <v>0.458984</v>
      </c>
      <c r="P121" s="21">
        <v>99.599400000000003</v>
      </c>
      <c r="Q121" s="21">
        <v>-1.5643299999999999E-2</v>
      </c>
      <c r="R121" s="21">
        <v>111</v>
      </c>
      <c r="S121" s="21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1">
        <v>1.2410000000000001</v>
      </c>
      <c r="Z121" s="21">
        <v>129.05600000000001</v>
      </c>
      <c r="AA121" s="21">
        <v>-1.47644E-2</v>
      </c>
      <c r="AB121" s="21">
        <v>111</v>
      </c>
      <c r="AC121" s="21">
        <v>1.24054</v>
      </c>
      <c r="AD121">
        <f t="shared" si="16"/>
        <v>14.7644</v>
      </c>
      <c r="AE121">
        <f t="shared" si="17"/>
        <v>18.322620400000002</v>
      </c>
      <c r="AF121" s="9"/>
      <c r="AG121" s="21">
        <v>0.458984</v>
      </c>
      <c r="AH121" s="21">
        <v>178.53</v>
      </c>
      <c r="AI121" s="21">
        <v>-1.5606699999999999E-2</v>
      </c>
      <c r="AJ121" s="21">
        <v>111</v>
      </c>
      <c r="AK121" s="21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1">
        <v>1.2410000000000001</v>
      </c>
      <c r="AR121" s="21">
        <v>227.976</v>
      </c>
      <c r="AS121" s="21">
        <v>-1.45691E-2</v>
      </c>
      <c r="AT121" s="21">
        <v>111</v>
      </c>
      <c r="AU121" s="21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1">
        <v>0.458984</v>
      </c>
      <c r="AZ121" s="21">
        <v>262.31599999999997</v>
      </c>
      <c r="BA121" s="21">
        <v>-1.5466300000000001E-2</v>
      </c>
      <c r="BB121" s="21">
        <v>111</v>
      </c>
      <c r="BC121" s="21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50.183100000000003</v>
      </c>
      <c r="I122" s="21">
        <v>-1.49567E-2</v>
      </c>
      <c r="J122" s="21">
        <v>112</v>
      </c>
      <c r="K122" s="21">
        <v>1.23505</v>
      </c>
      <c r="L122">
        <f t="shared" si="12"/>
        <v>14.9567</v>
      </c>
      <c r="M122">
        <f t="shared" si="13"/>
        <v>18.485882931999999</v>
      </c>
      <c r="N122" s="9"/>
      <c r="O122" s="21">
        <v>0.46401999999999999</v>
      </c>
      <c r="P122" s="21">
        <v>99.609499999999997</v>
      </c>
      <c r="Q122" s="21">
        <v>-1.5646400000000001E-2</v>
      </c>
      <c r="R122" s="21">
        <v>112</v>
      </c>
      <c r="S122" s="21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1">
        <v>1.2359599999999999</v>
      </c>
      <c r="Z122" s="21">
        <v>129.06700000000001</v>
      </c>
      <c r="AA122" s="21">
        <v>-1.4782699999999999E-2</v>
      </c>
      <c r="AB122" s="21">
        <v>112</v>
      </c>
      <c r="AC122" s="21">
        <v>1.23566</v>
      </c>
      <c r="AD122">
        <f t="shared" si="16"/>
        <v>14.7827</v>
      </c>
      <c r="AE122">
        <f t="shared" si="17"/>
        <v>18.270825891999998</v>
      </c>
      <c r="AF122" s="9"/>
      <c r="AG122" s="21">
        <v>0.46401999999999999</v>
      </c>
      <c r="AH122" s="21">
        <v>178.54</v>
      </c>
      <c r="AI122" s="21">
        <v>-1.5606699999999999E-2</v>
      </c>
      <c r="AJ122" s="21">
        <v>112</v>
      </c>
      <c r="AK122" s="21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1">
        <v>1.2359599999999999</v>
      </c>
      <c r="AR122" s="21">
        <v>227.98599999999999</v>
      </c>
      <c r="AS122" s="21">
        <v>-1.4584400000000001E-2</v>
      </c>
      <c r="AT122" s="21">
        <v>112</v>
      </c>
      <c r="AU122" s="21">
        <v>1.23505</v>
      </c>
      <c r="AV122">
        <f t="shared" si="20"/>
        <v>14.5844</v>
      </c>
      <c r="AW122">
        <f t="shared" si="21"/>
        <v>18.025735023999999</v>
      </c>
      <c r="AX122" s="9"/>
      <c r="AY122" s="21">
        <v>0.46401999999999999</v>
      </c>
      <c r="AZ122" s="21">
        <v>262.327</v>
      </c>
      <c r="BA122" s="21">
        <v>-1.5469399999999999E-2</v>
      </c>
      <c r="BB122" s="21">
        <v>112</v>
      </c>
      <c r="BC122" s="21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50.193199999999997</v>
      </c>
      <c r="I123" s="21">
        <v>-1.4981100000000001E-2</v>
      </c>
      <c r="J123" s="21">
        <v>113</v>
      </c>
      <c r="K123" s="21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1">
        <v>0.469055</v>
      </c>
      <c r="P123" s="21">
        <v>99.619600000000005</v>
      </c>
      <c r="Q123" s="21">
        <v>-1.56525E-2</v>
      </c>
      <c r="R123" s="21">
        <v>113</v>
      </c>
      <c r="S123" s="21">
        <v>0.468414</v>
      </c>
      <c r="T123">
        <f t="shared" si="14"/>
        <v>15.6525</v>
      </c>
      <c r="U123">
        <f t="shared" si="15"/>
        <v>7.3418833875000002</v>
      </c>
      <c r="X123" s="9"/>
      <c r="Y123" s="21">
        <v>1.2309300000000001</v>
      </c>
      <c r="Z123" s="21">
        <v>129.077</v>
      </c>
      <c r="AA123" s="21">
        <v>-1.4798E-2</v>
      </c>
      <c r="AB123" s="21">
        <v>113</v>
      </c>
      <c r="AC123" s="21">
        <v>1.22986</v>
      </c>
      <c r="AD123">
        <f t="shared" si="16"/>
        <v>14.798</v>
      </c>
      <c r="AE123">
        <f t="shared" si="17"/>
        <v>18.215302140000002</v>
      </c>
      <c r="AF123" s="9"/>
      <c r="AG123" s="21">
        <v>0.469055</v>
      </c>
      <c r="AH123" s="21">
        <v>178.55</v>
      </c>
      <c r="AI123" s="21">
        <v>-1.5600599999999999E-2</v>
      </c>
      <c r="AJ123" s="21">
        <v>113</v>
      </c>
      <c r="AK123" s="21">
        <v>0.468414</v>
      </c>
      <c r="AL123">
        <f t="shared" si="18"/>
        <v>15.6006</v>
      </c>
      <c r="AM123">
        <f t="shared" si="19"/>
        <v>7.3175394330000003</v>
      </c>
      <c r="AP123" s="9"/>
      <c r="AQ123" s="21">
        <v>1.2309300000000001</v>
      </c>
      <c r="AR123" s="21">
        <v>227.99600000000001</v>
      </c>
      <c r="AS123" s="21">
        <v>-1.45966E-2</v>
      </c>
      <c r="AT123" s="21">
        <v>113</v>
      </c>
      <c r="AU123" s="21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1">
        <v>0.469055</v>
      </c>
      <c r="AZ123" s="21">
        <v>262.33699999999999</v>
      </c>
      <c r="BA123" s="21">
        <v>-1.5469399999999999E-2</v>
      </c>
      <c r="BB123" s="21">
        <v>113</v>
      </c>
      <c r="BC123" s="21">
        <v>0.468414</v>
      </c>
      <c r="BD123">
        <f t="shared" si="22"/>
        <v>15.4694</v>
      </c>
      <c r="BE123">
        <f t="shared" si="23"/>
        <v>7.255999417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50.203200000000002</v>
      </c>
      <c r="I124" s="21">
        <v>-1.50055E-2</v>
      </c>
      <c r="J124" s="21">
        <v>114</v>
      </c>
      <c r="K124" s="21">
        <v>1.2252799999999999</v>
      </c>
      <c r="L124">
        <f t="shared" si="12"/>
        <v>15.0055</v>
      </c>
      <c r="M124">
        <f t="shared" si="13"/>
        <v>18.395092394999999</v>
      </c>
      <c r="N124" s="9"/>
      <c r="O124" s="21">
        <v>0.47409099999999998</v>
      </c>
      <c r="P124" s="21">
        <v>99.6297</v>
      </c>
      <c r="Q124" s="21">
        <v>-1.5655499999999999E-2</v>
      </c>
      <c r="R124" s="21">
        <v>114</v>
      </c>
      <c r="S124" s="21">
        <v>0.47348000000000001</v>
      </c>
      <c r="T124">
        <f t="shared" si="14"/>
        <v>15.6555</v>
      </c>
      <c r="U124">
        <f t="shared" si="15"/>
        <v>7.4221316504999999</v>
      </c>
      <c r="X124" s="9"/>
      <c r="Y124" s="21">
        <v>1.2258899999999999</v>
      </c>
      <c r="Z124" s="21">
        <v>129.08699999999999</v>
      </c>
      <c r="AA124" s="21">
        <v>-1.4801E-2</v>
      </c>
      <c r="AB124" s="21">
        <v>114</v>
      </c>
      <c r="AC124" s="21">
        <v>1.22498</v>
      </c>
      <c r="AD124">
        <f t="shared" si="16"/>
        <v>14.801</v>
      </c>
      <c r="AE124">
        <f t="shared" si="17"/>
        <v>18.14439789</v>
      </c>
      <c r="AF124" s="9"/>
      <c r="AG124" s="21">
        <v>0.47409099999999998</v>
      </c>
      <c r="AH124" s="21">
        <v>178.56</v>
      </c>
      <c r="AI124" s="21">
        <v>-1.55975E-2</v>
      </c>
      <c r="AJ124" s="21">
        <v>114</v>
      </c>
      <c r="AK124" s="21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1">
        <v>1.2258899999999999</v>
      </c>
      <c r="AR124" s="21">
        <v>228.00700000000001</v>
      </c>
      <c r="AS124" s="21">
        <v>-1.4611799999999999E-2</v>
      </c>
      <c r="AT124" s="21">
        <v>114</v>
      </c>
      <c r="AU124" s="21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1">
        <v>0.47409099999999998</v>
      </c>
      <c r="AZ124" s="21">
        <v>262.34699999999998</v>
      </c>
      <c r="BA124" s="21">
        <v>-1.54755E-2</v>
      </c>
      <c r="BB124" s="21">
        <v>114</v>
      </c>
      <c r="BC124" s="21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50.213299999999997</v>
      </c>
      <c r="I125" s="21">
        <v>-1.50238E-2</v>
      </c>
      <c r="J125" s="21">
        <v>115</v>
      </c>
      <c r="K125" s="21">
        <v>1.2200899999999999</v>
      </c>
      <c r="L125">
        <f t="shared" si="12"/>
        <v>15.0238</v>
      </c>
      <c r="M125">
        <f t="shared" si="13"/>
        <v>18.341956467999999</v>
      </c>
      <c r="N125" s="9"/>
      <c r="O125" s="21">
        <v>0.479126</v>
      </c>
      <c r="P125" s="21">
        <v>99.639700000000005</v>
      </c>
      <c r="Q125" s="21">
        <v>-1.5655499999999999E-2</v>
      </c>
      <c r="R125" s="21">
        <v>115</v>
      </c>
      <c r="S125" s="21">
        <v>0.47839399999999999</v>
      </c>
      <c r="T125">
        <f t="shared" si="14"/>
        <v>15.6555</v>
      </c>
      <c r="U125">
        <f t="shared" si="15"/>
        <v>7.5009570930000002</v>
      </c>
      <c r="X125" s="9"/>
      <c r="Y125" s="21">
        <v>1.2208600000000001</v>
      </c>
      <c r="Z125" s="21">
        <v>129.09700000000001</v>
      </c>
      <c r="AA125" s="21">
        <v>-1.4816299999999999E-2</v>
      </c>
      <c r="AB125" s="21">
        <v>115</v>
      </c>
      <c r="AC125" s="21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1">
        <v>0.479126</v>
      </c>
      <c r="AH125" s="21">
        <v>178.57</v>
      </c>
      <c r="AI125" s="21">
        <v>-1.5594500000000001E-2</v>
      </c>
      <c r="AJ125" s="21">
        <v>115</v>
      </c>
      <c r="AK125" s="21">
        <v>0.478516</v>
      </c>
      <c r="AL125">
        <f t="shared" si="18"/>
        <v>15.5945</v>
      </c>
      <c r="AM125">
        <f t="shared" si="19"/>
        <v>7.4717304069999999</v>
      </c>
      <c r="AP125" s="9"/>
      <c r="AQ125" s="21">
        <v>1.2208600000000001</v>
      </c>
      <c r="AR125" s="21">
        <v>228.017</v>
      </c>
      <c r="AS125" s="21">
        <v>-1.4627100000000001E-2</v>
      </c>
      <c r="AT125" s="21">
        <v>115</v>
      </c>
      <c r="AU125" s="21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1">
        <v>0.479126</v>
      </c>
      <c r="AZ125" s="21">
        <v>262.35700000000003</v>
      </c>
      <c r="BA125" s="21">
        <v>-1.54816E-2</v>
      </c>
      <c r="BB125" s="21">
        <v>115</v>
      </c>
      <c r="BC125" s="21">
        <v>0.478516</v>
      </c>
      <c r="BD125">
        <f t="shared" si="22"/>
        <v>15.4816</v>
      </c>
      <c r="BE125">
        <f t="shared" si="23"/>
        <v>7.4176370815999997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50.223399999999998</v>
      </c>
      <c r="I126" s="21">
        <v>-1.50391E-2</v>
      </c>
      <c r="J126" s="21">
        <v>116</v>
      </c>
      <c r="K126" s="21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1">
        <v>0.48416100000000001</v>
      </c>
      <c r="P126" s="21">
        <v>99.649799999999999</v>
      </c>
      <c r="Q126" s="21">
        <v>-1.5655499999999999E-2</v>
      </c>
      <c r="R126" s="21">
        <v>116</v>
      </c>
      <c r="S126" s="21">
        <v>0.48352099999999998</v>
      </c>
      <c r="T126">
        <f t="shared" si="14"/>
        <v>15.6555</v>
      </c>
      <c r="U126">
        <f t="shared" si="15"/>
        <v>7.5797825354999997</v>
      </c>
      <c r="X126" s="9"/>
      <c r="Y126" s="21">
        <v>1.2158199999999999</v>
      </c>
      <c r="Z126" s="21">
        <v>129.107</v>
      </c>
      <c r="AA126" s="21">
        <v>-1.48346E-2</v>
      </c>
      <c r="AB126" s="21">
        <v>116</v>
      </c>
      <c r="AC126" s="21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1">
        <v>0.48416100000000001</v>
      </c>
      <c r="AH126" s="21">
        <v>178.58</v>
      </c>
      <c r="AI126" s="21">
        <v>-1.55914E-2</v>
      </c>
      <c r="AJ126" s="21">
        <v>116</v>
      </c>
      <c r="AK126" s="21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1">
        <v>1.2158199999999999</v>
      </c>
      <c r="AR126" s="21">
        <v>228.02699999999999</v>
      </c>
      <c r="AS126" s="21">
        <v>-1.4648400000000001E-2</v>
      </c>
      <c r="AT126" s="21">
        <v>116</v>
      </c>
      <c r="AU126" s="21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1">
        <v>0.48416100000000001</v>
      </c>
      <c r="AZ126" s="21">
        <v>262.36700000000002</v>
      </c>
      <c r="BA126" s="21">
        <v>-1.5484599999999999E-2</v>
      </c>
      <c r="BB126" s="21">
        <v>116</v>
      </c>
      <c r="BC126" s="21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50.233400000000003</v>
      </c>
      <c r="I127" s="21">
        <v>-1.50513E-2</v>
      </c>
      <c r="J127" s="21">
        <v>117</v>
      </c>
      <c r="K127" s="21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1">
        <v>0.48919699999999999</v>
      </c>
      <c r="P127" s="21">
        <v>99.659899999999993</v>
      </c>
      <c r="Q127" s="21">
        <v>-1.5655499999999999E-2</v>
      </c>
      <c r="R127" s="21">
        <v>117</v>
      </c>
      <c r="S127" s="21">
        <v>0.48849500000000001</v>
      </c>
      <c r="T127">
        <f t="shared" si="14"/>
        <v>15.6555</v>
      </c>
      <c r="U127">
        <f t="shared" si="15"/>
        <v>7.6586236334999995</v>
      </c>
      <c r="X127" s="9"/>
      <c r="Y127" s="21">
        <v>1.21078</v>
      </c>
      <c r="Z127" s="21">
        <v>129.11699999999999</v>
      </c>
      <c r="AA127" s="21">
        <v>-1.48529E-2</v>
      </c>
      <c r="AB127" s="21">
        <v>117</v>
      </c>
      <c r="AC127" s="21">
        <v>1.2094100000000001</v>
      </c>
      <c r="AD127">
        <f t="shared" si="16"/>
        <v>14.8529</v>
      </c>
      <c r="AE127">
        <f t="shared" si="17"/>
        <v>17.983594262</v>
      </c>
      <c r="AF127" s="9"/>
      <c r="AG127" s="21">
        <v>0.48919699999999999</v>
      </c>
      <c r="AH127" s="21">
        <v>178.59</v>
      </c>
      <c r="AI127" s="21">
        <v>-1.55853E-2</v>
      </c>
      <c r="AJ127" s="21">
        <v>117</v>
      </c>
      <c r="AK127" s="21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1">
        <v>1.21078</v>
      </c>
      <c r="AR127" s="21">
        <v>228.03700000000001</v>
      </c>
      <c r="AS127" s="21">
        <v>-1.4660599999999999E-2</v>
      </c>
      <c r="AT127" s="21">
        <v>117</v>
      </c>
      <c r="AU127" s="21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1">
        <v>0.48919699999999999</v>
      </c>
      <c r="AZ127" s="21">
        <v>262.37700000000001</v>
      </c>
      <c r="BA127" s="21">
        <v>-1.54755E-2</v>
      </c>
      <c r="BB127" s="21">
        <v>117</v>
      </c>
      <c r="BC127" s="21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50.243499999999997</v>
      </c>
      <c r="I128" s="21">
        <v>-1.5063500000000001E-2</v>
      </c>
      <c r="J128" s="21">
        <v>118</v>
      </c>
      <c r="K128" s="21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1">
        <v>0.494232</v>
      </c>
      <c r="P128" s="21">
        <v>99.669899999999998</v>
      </c>
      <c r="Q128" s="21">
        <v>-1.5658600000000002E-2</v>
      </c>
      <c r="R128" s="21">
        <v>118</v>
      </c>
      <c r="S128" s="21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1">
        <v>1.2057500000000001</v>
      </c>
      <c r="Z128" s="21">
        <v>129.12700000000001</v>
      </c>
      <c r="AA128" s="21">
        <v>-1.48621E-2</v>
      </c>
      <c r="AB128" s="21">
        <v>118</v>
      </c>
      <c r="AC128" s="21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1">
        <v>0.494232</v>
      </c>
      <c r="AH128" s="21">
        <v>178.6</v>
      </c>
      <c r="AI128" s="21">
        <v>-1.55853E-2</v>
      </c>
      <c r="AJ128" s="21">
        <v>118</v>
      </c>
      <c r="AK128" s="21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1">
        <v>1.2057500000000001</v>
      </c>
      <c r="AR128" s="21">
        <v>228.047</v>
      </c>
      <c r="AS128" s="21">
        <v>-1.46851E-2</v>
      </c>
      <c r="AT128" s="21">
        <v>118</v>
      </c>
      <c r="AU128" s="21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1">
        <v>0.494232</v>
      </c>
      <c r="AZ128" s="21">
        <v>262.387</v>
      </c>
      <c r="BA128" s="21">
        <v>-1.5457200000000001E-2</v>
      </c>
      <c r="BB128" s="21">
        <v>118</v>
      </c>
      <c r="BC128" s="21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50.253599999999999</v>
      </c>
      <c r="I129" s="21">
        <v>-1.5075699999999999E-2</v>
      </c>
      <c r="J129" s="21">
        <v>119</v>
      </c>
      <c r="K129" s="21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1">
        <v>0.49926799999999999</v>
      </c>
      <c r="P129" s="21">
        <v>99.68</v>
      </c>
      <c r="Q129" s="21">
        <v>-1.56647E-2</v>
      </c>
      <c r="R129" s="21">
        <v>119</v>
      </c>
      <c r="S129" s="21">
        <v>0.49853500000000001</v>
      </c>
      <c r="T129">
        <f t="shared" si="14"/>
        <v>15.6647</v>
      </c>
      <c r="U129">
        <f t="shared" si="15"/>
        <v>7.8208834395999993</v>
      </c>
      <c r="X129" s="9"/>
      <c r="Y129" s="21">
        <v>1.2007099999999999</v>
      </c>
      <c r="Z129" s="21">
        <v>129.137</v>
      </c>
      <c r="AA129" s="21">
        <v>-1.48743E-2</v>
      </c>
      <c r="AB129" s="21">
        <v>119</v>
      </c>
      <c r="AC129" s="21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1">
        <v>0.49926799999999999</v>
      </c>
      <c r="AH129" s="21">
        <v>178.61</v>
      </c>
      <c r="AI129" s="21">
        <v>-1.55853E-2</v>
      </c>
      <c r="AJ129" s="21">
        <v>119</v>
      </c>
      <c r="AK129" s="21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1">
        <v>1.2007099999999999</v>
      </c>
      <c r="AR129" s="21">
        <v>228.05699999999999</v>
      </c>
      <c r="AS129" s="21">
        <v>-1.4700299999999999E-2</v>
      </c>
      <c r="AT129" s="21">
        <v>119</v>
      </c>
      <c r="AU129" s="21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1">
        <v>0.49926799999999999</v>
      </c>
      <c r="AZ129" s="21">
        <v>262.39699999999999</v>
      </c>
      <c r="BA129" s="21">
        <v>-1.5444899999999999E-2</v>
      </c>
      <c r="BB129" s="21">
        <v>119</v>
      </c>
      <c r="BC129" s="21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50.2637</v>
      </c>
      <c r="I130" s="21">
        <v>-1.50879E-2</v>
      </c>
      <c r="J130" s="21">
        <v>120</v>
      </c>
      <c r="K130" s="21">
        <v>1.19476</v>
      </c>
      <c r="L130">
        <f t="shared" si="12"/>
        <v>15.087899999999999</v>
      </c>
      <c r="M130">
        <f t="shared" si="13"/>
        <v>18.040300272</v>
      </c>
      <c r="N130" s="9"/>
      <c r="O130" s="21">
        <v>0.50430299999999995</v>
      </c>
      <c r="P130" s="21">
        <v>99.690100000000001</v>
      </c>
      <c r="Q130" s="21">
        <v>-1.56677E-2</v>
      </c>
      <c r="R130" s="21">
        <v>120</v>
      </c>
      <c r="S130" s="21">
        <v>0.50353999999999999</v>
      </c>
      <c r="T130">
        <f t="shared" si="14"/>
        <v>15.6677</v>
      </c>
      <c r="U130">
        <f t="shared" si="15"/>
        <v>7.9012681130999995</v>
      </c>
      <c r="X130" s="9"/>
      <c r="Y130" s="21">
        <v>1.1956800000000001</v>
      </c>
      <c r="Z130" s="21">
        <v>129.14699999999999</v>
      </c>
      <c r="AA130" s="21">
        <v>-1.48773E-2</v>
      </c>
      <c r="AB130" s="21">
        <v>120</v>
      </c>
      <c r="AC130" s="21">
        <v>1.19537</v>
      </c>
      <c r="AD130">
        <f t="shared" si="16"/>
        <v>14.8773</v>
      </c>
      <c r="AE130">
        <f t="shared" si="17"/>
        <v>17.788490064000001</v>
      </c>
      <c r="AF130" s="9"/>
      <c r="AG130" s="21">
        <v>0.50430299999999995</v>
      </c>
      <c r="AH130" s="21">
        <v>178.62100000000001</v>
      </c>
      <c r="AI130" s="21">
        <v>-1.55792E-2</v>
      </c>
      <c r="AJ130" s="21">
        <v>120</v>
      </c>
      <c r="AK130" s="21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1">
        <v>1.1956800000000001</v>
      </c>
      <c r="AR130" s="21">
        <v>228.06700000000001</v>
      </c>
      <c r="AS130" s="21">
        <v>-1.47125E-2</v>
      </c>
      <c r="AT130" s="21">
        <v>120</v>
      </c>
      <c r="AU130" s="21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1">
        <v>0.50430299999999995</v>
      </c>
      <c r="AZ130" s="21">
        <v>262.40699999999998</v>
      </c>
      <c r="BA130" s="21">
        <v>-1.54419E-2</v>
      </c>
      <c r="BB130" s="21">
        <v>120</v>
      </c>
      <c r="BC130" s="21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50.273699999999998</v>
      </c>
      <c r="I131" s="21">
        <v>-1.51001E-2</v>
      </c>
      <c r="J131" s="21">
        <v>121</v>
      </c>
      <c r="K131" s="21">
        <v>1.18927</v>
      </c>
      <c r="L131">
        <f t="shared" si="12"/>
        <v>15.100099999999999</v>
      </c>
      <c r="M131">
        <f t="shared" si="13"/>
        <v>17.978783063999998</v>
      </c>
      <c r="N131" s="9"/>
      <c r="O131" s="21">
        <v>0.50933799999999996</v>
      </c>
      <c r="P131" s="21">
        <v>99.700199999999995</v>
      </c>
      <c r="Q131" s="21">
        <v>-1.5661600000000001E-2</v>
      </c>
      <c r="R131" s="21">
        <v>121</v>
      </c>
      <c r="S131" s="21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1">
        <v>1.1906399999999999</v>
      </c>
      <c r="Z131" s="21">
        <v>129.15700000000001</v>
      </c>
      <c r="AA131" s="21">
        <v>-1.48834E-2</v>
      </c>
      <c r="AB131" s="21">
        <v>121</v>
      </c>
      <c r="AC131" s="21">
        <v>1.18988</v>
      </c>
      <c r="AD131">
        <f t="shared" si="16"/>
        <v>14.8834</v>
      </c>
      <c r="AE131">
        <f t="shared" si="17"/>
        <v>17.720771375999998</v>
      </c>
      <c r="AF131" s="9"/>
      <c r="AG131" s="21">
        <v>0.50933799999999996</v>
      </c>
      <c r="AH131" s="21">
        <v>178.631</v>
      </c>
      <c r="AI131" s="21">
        <v>-1.55762E-2</v>
      </c>
      <c r="AJ131" s="21">
        <v>121</v>
      </c>
      <c r="AK131" s="21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1">
        <v>1.1906399999999999</v>
      </c>
      <c r="AR131" s="21">
        <v>228.077</v>
      </c>
      <c r="AS131" s="21">
        <v>-1.4721700000000001E-2</v>
      </c>
      <c r="AT131" s="21">
        <v>121</v>
      </c>
      <c r="AU131" s="21">
        <v>1.18988</v>
      </c>
      <c r="AV131">
        <f t="shared" si="20"/>
        <v>14.7217</v>
      </c>
      <c r="AW131">
        <f t="shared" si="21"/>
        <v>17.528244888</v>
      </c>
      <c r="AX131" s="9"/>
      <c r="AY131" s="21">
        <v>0.50933799999999996</v>
      </c>
      <c r="AZ131" s="21">
        <v>262.41699999999997</v>
      </c>
      <c r="BA131" s="21">
        <v>-1.54266E-2</v>
      </c>
      <c r="BB131" s="21">
        <v>121</v>
      </c>
      <c r="BC131" s="21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50.283799999999999</v>
      </c>
      <c r="I132" s="21">
        <v>-1.51123E-2</v>
      </c>
      <c r="J132" s="21">
        <v>122</v>
      </c>
      <c r="K132" s="21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1">
        <v>0.514374</v>
      </c>
      <c r="P132" s="21">
        <v>99.7102</v>
      </c>
      <c r="Q132" s="21">
        <v>-1.5655499999999999E-2</v>
      </c>
      <c r="R132" s="21">
        <v>122</v>
      </c>
      <c r="S132" s="21">
        <v>0.51361100000000004</v>
      </c>
      <c r="T132">
        <f t="shared" si="14"/>
        <v>15.6555</v>
      </c>
      <c r="U132">
        <f t="shared" si="15"/>
        <v>8.0527821569999993</v>
      </c>
      <c r="X132" s="9"/>
      <c r="Y132" s="21">
        <v>1.1856100000000001</v>
      </c>
      <c r="Z132" s="21">
        <v>129.167</v>
      </c>
      <c r="AA132" s="21">
        <v>-1.4898700000000001E-2</v>
      </c>
      <c r="AB132" s="21">
        <v>122</v>
      </c>
      <c r="AC132" s="21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1">
        <v>0.514374</v>
      </c>
      <c r="AH132" s="21">
        <v>178.64099999999999</v>
      </c>
      <c r="AI132" s="21">
        <v>-1.55762E-2</v>
      </c>
      <c r="AJ132" s="21">
        <v>122</v>
      </c>
      <c r="AK132" s="21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1">
        <v>1.1856100000000001</v>
      </c>
      <c r="AR132" s="21">
        <v>228.08699999999999</v>
      </c>
      <c r="AS132" s="21">
        <v>-1.47308E-2</v>
      </c>
      <c r="AT132" s="21">
        <v>122</v>
      </c>
      <c r="AU132" s="21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1">
        <v>0.514374</v>
      </c>
      <c r="AZ132" s="21">
        <v>262.42700000000002</v>
      </c>
      <c r="BA132" s="21">
        <v>-1.54114E-2</v>
      </c>
      <c r="BB132" s="21">
        <v>122</v>
      </c>
      <c r="BC132" s="21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50.293900000000001</v>
      </c>
      <c r="I133" s="21">
        <v>-1.51276E-2</v>
      </c>
      <c r="J133" s="21">
        <v>123</v>
      </c>
      <c r="K133" s="21">
        <v>1.1795</v>
      </c>
      <c r="L133">
        <f t="shared" si="12"/>
        <v>15.127599999999999</v>
      </c>
      <c r="M133">
        <f t="shared" si="13"/>
        <v>17.859190731999998</v>
      </c>
      <c r="N133" s="9"/>
      <c r="O133" s="21">
        <v>0.51940900000000001</v>
      </c>
      <c r="P133" s="21">
        <v>99.720299999999995</v>
      </c>
      <c r="Q133" s="21">
        <v>-1.5646400000000001E-2</v>
      </c>
      <c r="R133" s="21">
        <v>123</v>
      </c>
      <c r="S133" s="21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1">
        <v>1.1805699999999999</v>
      </c>
      <c r="Z133" s="21">
        <v>129.17699999999999</v>
      </c>
      <c r="AA133" s="21">
        <v>-1.4904799999999999E-2</v>
      </c>
      <c r="AB133" s="21">
        <v>123</v>
      </c>
      <c r="AC133" s="21">
        <v>1.1795</v>
      </c>
      <c r="AD133">
        <f t="shared" si="16"/>
        <v>14.9048</v>
      </c>
      <c r="AE133">
        <f t="shared" si="17"/>
        <v>17.596159735999997</v>
      </c>
      <c r="AF133" s="9"/>
      <c r="AG133" s="21">
        <v>0.51940900000000001</v>
      </c>
      <c r="AH133" s="21">
        <v>178.65100000000001</v>
      </c>
      <c r="AI133" s="21">
        <v>-1.55792E-2</v>
      </c>
      <c r="AJ133" s="21">
        <v>123</v>
      </c>
      <c r="AK133" s="21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1">
        <v>1.1805699999999999</v>
      </c>
      <c r="AR133" s="21">
        <v>228.09700000000001</v>
      </c>
      <c r="AS133" s="21">
        <v>-1.4742999999999999E-2</v>
      </c>
      <c r="AT133" s="21">
        <v>123</v>
      </c>
      <c r="AU133" s="21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1">
        <v>0.51940900000000001</v>
      </c>
      <c r="AZ133" s="21">
        <v>262.43700000000001</v>
      </c>
      <c r="BA133" s="21">
        <v>-1.53992E-2</v>
      </c>
      <c r="BB133" s="21">
        <v>123</v>
      </c>
      <c r="BC133" s="21">
        <v>0.51870700000000003</v>
      </c>
      <c r="BD133">
        <f t="shared" si="22"/>
        <v>15.3992</v>
      </c>
      <c r="BE133">
        <f t="shared" si="23"/>
        <v>7.9984830728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50.303899999999999</v>
      </c>
      <c r="I134" s="21">
        <v>-1.51398E-2</v>
      </c>
      <c r="J134" s="21">
        <v>124</v>
      </c>
      <c r="K134" s="21">
        <v>1.17462</v>
      </c>
      <c r="L134">
        <f t="shared" si="12"/>
        <v>15.139799999999999</v>
      </c>
      <c r="M134">
        <f t="shared" si="13"/>
        <v>17.797440492</v>
      </c>
      <c r="N134" s="9"/>
      <c r="O134" s="21">
        <v>0.52444500000000005</v>
      </c>
      <c r="P134" s="21">
        <v>99.730400000000003</v>
      </c>
      <c r="Q134" s="21">
        <v>-1.5634200000000001E-2</v>
      </c>
      <c r="R134" s="21">
        <v>124</v>
      </c>
      <c r="S134" s="21">
        <v>0.52359</v>
      </c>
      <c r="T134">
        <f t="shared" si="14"/>
        <v>15.634200000000002</v>
      </c>
      <c r="U134">
        <f t="shared" si="15"/>
        <v>8.1992780190000012</v>
      </c>
      <c r="X134" s="9"/>
      <c r="Y134" s="21">
        <v>1.17554</v>
      </c>
      <c r="Z134" s="21">
        <v>129.18700000000001</v>
      </c>
      <c r="AA134" s="21">
        <v>-1.4917E-2</v>
      </c>
      <c r="AB134" s="21">
        <v>124</v>
      </c>
      <c r="AC134" s="21">
        <v>1.17462</v>
      </c>
      <c r="AD134">
        <f t="shared" si="16"/>
        <v>14.917</v>
      </c>
      <c r="AE134">
        <f t="shared" si="17"/>
        <v>17.535530179999999</v>
      </c>
      <c r="AF134" s="9"/>
      <c r="AG134" s="21">
        <v>0.52444500000000005</v>
      </c>
      <c r="AH134" s="21">
        <v>178.661</v>
      </c>
      <c r="AI134" s="21">
        <v>-1.55853E-2</v>
      </c>
      <c r="AJ134" s="21">
        <v>124</v>
      </c>
      <c r="AK134" s="21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1">
        <v>1.17554</v>
      </c>
      <c r="AR134" s="21">
        <v>228.107</v>
      </c>
      <c r="AS134" s="21">
        <v>-1.47461E-2</v>
      </c>
      <c r="AT134" s="21">
        <v>124</v>
      </c>
      <c r="AU134" s="21">
        <v>1.17493</v>
      </c>
      <c r="AV134">
        <f t="shared" si="20"/>
        <v>14.7461</v>
      </c>
      <c r="AW134">
        <f t="shared" si="21"/>
        <v>17.334630394000001</v>
      </c>
      <c r="AX134" s="9"/>
      <c r="AY134" s="21">
        <v>0.52444500000000005</v>
      </c>
      <c r="AZ134" s="21">
        <v>262.447</v>
      </c>
      <c r="BA134" s="21">
        <v>-1.53992E-2</v>
      </c>
      <c r="BB134" s="21">
        <v>124</v>
      </c>
      <c r="BC134" s="21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50.314</v>
      </c>
      <c r="I135" s="21">
        <v>-1.5152000000000001E-2</v>
      </c>
      <c r="J135" s="21">
        <v>125</v>
      </c>
      <c r="K135" s="21">
        <v>1.16943</v>
      </c>
      <c r="L135">
        <f t="shared" si="12"/>
        <v>15.152000000000001</v>
      </c>
      <c r="M135">
        <f t="shared" si="13"/>
        <v>17.735416000000004</v>
      </c>
      <c r="N135" s="9"/>
      <c r="O135" s="21">
        <v>0.52947999999999995</v>
      </c>
      <c r="P135" s="21">
        <v>99.740399999999994</v>
      </c>
      <c r="Q135" s="21">
        <v>-1.5625E-2</v>
      </c>
      <c r="R135" s="21">
        <v>125</v>
      </c>
      <c r="S135" s="21">
        <v>0.52880899999999997</v>
      </c>
      <c r="T135">
        <f t="shared" si="14"/>
        <v>15.625</v>
      </c>
      <c r="U135">
        <f t="shared" si="15"/>
        <v>8.2731249999999985</v>
      </c>
      <c r="X135" s="9"/>
      <c r="Y135" s="21">
        <v>1.1705000000000001</v>
      </c>
      <c r="Z135" s="21">
        <v>129.197</v>
      </c>
      <c r="AA135" s="21">
        <v>-1.49292E-2</v>
      </c>
      <c r="AB135" s="21">
        <v>125</v>
      </c>
      <c r="AC135" s="21">
        <v>1.16974</v>
      </c>
      <c r="AD135">
        <f t="shared" si="16"/>
        <v>14.9292</v>
      </c>
      <c r="AE135">
        <f t="shared" si="17"/>
        <v>17.474628600000003</v>
      </c>
      <c r="AF135" s="9"/>
      <c r="AG135" s="21">
        <v>0.52947999999999995</v>
      </c>
      <c r="AH135" s="21">
        <v>178.67099999999999</v>
      </c>
      <c r="AI135" s="21">
        <v>-1.55792E-2</v>
      </c>
      <c r="AJ135" s="21">
        <v>125</v>
      </c>
      <c r="AK135" s="21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1">
        <v>1.1705000000000001</v>
      </c>
      <c r="AR135" s="21">
        <v>228.11699999999999</v>
      </c>
      <c r="AS135" s="21">
        <v>-1.47522E-2</v>
      </c>
      <c r="AT135" s="21">
        <v>125</v>
      </c>
      <c r="AU135" s="21">
        <v>1.16974</v>
      </c>
      <c r="AV135">
        <f t="shared" si="20"/>
        <v>14.7522</v>
      </c>
      <c r="AW135">
        <f t="shared" si="21"/>
        <v>17.267450100000001</v>
      </c>
      <c r="AX135" s="9"/>
      <c r="AY135" s="21">
        <v>0.52947999999999995</v>
      </c>
      <c r="AZ135" s="21">
        <v>262.45699999999999</v>
      </c>
      <c r="BA135" s="21">
        <v>-1.54083E-2</v>
      </c>
      <c r="BB135" s="21">
        <v>125</v>
      </c>
      <c r="BC135" s="21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50.324100000000001</v>
      </c>
      <c r="I136" s="21">
        <v>-1.51611E-2</v>
      </c>
      <c r="J136" s="21">
        <v>126</v>
      </c>
      <c r="K136" s="21">
        <v>1.16455</v>
      </c>
      <c r="L136">
        <f t="shared" si="12"/>
        <v>15.161100000000001</v>
      </c>
      <c r="M136">
        <f t="shared" si="13"/>
        <v>17.669807217000002</v>
      </c>
      <c r="N136" s="9"/>
      <c r="O136" s="21">
        <v>0.53451499999999996</v>
      </c>
      <c r="P136" s="21">
        <v>99.750500000000002</v>
      </c>
      <c r="Q136" s="21">
        <v>-1.56189E-2</v>
      </c>
      <c r="R136" s="21">
        <v>126</v>
      </c>
      <c r="S136" s="21">
        <v>0.53390499999999996</v>
      </c>
      <c r="T136">
        <f t="shared" si="14"/>
        <v>15.6189</v>
      </c>
      <c r="U136">
        <f t="shared" si="15"/>
        <v>8.3485363335000002</v>
      </c>
      <c r="X136" s="9"/>
      <c r="Y136" s="21">
        <v>1.16547</v>
      </c>
      <c r="Z136" s="21">
        <v>129.208</v>
      </c>
      <c r="AA136" s="21">
        <v>-1.4947500000000001E-2</v>
      </c>
      <c r="AB136" s="21">
        <v>126</v>
      </c>
      <c r="AC136" s="21">
        <v>1.16394</v>
      </c>
      <c r="AD136">
        <f t="shared" si="16"/>
        <v>14.947500000000002</v>
      </c>
      <c r="AE136">
        <f t="shared" si="17"/>
        <v>17.420862825</v>
      </c>
      <c r="AF136" s="9"/>
      <c r="AG136" s="21">
        <v>0.53451499999999996</v>
      </c>
      <c r="AH136" s="21">
        <v>178.68100000000001</v>
      </c>
      <c r="AI136" s="21">
        <v>-1.55762E-2</v>
      </c>
      <c r="AJ136" s="21">
        <v>126</v>
      </c>
      <c r="AK136" s="21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1">
        <v>1.16547</v>
      </c>
      <c r="AR136" s="21">
        <v>228.12700000000001</v>
      </c>
      <c r="AS136" s="21">
        <v>-1.4761399999999999E-2</v>
      </c>
      <c r="AT136" s="21">
        <v>126</v>
      </c>
      <c r="AU136" s="21">
        <v>1.16455</v>
      </c>
      <c r="AV136">
        <f t="shared" si="20"/>
        <v>14.761399999999998</v>
      </c>
      <c r="AW136">
        <f t="shared" si="21"/>
        <v>17.203968858</v>
      </c>
      <c r="AX136" s="9"/>
      <c r="AY136" s="21">
        <v>0.53451499999999996</v>
      </c>
      <c r="AZ136" s="21">
        <v>262.46800000000002</v>
      </c>
      <c r="BA136" s="21">
        <v>-1.54022E-2</v>
      </c>
      <c r="BB136" s="21">
        <v>126</v>
      </c>
      <c r="BC136" s="21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50.334200000000003</v>
      </c>
      <c r="I137" s="21">
        <v>-1.51764E-2</v>
      </c>
      <c r="J137" s="21">
        <v>127</v>
      </c>
      <c r="K137" s="21">
        <v>1.15906</v>
      </c>
      <c r="L137">
        <f t="shared" si="12"/>
        <v>15.176399999999999</v>
      </c>
      <c r="M137">
        <f t="shared" si="13"/>
        <v>17.611149852</v>
      </c>
      <c r="N137" s="9"/>
      <c r="O137" s="21">
        <v>0.539551</v>
      </c>
      <c r="P137" s="21">
        <v>99.760599999999997</v>
      </c>
      <c r="Q137" s="21">
        <v>-1.5615800000000001E-2</v>
      </c>
      <c r="R137" s="21">
        <v>127</v>
      </c>
      <c r="S137" s="21">
        <v>0.53881800000000002</v>
      </c>
      <c r="T137">
        <f t="shared" si="14"/>
        <v>15.6158</v>
      </c>
      <c r="U137">
        <f t="shared" si="15"/>
        <v>8.4255205057999998</v>
      </c>
      <c r="X137" s="9"/>
      <c r="Y137" s="21">
        <v>1.1604300000000001</v>
      </c>
      <c r="Z137" s="21">
        <v>129.21799999999999</v>
      </c>
      <c r="AA137" s="21">
        <v>-1.4978E-2</v>
      </c>
      <c r="AB137" s="21">
        <v>127</v>
      </c>
      <c r="AC137" s="21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1">
        <v>0.539551</v>
      </c>
      <c r="AH137" s="21">
        <v>178.691</v>
      </c>
      <c r="AI137" s="21">
        <v>-1.5564E-2</v>
      </c>
      <c r="AJ137" s="21">
        <v>127</v>
      </c>
      <c r="AK137" s="21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1">
        <v>1.1604300000000001</v>
      </c>
      <c r="AR137" s="21">
        <v>228.137</v>
      </c>
      <c r="AS137" s="21">
        <v>-1.47644E-2</v>
      </c>
      <c r="AT137" s="21">
        <v>127</v>
      </c>
      <c r="AU137" s="21">
        <v>1.1587499999999999</v>
      </c>
      <c r="AV137">
        <f t="shared" si="20"/>
        <v>14.7644</v>
      </c>
      <c r="AW137">
        <f t="shared" si="21"/>
        <v>17.133052692</v>
      </c>
      <c r="AX137" s="9"/>
      <c r="AY137" s="21">
        <v>0.539551</v>
      </c>
      <c r="AZ137" s="21">
        <v>262.47800000000001</v>
      </c>
      <c r="BA137" s="21">
        <v>-1.54022E-2</v>
      </c>
      <c r="BB137" s="21">
        <v>127</v>
      </c>
      <c r="BC137" s="21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50.344200000000001</v>
      </c>
      <c r="I138" s="21">
        <v>-1.5185499999999999E-2</v>
      </c>
      <c r="J138" s="21">
        <v>128</v>
      </c>
      <c r="K138" s="21">
        <v>1.15448</v>
      </c>
      <c r="L138">
        <f t="shared" si="12"/>
        <v>15.185499999999999</v>
      </c>
      <c r="M138">
        <f t="shared" si="13"/>
        <v>17.5453267</v>
      </c>
      <c r="N138" s="9"/>
      <c r="O138" s="21">
        <v>0.54458600000000001</v>
      </c>
      <c r="P138" s="21">
        <v>99.770600000000002</v>
      </c>
      <c r="Q138" s="21">
        <v>-1.56128E-2</v>
      </c>
      <c r="R138" s="21">
        <v>128</v>
      </c>
      <c r="S138" s="21">
        <v>0.54382299999999995</v>
      </c>
      <c r="T138">
        <f t="shared" si="14"/>
        <v>15.6128</v>
      </c>
      <c r="U138">
        <f t="shared" si="15"/>
        <v>8.5025123007999994</v>
      </c>
      <c r="X138" s="9"/>
      <c r="Y138" s="21">
        <v>1.1554</v>
      </c>
      <c r="Z138" s="21">
        <v>129.22800000000001</v>
      </c>
      <c r="AA138" s="21">
        <v>-1.4993299999999999E-2</v>
      </c>
      <c r="AB138" s="21">
        <v>128</v>
      </c>
      <c r="AC138" s="21">
        <v>1.15448</v>
      </c>
      <c r="AD138">
        <f t="shared" si="16"/>
        <v>14.9933</v>
      </c>
      <c r="AE138">
        <f t="shared" si="17"/>
        <v>17.32325882</v>
      </c>
      <c r="AF138" s="9"/>
      <c r="AG138" s="21">
        <v>0.54458600000000001</v>
      </c>
      <c r="AH138" s="21">
        <v>178.70099999999999</v>
      </c>
      <c r="AI138" s="21">
        <v>-1.5551799999999999E-2</v>
      </c>
      <c r="AJ138" s="21">
        <v>128</v>
      </c>
      <c r="AK138" s="21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1">
        <v>1.1554</v>
      </c>
      <c r="AR138" s="21">
        <v>228.148</v>
      </c>
      <c r="AS138" s="21">
        <v>-1.4776600000000001E-2</v>
      </c>
      <c r="AT138" s="21">
        <v>128</v>
      </c>
      <c r="AU138" s="21">
        <v>1.15509</v>
      </c>
      <c r="AV138">
        <f t="shared" si="20"/>
        <v>14.7766</v>
      </c>
      <c r="AW138">
        <f t="shared" si="21"/>
        <v>17.072883640000001</v>
      </c>
      <c r="AX138" s="9"/>
      <c r="AY138" s="21">
        <v>0.54458600000000001</v>
      </c>
      <c r="AZ138" s="21">
        <v>262.488</v>
      </c>
      <c r="BA138" s="21">
        <v>-1.53931E-2</v>
      </c>
      <c r="BB138" s="21">
        <v>128</v>
      </c>
      <c r="BC138" s="21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50.354300000000002</v>
      </c>
      <c r="I139" s="21">
        <v>-1.5197799999999999E-2</v>
      </c>
      <c r="J139" s="21">
        <v>129</v>
      </c>
      <c r="K139" s="21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1">
        <v>0.54962200000000005</v>
      </c>
      <c r="P139" s="21">
        <v>99.780699999999996</v>
      </c>
      <c r="Q139" s="21">
        <v>-1.56128E-2</v>
      </c>
      <c r="R139" s="21">
        <v>129</v>
      </c>
      <c r="S139" s="21">
        <v>0.54904200000000003</v>
      </c>
      <c r="T139">
        <f t="shared" si="14"/>
        <v>15.6128</v>
      </c>
      <c r="U139">
        <f t="shared" si="15"/>
        <v>8.5811383616000008</v>
      </c>
      <c r="X139" s="9"/>
      <c r="Y139" s="21">
        <v>1.15036</v>
      </c>
      <c r="Z139" s="21">
        <v>129.238</v>
      </c>
      <c r="AA139" s="21">
        <v>-1.4993299999999999E-2</v>
      </c>
      <c r="AB139" s="21">
        <v>129</v>
      </c>
      <c r="AC139" s="21">
        <v>1.14899</v>
      </c>
      <c r="AD139">
        <f t="shared" si="16"/>
        <v>14.9933</v>
      </c>
      <c r="AE139">
        <f t="shared" si="17"/>
        <v>17.247692588</v>
      </c>
      <c r="AF139" s="9"/>
      <c r="AG139" s="21">
        <v>0.54962200000000005</v>
      </c>
      <c r="AH139" s="21">
        <v>178.71100000000001</v>
      </c>
      <c r="AI139" s="21">
        <v>-1.55487E-2</v>
      </c>
      <c r="AJ139" s="21">
        <v>129</v>
      </c>
      <c r="AK139" s="21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1">
        <v>1.15036</v>
      </c>
      <c r="AR139" s="21">
        <v>228.15799999999999</v>
      </c>
      <c r="AS139" s="21">
        <v>-1.47858E-2</v>
      </c>
      <c r="AT139" s="21">
        <v>129</v>
      </c>
      <c r="AU139" s="21">
        <v>1.1496</v>
      </c>
      <c r="AV139">
        <f t="shared" si="20"/>
        <v>14.7858</v>
      </c>
      <c r="AW139">
        <f t="shared" si="21"/>
        <v>17.008992888000002</v>
      </c>
      <c r="AX139" s="9"/>
      <c r="AY139" s="21">
        <v>0.54962200000000005</v>
      </c>
      <c r="AZ139" s="21">
        <v>262.49799999999999</v>
      </c>
      <c r="BA139" s="21">
        <v>-1.5387E-2</v>
      </c>
      <c r="BB139" s="21">
        <v>129</v>
      </c>
      <c r="BC139" s="21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50.364400000000003</v>
      </c>
      <c r="I140" s="21">
        <v>-1.5206900000000001E-2</v>
      </c>
      <c r="J140" s="21">
        <v>130</v>
      </c>
      <c r="K140" s="21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1">
        <v>0.55465699999999996</v>
      </c>
      <c r="P140" s="21">
        <v>99.790800000000004</v>
      </c>
      <c r="Q140" s="21">
        <v>-1.5615800000000001E-2</v>
      </c>
      <c r="R140" s="21">
        <v>130</v>
      </c>
      <c r="S140" s="21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1">
        <v>1.1453199999999999</v>
      </c>
      <c r="Z140" s="21">
        <v>129.24799999999999</v>
      </c>
      <c r="AA140" s="21">
        <v>-1.4996300000000001E-2</v>
      </c>
      <c r="AB140" s="21">
        <v>130</v>
      </c>
      <c r="AC140" s="21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1">
        <v>0.55465699999999996</v>
      </c>
      <c r="AH140" s="21">
        <v>178.721</v>
      </c>
      <c r="AI140" s="21">
        <v>-1.55365E-2</v>
      </c>
      <c r="AJ140" s="21">
        <v>130</v>
      </c>
      <c r="AK140" s="21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1">
        <v>1.1453199999999999</v>
      </c>
      <c r="AR140" s="21">
        <v>228.16800000000001</v>
      </c>
      <c r="AS140" s="21">
        <v>-1.47919E-2</v>
      </c>
      <c r="AT140" s="21">
        <v>130</v>
      </c>
      <c r="AU140" s="21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1">
        <v>0.55465699999999996</v>
      </c>
      <c r="AZ140" s="21">
        <v>262.50799999999998</v>
      </c>
      <c r="BA140" s="21">
        <v>-1.5374799999999999E-2</v>
      </c>
      <c r="BB140" s="21">
        <v>130</v>
      </c>
      <c r="BC140" s="21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50.374400000000001</v>
      </c>
      <c r="I141" s="21">
        <v>-1.5213000000000001E-2</v>
      </c>
      <c r="J141" s="21">
        <v>131</v>
      </c>
      <c r="K141" s="21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1">
        <v>0.55969199999999997</v>
      </c>
      <c r="P141" s="21">
        <v>99.800899999999999</v>
      </c>
      <c r="Q141" s="21">
        <v>-1.56128E-2</v>
      </c>
      <c r="R141" s="21">
        <v>131</v>
      </c>
      <c r="S141" s="21">
        <v>0.55896000000000001</v>
      </c>
      <c r="T141">
        <f t="shared" si="26"/>
        <v>15.6128</v>
      </c>
      <c r="U141">
        <f t="shared" si="27"/>
        <v>8.7383592575999991</v>
      </c>
      <c r="X141" s="9"/>
      <c r="Y141" s="21">
        <v>1.14029</v>
      </c>
      <c r="Z141" s="21">
        <v>129.25800000000001</v>
      </c>
      <c r="AA141" s="21">
        <v>-1.49994E-2</v>
      </c>
      <c r="AB141" s="21">
        <v>131</v>
      </c>
      <c r="AC141" s="21">
        <v>1.1395299999999999</v>
      </c>
      <c r="AD141">
        <f t="shared" si="28"/>
        <v>14.9994</v>
      </c>
      <c r="AE141">
        <f t="shared" si="29"/>
        <v>17.103665826</v>
      </c>
      <c r="AF141" s="9"/>
      <c r="AG141" s="21">
        <v>0.55969199999999997</v>
      </c>
      <c r="AH141" s="21">
        <v>178.73099999999999</v>
      </c>
      <c r="AI141" s="21">
        <v>-1.5527300000000001E-2</v>
      </c>
      <c r="AJ141" s="21">
        <v>131</v>
      </c>
      <c r="AK141" s="21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1">
        <v>1.14029</v>
      </c>
      <c r="AR141" s="21">
        <v>228.178</v>
      </c>
      <c r="AS141" s="21">
        <v>-1.47949E-2</v>
      </c>
      <c r="AT141" s="21">
        <v>131</v>
      </c>
      <c r="AU141" s="21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1">
        <v>0.55969199999999997</v>
      </c>
      <c r="AZ141" s="21">
        <v>262.51799999999997</v>
      </c>
      <c r="BA141" s="21">
        <v>-1.5374799999999999E-2</v>
      </c>
      <c r="BB141" s="21">
        <v>131</v>
      </c>
      <c r="BC141" s="21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50.384500000000003</v>
      </c>
      <c r="I142" s="21">
        <v>-1.5213000000000001E-2</v>
      </c>
      <c r="J142" s="21">
        <v>132</v>
      </c>
      <c r="K142" s="21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1">
        <v>0.56472800000000001</v>
      </c>
      <c r="P142" s="21">
        <v>99.810900000000004</v>
      </c>
      <c r="Q142" s="21">
        <v>-1.5609700000000001E-2</v>
      </c>
      <c r="R142" s="21">
        <v>132</v>
      </c>
      <c r="S142" s="21">
        <v>0.56393400000000005</v>
      </c>
      <c r="T142">
        <f t="shared" si="26"/>
        <v>15.6097</v>
      </c>
      <c r="U142">
        <f t="shared" si="27"/>
        <v>8.8152346615999999</v>
      </c>
      <c r="X142" s="9"/>
      <c r="Y142" s="21">
        <v>1.1352500000000001</v>
      </c>
      <c r="Z142" s="21">
        <v>129.268</v>
      </c>
      <c r="AA142" s="21">
        <v>-1.50055E-2</v>
      </c>
      <c r="AB142" s="21">
        <v>132</v>
      </c>
      <c r="AC142" s="21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1">
        <v>0.56472800000000001</v>
      </c>
      <c r="AH142" s="21">
        <v>178.74100000000001</v>
      </c>
      <c r="AI142" s="21">
        <v>-1.55151E-2</v>
      </c>
      <c r="AJ142" s="21">
        <v>132</v>
      </c>
      <c r="AK142" s="21">
        <v>0.564056</v>
      </c>
      <c r="AL142">
        <f t="shared" si="30"/>
        <v>15.5151</v>
      </c>
      <c r="AM142">
        <f t="shared" si="31"/>
        <v>8.7618113928000003</v>
      </c>
      <c r="AP142" s="9"/>
      <c r="AQ142" s="21">
        <v>1.1352500000000001</v>
      </c>
      <c r="AR142" s="21">
        <v>228.18799999999999</v>
      </c>
      <c r="AS142" s="21">
        <v>-1.4801E-2</v>
      </c>
      <c r="AT142" s="21">
        <v>132</v>
      </c>
      <c r="AU142" s="21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1">
        <v>0.56472800000000001</v>
      </c>
      <c r="AZ142" s="21">
        <v>262.52800000000002</v>
      </c>
      <c r="BA142" s="21">
        <v>-1.5368700000000001E-2</v>
      </c>
      <c r="BB142" s="21">
        <v>132</v>
      </c>
      <c r="BC142" s="21">
        <v>0.564056</v>
      </c>
      <c r="BD142">
        <f t="shared" si="34"/>
        <v>15.3687</v>
      </c>
      <c r="BE142">
        <f t="shared" si="35"/>
        <v>8.6791352136000004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50.394599999999997</v>
      </c>
      <c r="I143" s="21">
        <v>-1.5219099999999999E-2</v>
      </c>
      <c r="J143" s="21">
        <v>133</v>
      </c>
      <c r="K143" s="21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1">
        <v>0.56976300000000002</v>
      </c>
      <c r="P143" s="21">
        <v>99.820999999999998</v>
      </c>
      <c r="Q143" s="21">
        <v>-1.5609700000000001E-2</v>
      </c>
      <c r="R143" s="21">
        <v>133</v>
      </c>
      <c r="S143" s="21">
        <v>0.56909200000000004</v>
      </c>
      <c r="T143">
        <f t="shared" si="26"/>
        <v>15.6097</v>
      </c>
      <c r="U143">
        <f t="shared" si="27"/>
        <v>8.8938295011000008</v>
      </c>
      <c r="X143" s="9"/>
      <c r="Y143" s="21">
        <v>1.13022</v>
      </c>
      <c r="Z143" s="21">
        <v>129.27799999999999</v>
      </c>
      <c r="AA143" s="21">
        <v>-1.5026899999999999E-2</v>
      </c>
      <c r="AB143" s="21">
        <v>133</v>
      </c>
      <c r="AC143" s="21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1">
        <v>0.56976300000000002</v>
      </c>
      <c r="AH143" s="21">
        <v>178.751</v>
      </c>
      <c r="AI143" s="21">
        <v>-1.55151E-2</v>
      </c>
      <c r="AJ143" s="21">
        <v>133</v>
      </c>
      <c r="AK143" s="21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1">
        <v>1.13022</v>
      </c>
      <c r="AR143" s="21">
        <v>228.19800000000001</v>
      </c>
      <c r="AS143" s="21">
        <v>-1.48132E-2</v>
      </c>
      <c r="AT143" s="21">
        <v>133</v>
      </c>
      <c r="AU143" s="21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1">
        <v>0.56976300000000002</v>
      </c>
      <c r="AZ143" s="21">
        <v>262.53800000000001</v>
      </c>
      <c r="BA143" s="21">
        <v>-1.5362499999999999E-2</v>
      </c>
      <c r="BB143" s="21">
        <v>133</v>
      </c>
      <c r="BC143" s="21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50.404699999999998</v>
      </c>
      <c r="I144" s="21">
        <v>-1.5219099999999999E-2</v>
      </c>
      <c r="J144" s="21">
        <v>134</v>
      </c>
      <c r="K144" s="21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1">
        <v>0.57479899999999995</v>
      </c>
      <c r="P144" s="21">
        <v>99.831100000000006</v>
      </c>
      <c r="Q144" s="21">
        <v>-1.5606699999999999E-2</v>
      </c>
      <c r="R144" s="21">
        <v>134</v>
      </c>
      <c r="S144" s="21">
        <v>0.57409699999999997</v>
      </c>
      <c r="T144">
        <f t="shared" si="26"/>
        <v>15.6067</v>
      </c>
      <c r="U144">
        <f t="shared" si="27"/>
        <v>8.9707155532999998</v>
      </c>
      <c r="X144" s="9"/>
      <c r="Y144" s="21">
        <v>1.1251800000000001</v>
      </c>
      <c r="Z144" s="21">
        <v>129.28800000000001</v>
      </c>
      <c r="AA144" s="21">
        <v>-1.5032999999999999E-2</v>
      </c>
      <c r="AB144" s="21">
        <v>134</v>
      </c>
      <c r="AC144" s="21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1">
        <v>0.57479899999999995</v>
      </c>
      <c r="AH144" s="21">
        <v>178.762</v>
      </c>
      <c r="AI144" s="21">
        <v>-1.55151E-2</v>
      </c>
      <c r="AJ144" s="21">
        <v>134</v>
      </c>
      <c r="AK144" s="21">
        <v>0.57403599999999999</v>
      </c>
      <c r="AL144">
        <f t="shared" si="30"/>
        <v>15.5151</v>
      </c>
      <c r="AM144">
        <f t="shared" si="31"/>
        <v>8.9180639649</v>
      </c>
      <c r="AP144" s="9"/>
      <c r="AQ144" s="21">
        <v>1.1251800000000001</v>
      </c>
      <c r="AR144" s="21">
        <v>228.208</v>
      </c>
      <c r="AS144" s="21">
        <v>-1.4825400000000001E-2</v>
      </c>
      <c r="AT144" s="21">
        <v>134</v>
      </c>
      <c r="AU144" s="21">
        <v>1.1242700000000001</v>
      </c>
      <c r="AV144">
        <f t="shared" si="32"/>
        <v>14.8254</v>
      </c>
      <c r="AW144">
        <f t="shared" si="33"/>
        <v>16.681243572</v>
      </c>
      <c r="AX144" s="9"/>
      <c r="AY144" s="21">
        <v>0.57479899999999995</v>
      </c>
      <c r="AZ144" s="21">
        <v>262.548</v>
      </c>
      <c r="BA144" s="21">
        <v>-1.53534E-2</v>
      </c>
      <c r="BB144" s="21">
        <v>134</v>
      </c>
      <c r="BC144" s="21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50.414700000000003</v>
      </c>
      <c r="I145" s="21">
        <v>-1.52222E-2</v>
      </c>
      <c r="J145" s="21">
        <v>135</v>
      </c>
      <c r="K145" s="21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1">
        <v>0.57983399999999996</v>
      </c>
      <c r="P145" s="21">
        <v>99.841099999999997</v>
      </c>
      <c r="Q145" s="21">
        <v>-1.5609700000000001E-2</v>
      </c>
      <c r="R145" s="21">
        <v>135</v>
      </c>
      <c r="S145" s="21">
        <v>0.57916299999999998</v>
      </c>
      <c r="T145">
        <f t="shared" si="26"/>
        <v>15.6097</v>
      </c>
      <c r="U145">
        <f t="shared" si="27"/>
        <v>9.0510347897999992</v>
      </c>
      <c r="X145" s="9"/>
      <c r="Y145" s="21">
        <v>1.12015</v>
      </c>
      <c r="Z145" s="21">
        <v>129.298</v>
      </c>
      <c r="AA145" s="21">
        <v>-1.50452E-2</v>
      </c>
      <c r="AB145" s="21">
        <v>135</v>
      </c>
      <c r="AC145" s="21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1">
        <v>0.57983399999999996</v>
      </c>
      <c r="AH145" s="21">
        <v>178.77199999999999</v>
      </c>
      <c r="AI145" s="21">
        <v>-1.55151E-2</v>
      </c>
      <c r="AJ145" s="21">
        <v>135</v>
      </c>
      <c r="AK145" s="21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1">
        <v>1.12015</v>
      </c>
      <c r="AR145" s="21">
        <v>228.21799999999999</v>
      </c>
      <c r="AS145" s="21">
        <v>-1.48346E-2</v>
      </c>
      <c r="AT145" s="21">
        <v>135</v>
      </c>
      <c r="AU145" s="21">
        <v>1.1190800000000001</v>
      </c>
      <c r="AV145">
        <f t="shared" si="32"/>
        <v>14.8346</v>
      </c>
      <c r="AW145">
        <f t="shared" si="33"/>
        <v>16.61697719</v>
      </c>
      <c r="AX145" s="9"/>
      <c r="AY145" s="21">
        <v>0.57983399999999996</v>
      </c>
      <c r="AZ145" s="21">
        <v>262.55799999999999</v>
      </c>
      <c r="BA145" s="21">
        <v>-1.5347299999999999E-2</v>
      </c>
      <c r="BB145" s="21">
        <v>135</v>
      </c>
      <c r="BC145" s="21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50.424799999999998</v>
      </c>
      <c r="I146" s="21">
        <v>-1.52313E-2</v>
      </c>
      <c r="J146" s="21">
        <v>136</v>
      </c>
      <c r="K146" s="21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1">
        <v>0.58486899999999997</v>
      </c>
      <c r="P146" s="21">
        <v>99.851200000000006</v>
      </c>
      <c r="Q146" s="21">
        <v>-1.5609700000000001E-2</v>
      </c>
      <c r="R146" s="21">
        <v>136</v>
      </c>
      <c r="S146" s="21">
        <v>0.58416699999999999</v>
      </c>
      <c r="T146">
        <f t="shared" si="26"/>
        <v>15.6097</v>
      </c>
      <c r="U146">
        <f t="shared" si="27"/>
        <v>9.1296296293000001</v>
      </c>
      <c r="X146" s="9"/>
      <c r="Y146" s="21">
        <v>1.11511</v>
      </c>
      <c r="Z146" s="21">
        <v>129.30799999999999</v>
      </c>
      <c r="AA146" s="21">
        <v>-1.50543E-2</v>
      </c>
      <c r="AB146" s="21">
        <v>136</v>
      </c>
      <c r="AC146" s="21">
        <v>1.1145</v>
      </c>
      <c r="AD146">
        <f t="shared" si="28"/>
        <v>15.0543</v>
      </c>
      <c r="AE146">
        <f t="shared" si="29"/>
        <v>16.787200472999999</v>
      </c>
      <c r="AF146" s="9"/>
      <c r="AG146" s="21">
        <v>0.58486899999999997</v>
      </c>
      <c r="AH146" s="21">
        <v>178.78200000000001</v>
      </c>
      <c r="AI146" s="21">
        <v>-1.55151E-2</v>
      </c>
      <c r="AJ146" s="21">
        <v>136</v>
      </c>
      <c r="AK146" s="21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1">
        <v>1.11511</v>
      </c>
      <c r="AR146" s="21">
        <v>228.22800000000001</v>
      </c>
      <c r="AS146" s="21">
        <v>-1.4849899999999999E-2</v>
      </c>
      <c r="AT146" s="21">
        <v>136</v>
      </c>
      <c r="AU146" s="21">
        <v>1.11389</v>
      </c>
      <c r="AV146">
        <f t="shared" si="32"/>
        <v>14.8499</v>
      </c>
      <c r="AW146">
        <f t="shared" si="33"/>
        <v>16.559271988999999</v>
      </c>
      <c r="AX146" s="9"/>
      <c r="AY146" s="21">
        <v>0.58486899999999997</v>
      </c>
      <c r="AZ146" s="21">
        <v>262.56799999999998</v>
      </c>
      <c r="BA146" s="21">
        <v>-1.5335100000000001E-2</v>
      </c>
      <c r="BB146" s="21">
        <v>136</v>
      </c>
      <c r="BC146" s="21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50.434899999999999</v>
      </c>
      <c r="I147" s="21">
        <v>-1.52344E-2</v>
      </c>
      <c r="J147" s="21">
        <v>137</v>
      </c>
      <c r="K147" s="21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1">
        <v>0.58990500000000001</v>
      </c>
      <c r="P147" s="21">
        <v>99.8613</v>
      </c>
      <c r="Q147" s="21">
        <v>-1.56128E-2</v>
      </c>
      <c r="R147" s="21">
        <v>137</v>
      </c>
      <c r="S147" s="21">
        <v>0.58917200000000003</v>
      </c>
      <c r="T147">
        <f t="shared" si="26"/>
        <v>15.6128</v>
      </c>
      <c r="U147">
        <f t="shared" si="27"/>
        <v>9.2100687840000006</v>
      </c>
      <c r="X147" s="9"/>
      <c r="Y147" s="21">
        <v>1.11008</v>
      </c>
      <c r="Z147" s="21">
        <v>129.31800000000001</v>
      </c>
      <c r="AA147" s="21">
        <v>-1.5063500000000001E-2</v>
      </c>
      <c r="AB147" s="21">
        <v>137</v>
      </c>
      <c r="AC147" s="21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1">
        <v>0.58990500000000001</v>
      </c>
      <c r="AH147" s="21">
        <v>178.792</v>
      </c>
      <c r="AI147" s="21">
        <v>-1.5509E-2</v>
      </c>
      <c r="AJ147" s="21">
        <v>137</v>
      </c>
      <c r="AK147" s="21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1">
        <v>1.11008</v>
      </c>
      <c r="AR147" s="21">
        <v>228.238</v>
      </c>
      <c r="AS147" s="21">
        <v>-1.4855999999999999E-2</v>
      </c>
      <c r="AT147" s="21">
        <v>137</v>
      </c>
      <c r="AU147" s="21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1">
        <v>0.58990500000000001</v>
      </c>
      <c r="AZ147" s="21">
        <v>262.57799999999997</v>
      </c>
      <c r="BA147" s="21">
        <v>-1.53259E-2</v>
      </c>
      <c r="BB147" s="21">
        <v>137</v>
      </c>
      <c r="BC147" s="21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50.444899999999997</v>
      </c>
      <c r="I148" s="21">
        <v>-1.5246600000000001E-2</v>
      </c>
      <c r="J148" s="21">
        <v>138</v>
      </c>
      <c r="K148" s="21">
        <v>1.10443</v>
      </c>
      <c r="L148">
        <f t="shared" si="24"/>
        <v>15.246600000000001</v>
      </c>
      <c r="M148">
        <f t="shared" si="25"/>
        <v>16.848102864000001</v>
      </c>
      <c r="N148" s="9"/>
      <c r="O148" s="21">
        <v>0.59494000000000002</v>
      </c>
      <c r="P148" s="21">
        <v>99.871399999999994</v>
      </c>
      <c r="Q148" s="21">
        <v>-1.5606699999999999E-2</v>
      </c>
      <c r="R148" s="21">
        <v>138</v>
      </c>
      <c r="S148" s="21">
        <v>0.59429900000000002</v>
      </c>
      <c r="T148">
        <f t="shared" si="26"/>
        <v>15.6067</v>
      </c>
      <c r="U148">
        <f t="shared" si="27"/>
        <v>9.285050098000001</v>
      </c>
      <c r="X148" s="9"/>
      <c r="Y148" s="21">
        <v>1.10504</v>
      </c>
      <c r="Z148" s="21">
        <v>129.328</v>
      </c>
      <c r="AA148" s="21">
        <v>-1.5081799999999999E-2</v>
      </c>
      <c r="AB148" s="21">
        <v>138</v>
      </c>
      <c r="AC148" s="21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1">
        <v>0.59494000000000002</v>
      </c>
      <c r="AH148" s="21">
        <v>178.80199999999999</v>
      </c>
      <c r="AI148" s="21">
        <v>-1.54999E-2</v>
      </c>
      <c r="AJ148" s="21">
        <v>138</v>
      </c>
      <c r="AK148" s="21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1">
        <v>1.10504</v>
      </c>
      <c r="AR148" s="21">
        <v>228.24799999999999</v>
      </c>
      <c r="AS148" s="21">
        <v>-1.4865099999999999E-2</v>
      </c>
      <c r="AT148" s="21">
        <v>138</v>
      </c>
      <c r="AU148" s="21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1">
        <v>0.59494000000000002</v>
      </c>
      <c r="AZ148" s="21">
        <v>262.58800000000002</v>
      </c>
      <c r="BA148" s="21">
        <v>-1.53259E-2</v>
      </c>
      <c r="BB148" s="21">
        <v>138</v>
      </c>
      <c r="BC148" s="21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50.454999999999998</v>
      </c>
      <c r="I149" s="21">
        <v>-1.5255700000000001E-2</v>
      </c>
      <c r="J149" s="21">
        <v>139</v>
      </c>
      <c r="K149" s="21">
        <v>1.09894</v>
      </c>
      <c r="L149">
        <f t="shared" si="24"/>
        <v>15.255700000000001</v>
      </c>
      <c r="M149">
        <f t="shared" si="25"/>
        <v>16.781422556999999</v>
      </c>
      <c r="N149" s="9"/>
      <c r="O149" s="21">
        <v>0.59997599999999995</v>
      </c>
      <c r="P149" s="21">
        <v>99.881399999999999</v>
      </c>
      <c r="Q149" s="21">
        <v>-1.56036E-2</v>
      </c>
      <c r="R149" s="21">
        <v>139</v>
      </c>
      <c r="S149" s="21">
        <v>0.59942600000000001</v>
      </c>
      <c r="T149">
        <f t="shared" si="26"/>
        <v>15.6036</v>
      </c>
      <c r="U149">
        <f t="shared" si="27"/>
        <v>9.3617855135999992</v>
      </c>
      <c r="X149" s="9"/>
      <c r="Y149" s="21">
        <v>1.1000099999999999</v>
      </c>
      <c r="Z149" s="21">
        <v>129.33799999999999</v>
      </c>
      <c r="AA149" s="21">
        <v>-1.50879E-2</v>
      </c>
      <c r="AB149" s="21">
        <v>139</v>
      </c>
      <c r="AC149" s="21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1">
        <v>0.59997599999999995</v>
      </c>
      <c r="AH149" s="21">
        <v>178.81200000000001</v>
      </c>
      <c r="AI149" s="21">
        <v>-1.54968E-2</v>
      </c>
      <c r="AJ149" s="21">
        <v>139</v>
      </c>
      <c r="AK149" s="21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1">
        <v>1.1000099999999999</v>
      </c>
      <c r="AR149" s="21">
        <v>228.25800000000001</v>
      </c>
      <c r="AS149" s="21">
        <v>-1.48773E-2</v>
      </c>
      <c r="AT149" s="21">
        <v>139</v>
      </c>
      <c r="AU149" s="21">
        <v>1.09894</v>
      </c>
      <c r="AV149">
        <f t="shared" si="32"/>
        <v>14.8773</v>
      </c>
      <c r="AW149">
        <f t="shared" si="33"/>
        <v>16.365178773</v>
      </c>
      <c r="AX149" s="9"/>
      <c r="AY149" s="21">
        <v>0.59997599999999995</v>
      </c>
      <c r="AZ149" s="21">
        <v>262.59800000000001</v>
      </c>
      <c r="BA149" s="21">
        <v>-1.5335100000000001E-2</v>
      </c>
      <c r="BB149" s="21">
        <v>139</v>
      </c>
      <c r="BC149" s="21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50.4651</v>
      </c>
      <c r="I150" s="21">
        <v>-1.5273999999999999E-2</v>
      </c>
      <c r="J150" s="21">
        <v>140</v>
      </c>
      <c r="K150" s="21">
        <v>1.09467</v>
      </c>
      <c r="L150">
        <f t="shared" si="24"/>
        <v>15.273999999999999</v>
      </c>
      <c r="M150">
        <f t="shared" si="25"/>
        <v>16.724571779999998</v>
      </c>
      <c r="N150" s="9"/>
      <c r="O150" s="21">
        <v>0.60501099999999997</v>
      </c>
      <c r="P150" s="21">
        <v>99.891499999999994</v>
      </c>
      <c r="Q150" s="21">
        <v>-1.55975E-2</v>
      </c>
      <c r="R150" s="21">
        <v>140</v>
      </c>
      <c r="S150" s="21">
        <v>0.60424800000000001</v>
      </c>
      <c r="T150">
        <f t="shared" si="26"/>
        <v>15.5975</v>
      </c>
      <c r="U150">
        <f t="shared" si="27"/>
        <v>9.4366590724999995</v>
      </c>
      <c r="X150" s="9"/>
      <c r="Y150" s="21">
        <v>1.09497</v>
      </c>
      <c r="Z150" s="21">
        <v>129.34899999999999</v>
      </c>
      <c r="AA150" s="21">
        <v>-1.5090900000000001E-2</v>
      </c>
      <c r="AB150" s="21">
        <v>140</v>
      </c>
      <c r="AC150" s="21">
        <v>1.09344</v>
      </c>
      <c r="AD150">
        <f t="shared" si="28"/>
        <v>15.090900000000001</v>
      </c>
      <c r="AE150">
        <f t="shared" si="29"/>
        <v>16.524082773</v>
      </c>
      <c r="AF150" s="9"/>
      <c r="AG150" s="21">
        <v>0.60501099999999997</v>
      </c>
      <c r="AH150" s="21">
        <v>178.822</v>
      </c>
      <c r="AI150" s="21">
        <v>-1.55029E-2</v>
      </c>
      <c r="AJ150" s="21">
        <v>140</v>
      </c>
      <c r="AK150" s="21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1">
        <v>1.09497</v>
      </c>
      <c r="AR150" s="21">
        <v>228.268</v>
      </c>
      <c r="AS150" s="21">
        <v>-1.4892600000000001E-2</v>
      </c>
      <c r="AT150" s="21">
        <v>140</v>
      </c>
      <c r="AU150" s="21">
        <v>1.09436</v>
      </c>
      <c r="AV150">
        <f t="shared" si="32"/>
        <v>14.8926</v>
      </c>
      <c r="AW150">
        <f t="shared" si="33"/>
        <v>16.306950222000001</v>
      </c>
      <c r="AX150" s="9"/>
      <c r="AY150" s="21">
        <v>0.60501099999999997</v>
      </c>
      <c r="AZ150" s="21">
        <v>262.60899999999998</v>
      </c>
      <c r="BA150" s="21">
        <v>-1.5329000000000001E-2</v>
      </c>
      <c r="BB150" s="21">
        <v>140</v>
      </c>
      <c r="BC150" s="21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50.475099999999998</v>
      </c>
      <c r="I151" s="21">
        <v>-1.52771E-2</v>
      </c>
      <c r="J151" s="21">
        <v>141</v>
      </c>
      <c r="K151" s="21">
        <v>1.08856</v>
      </c>
      <c r="L151">
        <f t="shared" si="24"/>
        <v>15.277100000000001</v>
      </c>
      <c r="M151">
        <f t="shared" si="25"/>
        <v>16.651122374</v>
      </c>
      <c r="N151" s="9"/>
      <c r="O151" s="21">
        <v>0.61004599999999998</v>
      </c>
      <c r="P151" s="21">
        <v>99.901600000000002</v>
      </c>
      <c r="Q151" s="21">
        <v>-1.5588400000000001E-2</v>
      </c>
      <c r="R151" s="21">
        <v>141</v>
      </c>
      <c r="S151" s="21">
        <v>0.609375</v>
      </c>
      <c r="T151">
        <f t="shared" si="26"/>
        <v>15.5884</v>
      </c>
      <c r="U151">
        <f t="shared" si="27"/>
        <v>9.5096410664000004</v>
      </c>
      <c r="X151" s="9"/>
      <c r="Y151" s="21">
        <v>1.0899399999999999</v>
      </c>
      <c r="Z151" s="21">
        <v>129.35900000000001</v>
      </c>
      <c r="AA151" s="21">
        <v>-1.51031E-2</v>
      </c>
      <c r="AB151" s="21">
        <v>141</v>
      </c>
      <c r="AC151" s="21">
        <v>1.08887</v>
      </c>
      <c r="AD151">
        <f t="shared" si="28"/>
        <v>15.1031</v>
      </c>
      <c r="AE151">
        <f t="shared" si="29"/>
        <v>16.461472813999997</v>
      </c>
      <c r="AF151" s="9"/>
      <c r="AG151" s="21">
        <v>0.61004599999999998</v>
      </c>
      <c r="AH151" s="21">
        <v>178.83199999999999</v>
      </c>
      <c r="AI151" s="21">
        <v>-1.54907E-2</v>
      </c>
      <c r="AJ151" s="21">
        <v>141</v>
      </c>
      <c r="AK151" s="21">
        <v>0.609344</v>
      </c>
      <c r="AL151">
        <f t="shared" si="30"/>
        <v>15.4907</v>
      </c>
      <c r="AM151">
        <f t="shared" si="31"/>
        <v>9.4500395721999997</v>
      </c>
      <c r="AP151" s="9"/>
      <c r="AQ151" s="21">
        <v>1.0899399999999999</v>
      </c>
      <c r="AR151" s="21">
        <v>228.27799999999999</v>
      </c>
      <c r="AS151" s="21">
        <v>-1.48956E-2</v>
      </c>
      <c r="AT151" s="21">
        <v>141</v>
      </c>
      <c r="AU151" s="21">
        <v>1.08887</v>
      </c>
      <c r="AV151">
        <f t="shared" si="32"/>
        <v>14.8956</v>
      </c>
      <c r="AW151">
        <f t="shared" si="33"/>
        <v>16.235310263999999</v>
      </c>
      <c r="AX151" s="9"/>
      <c r="AY151" s="21">
        <v>0.61004599999999998</v>
      </c>
      <c r="AZ151" s="21">
        <v>262.61900000000003</v>
      </c>
      <c r="BA151" s="21">
        <v>-1.5329000000000001E-2</v>
      </c>
      <c r="BB151" s="21">
        <v>141</v>
      </c>
      <c r="BC151" s="21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50.485199999999999</v>
      </c>
      <c r="I152" s="21">
        <v>-1.5292399999999999E-2</v>
      </c>
      <c r="J152" s="21">
        <v>142</v>
      </c>
      <c r="K152" s="21">
        <v>1.08429</v>
      </c>
      <c r="L152">
        <f t="shared" si="24"/>
        <v>15.292399999999999</v>
      </c>
      <c r="M152">
        <f t="shared" si="25"/>
        <v>16.590724759999997</v>
      </c>
      <c r="N152" s="9"/>
      <c r="O152" s="21">
        <v>0.61508200000000002</v>
      </c>
      <c r="P152" s="21">
        <v>99.911600000000007</v>
      </c>
      <c r="Q152" s="21">
        <v>-1.55823E-2</v>
      </c>
      <c r="R152" s="21">
        <v>142</v>
      </c>
      <c r="S152" s="21">
        <v>0.61441000000000001</v>
      </c>
      <c r="T152">
        <f t="shared" si="26"/>
        <v>15.5823</v>
      </c>
      <c r="U152">
        <f t="shared" si="27"/>
        <v>9.5843922486000004</v>
      </c>
      <c r="X152" s="9"/>
      <c r="Y152" s="21">
        <v>1.0849</v>
      </c>
      <c r="Z152" s="21">
        <v>129.369</v>
      </c>
      <c r="AA152" s="21">
        <v>-1.51001E-2</v>
      </c>
      <c r="AB152" s="21">
        <v>142</v>
      </c>
      <c r="AC152" s="21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1">
        <v>0.61508200000000002</v>
      </c>
      <c r="AH152" s="21">
        <v>178.84200000000001</v>
      </c>
      <c r="AI152" s="21">
        <v>-1.54877E-2</v>
      </c>
      <c r="AJ152" s="21">
        <v>142</v>
      </c>
      <c r="AK152" s="21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1">
        <v>1.0849</v>
      </c>
      <c r="AR152" s="21">
        <v>228.28899999999999</v>
      </c>
      <c r="AS152" s="21">
        <v>-1.48895E-2</v>
      </c>
      <c r="AT152" s="21">
        <v>142</v>
      </c>
      <c r="AU152" s="21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1">
        <v>0.61508200000000002</v>
      </c>
      <c r="AZ152" s="21">
        <v>262.62900000000002</v>
      </c>
      <c r="BA152" s="21">
        <v>-1.5329000000000001E-2</v>
      </c>
      <c r="BB152" s="21">
        <v>142</v>
      </c>
      <c r="BC152" s="21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50.4953</v>
      </c>
      <c r="I153" s="21">
        <v>-1.52985E-2</v>
      </c>
      <c r="J153" s="21">
        <v>143</v>
      </c>
      <c r="K153" s="21">
        <v>1.0788</v>
      </c>
      <c r="L153">
        <f t="shared" si="24"/>
        <v>15.298499999999999</v>
      </c>
      <c r="M153">
        <f t="shared" si="25"/>
        <v>16.520238209999999</v>
      </c>
      <c r="N153" s="9"/>
      <c r="O153" s="21">
        <v>0.62011700000000003</v>
      </c>
      <c r="P153" s="21">
        <v>99.921700000000001</v>
      </c>
      <c r="Q153" s="21">
        <v>-1.55792E-2</v>
      </c>
      <c r="R153" s="21">
        <v>143</v>
      </c>
      <c r="S153" s="21">
        <v>0.61935399999999996</v>
      </c>
      <c r="T153">
        <f t="shared" si="26"/>
        <v>15.5792</v>
      </c>
      <c r="U153">
        <f t="shared" si="27"/>
        <v>9.6609267664000011</v>
      </c>
      <c r="X153" s="9"/>
      <c r="Y153" s="21">
        <v>1.07986</v>
      </c>
      <c r="Z153" s="21">
        <v>129.37899999999999</v>
      </c>
      <c r="AA153" s="21">
        <v>-1.51031E-2</v>
      </c>
      <c r="AB153" s="21">
        <v>143</v>
      </c>
      <c r="AC153" s="21">
        <v>1.0784899999999999</v>
      </c>
      <c r="AD153">
        <f t="shared" si="28"/>
        <v>15.1031</v>
      </c>
      <c r="AE153">
        <f t="shared" si="29"/>
        <v>16.309233566</v>
      </c>
      <c r="AF153" s="9"/>
      <c r="AG153" s="21">
        <v>0.62011700000000003</v>
      </c>
      <c r="AH153" s="21">
        <v>178.852</v>
      </c>
      <c r="AI153" s="21">
        <v>-1.5484599999999999E-2</v>
      </c>
      <c r="AJ153" s="21">
        <v>143</v>
      </c>
      <c r="AK153" s="21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1">
        <v>1.07986</v>
      </c>
      <c r="AR153" s="21">
        <v>228.29900000000001</v>
      </c>
      <c r="AS153" s="21">
        <v>-1.4892600000000001E-2</v>
      </c>
      <c r="AT153" s="21">
        <v>143</v>
      </c>
      <c r="AU153" s="21">
        <v>1.07941</v>
      </c>
      <c r="AV153">
        <f t="shared" si="32"/>
        <v>14.8926</v>
      </c>
      <c r="AW153">
        <f t="shared" si="33"/>
        <v>16.081923035999999</v>
      </c>
      <c r="AX153" s="9"/>
      <c r="AY153" s="21">
        <v>0.62011700000000003</v>
      </c>
      <c r="AZ153" s="21">
        <v>262.63900000000001</v>
      </c>
      <c r="BA153" s="21">
        <v>-1.53259E-2</v>
      </c>
      <c r="BB153" s="21">
        <v>143</v>
      </c>
      <c r="BC153" s="21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50.505400000000002</v>
      </c>
      <c r="I154" s="21">
        <v>-1.5307599999999999E-2</v>
      </c>
      <c r="J154" s="21">
        <v>144</v>
      </c>
      <c r="K154" s="21">
        <v>1.07422</v>
      </c>
      <c r="L154">
        <f t="shared" si="24"/>
        <v>15.307599999999999</v>
      </c>
      <c r="M154">
        <f t="shared" si="25"/>
        <v>16.453067707999999</v>
      </c>
      <c r="N154" s="9"/>
      <c r="O154" s="21">
        <v>0.62515299999999996</v>
      </c>
      <c r="P154" s="21">
        <v>99.931799999999996</v>
      </c>
      <c r="Q154" s="21">
        <v>-1.55701E-2</v>
      </c>
      <c r="R154" s="21">
        <v>144</v>
      </c>
      <c r="S154" s="21">
        <v>0.62441999999999998</v>
      </c>
      <c r="T154">
        <f t="shared" si="26"/>
        <v>15.5701</v>
      </c>
      <c r="U154">
        <f t="shared" si="27"/>
        <v>9.7336947252999995</v>
      </c>
      <c r="X154" s="9"/>
      <c r="Y154" s="21">
        <v>1.07483</v>
      </c>
      <c r="Z154" s="21">
        <v>129.38900000000001</v>
      </c>
      <c r="AA154" s="21">
        <v>-1.51031E-2</v>
      </c>
      <c r="AB154" s="21">
        <v>144</v>
      </c>
      <c r="AC154" s="21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1">
        <v>0.62515299999999996</v>
      </c>
      <c r="AH154" s="21">
        <v>178.86199999999999</v>
      </c>
      <c r="AI154" s="21">
        <v>-1.5472400000000001E-2</v>
      </c>
      <c r="AJ154" s="21">
        <v>144</v>
      </c>
      <c r="AK154" s="21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1">
        <v>1.07483</v>
      </c>
      <c r="AR154" s="21">
        <v>228.309</v>
      </c>
      <c r="AS154" s="21">
        <v>-1.4898700000000001E-2</v>
      </c>
      <c r="AT154" s="21">
        <v>144</v>
      </c>
      <c r="AU154" s="21">
        <v>1.07422</v>
      </c>
      <c r="AV154">
        <f t="shared" si="32"/>
        <v>14.898700000000002</v>
      </c>
      <c r="AW154">
        <f t="shared" si="33"/>
        <v>16.013569721</v>
      </c>
      <c r="AX154" s="9"/>
      <c r="AY154" s="21">
        <v>0.62515299999999996</v>
      </c>
      <c r="AZ154" s="21">
        <v>262.649</v>
      </c>
      <c r="BA154" s="21">
        <v>-1.53229E-2</v>
      </c>
      <c r="BB154" s="21">
        <v>144</v>
      </c>
      <c r="BC154" s="21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50.5154</v>
      </c>
      <c r="I155" s="21">
        <v>-1.53137E-2</v>
      </c>
      <c r="J155" s="21">
        <v>145</v>
      </c>
      <c r="K155" s="21">
        <v>1.06873</v>
      </c>
      <c r="L155">
        <f t="shared" si="24"/>
        <v>15.313699999999999</v>
      </c>
      <c r="M155">
        <f t="shared" si="25"/>
        <v>16.382443122999998</v>
      </c>
      <c r="N155" s="9"/>
      <c r="O155" s="21">
        <v>0.63018799999999997</v>
      </c>
      <c r="P155" s="21">
        <v>99.941900000000004</v>
      </c>
      <c r="Q155" s="21">
        <v>-1.5564E-2</v>
      </c>
      <c r="R155" s="21">
        <v>145</v>
      </c>
      <c r="S155" s="21">
        <v>0.62957799999999997</v>
      </c>
      <c r="T155">
        <f t="shared" si="26"/>
        <v>15.564</v>
      </c>
      <c r="U155">
        <f t="shared" si="27"/>
        <v>9.8082460319999996</v>
      </c>
      <c r="X155" s="9"/>
      <c r="Y155" s="21">
        <v>1.06979</v>
      </c>
      <c r="Z155" s="21">
        <v>129.399</v>
      </c>
      <c r="AA155" s="21">
        <v>-1.51123E-2</v>
      </c>
      <c r="AB155" s="21">
        <v>145</v>
      </c>
      <c r="AC155" s="21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1">
        <v>0.63018799999999997</v>
      </c>
      <c r="AH155" s="21">
        <v>178.87200000000001</v>
      </c>
      <c r="AI155" s="21">
        <v>-1.5466300000000001E-2</v>
      </c>
      <c r="AJ155" s="21">
        <v>145</v>
      </c>
      <c r="AK155" s="21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1">
        <v>1.06979</v>
      </c>
      <c r="AR155" s="21">
        <v>228.31899999999999</v>
      </c>
      <c r="AS155" s="21">
        <v>-1.4913900000000001E-2</v>
      </c>
      <c r="AT155" s="21">
        <v>145</v>
      </c>
      <c r="AU155" s="21">
        <v>1.0684199999999999</v>
      </c>
      <c r="AV155">
        <f t="shared" si="32"/>
        <v>14.9139</v>
      </c>
      <c r="AW155">
        <f t="shared" si="33"/>
        <v>15.954741081</v>
      </c>
      <c r="AX155" s="9"/>
      <c r="AY155" s="21">
        <v>0.63018799999999997</v>
      </c>
      <c r="AZ155" s="21">
        <v>262.65899999999999</v>
      </c>
      <c r="BA155" s="21">
        <v>-1.53229E-2</v>
      </c>
      <c r="BB155" s="21">
        <v>145</v>
      </c>
      <c r="BC155" s="21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50.525500000000001</v>
      </c>
      <c r="I156" s="21">
        <v>-1.53168E-2</v>
      </c>
      <c r="J156" s="21">
        <v>146</v>
      </c>
      <c r="K156" s="21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1">
        <v>0.63522299999999998</v>
      </c>
      <c r="P156" s="21">
        <v>99.951899999999995</v>
      </c>
      <c r="Q156" s="21">
        <v>-1.5554800000000001E-2</v>
      </c>
      <c r="R156" s="21">
        <v>146</v>
      </c>
      <c r="S156" s="21">
        <v>0.63449100000000003</v>
      </c>
      <c r="T156">
        <f t="shared" si="26"/>
        <v>15.5548</v>
      </c>
      <c r="U156">
        <f t="shared" si="27"/>
        <v>9.8807667204000005</v>
      </c>
      <c r="X156" s="9"/>
      <c r="Y156" s="21">
        <v>1.0647599999999999</v>
      </c>
      <c r="Z156" s="21">
        <v>129.40899999999999</v>
      </c>
      <c r="AA156" s="21">
        <v>-1.5118400000000001E-2</v>
      </c>
      <c r="AB156" s="21">
        <v>146</v>
      </c>
      <c r="AC156" s="21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1">
        <v>0.63522299999999998</v>
      </c>
      <c r="AH156" s="21">
        <v>178.88200000000001</v>
      </c>
      <c r="AI156" s="21">
        <v>-1.54541E-2</v>
      </c>
      <c r="AJ156" s="21">
        <v>146</v>
      </c>
      <c r="AK156" s="21">
        <v>0.634521</v>
      </c>
      <c r="AL156">
        <f t="shared" si="30"/>
        <v>15.4541</v>
      </c>
      <c r="AM156">
        <f t="shared" si="31"/>
        <v>9.8167997643000007</v>
      </c>
      <c r="AP156" s="9"/>
      <c r="AQ156" s="21">
        <v>1.0647599999999999</v>
      </c>
      <c r="AR156" s="21">
        <v>228.32900000000001</v>
      </c>
      <c r="AS156" s="21">
        <v>-1.49292E-2</v>
      </c>
      <c r="AT156" s="21">
        <v>146</v>
      </c>
      <c r="AU156" s="21">
        <v>1.0638399999999999</v>
      </c>
      <c r="AV156">
        <f t="shared" si="32"/>
        <v>14.9292</v>
      </c>
      <c r="AW156">
        <f t="shared" si="33"/>
        <v>15.896014992</v>
      </c>
      <c r="AX156" s="9"/>
      <c r="AY156" s="21">
        <v>0.63522299999999998</v>
      </c>
      <c r="AZ156" s="21">
        <v>262.66899999999998</v>
      </c>
      <c r="BA156" s="21">
        <v>-1.53259E-2</v>
      </c>
      <c r="BB156" s="21">
        <v>146</v>
      </c>
      <c r="BC156" s="21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50.535600000000002</v>
      </c>
      <c r="I157" s="21">
        <v>-1.53229E-2</v>
      </c>
      <c r="J157" s="21">
        <v>147</v>
      </c>
      <c r="K157" s="21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1">
        <v>0.64025900000000002</v>
      </c>
      <c r="P157" s="21">
        <v>99.962000000000003</v>
      </c>
      <c r="Q157" s="21">
        <v>-1.55579E-2</v>
      </c>
      <c r="R157" s="21">
        <v>147</v>
      </c>
      <c r="S157" s="21">
        <v>0.63949599999999995</v>
      </c>
      <c r="T157">
        <f t="shared" si="26"/>
        <v>15.5579</v>
      </c>
      <c r="U157">
        <f t="shared" si="27"/>
        <v>9.9610854961000008</v>
      </c>
      <c r="X157" s="9"/>
      <c r="Y157" s="21">
        <v>1.05972</v>
      </c>
      <c r="Z157" s="21">
        <v>129.41900000000001</v>
      </c>
      <c r="AA157" s="21">
        <v>-1.5130599999999999E-2</v>
      </c>
      <c r="AB157" s="21">
        <v>147</v>
      </c>
      <c r="AC157" s="21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1">
        <v>0.64025900000000002</v>
      </c>
      <c r="AH157" s="21">
        <v>178.892</v>
      </c>
      <c r="AI157" s="21">
        <v>-1.54541E-2</v>
      </c>
      <c r="AJ157" s="21">
        <v>147</v>
      </c>
      <c r="AK157" s="21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1">
        <v>1.05972</v>
      </c>
      <c r="AR157" s="21">
        <v>228.339</v>
      </c>
      <c r="AS157" s="21">
        <v>-1.4938399999999999E-2</v>
      </c>
      <c r="AT157" s="21">
        <v>147</v>
      </c>
      <c r="AU157" s="21">
        <v>1.0586500000000001</v>
      </c>
      <c r="AV157">
        <f t="shared" si="32"/>
        <v>14.9384</v>
      </c>
      <c r="AW157">
        <f t="shared" si="33"/>
        <v>15.830521248</v>
      </c>
      <c r="AX157" s="9"/>
      <c r="AY157" s="21">
        <v>0.64025900000000002</v>
      </c>
      <c r="AZ157" s="21">
        <v>262.67899999999997</v>
      </c>
      <c r="BA157" s="21">
        <v>-1.53229E-2</v>
      </c>
      <c r="BB157" s="21">
        <v>147</v>
      </c>
      <c r="BC157" s="21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50.5456</v>
      </c>
      <c r="I158" s="21">
        <v>-1.53229E-2</v>
      </c>
      <c r="J158" s="21">
        <v>148</v>
      </c>
      <c r="K158" s="21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1">
        <v>0.64529400000000003</v>
      </c>
      <c r="P158" s="21">
        <v>99.972099999999998</v>
      </c>
      <c r="Q158" s="21">
        <v>-1.5554800000000001E-2</v>
      </c>
      <c r="R158" s="21">
        <v>148</v>
      </c>
      <c r="S158" s="21">
        <v>0.64459200000000005</v>
      </c>
      <c r="T158">
        <f t="shared" si="26"/>
        <v>15.5548</v>
      </c>
      <c r="U158">
        <f t="shared" si="27"/>
        <v>10.0374191112</v>
      </c>
      <c r="X158" s="9"/>
      <c r="Y158" s="21">
        <v>1.0546899999999999</v>
      </c>
      <c r="Z158" s="21">
        <v>129.429</v>
      </c>
      <c r="AA158" s="21">
        <v>-1.51276E-2</v>
      </c>
      <c r="AB158" s="21">
        <v>148</v>
      </c>
      <c r="AC158" s="21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1">
        <v>0.64529400000000003</v>
      </c>
      <c r="AH158" s="21">
        <v>178.90299999999999</v>
      </c>
      <c r="AI158" s="21">
        <v>-1.5457200000000001E-2</v>
      </c>
      <c r="AJ158" s="21">
        <v>148</v>
      </c>
      <c r="AK158" s="21">
        <v>0.64462299999999995</v>
      </c>
      <c r="AL158">
        <f t="shared" si="30"/>
        <v>15.4572</v>
      </c>
      <c r="AM158">
        <f t="shared" si="31"/>
        <v>9.9744384168</v>
      </c>
      <c r="AP158" s="9"/>
      <c r="AQ158" s="21">
        <v>1.0546899999999999</v>
      </c>
      <c r="AR158" s="21">
        <v>228.34899999999999</v>
      </c>
      <c r="AS158" s="21">
        <v>-1.4947500000000001E-2</v>
      </c>
      <c r="AT158" s="21">
        <v>148</v>
      </c>
      <c r="AU158" s="21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1">
        <v>0.64529400000000003</v>
      </c>
      <c r="AZ158" s="21">
        <v>262.68900000000002</v>
      </c>
      <c r="BA158" s="21">
        <v>-1.53107E-2</v>
      </c>
      <c r="BB158" s="21">
        <v>148</v>
      </c>
      <c r="BC158" s="21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50.555700000000002</v>
      </c>
      <c r="I159" s="21">
        <v>-1.5332E-2</v>
      </c>
      <c r="J159" s="21">
        <v>149</v>
      </c>
      <c r="K159" s="21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1">
        <v>0.65032999999999996</v>
      </c>
      <c r="P159" s="21">
        <v>99.982100000000003</v>
      </c>
      <c r="Q159" s="21">
        <v>-1.5554800000000001E-2</v>
      </c>
      <c r="R159" s="21">
        <v>149</v>
      </c>
      <c r="S159" s="21">
        <v>0.64965799999999996</v>
      </c>
      <c r="T159">
        <f t="shared" si="26"/>
        <v>15.5548</v>
      </c>
      <c r="U159">
        <f t="shared" si="27"/>
        <v>10.115753084</v>
      </c>
      <c r="X159" s="9"/>
      <c r="Y159" s="21">
        <v>1.04965</v>
      </c>
      <c r="Z159" s="21">
        <v>129.43899999999999</v>
      </c>
      <c r="AA159" s="21">
        <v>-1.5118400000000001E-2</v>
      </c>
      <c r="AB159" s="21">
        <v>149</v>
      </c>
      <c r="AC159" s="21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1">
        <v>0.65032999999999996</v>
      </c>
      <c r="AH159" s="21">
        <v>178.91300000000001</v>
      </c>
      <c r="AI159" s="21">
        <v>-1.54541E-2</v>
      </c>
      <c r="AJ159" s="21">
        <v>149</v>
      </c>
      <c r="AK159" s="21">
        <v>0.64956700000000001</v>
      </c>
      <c r="AL159">
        <f t="shared" si="30"/>
        <v>15.4541</v>
      </c>
      <c r="AM159">
        <f t="shared" si="31"/>
        <v>10.050264853</v>
      </c>
      <c r="AP159" s="9"/>
      <c r="AQ159" s="21">
        <v>1.04965</v>
      </c>
      <c r="AR159" s="21">
        <v>228.35900000000001</v>
      </c>
      <c r="AS159" s="21">
        <v>-1.49658E-2</v>
      </c>
      <c r="AT159" s="21">
        <v>149</v>
      </c>
      <c r="AU159" s="21">
        <v>1.0485800000000001</v>
      </c>
      <c r="AV159">
        <f t="shared" si="32"/>
        <v>14.9658</v>
      </c>
      <c r="AW159">
        <f t="shared" si="33"/>
        <v>15.70885197</v>
      </c>
      <c r="AX159" s="9"/>
      <c r="AY159" s="21">
        <v>0.65032999999999996</v>
      </c>
      <c r="AZ159" s="21">
        <v>262.69900000000001</v>
      </c>
      <c r="BA159" s="21">
        <v>-1.5307599999999999E-2</v>
      </c>
      <c r="BB159" s="21">
        <v>149</v>
      </c>
      <c r="BC159" s="21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50.565800000000003</v>
      </c>
      <c r="I160" s="21">
        <v>-1.5347299999999999E-2</v>
      </c>
      <c r="J160" s="21">
        <v>150</v>
      </c>
      <c r="K160" s="21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1">
        <v>0.65536499999999998</v>
      </c>
      <c r="P160" s="21">
        <v>99.992199999999997</v>
      </c>
      <c r="Q160" s="21">
        <v>-1.5539600000000001E-2</v>
      </c>
      <c r="R160" s="21">
        <v>150</v>
      </c>
      <c r="S160" s="21">
        <v>0.65472399999999997</v>
      </c>
      <c r="T160">
        <f t="shared" si="26"/>
        <v>15.5396</v>
      </c>
      <c r="U160">
        <f t="shared" si="27"/>
        <v>10.184109954</v>
      </c>
      <c r="X160" s="9"/>
      <c r="Y160" s="21">
        <v>1.0446200000000001</v>
      </c>
      <c r="Z160" s="21">
        <v>129.44900000000001</v>
      </c>
      <c r="AA160" s="21">
        <v>-1.51215E-2</v>
      </c>
      <c r="AB160" s="21">
        <v>150</v>
      </c>
      <c r="AC160" s="21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1">
        <v>0.65536499999999998</v>
      </c>
      <c r="AH160" s="21">
        <v>178.923</v>
      </c>
      <c r="AI160" s="21">
        <v>-1.54541E-2</v>
      </c>
      <c r="AJ160" s="21">
        <v>150</v>
      </c>
      <c r="AK160" s="21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1">
        <v>1.0446200000000001</v>
      </c>
      <c r="AR160" s="21">
        <v>228.369</v>
      </c>
      <c r="AS160" s="21">
        <v>-1.4978E-2</v>
      </c>
      <c r="AT160" s="21">
        <v>150</v>
      </c>
      <c r="AU160" s="21">
        <v>1.0434000000000001</v>
      </c>
      <c r="AV160">
        <f t="shared" si="32"/>
        <v>14.978</v>
      </c>
      <c r="AW160">
        <f t="shared" si="33"/>
        <v>15.64631836</v>
      </c>
      <c r="AX160" s="9"/>
      <c r="AY160" s="21">
        <v>0.65536499999999998</v>
      </c>
      <c r="AZ160" s="21">
        <v>262.709</v>
      </c>
      <c r="BA160" s="21">
        <v>-1.5307599999999999E-2</v>
      </c>
      <c r="BB160" s="21">
        <v>150</v>
      </c>
      <c r="BC160" s="21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50.575899999999997</v>
      </c>
      <c r="I161" s="21">
        <v>-1.5356399999999999E-2</v>
      </c>
      <c r="J161" s="21">
        <v>151</v>
      </c>
      <c r="K161" s="21">
        <v>1.0379</v>
      </c>
      <c r="L161">
        <f t="shared" si="24"/>
        <v>15.356399999999999</v>
      </c>
      <c r="M161">
        <f t="shared" si="25"/>
        <v>15.964206311999998</v>
      </c>
      <c r="N161" s="9"/>
      <c r="O161" s="21">
        <v>0.66039999999999999</v>
      </c>
      <c r="P161" s="21">
        <v>100.002</v>
      </c>
      <c r="Q161" s="21">
        <v>-1.55304E-2</v>
      </c>
      <c r="R161" s="21">
        <v>151</v>
      </c>
      <c r="S161" s="21">
        <v>0.65978999999999999</v>
      </c>
      <c r="T161">
        <f t="shared" si="26"/>
        <v>15.5304</v>
      </c>
      <c r="U161">
        <f t="shared" si="27"/>
        <v>10.256276160000001</v>
      </c>
      <c r="X161" s="9"/>
      <c r="Y161" s="21">
        <v>1.0395799999999999</v>
      </c>
      <c r="Z161" s="21">
        <v>129.459</v>
      </c>
      <c r="AA161" s="21">
        <v>-1.5130599999999999E-2</v>
      </c>
      <c r="AB161" s="21">
        <v>151</v>
      </c>
      <c r="AC161" s="21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1">
        <v>0.66039999999999999</v>
      </c>
      <c r="AH161" s="21">
        <v>178.93299999999999</v>
      </c>
      <c r="AI161" s="21">
        <v>-1.5444899999999999E-2</v>
      </c>
      <c r="AJ161" s="21">
        <v>151</v>
      </c>
      <c r="AK161" s="21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1">
        <v>1.0395799999999999</v>
      </c>
      <c r="AR161" s="21">
        <v>228.37899999999999</v>
      </c>
      <c r="AS161" s="21">
        <v>-1.49902E-2</v>
      </c>
      <c r="AT161" s="21">
        <v>151</v>
      </c>
      <c r="AU161" s="21">
        <v>1.0382100000000001</v>
      </c>
      <c r="AV161">
        <f t="shared" si="32"/>
        <v>14.9902</v>
      </c>
      <c r="AW161">
        <f t="shared" si="33"/>
        <v>15.583512116</v>
      </c>
      <c r="AX161" s="9"/>
      <c r="AY161" s="21">
        <v>0.66039999999999999</v>
      </c>
      <c r="AZ161" s="21">
        <v>262.71899999999999</v>
      </c>
      <c r="BA161" s="21">
        <v>-1.5307599999999999E-2</v>
      </c>
      <c r="BB161" s="21">
        <v>151</v>
      </c>
      <c r="BC161" s="21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50.585900000000002</v>
      </c>
      <c r="I162" s="21">
        <v>-1.5380899999999999E-2</v>
      </c>
      <c r="J162" s="21">
        <v>152</v>
      </c>
      <c r="K162" s="21">
        <v>1.03363</v>
      </c>
      <c r="L162">
        <f t="shared" si="24"/>
        <v>15.380899999999999</v>
      </c>
      <c r="M162">
        <f t="shared" si="25"/>
        <v>15.912310095</v>
      </c>
      <c r="N162" s="9"/>
      <c r="O162" s="21">
        <v>0.66543600000000003</v>
      </c>
      <c r="P162" s="21">
        <v>100.012</v>
      </c>
      <c r="Q162" s="21">
        <v>-1.55304E-2</v>
      </c>
      <c r="R162" s="21">
        <v>152</v>
      </c>
      <c r="S162" s="21">
        <v>0.66473400000000005</v>
      </c>
      <c r="T162">
        <f t="shared" si="26"/>
        <v>15.5304</v>
      </c>
      <c r="U162">
        <f t="shared" si="27"/>
        <v>10.334487254400001</v>
      </c>
      <c r="X162" s="9"/>
      <c r="Y162" s="21">
        <v>1.0345500000000001</v>
      </c>
      <c r="Z162" s="21">
        <v>129.46899999999999</v>
      </c>
      <c r="AA162" s="21">
        <v>-1.5152000000000001E-2</v>
      </c>
      <c r="AB162" s="21">
        <v>152</v>
      </c>
      <c r="AC162" s="21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1">
        <v>0.66543600000000003</v>
      </c>
      <c r="AH162" s="21">
        <v>178.94300000000001</v>
      </c>
      <c r="AI162" s="21">
        <v>-1.54419E-2</v>
      </c>
      <c r="AJ162" s="21">
        <v>152</v>
      </c>
      <c r="AK162" s="21">
        <v>0.66473400000000005</v>
      </c>
      <c r="AL162">
        <f t="shared" si="30"/>
        <v>15.4419</v>
      </c>
      <c r="AM162">
        <f t="shared" si="31"/>
        <v>10.2755961684</v>
      </c>
      <c r="AP162" s="9"/>
      <c r="AQ162" s="21">
        <v>1.0345500000000001</v>
      </c>
      <c r="AR162" s="21">
        <v>228.38900000000001</v>
      </c>
      <c r="AS162" s="21">
        <v>-1.5002400000000001E-2</v>
      </c>
      <c r="AT162" s="21">
        <v>152</v>
      </c>
      <c r="AU162" s="21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1">
        <v>0.66543600000000003</v>
      </c>
      <c r="AZ162" s="21">
        <v>262.72899999999998</v>
      </c>
      <c r="BA162" s="21">
        <v>-1.52985E-2</v>
      </c>
      <c r="BB162" s="21">
        <v>152</v>
      </c>
      <c r="BC162" s="21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50.595999999999997</v>
      </c>
      <c r="I163" s="21">
        <v>-1.53931E-2</v>
      </c>
      <c r="J163" s="21">
        <v>153</v>
      </c>
      <c r="K163" s="21">
        <v>1.02905</v>
      </c>
      <c r="L163">
        <f t="shared" si="24"/>
        <v>15.3931</v>
      </c>
      <c r="M163">
        <f t="shared" si="25"/>
        <v>15.847350381</v>
      </c>
      <c r="N163" s="9"/>
      <c r="O163" s="21">
        <v>0.67047100000000004</v>
      </c>
      <c r="P163" s="21">
        <v>100.02200000000001</v>
      </c>
      <c r="Q163" s="21">
        <v>-1.55304E-2</v>
      </c>
      <c r="R163" s="21">
        <v>153</v>
      </c>
      <c r="S163" s="21">
        <v>0.66973899999999997</v>
      </c>
      <c r="T163">
        <f t="shared" si="26"/>
        <v>15.5304</v>
      </c>
      <c r="U163">
        <f t="shared" si="27"/>
        <v>10.4126828184</v>
      </c>
      <c r="X163" s="9"/>
      <c r="Y163" s="21">
        <v>1.0295099999999999</v>
      </c>
      <c r="Z163" s="21">
        <v>129.47900000000001</v>
      </c>
      <c r="AA163" s="21">
        <v>-1.5170299999999999E-2</v>
      </c>
      <c r="AB163" s="21">
        <v>153</v>
      </c>
      <c r="AC163" s="21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1">
        <v>0.67047100000000004</v>
      </c>
      <c r="AH163" s="21">
        <v>178.953</v>
      </c>
      <c r="AI163" s="21">
        <v>-1.54358E-2</v>
      </c>
      <c r="AJ163" s="21">
        <v>153</v>
      </c>
      <c r="AK163" s="21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1">
        <v>1.0295099999999999</v>
      </c>
      <c r="AR163" s="21">
        <v>228.399</v>
      </c>
      <c r="AS163" s="21">
        <v>-1.5008499999999999E-2</v>
      </c>
      <c r="AT163" s="21">
        <v>153</v>
      </c>
      <c r="AU163" s="21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1">
        <v>0.67047100000000004</v>
      </c>
      <c r="AZ163" s="21">
        <v>262.73899999999998</v>
      </c>
      <c r="BA163" s="21">
        <v>-1.52985E-2</v>
      </c>
      <c r="BB163" s="21">
        <v>153</v>
      </c>
      <c r="BC163" s="21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50.606099999999998</v>
      </c>
      <c r="I164" s="21">
        <v>-1.54022E-2</v>
      </c>
      <c r="J164" s="21">
        <v>154</v>
      </c>
      <c r="K164" s="21">
        <v>1.02356</v>
      </c>
      <c r="L164">
        <f t="shared" si="24"/>
        <v>15.402199999999999</v>
      </c>
      <c r="M164">
        <f t="shared" si="25"/>
        <v>15.779245855999999</v>
      </c>
      <c r="N164" s="9"/>
      <c r="O164" s="21">
        <v>0.67550699999999997</v>
      </c>
      <c r="P164" s="21">
        <v>100.032</v>
      </c>
      <c r="Q164" s="21">
        <v>-1.5533399999999999E-2</v>
      </c>
      <c r="R164" s="21">
        <v>154</v>
      </c>
      <c r="S164" s="21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1">
        <v>1.0244800000000001</v>
      </c>
      <c r="Z164" s="21">
        <v>129.49</v>
      </c>
      <c r="AA164" s="21">
        <v>-1.51886E-2</v>
      </c>
      <c r="AB164" s="21">
        <v>154</v>
      </c>
      <c r="AC164" s="21">
        <v>1.02325</v>
      </c>
      <c r="AD164">
        <f t="shared" si="28"/>
        <v>15.188599999999999</v>
      </c>
      <c r="AE164">
        <f t="shared" si="29"/>
        <v>15.560416928</v>
      </c>
      <c r="AF164" s="9"/>
      <c r="AG164" s="21">
        <v>0.67550699999999997</v>
      </c>
      <c r="AH164" s="21">
        <v>178.96299999999999</v>
      </c>
      <c r="AI164" s="21">
        <v>-1.5429699999999999E-2</v>
      </c>
      <c r="AJ164" s="21">
        <v>154</v>
      </c>
      <c r="AK164" s="21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1">
        <v>1.0244800000000001</v>
      </c>
      <c r="AR164" s="21">
        <v>228.40899999999999</v>
      </c>
      <c r="AS164" s="21">
        <v>-1.5014599999999999E-2</v>
      </c>
      <c r="AT164" s="21">
        <v>154</v>
      </c>
      <c r="AU164" s="21">
        <v>1.02356</v>
      </c>
      <c r="AV164">
        <f t="shared" si="32"/>
        <v>15.0146</v>
      </c>
      <c r="AW164">
        <f t="shared" si="33"/>
        <v>15.382157408000001</v>
      </c>
      <c r="AX164" s="9"/>
      <c r="AY164" s="21">
        <v>0.67550699999999997</v>
      </c>
      <c r="AZ164" s="21">
        <v>262.75</v>
      </c>
      <c r="BA164" s="21">
        <v>-1.52893E-2</v>
      </c>
      <c r="BB164" s="21">
        <v>154</v>
      </c>
      <c r="BC164" s="21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50.616100000000003</v>
      </c>
      <c r="I165" s="21">
        <v>-1.54083E-2</v>
      </c>
      <c r="J165" s="21">
        <v>155</v>
      </c>
      <c r="K165" s="21">
        <v>1.01837</v>
      </c>
      <c r="L165">
        <f t="shared" si="24"/>
        <v>15.408300000000001</v>
      </c>
      <c r="M165">
        <f t="shared" si="25"/>
        <v>15.707837351999999</v>
      </c>
      <c r="N165" s="9"/>
      <c r="O165" s="21">
        <v>0.68054199999999998</v>
      </c>
      <c r="P165" s="21">
        <v>100.04300000000001</v>
      </c>
      <c r="Q165" s="21">
        <v>-1.5527300000000001E-2</v>
      </c>
      <c r="R165" s="21">
        <v>155</v>
      </c>
      <c r="S165" s="21">
        <v>0.67981000000000003</v>
      </c>
      <c r="T165">
        <f t="shared" si="26"/>
        <v>15.5273</v>
      </c>
      <c r="U165">
        <f t="shared" si="27"/>
        <v>10.5669797966</v>
      </c>
      <c r="X165" s="9"/>
      <c r="Y165" s="21">
        <v>1.0194399999999999</v>
      </c>
      <c r="Z165" s="21">
        <v>129.5</v>
      </c>
      <c r="AA165" s="21">
        <v>-1.521E-2</v>
      </c>
      <c r="AB165" s="21">
        <v>155</v>
      </c>
      <c r="AC165" s="21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1">
        <v>0.68054199999999998</v>
      </c>
      <c r="AH165" s="21">
        <v>178.97300000000001</v>
      </c>
      <c r="AI165" s="21">
        <v>-1.54266E-2</v>
      </c>
      <c r="AJ165" s="21">
        <v>155</v>
      </c>
      <c r="AK165" s="21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1">
        <v>1.0194399999999999</v>
      </c>
      <c r="AR165" s="21">
        <v>228.41900000000001</v>
      </c>
      <c r="AS165" s="21">
        <v>-1.5014599999999999E-2</v>
      </c>
      <c r="AT165" s="21">
        <v>155</v>
      </c>
      <c r="AU165" s="21">
        <v>1.01807</v>
      </c>
      <c r="AV165">
        <f t="shared" si="32"/>
        <v>15.0146</v>
      </c>
      <c r="AW165">
        <f t="shared" si="33"/>
        <v>15.306483823999999</v>
      </c>
      <c r="AX165" s="9"/>
      <c r="AY165" s="21">
        <v>0.68054199999999998</v>
      </c>
      <c r="AZ165" s="21">
        <v>262.76</v>
      </c>
      <c r="BA165" s="21">
        <v>-1.5271E-2</v>
      </c>
      <c r="BB165" s="21">
        <v>155</v>
      </c>
      <c r="BC165" s="21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50.626199999999997</v>
      </c>
      <c r="I166" s="21">
        <v>-1.54144E-2</v>
      </c>
      <c r="J166" s="21">
        <v>156</v>
      </c>
      <c r="K166" s="21">
        <v>1.01349</v>
      </c>
      <c r="L166">
        <f t="shared" si="24"/>
        <v>15.414400000000001</v>
      </c>
      <c r="M166">
        <f t="shared" si="25"/>
        <v>15.636367359999999</v>
      </c>
      <c r="N166" s="9"/>
      <c r="O166" s="21">
        <v>0.68557699999999999</v>
      </c>
      <c r="P166" s="21">
        <v>100.053</v>
      </c>
      <c r="Q166" s="21">
        <v>-1.5521200000000001E-2</v>
      </c>
      <c r="R166" s="21">
        <v>156</v>
      </c>
      <c r="S166" s="21">
        <v>0.68484500000000004</v>
      </c>
      <c r="T166">
        <f t="shared" si="26"/>
        <v>15.5212</v>
      </c>
      <c r="U166">
        <f t="shared" si="27"/>
        <v>10.6409777324</v>
      </c>
      <c r="X166" s="9"/>
      <c r="Y166" s="21">
        <v>1.0144</v>
      </c>
      <c r="Z166" s="21">
        <v>129.51</v>
      </c>
      <c r="AA166" s="21">
        <v>-1.52161E-2</v>
      </c>
      <c r="AB166" s="21">
        <v>156</v>
      </c>
      <c r="AC166" s="21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1">
        <v>0.68557699999999999</v>
      </c>
      <c r="AH166" s="21">
        <v>178.983</v>
      </c>
      <c r="AI166" s="21">
        <v>-1.5417500000000001E-2</v>
      </c>
      <c r="AJ166" s="21">
        <v>156</v>
      </c>
      <c r="AK166" s="21">
        <v>0.68484500000000004</v>
      </c>
      <c r="AL166">
        <f t="shared" si="30"/>
        <v>15.4175</v>
      </c>
      <c r="AM166">
        <f t="shared" si="31"/>
        <v>10.5698833975</v>
      </c>
      <c r="AP166" s="9"/>
      <c r="AQ166" s="21">
        <v>1.0144</v>
      </c>
      <c r="AR166" s="21">
        <v>228.43</v>
      </c>
      <c r="AS166" s="21">
        <v>-1.5020800000000001E-2</v>
      </c>
      <c r="AT166" s="21">
        <v>156</v>
      </c>
      <c r="AU166" s="21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1">
        <v>0.68557699999999999</v>
      </c>
      <c r="AZ166" s="21">
        <v>262.77</v>
      </c>
      <c r="BA166" s="21">
        <v>-1.52649E-2</v>
      </c>
      <c r="BB166" s="21">
        <v>156</v>
      </c>
      <c r="BC166" s="21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50.636299999999999</v>
      </c>
      <c r="I167" s="21">
        <v>-1.54144E-2</v>
      </c>
      <c r="J167" s="21">
        <v>157</v>
      </c>
      <c r="K167" s="21">
        <v>1.00891</v>
      </c>
      <c r="L167">
        <f t="shared" si="24"/>
        <v>15.414400000000001</v>
      </c>
      <c r="M167">
        <f t="shared" si="25"/>
        <v>15.558832928000003</v>
      </c>
      <c r="N167" s="9"/>
      <c r="O167" s="21">
        <v>0.69061300000000003</v>
      </c>
      <c r="P167" s="21">
        <v>100.063</v>
      </c>
      <c r="Q167" s="21">
        <v>-1.55151E-2</v>
      </c>
      <c r="R167" s="21">
        <v>157</v>
      </c>
      <c r="S167" s="21">
        <v>0.68991100000000005</v>
      </c>
      <c r="T167">
        <f t="shared" si="26"/>
        <v>15.5151</v>
      </c>
      <c r="U167">
        <f t="shared" si="27"/>
        <v>10.7149297563</v>
      </c>
      <c r="X167" s="9"/>
      <c r="Y167" s="21">
        <v>1.0093700000000001</v>
      </c>
      <c r="Z167" s="21">
        <v>129.52000000000001</v>
      </c>
      <c r="AA167" s="21">
        <v>-1.5225199999999999E-2</v>
      </c>
      <c r="AB167" s="21">
        <v>157</v>
      </c>
      <c r="AC167" s="21">
        <v>1.00861</v>
      </c>
      <c r="AD167">
        <f t="shared" si="28"/>
        <v>15.225199999999999</v>
      </c>
      <c r="AE167">
        <f t="shared" si="29"/>
        <v>15.367860124</v>
      </c>
      <c r="AF167" s="9"/>
      <c r="AG167" s="21">
        <v>0.69061300000000003</v>
      </c>
      <c r="AH167" s="21">
        <v>178.99299999999999</v>
      </c>
      <c r="AI167" s="21">
        <v>-1.54144E-2</v>
      </c>
      <c r="AJ167" s="21">
        <v>157</v>
      </c>
      <c r="AK167" s="21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1">
        <v>1.0093700000000001</v>
      </c>
      <c r="AR167" s="21">
        <v>228.44</v>
      </c>
      <c r="AS167" s="21">
        <v>-1.5029900000000001E-2</v>
      </c>
      <c r="AT167" s="21">
        <v>157</v>
      </c>
      <c r="AU167" s="21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1">
        <v>0.69061300000000003</v>
      </c>
      <c r="AZ167" s="21">
        <v>262.77999999999997</v>
      </c>
      <c r="BA167" s="21">
        <v>-1.5252699999999999E-2</v>
      </c>
      <c r="BB167" s="21">
        <v>157</v>
      </c>
      <c r="BC167" s="21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50.6464</v>
      </c>
      <c r="I168" s="21">
        <v>-1.54053E-2</v>
      </c>
      <c r="J168" s="21">
        <v>158</v>
      </c>
      <c r="K168" s="21">
        <v>1.0037199999999999</v>
      </c>
      <c r="L168">
        <f t="shared" si="24"/>
        <v>15.4053</v>
      </c>
      <c r="M168">
        <f t="shared" si="25"/>
        <v>15.472004949</v>
      </c>
      <c r="N168" s="9"/>
      <c r="O168" s="21">
        <v>0.69564800000000004</v>
      </c>
      <c r="P168" s="21">
        <v>100.07299999999999</v>
      </c>
      <c r="Q168" s="21">
        <v>-1.5506000000000001E-2</v>
      </c>
      <c r="R168" s="21">
        <v>158</v>
      </c>
      <c r="S168" s="21">
        <v>0.69497699999999996</v>
      </c>
      <c r="T168">
        <f t="shared" si="26"/>
        <v>15.506</v>
      </c>
      <c r="U168">
        <f t="shared" si="27"/>
        <v>10.786717888</v>
      </c>
      <c r="X168" s="9"/>
      <c r="Y168" s="21">
        <v>1.0043299999999999</v>
      </c>
      <c r="Z168" s="21">
        <v>129.53</v>
      </c>
      <c r="AA168" s="21">
        <v>-1.52313E-2</v>
      </c>
      <c r="AB168" s="21">
        <v>158</v>
      </c>
      <c r="AC168" s="21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1">
        <v>0.69564800000000004</v>
      </c>
      <c r="AH168" s="21">
        <v>179.00299999999999</v>
      </c>
      <c r="AI168" s="21">
        <v>-1.53992E-2</v>
      </c>
      <c r="AJ168" s="21">
        <v>158</v>
      </c>
      <c r="AK168" s="21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1">
        <v>1.0043299999999999</v>
      </c>
      <c r="AR168" s="21">
        <v>228.45</v>
      </c>
      <c r="AS168" s="21">
        <v>-1.5036000000000001E-2</v>
      </c>
      <c r="AT168" s="21">
        <v>158</v>
      </c>
      <c r="AU168" s="21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1">
        <v>0.69564800000000004</v>
      </c>
      <c r="AZ168" s="21">
        <v>262.79000000000002</v>
      </c>
      <c r="BA168" s="21">
        <v>-1.52496E-2</v>
      </c>
      <c r="BB168" s="21">
        <v>158</v>
      </c>
      <c r="BC168" s="21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50.656399999999998</v>
      </c>
      <c r="I169" s="21">
        <v>-1.54053E-2</v>
      </c>
      <c r="J169" s="21">
        <v>159</v>
      </c>
      <c r="K169" s="21">
        <v>0.99792499999999995</v>
      </c>
      <c r="L169">
        <f t="shared" si="24"/>
        <v>15.4053</v>
      </c>
      <c r="M169">
        <f t="shared" si="25"/>
        <v>15.3944854794</v>
      </c>
      <c r="N169" s="9"/>
      <c r="O169" s="21">
        <v>0.70068399999999997</v>
      </c>
      <c r="P169" s="21">
        <v>100.083</v>
      </c>
      <c r="Q169" s="21">
        <v>-1.55029E-2</v>
      </c>
      <c r="R169" s="21">
        <v>159</v>
      </c>
      <c r="S169" s="21">
        <v>0.69995099999999999</v>
      </c>
      <c r="T169">
        <f t="shared" si="26"/>
        <v>15.5029</v>
      </c>
      <c r="U169">
        <f t="shared" si="27"/>
        <v>10.8626339836</v>
      </c>
      <c r="X169" s="9"/>
      <c r="Y169" s="21">
        <v>0.99929800000000002</v>
      </c>
      <c r="Z169" s="21">
        <v>129.54</v>
      </c>
      <c r="AA169" s="21">
        <v>-1.52344E-2</v>
      </c>
      <c r="AB169" s="21">
        <v>159</v>
      </c>
      <c r="AC169" s="21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1">
        <v>0.70068399999999997</v>
      </c>
      <c r="AH169" s="21">
        <v>179.01300000000001</v>
      </c>
      <c r="AI169" s="21">
        <v>-1.5396099999999999E-2</v>
      </c>
      <c r="AJ169" s="21">
        <v>159</v>
      </c>
      <c r="AK169" s="21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1">
        <v>0.99929800000000002</v>
      </c>
      <c r="AR169" s="21">
        <v>228.46</v>
      </c>
      <c r="AS169" s="21">
        <v>-1.50543E-2</v>
      </c>
      <c r="AT169" s="21">
        <v>159</v>
      </c>
      <c r="AU169" s="21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1">
        <v>0.70068399999999997</v>
      </c>
      <c r="AZ169" s="21">
        <v>262.8</v>
      </c>
      <c r="BA169" s="21">
        <v>-1.5240500000000001E-2</v>
      </c>
      <c r="BB169" s="21">
        <v>159</v>
      </c>
      <c r="BC169" s="21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50.666499999999999</v>
      </c>
      <c r="I170" s="21">
        <v>-1.54144E-2</v>
      </c>
      <c r="J170" s="21">
        <v>160</v>
      </c>
      <c r="K170" s="21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1">
        <v>0.70571899999999999</v>
      </c>
      <c r="P170" s="21">
        <v>100.093</v>
      </c>
      <c r="Q170" s="21">
        <v>-1.5506000000000001E-2</v>
      </c>
      <c r="R170" s="21">
        <v>160</v>
      </c>
      <c r="S170" s="21">
        <v>0.705017</v>
      </c>
      <c r="T170">
        <f t="shared" si="26"/>
        <v>15.506</v>
      </c>
      <c r="U170">
        <f t="shared" si="27"/>
        <v>10.942878814</v>
      </c>
      <c r="X170" s="9"/>
      <c r="Y170" s="21">
        <v>0.99426300000000001</v>
      </c>
      <c r="Z170" s="21">
        <v>129.55000000000001</v>
      </c>
      <c r="AA170" s="21">
        <v>-1.52435E-2</v>
      </c>
      <c r="AB170" s="21">
        <v>160</v>
      </c>
      <c r="AC170" s="21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1">
        <v>0.70571899999999999</v>
      </c>
      <c r="AH170" s="21">
        <v>179.023</v>
      </c>
      <c r="AI170" s="21">
        <v>-1.53931E-2</v>
      </c>
      <c r="AJ170" s="21">
        <v>160</v>
      </c>
      <c r="AK170" s="21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1">
        <v>0.99426300000000001</v>
      </c>
      <c r="AR170" s="21">
        <v>228.47</v>
      </c>
      <c r="AS170" s="21">
        <v>-1.5063500000000001E-2</v>
      </c>
      <c r="AT170" s="21">
        <v>160</v>
      </c>
      <c r="AU170" s="21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1">
        <v>0.70571899999999999</v>
      </c>
      <c r="AZ170" s="21">
        <v>262.81</v>
      </c>
      <c r="BA170" s="21">
        <v>-1.52283E-2</v>
      </c>
      <c r="BB170" s="21">
        <v>160</v>
      </c>
      <c r="BC170" s="21">
        <v>0.705017</v>
      </c>
      <c r="BD170">
        <f t="shared" si="34"/>
        <v>15.228300000000001</v>
      </c>
      <c r="BE170">
        <f t="shared" si="35"/>
        <v>10.7469006477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50.676600000000001</v>
      </c>
      <c r="I171" s="21">
        <v>-1.5417500000000001E-2</v>
      </c>
      <c r="J171" s="21">
        <v>161</v>
      </c>
      <c r="K171" s="21">
        <v>0.98846400000000001</v>
      </c>
      <c r="L171">
        <f t="shared" si="24"/>
        <v>15.4175</v>
      </c>
      <c r="M171">
        <f t="shared" si="25"/>
        <v>15.2514072725</v>
      </c>
      <c r="N171" s="9"/>
      <c r="O171" s="21">
        <v>0.710754</v>
      </c>
      <c r="P171" s="21">
        <v>100.10299999999999</v>
      </c>
      <c r="Q171" s="21">
        <v>-1.54938E-2</v>
      </c>
      <c r="R171" s="21">
        <v>161</v>
      </c>
      <c r="S171" s="21">
        <v>0.71008300000000002</v>
      </c>
      <c r="T171">
        <f t="shared" si="26"/>
        <v>15.4938</v>
      </c>
      <c r="U171">
        <f t="shared" si="27"/>
        <v>11.012280325200001</v>
      </c>
      <c r="X171" s="9"/>
      <c r="Y171" s="21">
        <v>0.98922699999999997</v>
      </c>
      <c r="Z171" s="21">
        <v>129.56</v>
      </c>
      <c r="AA171" s="21">
        <v>-1.5255700000000001E-2</v>
      </c>
      <c r="AB171" s="21">
        <v>161</v>
      </c>
      <c r="AC171" s="21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1">
        <v>0.710754</v>
      </c>
      <c r="AH171" s="21">
        <v>179.03299999999999</v>
      </c>
      <c r="AI171" s="21">
        <v>-1.5387E-2</v>
      </c>
      <c r="AJ171" s="21">
        <v>161</v>
      </c>
      <c r="AK171" s="21">
        <v>0.71008300000000002</v>
      </c>
      <c r="AL171">
        <f t="shared" si="30"/>
        <v>15.387</v>
      </c>
      <c r="AM171">
        <f t="shared" si="31"/>
        <v>10.936371798</v>
      </c>
      <c r="AP171" s="9"/>
      <c r="AQ171" s="21">
        <v>0.98922699999999997</v>
      </c>
      <c r="AR171" s="21">
        <v>228.48</v>
      </c>
      <c r="AS171" s="21">
        <v>-1.5069600000000001E-2</v>
      </c>
      <c r="AT171" s="21">
        <v>161</v>
      </c>
      <c r="AU171" s="21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1">
        <v>0.710754</v>
      </c>
      <c r="AZ171" s="21">
        <v>262.82</v>
      </c>
      <c r="BA171" s="21">
        <v>-1.5219099999999999E-2</v>
      </c>
      <c r="BB171" s="21">
        <v>161</v>
      </c>
      <c r="BC171" s="21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50.686599999999999</v>
      </c>
      <c r="I172" s="21">
        <v>-1.54205E-2</v>
      </c>
      <c r="J172" s="21">
        <v>162</v>
      </c>
      <c r="K172" s="21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1">
        <v>0.71579000000000004</v>
      </c>
      <c r="P172" s="21">
        <v>100.113</v>
      </c>
      <c r="Q172" s="21">
        <v>-1.54816E-2</v>
      </c>
      <c r="R172" s="21">
        <v>162</v>
      </c>
      <c r="S172" s="21">
        <v>0.71511800000000003</v>
      </c>
      <c r="T172">
        <f t="shared" si="26"/>
        <v>15.4816</v>
      </c>
      <c r="U172">
        <f t="shared" si="27"/>
        <v>11.081574464000001</v>
      </c>
      <c r="X172" s="9"/>
      <c r="Y172" s="21">
        <v>0.98419199999999996</v>
      </c>
      <c r="Z172" s="21">
        <v>129.57</v>
      </c>
      <c r="AA172" s="21">
        <v>-1.5267899999999999E-2</v>
      </c>
      <c r="AB172" s="21">
        <v>162</v>
      </c>
      <c r="AC172" s="21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1">
        <v>0.71579000000000004</v>
      </c>
      <c r="AH172" s="21">
        <v>179.04400000000001</v>
      </c>
      <c r="AI172" s="21">
        <v>-1.5383900000000001E-2</v>
      </c>
      <c r="AJ172" s="21">
        <v>162</v>
      </c>
      <c r="AK172" s="21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1">
        <v>0.98419199999999996</v>
      </c>
      <c r="AR172" s="21">
        <v>228.49</v>
      </c>
      <c r="AS172" s="21">
        <v>-1.50726E-2</v>
      </c>
      <c r="AT172" s="21">
        <v>162</v>
      </c>
      <c r="AU172" s="21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1">
        <v>0.71579000000000004</v>
      </c>
      <c r="AZ172" s="21">
        <v>262.83</v>
      </c>
      <c r="BA172" s="21">
        <v>-1.5197799999999999E-2</v>
      </c>
      <c r="BB172" s="21">
        <v>162</v>
      </c>
      <c r="BC172" s="21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50.6967</v>
      </c>
      <c r="I173" s="21">
        <v>-1.54266E-2</v>
      </c>
      <c r="J173" s="21">
        <v>163</v>
      </c>
      <c r="K173" s="21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1">
        <v>0.72082500000000005</v>
      </c>
      <c r="P173" s="21">
        <v>100.123</v>
      </c>
      <c r="Q173" s="21">
        <v>-1.54755E-2</v>
      </c>
      <c r="R173" s="21">
        <v>163</v>
      </c>
      <c r="S173" s="21">
        <v>0.72018400000000005</v>
      </c>
      <c r="T173">
        <f t="shared" si="26"/>
        <v>15.4755</v>
      </c>
      <c r="U173">
        <f t="shared" si="27"/>
        <v>11.155127287500001</v>
      </c>
      <c r="X173" s="9"/>
      <c r="Y173" s="21">
        <v>0.97915600000000003</v>
      </c>
      <c r="Z173" s="21">
        <v>129.58000000000001</v>
      </c>
      <c r="AA173" s="21">
        <v>-1.52771E-2</v>
      </c>
      <c r="AB173" s="21">
        <v>163</v>
      </c>
      <c r="AC173" s="21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1">
        <v>0.72082500000000005</v>
      </c>
      <c r="AH173" s="21">
        <v>179.054</v>
      </c>
      <c r="AI173" s="21">
        <v>-1.5374799999999999E-2</v>
      </c>
      <c r="AJ173" s="21">
        <v>163</v>
      </c>
      <c r="AK173" s="21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1">
        <v>0.97915600000000003</v>
      </c>
      <c r="AR173" s="21">
        <v>228.5</v>
      </c>
      <c r="AS173" s="21">
        <v>-1.50787E-2</v>
      </c>
      <c r="AT173" s="21">
        <v>163</v>
      </c>
      <c r="AU173" s="21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1">
        <v>0.72082500000000005</v>
      </c>
      <c r="AZ173" s="21">
        <v>262.83999999999997</v>
      </c>
      <c r="BA173" s="21">
        <v>-1.51825E-2</v>
      </c>
      <c r="BB173" s="21">
        <v>163</v>
      </c>
      <c r="BC173" s="21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50.706800000000001</v>
      </c>
      <c r="I174" s="21">
        <v>-1.54419E-2</v>
      </c>
      <c r="J174" s="21">
        <v>164</v>
      </c>
      <c r="K174" s="21">
        <v>0.97289999999999999</v>
      </c>
      <c r="L174">
        <f t="shared" si="24"/>
        <v>15.4419</v>
      </c>
      <c r="M174">
        <f t="shared" si="25"/>
        <v>15.042279069900001</v>
      </c>
      <c r="N174" s="9"/>
      <c r="O174" s="21">
        <v>0.72586099999999998</v>
      </c>
      <c r="P174" s="21">
        <v>100.133</v>
      </c>
      <c r="Q174" s="21">
        <v>-1.5484599999999999E-2</v>
      </c>
      <c r="R174" s="21">
        <v>164</v>
      </c>
      <c r="S174" s="21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1">
        <v>0.97412100000000001</v>
      </c>
      <c r="Z174" s="21">
        <v>129.59</v>
      </c>
      <c r="AA174" s="21">
        <v>-1.5292399999999999E-2</v>
      </c>
      <c r="AB174" s="21">
        <v>164</v>
      </c>
      <c r="AC174" s="21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1">
        <v>0.72586099999999998</v>
      </c>
      <c r="AH174" s="21">
        <v>179.06399999999999</v>
      </c>
      <c r="AI174" s="21">
        <v>-1.5374799999999999E-2</v>
      </c>
      <c r="AJ174" s="21">
        <v>164</v>
      </c>
      <c r="AK174" s="21">
        <v>0.725159</v>
      </c>
      <c r="AL174">
        <f t="shared" si="30"/>
        <v>15.374799999999999</v>
      </c>
      <c r="AM174">
        <f t="shared" si="31"/>
        <v>11.1599677028</v>
      </c>
      <c r="AP174" s="9"/>
      <c r="AQ174" s="21">
        <v>0.97412100000000001</v>
      </c>
      <c r="AR174" s="21">
        <v>228.51</v>
      </c>
      <c r="AS174" s="21">
        <v>-1.5081799999999999E-2</v>
      </c>
      <c r="AT174" s="21">
        <v>164</v>
      </c>
      <c r="AU174" s="21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1">
        <v>0.72586099999999998</v>
      </c>
      <c r="AZ174" s="21">
        <v>262.85000000000002</v>
      </c>
      <c r="BA174" s="21">
        <v>-1.5170299999999999E-2</v>
      </c>
      <c r="BB174" s="21">
        <v>164</v>
      </c>
      <c r="BC174" s="21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50.716900000000003</v>
      </c>
      <c r="I175" s="21">
        <v>-1.5448E-2</v>
      </c>
      <c r="J175" s="21">
        <v>165</v>
      </c>
      <c r="K175" s="21">
        <v>0.96771200000000002</v>
      </c>
      <c r="L175">
        <f t="shared" si="24"/>
        <v>15.448</v>
      </c>
      <c r="M175">
        <f t="shared" si="25"/>
        <v>14.970440528000001</v>
      </c>
      <c r="N175" s="9"/>
      <c r="O175" s="21">
        <v>0.73089599999999999</v>
      </c>
      <c r="P175" s="21">
        <v>100.143</v>
      </c>
      <c r="Q175" s="21">
        <v>-1.5484599999999999E-2</v>
      </c>
      <c r="R175" s="21">
        <v>165</v>
      </c>
      <c r="S175" s="21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1">
        <v>0.969086</v>
      </c>
      <c r="Z175" s="21">
        <v>129.6</v>
      </c>
      <c r="AA175" s="21">
        <v>-1.53046E-2</v>
      </c>
      <c r="AB175" s="21">
        <v>165</v>
      </c>
      <c r="AC175" s="21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1">
        <v>0.73089599999999999</v>
      </c>
      <c r="AH175" s="21">
        <v>179.07400000000001</v>
      </c>
      <c r="AI175" s="21">
        <v>-1.5368700000000001E-2</v>
      </c>
      <c r="AJ175" s="21">
        <v>165</v>
      </c>
      <c r="AK175" s="21">
        <v>0.73022500000000001</v>
      </c>
      <c r="AL175">
        <f t="shared" si="30"/>
        <v>15.3687</v>
      </c>
      <c r="AM175">
        <f t="shared" si="31"/>
        <v>11.2329213552</v>
      </c>
      <c r="AP175" s="9"/>
      <c r="AQ175" s="21">
        <v>0.969086</v>
      </c>
      <c r="AR175" s="21">
        <v>228.52</v>
      </c>
      <c r="AS175" s="21">
        <v>-1.5084800000000001E-2</v>
      </c>
      <c r="AT175" s="21">
        <v>165</v>
      </c>
      <c r="AU175" s="21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1">
        <v>0.73089599999999999</v>
      </c>
      <c r="AZ175" s="21">
        <v>262.86</v>
      </c>
      <c r="BA175" s="21">
        <v>-1.51672E-2</v>
      </c>
      <c r="BB175" s="21">
        <v>165</v>
      </c>
      <c r="BC175" s="21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50.726900000000001</v>
      </c>
      <c r="I176" s="21">
        <v>-1.54541E-2</v>
      </c>
      <c r="J176" s="21">
        <v>166</v>
      </c>
      <c r="K176" s="21">
        <v>0.96313499999999996</v>
      </c>
      <c r="L176">
        <f t="shared" si="24"/>
        <v>15.4541</v>
      </c>
      <c r="M176">
        <f t="shared" si="25"/>
        <v>14.898525104999999</v>
      </c>
      <c r="N176" s="9"/>
      <c r="O176" s="21">
        <v>0.735931</v>
      </c>
      <c r="P176" s="21">
        <v>100.15300000000001</v>
      </c>
      <c r="Q176" s="21">
        <v>-1.54938E-2</v>
      </c>
      <c r="R176" s="21">
        <v>166</v>
      </c>
      <c r="S176" s="21">
        <v>0.73522900000000002</v>
      </c>
      <c r="T176">
        <f t="shared" si="26"/>
        <v>15.4938</v>
      </c>
      <c r="U176">
        <f t="shared" si="27"/>
        <v>11.4023677278</v>
      </c>
      <c r="X176" s="9"/>
      <c r="Y176" s="21">
        <v>0.96404999999999996</v>
      </c>
      <c r="Z176" s="21">
        <v>129.61000000000001</v>
      </c>
      <c r="AA176" s="21">
        <v>-1.53137E-2</v>
      </c>
      <c r="AB176" s="21">
        <v>166</v>
      </c>
      <c r="AC176" s="21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1">
        <v>0.735931</v>
      </c>
      <c r="AH176" s="21">
        <v>179.084</v>
      </c>
      <c r="AI176" s="21">
        <v>-1.53656E-2</v>
      </c>
      <c r="AJ176" s="21">
        <v>166</v>
      </c>
      <c r="AK176" s="21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1">
        <v>0.96404999999999996</v>
      </c>
      <c r="AR176" s="21">
        <v>228.53</v>
      </c>
      <c r="AS176" s="21">
        <v>-1.5090900000000001E-2</v>
      </c>
      <c r="AT176" s="21">
        <v>166</v>
      </c>
      <c r="AU176" s="21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1">
        <v>0.735931</v>
      </c>
      <c r="AZ176" s="21">
        <v>262.87</v>
      </c>
      <c r="BA176" s="21">
        <v>-1.5155E-2</v>
      </c>
      <c r="BB176" s="21">
        <v>166</v>
      </c>
      <c r="BC176" s="21">
        <v>0.735321</v>
      </c>
      <c r="BD176">
        <f t="shared" si="34"/>
        <v>15.154999999999999</v>
      </c>
      <c r="BE176">
        <f t="shared" si="35"/>
        <v>11.153034305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50.737000000000002</v>
      </c>
      <c r="I177" s="21">
        <v>-1.54602E-2</v>
      </c>
      <c r="J177" s="21">
        <v>167</v>
      </c>
      <c r="K177" s="21">
        <v>0.95794699999999999</v>
      </c>
      <c r="L177">
        <f t="shared" si="24"/>
        <v>15.4602</v>
      </c>
      <c r="M177">
        <f t="shared" si="25"/>
        <v>14.826563703</v>
      </c>
      <c r="N177" s="9"/>
      <c r="O177" s="21">
        <v>0.74096700000000004</v>
      </c>
      <c r="P177" s="21">
        <v>100.163</v>
      </c>
      <c r="Q177" s="21">
        <v>-1.54938E-2</v>
      </c>
      <c r="R177" s="21">
        <v>167</v>
      </c>
      <c r="S177" s="21">
        <v>0.74020399999999997</v>
      </c>
      <c r="T177">
        <f t="shared" si="26"/>
        <v>15.4938</v>
      </c>
      <c r="U177">
        <f t="shared" si="27"/>
        <v>11.480394504600001</v>
      </c>
      <c r="X177" s="9"/>
      <c r="Y177" s="21">
        <v>0.95901499999999995</v>
      </c>
      <c r="Z177" s="21">
        <v>129.62</v>
      </c>
      <c r="AA177" s="21">
        <v>-1.53107E-2</v>
      </c>
      <c r="AB177" s="21">
        <v>167</v>
      </c>
      <c r="AC177" s="21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1">
        <v>0.74096700000000004</v>
      </c>
      <c r="AH177" s="21">
        <v>179.09399999999999</v>
      </c>
      <c r="AI177" s="21">
        <v>-1.53717E-2</v>
      </c>
      <c r="AJ177" s="21">
        <v>167</v>
      </c>
      <c r="AK177" s="21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1">
        <v>0.95901499999999995</v>
      </c>
      <c r="AR177" s="21">
        <v>228.54</v>
      </c>
      <c r="AS177" s="21">
        <v>-1.51001E-2</v>
      </c>
      <c r="AT177" s="21">
        <v>167</v>
      </c>
      <c r="AU177" s="21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1">
        <v>0.74096700000000004</v>
      </c>
      <c r="AZ177" s="21">
        <v>262.88</v>
      </c>
      <c r="BA177" s="21">
        <v>-1.5158100000000001E-2</v>
      </c>
      <c r="BB177" s="21">
        <v>167</v>
      </c>
      <c r="BC177" s="21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50.747100000000003</v>
      </c>
      <c r="I178" s="21">
        <v>-1.5466300000000001E-2</v>
      </c>
      <c r="J178" s="21">
        <v>168</v>
      </c>
      <c r="K178" s="21">
        <v>0.95336900000000002</v>
      </c>
      <c r="L178">
        <f t="shared" si="24"/>
        <v>15.4663</v>
      </c>
      <c r="M178">
        <f t="shared" si="25"/>
        <v>14.754525407700001</v>
      </c>
      <c r="N178" s="9"/>
      <c r="O178" s="21">
        <v>0.74600200000000005</v>
      </c>
      <c r="P178" s="21">
        <v>100.173</v>
      </c>
      <c r="Q178" s="21">
        <v>-1.54968E-2</v>
      </c>
      <c r="R178" s="21">
        <v>168</v>
      </c>
      <c r="S178" s="21">
        <v>0.74533099999999997</v>
      </c>
      <c r="T178">
        <f t="shared" si="26"/>
        <v>15.4968</v>
      </c>
      <c r="U178">
        <f t="shared" si="27"/>
        <v>11.560643793600001</v>
      </c>
      <c r="X178" s="9"/>
      <c r="Y178" s="21">
        <v>0.95397900000000002</v>
      </c>
      <c r="Z178" s="21">
        <v>129.631</v>
      </c>
      <c r="AA178" s="21">
        <v>-1.5301500000000001E-2</v>
      </c>
      <c r="AB178" s="21">
        <v>168</v>
      </c>
      <c r="AC178" s="21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1">
        <v>0.74600200000000005</v>
      </c>
      <c r="AH178" s="21">
        <v>179.10400000000001</v>
      </c>
      <c r="AI178" s="21">
        <v>-1.5368700000000001E-2</v>
      </c>
      <c r="AJ178" s="21">
        <v>168</v>
      </c>
      <c r="AK178" s="21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1">
        <v>0.95397900000000002</v>
      </c>
      <c r="AR178" s="21">
        <v>228.55</v>
      </c>
      <c r="AS178" s="21">
        <v>-1.51062E-2</v>
      </c>
      <c r="AT178" s="21">
        <v>168</v>
      </c>
      <c r="AU178" s="21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1">
        <v>0.74600200000000005</v>
      </c>
      <c r="AZ178" s="21">
        <v>262.89100000000002</v>
      </c>
      <c r="BA178" s="21">
        <v>-1.51672E-2</v>
      </c>
      <c r="BB178" s="21">
        <v>168</v>
      </c>
      <c r="BC178" s="21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50.757100000000001</v>
      </c>
      <c r="I179" s="21">
        <v>-1.5466300000000001E-2</v>
      </c>
      <c r="J179" s="21">
        <v>169</v>
      </c>
      <c r="K179" s="21">
        <v>0.94787600000000005</v>
      </c>
      <c r="L179">
        <f t="shared" si="24"/>
        <v>15.4663</v>
      </c>
      <c r="M179">
        <f t="shared" si="25"/>
        <v>14.676652587200001</v>
      </c>
      <c r="N179" s="9"/>
      <c r="O179" s="21">
        <v>0.75103799999999998</v>
      </c>
      <c r="P179" s="21">
        <v>100.184</v>
      </c>
      <c r="Q179" s="21">
        <v>-1.54938E-2</v>
      </c>
      <c r="R179" s="21">
        <v>169</v>
      </c>
      <c r="S179" s="21">
        <v>0.750305</v>
      </c>
      <c r="T179">
        <f t="shared" si="26"/>
        <v>15.4938</v>
      </c>
      <c r="U179">
        <f t="shared" si="27"/>
        <v>11.6364325644</v>
      </c>
      <c r="X179" s="9"/>
      <c r="Y179" s="21">
        <v>0.94894400000000001</v>
      </c>
      <c r="Z179" s="21">
        <v>129.64099999999999</v>
      </c>
      <c r="AA179" s="21">
        <v>-1.5292399999999999E-2</v>
      </c>
      <c r="AB179" s="21">
        <v>169</v>
      </c>
      <c r="AC179" s="21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1">
        <v>0.75103799999999998</v>
      </c>
      <c r="AH179" s="21">
        <v>179.114</v>
      </c>
      <c r="AI179" s="21">
        <v>-1.53595E-2</v>
      </c>
      <c r="AJ179" s="21">
        <v>169</v>
      </c>
      <c r="AK179" s="21">
        <v>0.750305</v>
      </c>
      <c r="AL179">
        <f t="shared" si="30"/>
        <v>15.359500000000001</v>
      </c>
      <c r="AM179">
        <f t="shared" si="31"/>
        <v>11.535568161</v>
      </c>
      <c r="AP179" s="9"/>
      <c r="AQ179" s="21">
        <v>0.94894400000000001</v>
      </c>
      <c r="AR179" s="21">
        <v>228.56</v>
      </c>
      <c r="AS179" s="21">
        <v>-1.5109300000000001E-2</v>
      </c>
      <c r="AT179" s="21">
        <v>169</v>
      </c>
      <c r="AU179" s="21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1">
        <v>0.75103799999999998</v>
      </c>
      <c r="AZ179" s="21">
        <v>262.90100000000001</v>
      </c>
      <c r="BA179" s="21">
        <v>-1.51672E-2</v>
      </c>
      <c r="BB179" s="21">
        <v>169</v>
      </c>
      <c r="BC179" s="21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50.767200000000003</v>
      </c>
      <c r="I180" s="21">
        <v>-1.5472400000000001E-2</v>
      </c>
      <c r="J180" s="21">
        <v>170</v>
      </c>
      <c r="K180" s="21">
        <v>0.94299299999999997</v>
      </c>
      <c r="L180">
        <f t="shared" si="24"/>
        <v>15.4724</v>
      </c>
      <c r="M180">
        <f t="shared" si="25"/>
        <v>14.6045376116</v>
      </c>
      <c r="N180" s="9"/>
      <c r="O180" s="21">
        <v>0.756073</v>
      </c>
      <c r="P180" s="21">
        <v>100.194</v>
      </c>
      <c r="Q180" s="21">
        <v>-1.5484599999999999E-2</v>
      </c>
      <c r="R180" s="21">
        <v>170</v>
      </c>
      <c r="S180" s="21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1">
        <v>0.943909</v>
      </c>
      <c r="Z180" s="21">
        <v>129.65100000000001</v>
      </c>
      <c r="AA180" s="21">
        <v>-1.52893E-2</v>
      </c>
      <c r="AB180" s="21">
        <v>170</v>
      </c>
      <c r="AC180" s="21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1">
        <v>0.756073</v>
      </c>
      <c r="AH180" s="21">
        <v>179.124</v>
      </c>
      <c r="AI180" s="21">
        <v>-1.53534E-2</v>
      </c>
      <c r="AJ180" s="21">
        <v>170</v>
      </c>
      <c r="AK180" s="21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1">
        <v>0.943909</v>
      </c>
      <c r="AR180" s="21">
        <v>228.571</v>
      </c>
      <c r="AS180" s="21">
        <v>-1.51031E-2</v>
      </c>
      <c r="AT180" s="21">
        <v>170</v>
      </c>
      <c r="AU180" s="21">
        <v>0.943604</v>
      </c>
      <c r="AV180">
        <f t="shared" si="32"/>
        <v>15.1031</v>
      </c>
      <c r="AW180">
        <f t="shared" si="33"/>
        <v>14.2559520179</v>
      </c>
      <c r="AX180" s="9"/>
      <c r="AY180" s="21">
        <v>0.756073</v>
      </c>
      <c r="AZ180" s="21">
        <v>262.911</v>
      </c>
      <c r="BA180" s="21">
        <v>-1.51611E-2</v>
      </c>
      <c r="BB180" s="21">
        <v>170</v>
      </c>
      <c r="BC180" s="21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50.777299999999997</v>
      </c>
      <c r="I181" s="21">
        <v>-1.54816E-2</v>
      </c>
      <c r="J181" s="21">
        <v>171</v>
      </c>
      <c r="K181" s="21">
        <v>0.93841600000000003</v>
      </c>
      <c r="L181">
        <f t="shared" si="24"/>
        <v>15.4816</v>
      </c>
      <c r="M181">
        <f t="shared" si="25"/>
        <v>14.5352562368</v>
      </c>
      <c r="N181" s="9"/>
      <c r="O181" s="21">
        <v>0.76110800000000001</v>
      </c>
      <c r="P181" s="21">
        <v>100.20399999999999</v>
      </c>
      <c r="Q181" s="21">
        <v>-1.5478499999999999E-2</v>
      </c>
      <c r="R181" s="21">
        <v>171</v>
      </c>
      <c r="S181" s="21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1">
        <v>0.93887299999999996</v>
      </c>
      <c r="Z181" s="21">
        <v>129.661</v>
      </c>
      <c r="AA181" s="21">
        <v>-1.52985E-2</v>
      </c>
      <c r="AB181" s="21">
        <v>171</v>
      </c>
      <c r="AC181" s="21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1">
        <v>0.76110800000000001</v>
      </c>
      <c r="AH181" s="21">
        <v>179.13399999999999</v>
      </c>
      <c r="AI181" s="21">
        <v>-1.5341199999999999E-2</v>
      </c>
      <c r="AJ181" s="21">
        <v>171</v>
      </c>
      <c r="AK181" s="21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1">
        <v>0.93887299999999996</v>
      </c>
      <c r="AR181" s="21">
        <v>228.58099999999999</v>
      </c>
      <c r="AS181" s="21">
        <v>-1.5090900000000001E-2</v>
      </c>
      <c r="AT181" s="21">
        <v>171</v>
      </c>
      <c r="AU181" s="21">
        <v>0.93811</v>
      </c>
      <c r="AV181">
        <f t="shared" si="32"/>
        <v>15.090900000000001</v>
      </c>
      <c r="AW181">
        <f t="shared" si="33"/>
        <v>14.1684385557</v>
      </c>
      <c r="AX181" s="9"/>
      <c r="AY181" s="21">
        <v>0.76110800000000001</v>
      </c>
      <c r="AZ181" s="21">
        <v>262.92099999999999</v>
      </c>
      <c r="BA181" s="21">
        <v>-1.51611E-2</v>
      </c>
      <c r="BB181" s="21">
        <v>171</v>
      </c>
      <c r="BC181" s="21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50.787300000000002</v>
      </c>
      <c r="I182" s="21">
        <v>-1.54907E-2</v>
      </c>
      <c r="J182" s="21">
        <v>172</v>
      </c>
      <c r="K182" s="21">
        <v>0.93231200000000003</v>
      </c>
      <c r="L182">
        <f t="shared" si="24"/>
        <v>15.4907</v>
      </c>
      <c r="M182">
        <f t="shared" si="25"/>
        <v>14.465804306599999</v>
      </c>
      <c r="N182" s="9"/>
      <c r="O182" s="21">
        <v>0.76614400000000005</v>
      </c>
      <c r="P182" s="21">
        <v>100.214</v>
      </c>
      <c r="Q182" s="21">
        <v>-1.5469399999999999E-2</v>
      </c>
      <c r="R182" s="21">
        <v>172</v>
      </c>
      <c r="S182" s="21">
        <v>0.76507599999999998</v>
      </c>
      <c r="T182">
        <f t="shared" si="26"/>
        <v>15.4694</v>
      </c>
      <c r="U182">
        <f t="shared" si="27"/>
        <v>11.8517879936</v>
      </c>
      <c r="X182" s="9"/>
      <c r="Y182" s="21">
        <v>0.93383799999999995</v>
      </c>
      <c r="Z182" s="21">
        <v>129.67099999999999</v>
      </c>
      <c r="AA182" s="21">
        <v>-1.5307599999999999E-2</v>
      </c>
      <c r="AB182" s="21">
        <v>172</v>
      </c>
      <c r="AC182" s="21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1">
        <v>0.76614400000000005</v>
      </c>
      <c r="AH182" s="21">
        <v>179.14400000000001</v>
      </c>
      <c r="AI182" s="21">
        <v>-1.5335100000000001E-2</v>
      </c>
      <c r="AJ182" s="21">
        <v>172</v>
      </c>
      <c r="AK182" s="21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1">
        <v>0.93383799999999995</v>
      </c>
      <c r="AR182" s="21">
        <v>228.59100000000001</v>
      </c>
      <c r="AS182" s="21">
        <v>-1.50879E-2</v>
      </c>
      <c r="AT182" s="21">
        <v>172</v>
      </c>
      <c r="AU182" s="21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1">
        <v>0.76614400000000005</v>
      </c>
      <c r="AZ182" s="21">
        <v>262.93099999999998</v>
      </c>
      <c r="BA182" s="21">
        <v>-1.5158100000000001E-2</v>
      </c>
      <c r="BB182" s="21">
        <v>172</v>
      </c>
      <c r="BC182" s="21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50.797400000000003</v>
      </c>
      <c r="I183" s="21">
        <v>-1.54968E-2</v>
      </c>
      <c r="J183" s="21">
        <v>173</v>
      </c>
      <c r="K183" s="21">
        <v>0.92803999999999998</v>
      </c>
      <c r="L183">
        <f t="shared" si="24"/>
        <v>15.4968</v>
      </c>
      <c r="M183">
        <f t="shared" si="25"/>
        <v>14.3934588336</v>
      </c>
      <c r="N183" s="9"/>
      <c r="O183" s="21">
        <v>0.77117899999999995</v>
      </c>
      <c r="P183" s="21">
        <v>100.224</v>
      </c>
      <c r="Q183" s="21">
        <v>-1.5466300000000001E-2</v>
      </c>
      <c r="R183" s="21">
        <v>173</v>
      </c>
      <c r="S183" s="21">
        <v>0.76965300000000003</v>
      </c>
      <c r="T183">
        <f t="shared" si="26"/>
        <v>15.4663</v>
      </c>
      <c r="U183">
        <f t="shared" si="27"/>
        <v>11.927285767699999</v>
      </c>
      <c r="X183" s="9"/>
      <c r="Y183" s="21">
        <v>0.92880200000000002</v>
      </c>
      <c r="Z183" s="21">
        <v>129.68100000000001</v>
      </c>
      <c r="AA183" s="21">
        <v>-1.5329000000000001E-2</v>
      </c>
      <c r="AB183" s="21">
        <v>173</v>
      </c>
      <c r="AC183" s="21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1">
        <v>0.77117899999999995</v>
      </c>
      <c r="AH183" s="21">
        <v>179.154</v>
      </c>
      <c r="AI183" s="21">
        <v>-1.5329000000000001E-2</v>
      </c>
      <c r="AJ183" s="21">
        <v>173</v>
      </c>
      <c r="AK183" s="21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1">
        <v>0.92880200000000002</v>
      </c>
      <c r="AR183" s="21">
        <v>228.601</v>
      </c>
      <c r="AS183" s="21">
        <v>-1.5090900000000001E-2</v>
      </c>
      <c r="AT183" s="21">
        <v>173</v>
      </c>
      <c r="AU183" s="21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1">
        <v>0.77117899999999995</v>
      </c>
      <c r="AZ183" s="21">
        <v>262.94099999999997</v>
      </c>
      <c r="BA183" s="21">
        <v>-1.5158100000000001E-2</v>
      </c>
      <c r="BB183" s="21">
        <v>173</v>
      </c>
      <c r="BC183" s="21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50.807499999999997</v>
      </c>
      <c r="I184" s="21">
        <v>-1.55029E-2</v>
      </c>
      <c r="J184" s="21">
        <v>174</v>
      </c>
      <c r="K184" s="21">
        <v>0.92285200000000001</v>
      </c>
      <c r="L184">
        <f t="shared" si="24"/>
        <v>15.5029</v>
      </c>
      <c r="M184">
        <f t="shared" si="25"/>
        <v>14.321067424300001</v>
      </c>
      <c r="N184" s="9"/>
      <c r="O184" s="21">
        <v>0.77621499999999999</v>
      </c>
      <c r="P184" s="21">
        <v>100.23399999999999</v>
      </c>
      <c r="Q184" s="21">
        <v>-1.5463299999999999E-2</v>
      </c>
      <c r="R184" s="21">
        <v>174</v>
      </c>
      <c r="S184" s="21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1">
        <v>0.923767</v>
      </c>
      <c r="Z184" s="21">
        <v>129.691</v>
      </c>
      <c r="AA184" s="21">
        <v>-1.5344200000000001E-2</v>
      </c>
      <c r="AB184" s="21">
        <v>174</v>
      </c>
      <c r="AC184" s="21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1">
        <v>0.77621499999999999</v>
      </c>
      <c r="AH184" s="21">
        <v>179.16399999999999</v>
      </c>
      <c r="AI184" s="21">
        <v>-1.53198E-2</v>
      </c>
      <c r="AJ184" s="21">
        <v>174</v>
      </c>
      <c r="AK184" s="21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1">
        <v>0.923767</v>
      </c>
      <c r="AR184" s="21">
        <v>228.61099999999999</v>
      </c>
      <c r="AS184" s="21">
        <v>-1.5090900000000001E-2</v>
      </c>
      <c r="AT184" s="21">
        <v>174</v>
      </c>
      <c r="AU184" s="21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1">
        <v>0.77621499999999999</v>
      </c>
      <c r="AZ184" s="21">
        <v>262.95100000000002</v>
      </c>
      <c r="BA184" s="21">
        <v>-1.51489E-2</v>
      </c>
      <c r="BB184" s="21">
        <v>174</v>
      </c>
      <c r="BC184" s="21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50.817599999999999</v>
      </c>
      <c r="I185" s="21">
        <v>-1.5512099999999999E-2</v>
      </c>
      <c r="J185" s="21">
        <v>175</v>
      </c>
      <c r="K185" s="21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1">
        <v>0.78125</v>
      </c>
      <c r="P185" s="21">
        <v>100.244</v>
      </c>
      <c r="Q185" s="21">
        <v>-1.5463299999999999E-2</v>
      </c>
      <c r="R185" s="21">
        <v>175</v>
      </c>
      <c r="S185" s="21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1">
        <v>0.91873199999999999</v>
      </c>
      <c r="Z185" s="21">
        <v>129.70099999999999</v>
      </c>
      <c r="AA185" s="21">
        <v>-1.53534E-2</v>
      </c>
      <c r="AB185" s="21">
        <v>175</v>
      </c>
      <c r="AC185" s="21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1">
        <v>0.78125</v>
      </c>
      <c r="AH185" s="21">
        <v>179.17400000000001</v>
      </c>
      <c r="AI185" s="21">
        <v>-1.5301500000000001E-2</v>
      </c>
      <c r="AJ185" s="21">
        <v>175</v>
      </c>
      <c r="AK185" s="21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1">
        <v>0.91873199999999999</v>
      </c>
      <c r="AR185" s="21">
        <v>228.62100000000001</v>
      </c>
      <c r="AS185" s="21">
        <v>-1.51031E-2</v>
      </c>
      <c r="AT185" s="21">
        <v>175</v>
      </c>
      <c r="AU185" s="21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1">
        <v>0.78125</v>
      </c>
      <c r="AZ185" s="21">
        <v>262.96100000000001</v>
      </c>
      <c r="BA185" s="21">
        <v>-1.51489E-2</v>
      </c>
      <c r="BB185" s="21">
        <v>175</v>
      </c>
      <c r="BC185" s="21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50.827599999999997</v>
      </c>
      <c r="I186" s="21">
        <v>-1.55151E-2</v>
      </c>
      <c r="J186" s="21">
        <v>176</v>
      </c>
      <c r="K186" s="21">
        <v>0.91278099999999995</v>
      </c>
      <c r="L186">
        <f t="shared" si="24"/>
        <v>15.5151</v>
      </c>
      <c r="M186">
        <f t="shared" si="25"/>
        <v>14.176084809599999</v>
      </c>
      <c r="N186" s="9"/>
      <c r="O186" s="21">
        <v>0.78628500000000001</v>
      </c>
      <c r="P186" s="21">
        <v>100.254</v>
      </c>
      <c r="Q186" s="21">
        <v>-1.5469399999999999E-2</v>
      </c>
      <c r="R186" s="21">
        <v>176</v>
      </c>
      <c r="S186" s="21">
        <v>0.78582799999999997</v>
      </c>
      <c r="T186">
        <f t="shared" si="26"/>
        <v>15.4694</v>
      </c>
      <c r="U186">
        <f t="shared" si="27"/>
        <v>12.163357179</v>
      </c>
      <c r="X186" s="9"/>
      <c r="Y186" s="21">
        <v>0.91369599999999995</v>
      </c>
      <c r="Z186" s="21">
        <v>129.71100000000001</v>
      </c>
      <c r="AA186" s="21">
        <v>-1.5362499999999999E-2</v>
      </c>
      <c r="AB186" s="21">
        <v>176</v>
      </c>
      <c r="AC186" s="21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1">
        <v>0.78628500000000001</v>
      </c>
      <c r="AH186" s="21">
        <v>179.185</v>
      </c>
      <c r="AI186" s="21">
        <v>-1.5286299999999999E-2</v>
      </c>
      <c r="AJ186" s="21">
        <v>176</v>
      </c>
      <c r="AK186" s="21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1">
        <v>0.91369599999999995</v>
      </c>
      <c r="AR186" s="21">
        <v>228.631</v>
      </c>
      <c r="AS186" s="21">
        <v>-1.51215E-2</v>
      </c>
      <c r="AT186" s="21">
        <v>176</v>
      </c>
      <c r="AU186" s="21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1">
        <v>0.78628500000000001</v>
      </c>
      <c r="AZ186" s="21">
        <v>262.971</v>
      </c>
      <c r="BA186" s="21">
        <v>-1.51459E-2</v>
      </c>
      <c r="BB186" s="21">
        <v>176</v>
      </c>
      <c r="BC186" s="21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50.837699999999998</v>
      </c>
      <c r="I187" s="21">
        <v>-1.55029E-2</v>
      </c>
      <c r="J187" s="21">
        <v>177</v>
      </c>
      <c r="K187" s="21">
        <v>0.90789799999999998</v>
      </c>
      <c r="L187">
        <f t="shared" si="24"/>
        <v>15.5029</v>
      </c>
      <c r="M187">
        <f t="shared" si="25"/>
        <v>14.0868806169</v>
      </c>
      <c r="N187" s="9"/>
      <c r="O187" s="21">
        <v>0.79132100000000005</v>
      </c>
      <c r="P187" s="21">
        <v>100.264</v>
      </c>
      <c r="Q187" s="21">
        <v>-1.54602E-2</v>
      </c>
      <c r="R187" s="21">
        <v>177</v>
      </c>
      <c r="S187" s="21">
        <v>0.79071000000000002</v>
      </c>
      <c r="T187">
        <f t="shared" si="26"/>
        <v>15.4602</v>
      </c>
      <c r="U187">
        <f t="shared" si="27"/>
        <v>12.233980924200001</v>
      </c>
      <c r="X187" s="9"/>
      <c r="Y187" s="21">
        <v>0.90866100000000005</v>
      </c>
      <c r="Z187" s="21">
        <v>129.721</v>
      </c>
      <c r="AA187" s="21">
        <v>-1.5374799999999999E-2</v>
      </c>
      <c r="AB187" s="21">
        <v>177</v>
      </c>
      <c r="AC187" s="21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1">
        <v>0.79132100000000005</v>
      </c>
      <c r="AH187" s="21">
        <v>179.19499999999999</v>
      </c>
      <c r="AI187" s="21">
        <v>-1.52771E-2</v>
      </c>
      <c r="AJ187" s="21">
        <v>177</v>
      </c>
      <c r="AK187" s="21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1">
        <v>0.90866100000000005</v>
      </c>
      <c r="AR187" s="21">
        <v>228.64099999999999</v>
      </c>
      <c r="AS187" s="21">
        <v>-1.5136699999999999E-2</v>
      </c>
      <c r="AT187" s="21">
        <v>177</v>
      </c>
      <c r="AU187" s="21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1">
        <v>0.79132100000000005</v>
      </c>
      <c r="AZ187" s="21">
        <v>262.98099999999999</v>
      </c>
      <c r="BA187" s="21">
        <v>-1.51398E-2</v>
      </c>
      <c r="BB187" s="21">
        <v>177</v>
      </c>
      <c r="BC187" s="21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50.847799999999999</v>
      </c>
      <c r="I188" s="21">
        <v>-1.55029E-2</v>
      </c>
      <c r="J188" s="21">
        <v>178</v>
      </c>
      <c r="K188" s="21">
        <v>0.90271000000000001</v>
      </c>
      <c r="L188">
        <f t="shared" si="24"/>
        <v>15.5029</v>
      </c>
      <c r="M188">
        <f t="shared" si="25"/>
        <v>14.008808012500001</v>
      </c>
      <c r="N188" s="9"/>
      <c r="O188" s="21">
        <v>0.79635599999999995</v>
      </c>
      <c r="P188" s="21">
        <v>100.274</v>
      </c>
      <c r="Q188" s="21">
        <v>-1.5463299999999999E-2</v>
      </c>
      <c r="R188" s="21">
        <v>178</v>
      </c>
      <c r="S188" s="21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1">
        <v>0.90362500000000001</v>
      </c>
      <c r="Z188" s="21">
        <v>129.73099999999999</v>
      </c>
      <c r="AA188" s="21">
        <v>-1.53778E-2</v>
      </c>
      <c r="AB188" s="21">
        <v>178</v>
      </c>
      <c r="AC188" s="21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1">
        <v>0.79635599999999995</v>
      </c>
      <c r="AH188" s="21">
        <v>179.20500000000001</v>
      </c>
      <c r="AI188" s="21">
        <v>-1.5273999999999999E-2</v>
      </c>
      <c r="AJ188" s="21">
        <v>178</v>
      </c>
      <c r="AK188" s="21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1">
        <v>0.90362500000000001</v>
      </c>
      <c r="AR188" s="21">
        <v>228.65100000000001</v>
      </c>
      <c r="AS188" s="21">
        <v>-1.51428E-2</v>
      </c>
      <c r="AT188" s="21">
        <v>178</v>
      </c>
      <c r="AU188" s="21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1">
        <v>0.79635599999999995</v>
      </c>
      <c r="AZ188" s="21">
        <v>262.99099999999999</v>
      </c>
      <c r="BA188" s="21">
        <v>-1.5130599999999999E-2</v>
      </c>
      <c r="BB188" s="21">
        <v>178</v>
      </c>
      <c r="BC188" s="21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50.857799999999997</v>
      </c>
      <c r="I189" s="21">
        <v>-1.5506000000000001E-2</v>
      </c>
      <c r="J189" s="21">
        <v>179</v>
      </c>
      <c r="K189" s="21">
        <v>0.89782700000000004</v>
      </c>
      <c r="L189">
        <f t="shared" si="24"/>
        <v>15.506</v>
      </c>
      <c r="M189">
        <f t="shared" si="25"/>
        <v>13.93353654</v>
      </c>
      <c r="N189" s="9"/>
      <c r="O189" s="21">
        <v>0.80139199999999999</v>
      </c>
      <c r="P189" s="21">
        <v>100.28400000000001</v>
      </c>
      <c r="Q189" s="21">
        <v>-1.5463299999999999E-2</v>
      </c>
      <c r="R189" s="21">
        <v>179</v>
      </c>
      <c r="S189" s="21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1">
        <v>0.89859</v>
      </c>
      <c r="Z189" s="21">
        <v>129.74100000000001</v>
      </c>
      <c r="AA189" s="21">
        <v>-1.53931E-2</v>
      </c>
      <c r="AB189" s="21">
        <v>179</v>
      </c>
      <c r="AC189" s="21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1">
        <v>0.80139199999999999</v>
      </c>
      <c r="AH189" s="21">
        <v>179.215</v>
      </c>
      <c r="AI189" s="21">
        <v>-1.5273999999999999E-2</v>
      </c>
      <c r="AJ189" s="21">
        <v>179</v>
      </c>
      <c r="AK189" s="21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1">
        <v>0.89859</v>
      </c>
      <c r="AR189" s="21">
        <v>228.661</v>
      </c>
      <c r="AS189" s="21">
        <v>-1.5152000000000001E-2</v>
      </c>
      <c r="AT189" s="21">
        <v>179</v>
      </c>
      <c r="AU189" s="21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1">
        <v>0.80139199999999999</v>
      </c>
      <c r="AZ189" s="21">
        <v>263.00099999999998</v>
      </c>
      <c r="BA189" s="21">
        <v>-1.51215E-2</v>
      </c>
      <c r="BB189" s="21">
        <v>179</v>
      </c>
      <c r="BC189" s="21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50.867899999999999</v>
      </c>
      <c r="I190" s="21">
        <v>-1.5506000000000001E-2</v>
      </c>
      <c r="J190" s="21">
        <v>180</v>
      </c>
      <c r="K190" s="21">
        <v>0.89263899999999996</v>
      </c>
      <c r="L190">
        <f t="shared" si="24"/>
        <v>15.506</v>
      </c>
      <c r="M190">
        <f t="shared" si="25"/>
        <v>13.85546383</v>
      </c>
      <c r="N190" s="9"/>
      <c r="O190" s="21">
        <v>0.806427</v>
      </c>
      <c r="P190" s="21">
        <v>100.294</v>
      </c>
      <c r="Q190" s="21">
        <v>-1.5466300000000001E-2</v>
      </c>
      <c r="R190" s="21">
        <v>180</v>
      </c>
      <c r="S190" s="21">
        <v>0.80505400000000005</v>
      </c>
      <c r="T190">
        <f t="shared" si="26"/>
        <v>15.4663</v>
      </c>
      <c r="U190">
        <f t="shared" si="27"/>
        <v>12.472441910100001</v>
      </c>
      <c r="X190" s="9"/>
      <c r="Y190" s="21">
        <v>0.89355499999999999</v>
      </c>
      <c r="Z190" s="21">
        <v>129.751</v>
      </c>
      <c r="AA190" s="21">
        <v>-1.53931E-2</v>
      </c>
      <c r="AB190" s="21">
        <v>180</v>
      </c>
      <c r="AC190" s="21">
        <v>0.89294399999999996</v>
      </c>
      <c r="AD190">
        <f t="shared" si="28"/>
        <v>15.3931</v>
      </c>
      <c r="AE190">
        <f t="shared" si="29"/>
        <v>13.7545814705</v>
      </c>
      <c r="AF190" s="9"/>
      <c r="AG190" s="21">
        <v>0.806427</v>
      </c>
      <c r="AH190" s="21">
        <v>179.22499999999999</v>
      </c>
      <c r="AI190" s="21">
        <v>-1.52771E-2</v>
      </c>
      <c r="AJ190" s="21">
        <v>180</v>
      </c>
      <c r="AK190" s="21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1">
        <v>0.89355499999999999</v>
      </c>
      <c r="AR190" s="21">
        <v>228.67099999999999</v>
      </c>
      <c r="AS190" s="21">
        <v>-1.51672E-2</v>
      </c>
      <c r="AT190" s="21">
        <v>180</v>
      </c>
      <c r="AU190" s="21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1">
        <v>0.806427</v>
      </c>
      <c r="AZ190" s="21">
        <v>263.01100000000002</v>
      </c>
      <c r="BA190" s="21">
        <v>-1.51123E-2</v>
      </c>
      <c r="BB190" s="21">
        <v>180</v>
      </c>
      <c r="BC190" s="21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50.878</v>
      </c>
      <c r="I191" s="21">
        <v>-1.5506000000000001E-2</v>
      </c>
      <c r="J191" s="21">
        <v>181</v>
      </c>
      <c r="K191" s="21">
        <v>0.88775599999999999</v>
      </c>
      <c r="L191">
        <f t="shared" si="24"/>
        <v>15.506</v>
      </c>
      <c r="M191">
        <f t="shared" si="25"/>
        <v>13.777375613999999</v>
      </c>
      <c r="N191" s="9"/>
      <c r="O191" s="21">
        <v>0.81146200000000002</v>
      </c>
      <c r="P191" s="21">
        <v>100.304</v>
      </c>
      <c r="Q191" s="21">
        <v>-1.5463299999999999E-2</v>
      </c>
      <c r="R191" s="21">
        <v>181</v>
      </c>
      <c r="S191" s="21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1">
        <v>0.88851899999999995</v>
      </c>
      <c r="Z191" s="21">
        <v>129.761</v>
      </c>
      <c r="AA191" s="21">
        <v>-1.54022E-2</v>
      </c>
      <c r="AB191" s="21">
        <v>181</v>
      </c>
      <c r="AC191" s="21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1">
        <v>0.81146200000000002</v>
      </c>
      <c r="AH191" s="21">
        <v>179.23500000000001</v>
      </c>
      <c r="AI191" s="21">
        <v>-1.52771E-2</v>
      </c>
      <c r="AJ191" s="21">
        <v>181</v>
      </c>
      <c r="AK191" s="21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1">
        <v>0.88851899999999995</v>
      </c>
      <c r="AR191" s="21">
        <v>228.68100000000001</v>
      </c>
      <c r="AS191" s="21">
        <v>-1.5179399999999999E-2</v>
      </c>
      <c r="AT191" s="21">
        <v>181</v>
      </c>
      <c r="AU191" s="21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1">
        <v>0.81146200000000002</v>
      </c>
      <c r="AZ191" s="21">
        <v>263.02100000000002</v>
      </c>
      <c r="BA191" s="21">
        <v>-1.51031E-2</v>
      </c>
      <c r="BB191" s="21">
        <v>181</v>
      </c>
      <c r="BC191" s="21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50.888100000000001</v>
      </c>
      <c r="I192" s="21">
        <v>-1.5509E-2</v>
      </c>
      <c r="J192" s="21">
        <v>182</v>
      </c>
      <c r="K192" s="21">
        <v>0.88287400000000005</v>
      </c>
      <c r="L192">
        <f t="shared" si="24"/>
        <v>15.509</v>
      </c>
      <c r="M192">
        <f t="shared" si="25"/>
        <v>13.701953356000001</v>
      </c>
      <c r="N192" s="9"/>
      <c r="O192" s="21">
        <v>0.81649799999999995</v>
      </c>
      <c r="P192" s="21">
        <v>100.31399999999999</v>
      </c>
      <c r="Q192" s="21">
        <v>-1.5469399999999999E-2</v>
      </c>
      <c r="R192" s="21">
        <v>182</v>
      </c>
      <c r="S192" s="21">
        <v>0.81603999999999999</v>
      </c>
      <c r="T192">
        <f t="shared" si="26"/>
        <v>15.4694</v>
      </c>
      <c r="U192">
        <f t="shared" si="27"/>
        <v>12.630734161199999</v>
      </c>
      <c r="X192" s="9"/>
      <c r="Y192" s="21">
        <v>0.88348400000000005</v>
      </c>
      <c r="Z192" s="21">
        <v>129.77199999999999</v>
      </c>
      <c r="AA192" s="21">
        <v>-1.54144E-2</v>
      </c>
      <c r="AB192" s="21">
        <v>182</v>
      </c>
      <c r="AC192" s="21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1">
        <v>0.81649799999999995</v>
      </c>
      <c r="AH192" s="21">
        <v>179.245</v>
      </c>
      <c r="AI192" s="21">
        <v>-1.5271E-2</v>
      </c>
      <c r="AJ192" s="21">
        <v>182</v>
      </c>
      <c r="AK192" s="21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1">
        <v>0.88348400000000005</v>
      </c>
      <c r="AR192" s="21">
        <v>228.691</v>
      </c>
      <c r="AS192" s="21">
        <v>-1.5179399999999999E-2</v>
      </c>
      <c r="AT192" s="21">
        <v>182</v>
      </c>
      <c r="AU192" s="21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1">
        <v>0.81649799999999995</v>
      </c>
      <c r="AZ192" s="21">
        <v>263.03199999999998</v>
      </c>
      <c r="BA192" s="21">
        <v>-1.51001E-2</v>
      </c>
      <c r="BB192" s="21">
        <v>182</v>
      </c>
      <c r="BC192" s="21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50.898099999999999</v>
      </c>
      <c r="I193" s="21">
        <v>-1.5506000000000001E-2</v>
      </c>
      <c r="J193" s="21">
        <v>183</v>
      </c>
      <c r="K193" s="21">
        <v>0.87738000000000005</v>
      </c>
      <c r="L193">
        <f t="shared" si="24"/>
        <v>15.506</v>
      </c>
      <c r="M193">
        <f t="shared" si="25"/>
        <v>13.621214688</v>
      </c>
      <c r="N193" s="9"/>
      <c r="O193" s="21">
        <v>0.82153299999999996</v>
      </c>
      <c r="P193" s="21">
        <v>100.325</v>
      </c>
      <c r="Q193" s="21">
        <v>-1.5466300000000001E-2</v>
      </c>
      <c r="R193" s="21">
        <v>183</v>
      </c>
      <c r="S193" s="21">
        <v>0.82061799999999996</v>
      </c>
      <c r="T193">
        <f t="shared" si="26"/>
        <v>15.4663</v>
      </c>
      <c r="U193">
        <f t="shared" si="27"/>
        <v>12.7060758379</v>
      </c>
      <c r="X193" s="9"/>
      <c r="Y193" s="21">
        <v>0.87844800000000001</v>
      </c>
      <c r="Z193" s="21">
        <v>129.78200000000001</v>
      </c>
      <c r="AA193" s="21">
        <v>-1.54205E-2</v>
      </c>
      <c r="AB193" s="21">
        <v>183</v>
      </c>
      <c r="AC193" s="21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1">
        <v>0.82153299999999996</v>
      </c>
      <c r="AH193" s="21">
        <v>179.255</v>
      </c>
      <c r="AI193" s="21">
        <v>-1.5267899999999999E-2</v>
      </c>
      <c r="AJ193" s="21">
        <v>183</v>
      </c>
      <c r="AK193" s="21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1">
        <v>0.87844800000000001</v>
      </c>
      <c r="AR193" s="21">
        <v>228.70099999999999</v>
      </c>
      <c r="AS193" s="21">
        <v>-1.51825E-2</v>
      </c>
      <c r="AT193" s="21">
        <v>183</v>
      </c>
      <c r="AU193" s="21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1">
        <v>0.82153299999999996</v>
      </c>
      <c r="AZ193" s="21">
        <v>263.04199999999997</v>
      </c>
      <c r="BA193" s="21">
        <v>-1.5096999999999999E-2</v>
      </c>
      <c r="BB193" s="21">
        <v>183</v>
      </c>
      <c r="BC193" s="21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50.908200000000001</v>
      </c>
      <c r="I194" s="21">
        <v>-1.55151E-2</v>
      </c>
      <c r="J194" s="21">
        <v>184</v>
      </c>
      <c r="K194" s="21">
        <v>0.87219199999999997</v>
      </c>
      <c r="L194">
        <f t="shared" si="24"/>
        <v>15.5151</v>
      </c>
      <c r="M194">
        <f t="shared" si="25"/>
        <v>13.5510900363</v>
      </c>
      <c r="N194" s="9"/>
      <c r="O194" s="21">
        <v>0.826569</v>
      </c>
      <c r="P194" s="21">
        <v>100.33499999999999</v>
      </c>
      <c r="Q194" s="21">
        <v>-1.5466300000000001E-2</v>
      </c>
      <c r="R194" s="21">
        <v>184</v>
      </c>
      <c r="S194" s="21">
        <v>0.82611100000000004</v>
      </c>
      <c r="T194">
        <f t="shared" si="26"/>
        <v>15.4663</v>
      </c>
      <c r="U194">
        <f t="shared" si="27"/>
        <v>12.783964124700001</v>
      </c>
      <c r="X194" s="9"/>
      <c r="Y194" s="21">
        <v>0.87341299999999999</v>
      </c>
      <c r="Z194" s="21">
        <v>129.792</v>
      </c>
      <c r="AA194" s="21">
        <v>-1.54205E-2</v>
      </c>
      <c r="AB194" s="21">
        <v>184</v>
      </c>
      <c r="AC194" s="21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1">
        <v>0.826569</v>
      </c>
      <c r="AH194" s="21">
        <v>179.26499999999999</v>
      </c>
      <c r="AI194" s="21">
        <v>-1.5273999999999999E-2</v>
      </c>
      <c r="AJ194" s="21">
        <v>184</v>
      </c>
      <c r="AK194" s="21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1">
        <v>0.87341299999999999</v>
      </c>
      <c r="AR194" s="21">
        <v>228.71199999999999</v>
      </c>
      <c r="AS194" s="21">
        <v>-1.5197799999999999E-2</v>
      </c>
      <c r="AT194" s="21">
        <v>184</v>
      </c>
      <c r="AU194" s="21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1">
        <v>0.826569</v>
      </c>
      <c r="AZ194" s="21">
        <v>263.05200000000002</v>
      </c>
      <c r="BA194" s="21">
        <v>-1.51031E-2</v>
      </c>
      <c r="BB194" s="21">
        <v>184</v>
      </c>
      <c r="BC194" s="21">
        <v>0.82550000000000001</v>
      </c>
      <c r="BD194">
        <f t="shared" si="34"/>
        <v>15.1031</v>
      </c>
      <c r="BE194">
        <f t="shared" si="35"/>
        <v>12.4837542639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50.918300000000002</v>
      </c>
      <c r="I195" s="21">
        <v>-1.5527300000000001E-2</v>
      </c>
      <c r="J195" s="21">
        <v>185</v>
      </c>
      <c r="K195" s="21">
        <v>0.86761500000000003</v>
      </c>
      <c r="L195">
        <f t="shared" si="24"/>
        <v>15.5273</v>
      </c>
      <c r="M195">
        <f t="shared" si="25"/>
        <v>13.4835657194</v>
      </c>
      <c r="N195" s="9"/>
      <c r="O195" s="21">
        <v>0.83160400000000001</v>
      </c>
      <c r="P195" s="21">
        <v>100.345</v>
      </c>
      <c r="Q195" s="21">
        <v>-1.5463299999999999E-2</v>
      </c>
      <c r="R195" s="21">
        <v>185</v>
      </c>
      <c r="S195" s="21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1">
        <v>0.86837799999999998</v>
      </c>
      <c r="Z195" s="21">
        <v>129.80199999999999</v>
      </c>
      <c r="AA195" s="21">
        <v>-1.5423600000000001E-2</v>
      </c>
      <c r="AB195" s="21">
        <v>185</v>
      </c>
      <c r="AC195" s="21">
        <v>0.86731000000000003</v>
      </c>
      <c r="AD195">
        <f t="shared" si="28"/>
        <v>15.4236</v>
      </c>
      <c r="AE195">
        <f t="shared" si="29"/>
        <v>13.3935149208</v>
      </c>
      <c r="AF195" s="9"/>
      <c r="AG195" s="21">
        <v>0.83160400000000001</v>
      </c>
      <c r="AH195" s="21">
        <v>179.27500000000001</v>
      </c>
      <c r="AI195" s="21">
        <v>-1.5267899999999999E-2</v>
      </c>
      <c r="AJ195" s="21">
        <v>185</v>
      </c>
      <c r="AK195" s="21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1">
        <v>0.86837799999999998</v>
      </c>
      <c r="AR195" s="21">
        <v>228.72200000000001</v>
      </c>
      <c r="AS195" s="21">
        <v>-1.5191700000000001E-2</v>
      </c>
      <c r="AT195" s="21">
        <v>185</v>
      </c>
      <c r="AU195" s="21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1">
        <v>0.83160400000000001</v>
      </c>
      <c r="AZ195" s="21">
        <v>263.06200000000001</v>
      </c>
      <c r="BA195" s="21">
        <v>-1.5096999999999999E-2</v>
      </c>
      <c r="BB195" s="21">
        <v>185</v>
      </c>
      <c r="BC195" s="21">
        <v>0.83129900000000001</v>
      </c>
      <c r="BD195">
        <f t="shared" si="34"/>
        <v>15.097</v>
      </c>
      <c r="BE195">
        <f t="shared" si="35"/>
        <v>12.554725588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50.9283</v>
      </c>
      <c r="I196" s="21">
        <v>-1.5533399999999999E-2</v>
      </c>
      <c r="J196" s="21">
        <v>186</v>
      </c>
      <c r="K196" s="21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1">
        <v>0.83663900000000002</v>
      </c>
      <c r="P196" s="21">
        <v>100.355</v>
      </c>
      <c r="Q196" s="21">
        <v>-1.5457200000000001E-2</v>
      </c>
      <c r="R196" s="21">
        <v>186</v>
      </c>
      <c r="S196" s="21">
        <v>0.83587599999999995</v>
      </c>
      <c r="T196">
        <f t="shared" si="26"/>
        <v>15.4572</v>
      </c>
      <c r="U196">
        <f t="shared" si="27"/>
        <v>12.9320963508</v>
      </c>
      <c r="X196" s="9"/>
      <c r="Y196" s="21">
        <v>0.86334200000000005</v>
      </c>
      <c r="Z196" s="21">
        <v>129.81200000000001</v>
      </c>
      <c r="AA196" s="21">
        <v>-1.5429699999999999E-2</v>
      </c>
      <c r="AB196" s="21">
        <v>186</v>
      </c>
      <c r="AC196" s="21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1">
        <v>0.83663900000000002</v>
      </c>
      <c r="AH196" s="21">
        <v>179.285</v>
      </c>
      <c r="AI196" s="21">
        <v>-1.5273999999999999E-2</v>
      </c>
      <c r="AJ196" s="21">
        <v>186</v>
      </c>
      <c r="AK196" s="21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1">
        <v>0.86334200000000005</v>
      </c>
      <c r="AR196" s="21">
        <v>228.732</v>
      </c>
      <c r="AS196" s="21">
        <v>-1.51886E-2</v>
      </c>
      <c r="AT196" s="21">
        <v>186</v>
      </c>
      <c r="AU196" s="21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1">
        <v>0.83663900000000002</v>
      </c>
      <c r="AZ196" s="21">
        <v>263.072</v>
      </c>
      <c r="BA196" s="21">
        <v>-1.5090900000000001E-2</v>
      </c>
      <c r="BB196" s="21">
        <v>186</v>
      </c>
      <c r="BC196" s="21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50.938400000000001</v>
      </c>
      <c r="I197" s="21">
        <v>-1.5539600000000001E-2</v>
      </c>
      <c r="J197" s="21">
        <v>187</v>
      </c>
      <c r="K197" s="21">
        <v>0.85784899999999997</v>
      </c>
      <c r="L197">
        <f t="shared" si="24"/>
        <v>15.5396</v>
      </c>
      <c r="M197">
        <f t="shared" si="25"/>
        <v>13.337747457200001</v>
      </c>
      <c r="N197" s="9"/>
      <c r="O197" s="21">
        <v>0.84167499999999995</v>
      </c>
      <c r="P197" s="21">
        <v>100.36499999999999</v>
      </c>
      <c r="Q197" s="21">
        <v>-1.5444899999999999E-2</v>
      </c>
      <c r="R197" s="21">
        <v>187</v>
      </c>
      <c r="S197" s="21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1">
        <v>0.85830700000000004</v>
      </c>
      <c r="Z197" s="21">
        <v>129.822</v>
      </c>
      <c r="AA197" s="21">
        <v>-1.54266E-2</v>
      </c>
      <c r="AB197" s="21">
        <v>187</v>
      </c>
      <c r="AC197" s="21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1">
        <v>0.84167499999999995</v>
      </c>
      <c r="AH197" s="21">
        <v>179.29499999999999</v>
      </c>
      <c r="AI197" s="21">
        <v>-1.5273999999999999E-2</v>
      </c>
      <c r="AJ197" s="21">
        <v>187</v>
      </c>
      <c r="AK197" s="21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1">
        <v>0.85830700000000004</v>
      </c>
      <c r="AR197" s="21">
        <v>228.74199999999999</v>
      </c>
      <c r="AS197" s="21">
        <v>-1.5185499999999999E-2</v>
      </c>
      <c r="AT197" s="21">
        <v>187</v>
      </c>
      <c r="AU197" s="21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1">
        <v>0.84167499999999995</v>
      </c>
      <c r="AZ197" s="21">
        <v>263.08199999999999</v>
      </c>
      <c r="BA197" s="21">
        <v>-1.5096999999999999E-2</v>
      </c>
      <c r="BB197" s="21">
        <v>187</v>
      </c>
      <c r="BC197" s="21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50.948500000000003</v>
      </c>
      <c r="I198" s="21">
        <v>-1.5545700000000001E-2</v>
      </c>
      <c r="J198" s="21">
        <v>188</v>
      </c>
      <c r="K198" s="21">
        <v>0.852051</v>
      </c>
      <c r="L198">
        <f t="shared" si="24"/>
        <v>15.5457</v>
      </c>
      <c r="M198">
        <f t="shared" si="25"/>
        <v>13.2646949847</v>
      </c>
      <c r="N198" s="9"/>
      <c r="O198" s="21">
        <v>0.84670999999999996</v>
      </c>
      <c r="P198" s="21">
        <v>100.375</v>
      </c>
      <c r="Q198" s="21">
        <v>-1.5423600000000001E-2</v>
      </c>
      <c r="R198" s="21">
        <v>188</v>
      </c>
      <c r="S198" s="21">
        <v>0.84533700000000001</v>
      </c>
      <c r="T198">
        <f t="shared" si="26"/>
        <v>15.4236</v>
      </c>
      <c r="U198">
        <f t="shared" si="27"/>
        <v>13.059316356</v>
      </c>
      <c r="X198" s="9"/>
      <c r="Y198" s="21">
        <v>0.853271</v>
      </c>
      <c r="Z198" s="21">
        <v>129.83199999999999</v>
      </c>
      <c r="AA198" s="21">
        <v>-1.54266E-2</v>
      </c>
      <c r="AB198" s="21">
        <v>188</v>
      </c>
      <c r="AC198" s="21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1">
        <v>0.84670999999999996</v>
      </c>
      <c r="AH198" s="21">
        <v>179.30500000000001</v>
      </c>
      <c r="AI198" s="21">
        <v>-1.52649E-2</v>
      </c>
      <c r="AJ198" s="21">
        <v>188</v>
      </c>
      <c r="AK198" s="21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1">
        <v>0.853271</v>
      </c>
      <c r="AR198" s="21">
        <v>228.75200000000001</v>
      </c>
      <c r="AS198" s="21">
        <v>-1.51886E-2</v>
      </c>
      <c r="AT198" s="21">
        <v>188</v>
      </c>
      <c r="AU198" s="21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1">
        <v>0.84670999999999996</v>
      </c>
      <c r="AZ198" s="21">
        <v>263.09199999999998</v>
      </c>
      <c r="BA198" s="21">
        <v>-1.51001E-2</v>
      </c>
      <c r="BB198" s="21">
        <v>188</v>
      </c>
      <c r="BC198" s="21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50.958599999999997</v>
      </c>
      <c r="I199" s="21">
        <v>-1.55426E-2</v>
      </c>
      <c r="J199" s="21">
        <v>189</v>
      </c>
      <c r="K199" s="21">
        <v>0.84777800000000003</v>
      </c>
      <c r="L199">
        <f t="shared" si="24"/>
        <v>15.5426</v>
      </c>
      <c r="M199">
        <f t="shared" si="25"/>
        <v>13.1837928536</v>
      </c>
      <c r="N199" s="9"/>
      <c r="O199" s="21">
        <v>0.851746</v>
      </c>
      <c r="P199" s="21">
        <v>100.38500000000001</v>
      </c>
      <c r="Q199" s="21">
        <v>-1.54053E-2</v>
      </c>
      <c r="R199" s="21">
        <v>189</v>
      </c>
      <c r="S199" s="21">
        <v>0.85113499999999997</v>
      </c>
      <c r="T199">
        <f t="shared" si="26"/>
        <v>15.4053</v>
      </c>
      <c r="U199">
        <f t="shared" si="27"/>
        <v>13.121402653800001</v>
      </c>
      <c r="X199" s="9"/>
      <c r="Y199" s="21">
        <v>0.84823599999999999</v>
      </c>
      <c r="Z199" s="21">
        <v>129.84200000000001</v>
      </c>
      <c r="AA199" s="21">
        <v>-1.5429699999999999E-2</v>
      </c>
      <c r="AB199" s="21">
        <v>189</v>
      </c>
      <c r="AC199" s="21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1">
        <v>0.851746</v>
      </c>
      <c r="AH199" s="21">
        <v>179.315</v>
      </c>
      <c r="AI199" s="21">
        <v>-1.52649E-2</v>
      </c>
      <c r="AJ199" s="21">
        <v>189</v>
      </c>
      <c r="AK199" s="21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1">
        <v>0.84823599999999999</v>
      </c>
      <c r="AR199" s="21">
        <v>228.762</v>
      </c>
      <c r="AS199" s="21">
        <v>-1.51886E-2</v>
      </c>
      <c r="AT199" s="21">
        <v>189</v>
      </c>
      <c r="AU199" s="21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1">
        <v>0.851746</v>
      </c>
      <c r="AZ199" s="21">
        <v>263.10199999999998</v>
      </c>
      <c r="BA199" s="21">
        <v>-1.5090900000000001E-2</v>
      </c>
      <c r="BB199" s="21">
        <v>189</v>
      </c>
      <c r="BC199" s="21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50.968600000000002</v>
      </c>
      <c r="I200" s="21">
        <v>-1.55487E-2</v>
      </c>
      <c r="J200" s="21">
        <v>190</v>
      </c>
      <c r="K200" s="21">
        <v>0.84228499999999995</v>
      </c>
      <c r="L200">
        <f t="shared" si="24"/>
        <v>15.5487</v>
      </c>
      <c r="M200">
        <f t="shared" si="25"/>
        <v>13.110679388699999</v>
      </c>
      <c r="N200" s="9"/>
      <c r="O200" s="21">
        <v>0.85678100000000001</v>
      </c>
      <c r="P200" s="21">
        <v>100.395</v>
      </c>
      <c r="Q200" s="21">
        <v>-1.53992E-2</v>
      </c>
      <c r="R200" s="21">
        <v>190</v>
      </c>
      <c r="S200" s="21">
        <v>0.85601799999999995</v>
      </c>
      <c r="T200">
        <f t="shared" si="26"/>
        <v>15.3992</v>
      </c>
      <c r="U200">
        <f t="shared" si="27"/>
        <v>13.1937419752</v>
      </c>
      <c r="X200" s="9"/>
      <c r="Y200" s="21">
        <v>0.84320099999999998</v>
      </c>
      <c r="Z200" s="21">
        <v>129.852</v>
      </c>
      <c r="AA200" s="21">
        <v>-1.54358E-2</v>
      </c>
      <c r="AB200" s="21">
        <v>190</v>
      </c>
      <c r="AC200" s="21">
        <v>0.84258999999999995</v>
      </c>
      <c r="AD200">
        <f t="shared" si="28"/>
        <v>15.4358</v>
      </c>
      <c r="AE200">
        <f t="shared" si="29"/>
        <v>13.0154819958</v>
      </c>
      <c r="AF200" s="9"/>
      <c r="AG200" s="21">
        <v>0.85678100000000001</v>
      </c>
      <c r="AH200" s="21">
        <v>179.32599999999999</v>
      </c>
      <c r="AI200" s="21">
        <v>-1.5255700000000001E-2</v>
      </c>
      <c r="AJ200" s="21">
        <v>190</v>
      </c>
      <c r="AK200" s="21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1">
        <v>0.84320099999999998</v>
      </c>
      <c r="AR200" s="21">
        <v>228.77199999999999</v>
      </c>
      <c r="AS200" s="21">
        <v>-1.5197799999999999E-2</v>
      </c>
      <c r="AT200" s="21">
        <v>190</v>
      </c>
      <c r="AU200" s="21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1">
        <v>0.85678100000000001</v>
      </c>
      <c r="AZ200" s="21">
        <v>263.11200000000002</v>
      </c>
      <c r="BA200" s="21">
        <v>-1.50879E-2</v>
      </c>
      <c r="BB200" s="21">
        <v>190</v>
      </c>
      <c r="BC200" s="21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50.978700000000003</v>
      </c>
      <c r="I201" s="21">
        <v>-1.55579E-2</v>
      </c>
      <c r="J201" s="21">
        <v>191</v>
      </c>
      <c r="K201" s="21">
        <v>0.83679199999999998</v>
      </c>
      <c r="L201">
        <f t="shared" si="24"/>
        <v>15.5579</v>
      </c>
      <c r="M201">
        <f t="shared" si="25"/>
        <v>13.040087253500001</v>
      </c>
      <c r="N201" s="9"/>
      <c r="O201" s="21">
        <v>0.86181600000000003</v>
      </c>
      <c r="P201" s="21">
        <v>100.405</v>
      </c>
      <c r="Q201" s="21">
        <v>-1.5383900000000001E-2</v>
      </c>
      <c r="R201" s="21">
        <v>191</v>
      </c>
      <c r="S201" s="21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1">
        <v>0.83816500000000005</v>
      </c>
      <c r="Z201" s="21">
        <v>129.86199999999999</v>
      </c>
      <c r="AA201" s="21">
        <v>-1.5444899999999999E-2</v>
      </c>
      <c r="AB201" s="21">
        <v>191</v>
      </c>
      <c r="AC201" s="21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1">
        <v>0.86181600000000003</v>
      </c>
      <c r="AH201" s="21">
        <v>179.33600000000001</v>
      </c>
      <c r="AI201" s="21">
        <v>-1.5252699999999999E-2</v>
      </c>
      <c r="AJ201" s="21">
        <v>191</v>
      </c>
      <c r="AK201" s="21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1">
        <v>0.83816500000000005</v>
      </c>
      <c r="AR201" s="21">
        <v>228.78200000000001</v>
      </c>
      <c r="AS201" s="21">
        <v>-1.5197799999999999E-2</v>
      </c>
      <c r="AT201" s="21">
        <v>191</v>
      </c>
      <c r="AU201" s="21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1">
        <v>0.86181600000000003</v>
      </c>
      <c r="AZ201" s="21">
        <v>263.12200000000001</v>
      </c>
      <c r="BA201" s="21">
        <v>-1.5090900000000001E-2</v>
      </c>
      <c r="BB201" s="21">
        <v>191</v>
      </c>
      <c r="BC201" s="21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50.988799999999998</v>
      </c>
      <c r="I202" s="21">
        <v>-1.55579E-2</v>
      </c>
      <c r="J202" s="21">
        <v>192</v>
      </c>
      <c r="K202" s="21">
        <v>0.83252000000000004</v>
      </c>
      <c r="L202">
        <f t="shared" si="24"/>
        <v>15.5579</v>
      </c>
      <c r="M202">
        <f t="shared" si="25"/>
        <v>12.961753227000001</v>
      </c>
      <c r="N202" s="9"/>
      <c r="O202" s="21">
        <v>0.86685199999999996</v>
      </c>
      <c r="P202" s="21">
        <v>100.41500000000001</v>
      </c>
      <c r="Q202" s="21">
        <v>-1.5362499999999999E-2</v>
      </c>
      <c r="R202" s="21">
        <v>192</v>
      </c>
      <c r="S202" s="21">
        <v>0.866089</v>
      </c>
      <c r="T202">
        <f t="shared" si="26"/>
        <v>15.362499999999999</v>
      </c>
      <c r="U202">
        <f t="shared" si="27"/>
        <v>13.317013849999999</v>
      </c>
      <c r="X202" s="9"/>
      <c r="Y202" s="21">
        <v>0.83313000000000004</v>
      </c>
      <c r="Z202" s="21">
        <v>129.87200000000001</v>
      </c>
      <c r="AA202" s="21">
        <v>-1.54541E-2</v>
      </c>
      <c r="AB202" s="21">
        <v>192</v>
      </c>
      <c r="AC202" s="21">
        <v>0.83221400000000001</v>
      </c>
      <c r="AD202">
        <f t="shared" si="28"/>
        <v>15.4541</v>
      </c>
      <c r="AE202">
        <f t="shared" si="29"/>
        <v>12.875274333</v>
      </c>
      <c r="AF202" s="9"/>
      <c r="AG202" s="21">
        <v>0.86685199999999996</v>
      </c>
      <c r="AH202" s="21">
        <v>179.346</v>
      </c>
      <c r="AI202" s="21">
        <v>-1.52496E-2</v>
      </c>
      <c r="AJ202" s="21">
        <v>192</v>
      </c>
      <c r="AK202" s="21">
        <v>0.865784</v>
      </c>
      <c r="AL202">
        <f t="shared" si="30"/>
        <v>15.249600000000001</v>
      </c>
      <c r="AM202">
        <f t="shared" si="31"/>
        <v>13.2191462592</v>
      </c>
      <c r="AP202" s="9"/>
      <c r="AQ202" s="21">
        <v>0.83313000000000004</v>
      </c>
      <c r="AR202" s="21">
        <v>228.792</v>
      </c>
      <c r="AS202" s="21">
        <v>-1.52008E-2</v>
      </c>
      <c r="AT202" s="21">
        <v>192</v>
      </c>
      <c r="AU202" s="21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1">
        <v>0.86685199999999996</v>
      </c>
      <c r="AZ202" s="21">
        <v>263.13200000000001</v>
      </c>
      <c r="BA202" s="21">
        <v>-1.5090900000000001E-2</v>
      </c>
      <c r="BB202" s="21">
        <v>192</v>
      </c>
      <c r="BC202" s="21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50.998800000000003</v>
      </c>
      <c r="I203" s="21">
        <v>-1.55701E-2</v>
      </c>
      <c r="J203" s="21">
        <v>193</v>
      </c>
      <c r="K203" s="21">
        <v>0.82733199999999996</v>
      </c>
      <c r="L203">
        <f t="shared" si="24"/>
        <v>15.5701</v>
      </c>
      <c r="M203">
        <f t="shared" si="25"/>
        <v>12.893506389400001</v>
      </c>
      <c r="N203" s="9"/>
      <c r="O203" s="21">
        <v>0.87188699999999997</v>
      </c>
      <c r="P203" s="21">
        <v>100.425</v>
      </c>
      <c r="Q203" s="21">
        <v>-1.5341199999999999E-2</v>
      </c>
      <c r="R203" s="21">
        <v>193</v>
      </c>
      <c r="S203" s="21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1">
        <v>0.828094</v>
      </c>
      <c r="Z203" s="21">
        <v>129.88200000000001</v>
      </c>
      <c r="AA203" s="21">
        <v>-1.5472400000000001E-2</v>
      </c>
      <c r="AB203" s="21">
        <v>193</v>
      </c>
      <c r="AC203" s="21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1">
        <v>0.87188699999999997</v>
      </c>
      <c r="AH203" s="21">
        <v>179.35599999999999</v>
      </c>
      <c r="AI203" s="21">
        <v>-1.52435E-2</v>
      </c>
      <c r="AJ203" s="21">
        <v>193</v>
      </c>
      <c r="AK203" s="21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1">
        <v>0.828094</v>
      </c>
      <c r="AR203" s="21">
        <v>228.80199999999999</v>
      </c>
      <c r="AS203" s="21">
        <v>-1.5206900000000001E-2</v>
      </c>
      <c r="AT203" s="21">
        <v>193</v>
      </c>
      <c r="AU203" s="21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1">
        <v>0.87188699999999997</v>
      </c>
      <c r="AZ203" s="21">
        <v>263.142</v>
      </c>
      <c r="BA203" s="21">
        <v>-1.5084800000000001E-2</v>
      </c>
      <c r="BB203" s="21">
        <v>193</v>
      </c>
      <c r="BC203" s="21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51.008899999999997</v>
      </c>
      <c r="I204" s="21">
        <v>-1.55701E-2</v>
      </c>
      <c r="J204" s="21">
        <v>194</v>
      </c>
      <c r="K204" s="21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1">
        <v>0.87692300000000001</v>
      </c>
      <c r="P204" s="21">
        <v>100.435</v>
      </c>
      <c r="Q204" s="21">
        <v>-1.53259E-2</v>
      </c>
      <c r="R204" s="21">
        <v>194</v>
      </c>
      <c r="S204" s="21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1">
        <v>0.82305899999999999</v>
      </c>
      <c r="Z204" s="21">
        <v>129.892</v>
      </c>
      <c r="AA204" s="21">
        <v>-1.54816E-2</v>
      </c>
      <c r="AB204" s="21">
        <v>194</v>
      </c>
      <c r="AC204" s="21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1">
        <v>0.87692300000000001</v>
      </c>
      <c r="AH204" s="21">
        <v>179.36600000000001</v>
      </c>
      <c r="AI204" s="21">
        <v>-1.52435E-2</v>
      </c>
      <c r="AJ204" s="21">
        <v>194</v>
      </c>
      <c r="AK204" s="21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1">
        <v>0.82305899999999999</v>
      </c>
      <c r="AR204" s="21">
        <v>228.81200000000001</v>
      </c>
      <c r="AS204" s="21">
        <v>-1.521E-2</v>
      </c>
      <c r="AT204" s="21">
        <v>194</v>
      </c>
      <c r="AU204" s="21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1">
        <v>0.87692300000000001</v>
      </c>
      <c r="AZ204" s="21">
        <v>263.15199999999999</v>
      </c>
      <c r="BA204" s="21">
        <v>-1.5075699999999999E-2</v>
      </c>
      <c r="BB204" s="21">
        <v>194</v>
      </c>
      <c r="BC204" s="21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51.018999999999998</v>
      </c>
      <c r="I205" s="21">
        <v>-1.55701E-2</v>
      </c>
      <c r="J205" s="21">
        <v>195</v>
      </c>
      <c r="K205" s="21">
        <v>0.81726100000000002</v>
      </c>
      <c r="L205">
        <f t="shared" si="36"/>
        <v>15.5701</v>
      </c>
      <c r="M205">
        <f t="shared" si="37"/>
        <v>12.736715482399999</v>
      </c>
      <c r="N205" s="9"/>
      <c r="O205" s="21">
        <v>0.88195800000000002</v>
      </c>
      <c r="P205" s="21">
        <v>100.44499999999999</v>
      </c>
      <c r="Q205" s="21">
        <v>-1.53259E-2</v>
      </c>
      <c r="R205" s="21">
        <v>195</v>
      </c>
      <c r="S205" s="21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1">
        <v>0.81802399999999997</v>
      </c>
      <c r="Z205" s="21">
        <v>129.90199999999999</v>
      </c>
      <c r="AA205" s="21">
        <v>-1.5484599999999999E-2</v>
      </c>
      <c r="AB205" s="21">
        <v>195</v>
      </c>
      <c r="AC205" s="21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1">
        <v>0.88195800000000002</v>
      </c>
      <c r="AH205" s="21">
        <v>179.376</v>
      </c>
      <c r="AI205" s="21">
        <v>-1.52374E-2</v>
      </c>
      <c r="AJ205" s="21">
        <v>195</v>
      </c>
      <c r="AK205" s="21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1">
        <v>0.81802399999999997</v>
      </c>
      <c r="AR205" s="21">
        <v>228.822</v>
      </c>
      <c r="AS205" s="21">
        <v>-1.5206900000000001E-2</v>
      </c>
      <c r="AT205" s="21">
        <v>195</v>
      </c>
      <c r="AU205" s="21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1">
        <v>0.88195800000000002</v>
      </c>
      <c r="AZ205" s="21">
        <v>263.16199999999998</v>
      </c>
      <c r="BA205" s="21">
        <v>-1.5063500000000001E-2</v>
      </c>
      <c r="BB205" s="21">
        <v>195</v>
      </c>
      <c r="BC205" s="21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51.0291</v>
      </c>
      <c r="I206" s="21">
        <v>-1.5573099999999999E-2</v>
      </c>
      <c r="J206" s="21">
        <v>196</v>
      </c>
      <c r="K206" s="21">
        <v>0.81237800000000004</v>
      </c>
      <c r="L206">
        <f t="shared" si="36"/>
        <v>15.5731</v>
      </c>
      <c r="M206">
        <f t="shared" si="37"/>
        <v>12.660743422800001</v>
      </c>
      <c r="N206" s="9"/>
      <c r="O206" s="21">
        <v>0.88699300000000003</v>
      </c>
      <c r="P206" s="21">
        <v>100.455</v>
      </c>
      <c r="Q206" s="21">
        <v>-1.5329000000000001E-2</v>
      </c>
      <c r="R206" s="21">
        <v>196</v>
      </c>
      <c r="S206" s="21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1">
        <v>0.81298800000000004</v>
      </c>
      <c r="Z206" s="21">
        <v>129.91300000000001</v>
      </c>
      <c r="AA206" s="21">
        <v>-1.5478499999999999E-2</v>
      </c>
      <c r="AB206" s="21">
        <v>196</v>
      </c>
      <c r="AC206" s="21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1">
        <v>0.88699300000000003</v>
      </c>
      <c r="AH206" s="21">
        <v>179.386</v>
      </c>
      <c r="AI206" s="21">
        <v>-1.52374E-2</v>
      </c>
      <c r="AJ206" s="21">
        <v>196</v>
      </c>
      <c r="AK206" s="21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1">
        <v>0.81298800000000004</v>
      </c>
      <c r="AR206" s="21">
        <v>228.83199999999999</v>
      </c>
      <c r="AS206" s="21">
        <v>-1.521E-2</v>
      </c>
      <c r="AT206" s="21">
        <v>196</v>
      </c>
      <c r="AU206" s="21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1">
        <v>0.88699300000000003</v>
      </c>
      <c r="AZ206" s="21">
        <v>263.173</v>
      </c>
      <c r="BA206" s="21">
        <v>-1.50513E-2</v>
      </c>
      <c r="BB206" s="21">
        <v>196</v>
      </c>
      <c r="BC206" s="21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51.039099999999998</v>
      </c>
      <c r="I207" s="21">
        <v>-1.55823E-2</v>
      </c>
      <c r="J207" s="21">
        <v>197</v>
      </c>
      <c r="K207" s="21">
        <v>0.80657999999999996</v>
      </c>
      <c r="L207">
        <f t="shared" si="36"/>
        <v>15.5823</v>
      </c>
      <c r="M207">
        <f t="shared" si="37"/>
        <v>12.5897660319</v>
      </c>
      <c r="N207" s="9"/>
      <c r="O207" s="21">
        <v>0.89202899999999996</v>
      </c>
      <c r="P207" s="21">
        <v>100.46599999999999</v>
      </c>
      <c r="Q207" s="21">
        <v>-1.5332E-2</v>
      </c>
      <c r="R207" s="21">
        <v>197</v>
      </c>
      <c r="S207" s="21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1">
        <v>0.80795300000000003</v>
      </c>
      <c r="Z207" s="21">
        <v>129.923</v>
      </c>
      <c r="AA207" s="21">
        <v>-1.5472400000000001E-2</v>
      </c>
      <c r="AB207" s="21">
        <v>197</v>
      </c>
      <c r="AC207" s="21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1">
        <v>0.89202899999999996</v>
      </c>
      <c r="AH207" s="21">
        <v>179.39599999999999</v>
      </c>
      <c r="AI207" s="21">
        <v>-1.52344E-2</v>
      </c>
      <c r="AJ207" s="21">
        <v>197</v>
      </c>
      <c r="AK207" s="21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1">
        <v>0.80795300000000003</v>
      </c>
      <c r="AR207" s="21">
        <v>228.84200000000001</v>
      </c>
      <c r="AS207" s="21">
        <v>-1.521E-2</v>
      </c>
      <c r="AT207" s="21">
        <v>197</v>
      </c>
      <c r="AU207" s="21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1">
        <v>0.89202899999999996</v>
      </c>
      <c r="AZ207" s="21">
        <v>263.18299999999999</v>
      </c>
      <c r="BA207" s="21">
        <v>-1.5042099999999999E-2</v>
      </c>
      <c r="BB207" s="21">
        <v>197</v>
      </c>
      <c r="BC207" s="21">
        <v>0.89141800000000004</v>
      </c>
      <c r="BD207">
        <f t="shared" si="46"/>
        <v>15.0421</v>
      </c>
      <c r="BE207">
        <f t="shared" si="47"/>
        <v>13.4179894209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51.049199999999999</v>
      </c>
      <c r="I208" s="21">
        <v>-1.5588400000000001E-2</v>
      </c>
      <c r="J208" s="21">
        <v>198</v>
      </c>
      <c r="K208" s="21">
        <v>0.80200199999999999</v>
      </c>
      <c r="L208">
        <f t="shared" si="36"/>
        <v>15.5884</v>
      </c>
      <c r="M208">
        <f t="shared" si="37"/>
        <v>12.516191362800001</v>
      </c>
      <c r="N208" s="9"/>
      <c r="O208" s="21">
        <v>0.89706399999999997</v>
      </c>
      <c r="P208" s="21">
        <v>100.476</v>
      </c>
      <c r="Q208" s="21">
        <v>-1.5335100000000001E-2</v>
      </c>
      <c r="R208" s="21">
        <v>198</v>
      </c>
      <c r="S208" s="21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1">
        <v>0.80291699999999999</v>
      </c>
      <c r="Z208" s="21">
        <v>129.93299999999999</v>
      </c>
      <c r="AA208" s="21">
        <v>-1.5472400000000001E-2</v>
      </c>
      <c r="AB208" s="21">
        <v>198</v>
      </c>
      <c r="AC208" s="21">
        <v>0.80230699999999999</v>
      </c>
      <c r="AD208">
        <f t="shared" si="40"/>
        <v>15.4724</v>
      </c>
      <c r="AE208">
        <f t="shared" si="41"/>
        <v>12.4230529908</v>
      </c>
      <c r="AF208" s="9"/>
      <c r="AG208" s="21">
        <v>0.89706399999999997</v>
      </c>
      <c r="AH208" s="21">
        <v>179.40600000000001</v>
      </c>
      <c r="AI208" s="21">
        <v>-1.5246600000000001E-2</v>
      </c>
      <c r="AJ208" s="21">
        <v>198</v>
      </c>
      <c r="AK208" s="21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1">
        <v>0.80291699999999999</v>
      </c>
      <c r="AR208" s="21">
        <v>228.85300000000001</v>
      </c>
      <c r="AS208" s="21">
        <v>-1.5213000000000001E-2</v>
      </c>
      <c r="AT208" s="21">
        <v>198</v>
      </c>
      <c r="AU208" s="21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1">
        <v>0.89706399999999997</v>
      </c>
      <c r="AZ208" s="21">
        <v>263.19299999999998</v>
      </c>
      <c r="BA208" s="21">
        <v>-1.50238E-2</v>
      </c>
      <c r="BB208" s="21">
        <v>198</v>
      </c>
      <c r="BC208" s="21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51.0593</v>
      </c>
      <c r="I209" s="21">
        <v>-1.55853E-2</v>
      </c>
      <c r="J209" s="21">
        <v>199</v>
      </c>
      <c r="K209" s="21">
        <v>0.79711900000000002</v>
      </c>
      <c r="L209">
        <f t="shared" si="36"/>
        <v>15.5853</v>
      </c>
      <c r="M209">
        <f t="shared" si="37"/>
        <v>12.4352303346</v>
      </c>
      <c r="N209" s="9"/>
      <c r="O209" s="21">
        <v>0.90210000000000001</v>
      </c>
      <c r="P209" s="21">
        <v>100.486</v>
      </c>
      <c r="Q209" s="21">
        <v>-1.5341199999999999E-2</v>
      </c>
      <c r="R209" s="21">
        <v>199</v>
      </c>
      <c r="S209" s="21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1">
        <v>0.79788199999999998</v>
      </c>
      <c r="Z209" s="21">
        <v>129.94300000000001</v>
      </c>
      <c r="AA209" s="21">
        <v>-1.5466300000000001E-2</v>
      </c>
      <c r="AB209" s="21">
        <v>199</v>
      </c>
      <c r="AC209" s="21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1">
        <v>0.90210000000000001</v>
      </c>
      <c r="AH209" s="21">
        <v>179.416</v>
      </c>
      <c r="AI209" s="21">
        <v>-1.52496E-2</v>
      </c>
      <c r="AJ209" s="21">
        <v>199</v>
      </c>
      <c r="AK209" s="21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1">
        <v>0.79788199999999998</v>
      </c>
      <c r="AR209" s="21">
        <v>228.863</v>
      </c>
      <c r="AS209" s="21">
        <v>-1.52283E-2</v>
      </c>
      <c r="AT209" s="21">
        <v>199</v>
      </c>
      <c r="AU209" s="21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1">
        <v>0.90210000000000001</v>
      </c>
      <c r="AZ209" s="21">
        <v>263.20299999999997</v>
      </c>
      <c r="BA209" s="21">
        <v>-1.50116E-2</v>
      </c>
      <c r="BB209" s="21">
        <v>199</v>
      </c>
      <c r="BC209" s="21">
        <v>0.90179399999999998</v>
      </c>
      <c r="BD209">
        <f t="shared" si="46"/>
        <v>15.0116</v>
      </c>
      <c r="BE209">
        <f t="shared" si="47"/>
        <v>13.54196436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51.069299999999998</v>
      </c>
      <c r="I210" s="21">
        <v>-1.55853E-2</v>
      </c>
      <c r="J210" s="21">
        <v>200</v>
      </c>
      <c r="K210" s="21">
        <v>0.79193100000000005</v>
      </c>
      <c r="L210">
        <f t="shared" si="36"/>
        <v>15.5853</v>
      </c>
      <c r="M210">
        <f t="shared" si="37"/>
        <v>12.3567583491</v>
      </c>
      <c r="N210" s="9"/>
      <c r="O210" s="21">
        <v>0.90713500000000002</v>
      </c>
      <c r="P210" s="21">
        <v>100.496</v>
      </c>
      <c r="Q210" s="21">
        <v>-1.5344200000000001E-2</v>
      </c>
      <c r="R210" s="21">
        <v>200</v>
      </c>
      <c r="S210" s="21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1">
        <v>0.79284699999999997</v>
      </c>
      <c r="Z210" s="21">
        <v>129.953</v>
      </c>
      <c r="AA210" s="21">
        <v>-1.5463299999999999E-2</v>
      </c>
      <c r="AB210" s="21">
        <v>200</v>
      </c>
      <c r="AC210" s="21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1">
        <v>0.90713500000000002</v>
      </c>
      <c r="AH210" s="21">
        <v>179.42599999999999</v>
      </c>
      <c r="AI210" s="21">
        <v>-1.5246600000000001E-2</v>
      </c>
      <c r="AJ210" s="21">
        <v>200</v>
      </c>
      <c r="AK210" s="21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1">
        <v>0.79284699999999997</v>
      </c>
      <c r="AR210" s="21">
        <v>228.87299999999999</v>
      </c>
      <c r="AS210" s="21">
        <v>-1.5240500000000001E-2</v>
      </c>
      <c r="AT210" s="21">
        <v>200</v>
      </c>
      <c r="AU210" s="21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1">
        <v>0.90713500000000002</v>
      </c>
      <c r="AZ210" s="21">
        <v>263.21300000000002</v>
      </c>
      <c r="BA210" s="21">
        <v>-1.50116E-2</v>
      </c>
      <c r="BB210" s="21">
        <v>200</v>
      </c>
      <c r="BC210" s="21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51.0794</v>
      </c>
      <c r="I211" s="21">
        <v>-1.55914E-2</v>
      </c>
      <c r="J211" s="21">
        <v>201</v>
      </c>
      <c r="K211" s="21">
        <v>0.78704799999999997</v>
      </c>
      <c r="L211">
        <f t="shared" si="36"/>
        <v>15.5914</v>
      </c>
      <c r="M211">
        <f t="shared" si="37"/>
        <v>12.283076425400001</v>
      </c>
      <c r="N211" s="9"/>
      <c r="O211" s="21">
        <v>0.91217000000000004</v>
      </c>
      <c r="P211" s="21">
        <v>100.506</v>
      </c>
      <c r="Q211" s="21">
        <v>-1.5347299999999999E-2</v>
      </c>
      <c r="R211" s="21">
        <v>201</v>
      </c>
      <c r="S211" s="21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1">
        <v>0.78781100000000004</v>
      </c>
      <c r="Z211" s="21">
        <v>129.96299999999999</v>
      </c>
      <c r="AA211" s="21">
        <v>-1.5466300000000001E-2</v>
      </c>
      <c r="AB211" s="21">
        <v>201</v>
      </c>
      <c r="AC211" s="21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1">
        <v>0.91217000000000004</v>
      </c>
      <c r="AH211" s="21">
        <v>179.43600000000001</v>
      </c>
      <c r="AI211" s="21">
        <v>-1.52283E-2</v>
      </c>
      <c r="AJ211" s="21">
        <v>201</v>
      </c>
      <c r="AK211" s="21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1">
        <v>0.78781100000000004</v>
      </c>
      <c r="AR211" s="21">
        <v>228.88300000000001</v>
      </c>
      <c r="AS211" s="21">
        <v>-1.5258799999999999E-2</v>
      </c>
      <c r="AT211" s="21">
        <v>201</v>
      </c>
      <c r="AU211" s="21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1">
        <v>0.91217000000000004</v>
      </c>
      <c r="AZ211" s="21">
        <v>263.22300000000001</v>
      </c>
      <c r="BA211" s="21">
        <v>-1.5002400000000001E-2</v>
      </c>
      <c r="BB211" s="21">
        <v>201</v>
      </c>
      <c r="BC211" s="21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51.089500000000001</v>
      </c>
      <c r="I212" s="21">
        <v>-1.5594500000000001E-2</v>
      </c>
      <c r="J212" s="21">
        <v>202</v>
      </c>
      <c r="K212" s="21">
        <v>0.78216600000000003</v>
      </c>
      <c r="L212">
        <f t="shared" si="36"/>
        <v>15.5945</v>
      </c>
      <c r="M212">
        <f t="shared" si="37"/>
        <v>12.207000332</v>
      </c>
      <c r="N212" s="9"/>
      <c r="O212" s="21">
        <v>0.91720599999999997</v>
      </c>
      <c r="P212" s="21">
        <v>100.51600000000001</v>
      </c>
      <c r="Q212" s="21">
        <v>-1.5350300000000001E-2</v>
      </c>
      <c r="R212" s="21">
        <v>202</v>
      </c>
      <c r="S212" s="21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1">
        <v>0.78277600000000003</v>
      </c>
      <c r="Z212" s="21">
        <v>129.97300000000001</v>
      </c>
      <c r="AA212" s="21">
        <v>-1.5469399999999999E-2</v>
      </c>
      <c r="AB212" s="21">
        <v>202</v>
      </c>
      <c r="AC212" s="21">
        <v>0.78186</v>
      </c>
      <c r="AD212">
        <f t="shared" si="40"/>
        <v>15.4694</v>
      </c>
      <c r="AE212">
        <f t="shared" si="41"/>
        <v>12.1090750544</v>
      </c>
      <c r="AF212" s="9"/>
      <c r="AG212" s="21">
        <v>0.91720599999999997</v>
      </c>
      <c r="AH212" s="21">
        <v>179.446</v>
      </c>
      <c r="AI212" s="21">
        <v>-1.52222E-2</v>
      </c>
      <c r="AJ212" s="21">
        <v>202</v>
      </c>
      <c r="AK212" s="21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1">
        <v>0.78277600000000003</v>
      </c>
      <c r="AR212" s="21">
        <v>228.893</v>
      </c>
      <c r="AS212" s="21">
        <v>-1.5258799999999999E-2</v>
      </c>
      <c r="AT212" s="21">
        <v>202</v>
      </c>
      <c r="AU212" s="21">
        <v>0.781555</v>
      </c>
      <c r="AV212">
        <f t="shared" si="44"/>
        <v>15.258799999999999</v>
      </c>
      <c r="AW212">
        <f t="shared" si="45"/>
        <v>11.9442224288</v>
      </c>
      <c r="AX212" s="9"/>
      <c r="AY212" s="21">
        <v>0.91720599999999997</v>
      </c>
      <c r="AZ212" s="21">
        <v>263.233</v>
      </c>
      <c r="BA212" s="21">
        <v>-1.49902E-2</v>
      </c>
      <c r="BB212" s="21">
        <v>202</v>
      </c>
      <c r="BC212" s="21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51.099499999999999</v>
      </c>
      <c r="I213" s="21">
        <v>-1.55914E-2</v>
      </c>
      <c r="J213" s="21">
        <v>203</v>
      </c>
      <c r="K213" s="21">
        <v>0.77697799999999995</v>
      </c>
      <c r="L213">
        <f t="shared" si="36"/>
        <v>15.5914</v>
      </c>
      <c r="M213">
        <f t="shared" si="37"/>
        <v>12.126055436</v>
      </c>
      <c r="N213" s="9"/>
      <c r="O213" s="21">
        <v>0.92224099999999998</v>
      </c>
      <c r="P213" s="21">
        <v>100.526</v>
      </c>
      <c r="Q213" s="21">
        <v>-1.53534E-2</v>
      </c>
      <c r="R213" s="21">
        <v>203</v>
      </c>
      <c r="S213" s="21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1">
        <v>0.77773999999999999</v>
      </c>
      <c r="Z213" s="21">
        <v>129.983</v>
      </c>
      <c r="AA213" s="21">
        <v>-1.5469399999999999E-2</v>
      </c>
      <c r="AB213" s="21">
        <v>203</v>
      </c>
      <c r="AC213" s="21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1">
        <v>0.92224099999999998</v>
      </c>
      <c r="AH213" s="21">
        <v>179.45599999999999</v>
      </c>
      <c r="AI213" s="21">
        <v>-1.52161E-2</v>
      </c>
      <c r="AJ213" s="21">
        <v>203</v>
      </c>
      <c r="AK213" s="21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1">
        <v>0.77773999999999999</v>
      </c>
      <c r="AR213" s="21">
        <v>228.90299999999999</v>
      </c>
      <c r="AS213" s="21">
        <v>-1.5258799999999999E-2</v>
      </c>
      <c r="AT213" s="21">
        <v>203</v>
      </c>
      <c r="AU213" s="21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1">
        <v>0.92224099999999998</v>
      </c>
      <c r="AZ213" s="21">
        <v>263.24299999999999</v>
      </c>
      <c r="BA213" s="21">
        <v>-1.49902E-2</v>
      </c>
      <c r="BB213" s="21">
        <v>203</v>
      </c>
      <c r="BC213" s="21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51.1096</v>
      </c>
      <c r="I214" s="21">
        <v>-1.55914E-2</v>
      </c>
      <c r="J214" s="21">
        <v>204</v>
      </c>
      <c r="K214" s="21">
        <v>0.77270499999999998</v>
      </c>
      <c r="L214">
        <f t="shared" si="36"/>
        <v>15.5914</v>
      </c>
      <c r="M214">
        <f t="shared" si="37"/>
        <v>12.047552737</v>
      </c>
      <c r="N214" s="9"/>
      <c r="O214" s="21">
        <v>0.92727700000000002</v>
      </c>
      <c r="P214" s="21">
        <v>100.536</v>
      </c>
      <c r="Q214" s="21">
        <v>-1.5344200000000001E-2</v>
      </c>
      <c r="R214" s="21">
        <v>204</v>
      </c>
      <c r="S214" s="21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1">
        <v>0.77270499999999998</v>
      </c>
      <c r="Z214" s="21">
        <v>129.99299999999999</v>
      </c>
      <c r="AA214" s="21">
        <v>-1.54755E-2</v>
      </c>
      <c r="AB214" s="21">
        <v>204</v>
      </c>
      <c r="AC214" s="21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1">
        <v>0.92727700000000002</v>
      </c>
      <c r="AH214" s="21">
        <v>179.46700000000001</v>
      </c>
      <c r="AI214" s="21">
        <v>-1.5213000000000001E-2</v>
      </c>
      <c r="AJ214" s="21">
        <v>204</v>
      </c>
      <c r="AK214" s="21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1">
        <v>0.77270499999999998</v>
      </c>
      <c r="AR214" s="21">
        <v>228.91300000000001</v>
      </c>
      <c r="AS214" s="21">
        <v>-1.5255700000000001E-2</v>
      </c>
      <c r="AT214" s="21">
        <v>204</v>
      </c>
      <c r="AU214" s="21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1">
        <v>0.92727700000000002</v>
      </c>
      <c r="AZ214" s="21">
        <v>263.25299999999999</v>
      </c>
      <c r="BA214" s="21">
        <v>-1.49994E-2</v>
      </c>
      <c r="BB214" s="21">
        <v>204</v>
      </c>
      <c r="BC214" s="21">
        <v>0.92620800000000003</v>
      </c>
      <c r="BD214">
        <f t="shared" si="46"/>
        <v>14.9994</v>
      </c>
      <c r="BE214">
        <f t="shared" si="47"/>
        <v>13.9085986338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51.119700000000002</v>
      </c>
      <c r="I215" s="21">
        <v>-1.5594500000000001E-2</v>
      </c>
      <c r="J215" s="21">
        <v>205</v>
      </c>
      <c r="K215" s="21">
        <v>0.76660200000000001</v>
      </c>
      <c r="L215">
        <f t="shared" si="36"/>
        <v>15.5945</v>
      </c>
      <c r="M215">
        <f t="shared" si="37"/>
        <v>11.971429814999999</v>
      </c>
      <c r="N215" s="9"/>
      <c r="O215" s="21">
        <v>0.93231200000000003</v>
      </c>
      <c r="P215" s="21">
        <v>100.54600000000001</v>
      </c>
      <c r="Q215" s="21">
        <v>-1.5329000000000001E-2</v>
      </c>
      <c r="R215" s="21">
        <v>205</v>
      </c>
      <c r="S215" s="21">
        <v>0.931396</v>
      </c>
      <c r="T215">
        <f t="shared" si="38"/>
        <v>15.329000000000001</v>
      </c>
      <c r="U215">
        <f t="shared" si="39"/>
        <v>14.291410648000001</v>
      </c>
      <c r="X215" s="9"/>
      <c r="Y215" s="21">
        <v>0.76766999999999996</v>
      </c>
      <c r="Z215" s="21">
        <v>130.00299999999999</v>
      </c>
      <c r="AA215" s="21">
        <v>-1.5484599999999999E-2</v>
      </c>
      <c r="AB215" s="21">
        <v>205</v>
      </c>
      <c r="AC215" s="21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1">
        <v>0.93231200000000003</v>
      </c>
      <c r="AH215" s="21">
        <v>179.477</v>
      </c>
      <c r="AI215" s="21">
        <v>-1.5203899999999999E-2</v>
      </c>
      <c r="AJ215" s="21">
        <v>205</v>
      </c>
      <c r="AK215" s="21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1">
        <v>0.76766999999999996</v>
      </c>
      <c r="AR215" s="21">
        <v>228.923</v>
      </c>
      <c r="AS215" s="21">
        <v>-1.5258799999999999E-2</v>
      </c>
      <c r="AT215" s="21">
        <v>205</v>
      </c>
      <c r="AU215" s="21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1">
        <v>0.93231200000000003</v>
      </c>
      <c r="AZ215" s="21">
        <v>263.26299999999998</v>
      </c>
      <c r="BA215" s="21">
        <v>-1.4996300000000001E-2</v>
      </c>
      <c r="BB215" s="21">
        <v>205</v>
      </c>
      <c r="BC215" s="21">
        <v>0.93170200000000003</v>
      </c>
      <c r="BD215">
        <f t="shared" si="46"/>
        <v>14.9963</v>
      </c>
      <c r="BE215">
        <f t="shared" si="47"/>
        <v>13.9812304456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51.129800000000003</v>
      </c>
      <c r="I216" s="21">
        <v>-1.56036E-2</v>
      </c>
      <c r="J216" s="21">
        <v>206</v>
      </c>
      <c r="K216" s="21">
        <v>0.76202400000000003</v>
      </c>
      <c r="L216">
        <f t="shared" si="36"/>
        <v>15.6036</v>
      </c>
      <c r="M216">
        <f t="shared" si="37"/>
        <v>11.899835882400001</v>
      </c>
      <c r="N216" s="9"/>
      <c r="O216" s="21">
        <v>0.93734700000000004</v>
      </c>
      <c r="P216" s="21">
        <v>100.556</v>
      </c>
      <c r="Q216" s="21">
        <v>-1.53107E-2</v>
      </c>
      <c r="R216" s="21">
        <v>206</v>
      </c>
      <c r="S216" s="21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1">
        <v>0.76263400000000003</v>
      </c>
      <c r="Z216" s="21">
        <v>130.01300000000001</v>
      </c>
      <c r="AA216" s="21">
        <v>-1.54816E-2</v>
      </c>
      <c r="AB216" s="21">
        <v>206</v>
      </c>
      <c r="AC216" s="21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1">
        <v>0.93734700000000004</v>
      </c>
      <c r="AH216" s="21">
        <v>179.48699999999999</v>
      </c>
      <c r="AI216" s="21">
        <v>-1.51947E-2</v>
      </c>
      <c r="AJ216" s="21">
        <v>206</v>
      </c>
      <c r="AK216" s="21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1">
        <v>0.76263400000000003</v>
      </c>
      <c r="AR216" s="21">
        <v>228.93299999999999</v>
      </c>
      <c r="AS216" s="21">
        <v>-1.52649E-2</v>
      </c>
      <c r="AT216" s="21">
        <v>206</v>
      </c>
      <c r="AU216" s="21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1">
        <v>0.93734700000000004</v>
      </c>
      <c r="AZ216" s="21">
        <v>263.27300000000002</v>
      </c>
      <c r="BA216" s="21">
        <v>-1.4993299999999999E-2</v>
      </c>
      <c r="BB216" s="21">
        <v>206</v>
      </c>
      <c r="BC216" s="21">
        <v>0.93597399999999997</v>
      </c>
      <c r="BD216">
        <f t="shared" si="46"/>
        <v>14.9933</v>
      </c>
      <c r="BE216">
        <f t="shared" si="47"/>
        <v>14.0539247751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51.139800000000001</v>
      </c>
      <c r="I217" s="21">
        <v>-1.5609700000000001E-2</v>
      </c>
      <c r="J217" s="21">
        <v>207</v>
      </c>
      <c r="K217" s="21">
        <v>0.75653099999999995</v>
      </c>
      <c r="L217">
        <f t="shared" si="36"/>
        <v>15.6097</v>
      </c>
      <c r="M217">
        <f t="shared" si="37"/>
        <v>11.825893110300001</v>
      </c>
      <c r="N217" s="9"/>
      <c r="O217" s="21">
        <v>0.94238299999999997</v>
      </c>
      <c r="P217" s="21">
        <v>100.566</v>
      </c>
      <c r="Q217" s="21">
        <v>-1.52985E-2</v>
      </c>
      <c r="R217" s="21">
        <v>207</v>
      </c>
      <c r="S217" s="21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1">
        <v>0.75759900000000002</v>
      </c>
      <c r="Z217" s="21">
        <v>130.023</v>
      </c>
      <c r="AA217" s="21">
        <v>-1.5484599999999999E-2</v>
      </c>
      <c r="AB217" s="21">
        <v>207</v>
      </c>
      <c r="AC217" s="21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1">
        <v>0.94238299999999997</v>
      </c>
      <c r="AH217" s="21">
        <v>179.49700000000001</v>
      </c>
      <c r="AI217" s="21">
        <v>-1.5185499999999999E-2</v>
      </c>
      <c r="AJ217" s="21">
        <v>207</v>
      </c>
      <c r="AK217" s="21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1">
        <v>0.75759900000000002</v>
      </c>
      <c r="AR217" s="21">
        <v>228.94300000000001</v>
      </c>
      <c r="AS217" s="21">
        <v>-1.5255700000000001E-2</v>
      </c>
      <c r="AT217" s="21">
        <v>207</v>
      </c>
      <c r="AU217" s="21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1">
        <v>0.94238299999999997</v>
      </c>
      <c r="AZ217" s="21">
        <v>263.28300000000002</v>
      </c>
      <c r="BA217" s="21">
        <v>-1.4978E-2</v>
      </c>
      <c r="BB217" s="21">
        <v>207</v>
      </c>
      <c r="BC217" s="21">
        <v>0.94146700000000005</v>
      </c>
      <c r="BD217">
        <f t="shared" si="46"/>
        <v>14.978</v>
      </c>
      <c r="BE217">
        <f t="shared" si="47"/>
        <v>14.115012574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51.149900000000002</v>
      </c>
      <c r="I218" s="21">
        <v>-1.56128E-2</v>
      </c>
      <c r="J218" s="21">
        <v>208</v>
      </c>
      <c r="K218" s="21">
        <v>0.75164799999999998</v>
      </c>
      <c r="L218">
        <f t="shared" si="36"/>
        <v>15.6128</v>
      </c>
      <c r="M218">
        <f t="shared" si="37"/>
        <v>11.749615606399999</v>
      </c>
      <c r="N218" s="9"/>
      <c r="O218" s="21">
        <v>0.94741799999999998</v>
      </c>
      <c r="P218" s="21">
        <v>100.57599999999999</v>
      </c>
      <c r="Q218" s="21">
        <v>-1.5280200000000001E-2</v>
      </c>
      <c r="R218" s="21">
        <v>208</v>
      </c>
      <c r="S218" s="21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1">
        <v>0.75256299999999998</v>
      </c>
      <c r="Z218" s="21">
        <v>130.03299999999999</v>
      </c>
      <c r="AA218" s="21">
        <v>-1.5478499999999999E-2</v>
      </c>
      <c r="AB218" s="21">
        <v>208</v>
      </c>
      <c r="AC218" s="21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1">
        <v>0.94741799999999998</v>
      </c>
      <c r="AH218" s="21">
        <v>179.50700000000001</v>
      </c>
      <c r="AI218" s="21">
        <v>-1.5179399999999999E-2</v>
      </c>
      <c r="AJ218" s="21">
        <v>208</v>
      </c>
      <c r="AK218" s="21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1">
        <v>0.75256299999999998</v>
      </c>
      <c r="AR218" s="21">
        <v>228.953</v>
      </c>
      <c r="AS218" s="21">
        <v>-1.52435E-2</v>
      </c>
      <c r="AT218" s="21">
        <v>208</v>
      </c>
      <c r="AU218" s="21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1">
        <v>0.94741799999999998</v>
      </c>
      <c r="AZ218" s="21">
        <v>263.29300000000001</v>
      </c>
      <c r="BA218" s="21">
        <v>-1.49689E-2</v>
      </c>
      <c r="BB218" s="21">
        <v>208</v>
      </c>
      <c r="BC218" s="21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51.16</v>
      </c>
      <c r="I219" s="21">
        <v>-1.5615800000000001E-2</v>
      </c>
      <c r="J219" s="21">
        <v>209</v>
      </c>
      <c r="K219" s="21">
        <v>0.74682599999999999</v>
      </c>
      <c r="L219">
        <f t="shared" si="36"/>
        <v>15.6158</v>
      </c>
      <c r="M219">
        <f t="shared" si="37"/>
        <v>11.673247742399999</v>
      </c>
      <c r="N219" s="9"/>
      <c r="O219" s="21">
        <v>0.95245400000000002</v>
      </c>
      <c r="P219" s="21">
        <v>100.586</v>
      </c>
      <c r="Q219" s="21">
        <v>-1.5273999999999999E-2</v>
      </c>
      <c r="R219" s="21">
        <v>209</v>
      </c>
      <c r="S219" s="21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1">
        <v>0.74752799999999997</v>
      </c>
      <c r="Z219" s="21">
        <v>130.04300000000001</v>
      </c>
      <c r="AA219" s="21">
        <v>-1.5478499999999999E-2</v>
      </c>
      <c r="AB219" s="21">
        <v>209</v>
      </c>
      <c r="AC219" s="21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1">
        <v>0.95245400000000002</v>
      </c>
      <c r="AH219" s="21">
        <v>179.517</v>
      </c>
      <c r="AI219" s="21">
        <v>-1.51886E-2</v>
      </c>
      <c r="AJ219" s="21">
        <v>209</v>
      </c>
      <c r="AK219" s="21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1">
        <v>0.74752799999999997</v>
      </c>
      <c r="AR219" s="21">
        <v>228.96299999999999</v>
      </c>
      <c r="AS219" s="21">
        <v>-1.52313E-2</v>
      </c>
      <c r="AT219" s="21">
        <v>209</v>
      </c>
      <c r="AU219" s="21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1">
        <v>0.95245400000000002</v>
      </c>
      <c r="AZ219" s="21">
        <v>263.303</v>
      </c>
      <c r="BA219" s="21">
        <v>-1.4975E-2</v>
      </c>
      <c r="BB219" s="21">
        <v>209</v>
      </c>
      <c r="BC219" s="21">
        <v>0.951233</v>
      </c>
      <c r="BD219">
        <f t="shared" si="46"/>
        <v>14.975</v>
      </c>
      <c r="BE219">
        <f t="shared" si="47"/>
        <v>14.26299865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51.17</v>
      </c>
      <c r="I220" s="21">
        <v>-1.5615800000000001E-2</v>
      </c>
      <c r="J220" s="21">
        <v>210</v>
      </c>
      <c r="K220" s="21">
        <v>0.74179099999999998</v>
      </c>
      <c r="L220">
        <f t="shared" si="36"/>
        <v>15.6158</v>
      </c>
      <c r="M220">
        <f t="shared" si="37"/>
        <v>11.594622189399999</v>
      </c>
      <c r="N220" s="9"/>
      <c r="O220" s="21">
        <v>0.95748900000000003</v>
      </c>
      <c r="P220" s="21">
        <v>100.596</v>
      </c>
      <c r="Q220" s="21">
        <v>-1.5258799999999999E-2</v>
      </c>
      <c r="R220" s="21">
        <v>210</v>
      </c>
      <c r="S220" s="21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1">
        <v>0.74249299999999996</v>
      </c>
      <c r="Z220" s="21">
        <v>130.054</v>
      </c>
      <c r="AA220" s="21">
        <v>-1.5484599999999999E-2</v>
      </c>
      <c r="AB220" s="21">
        <v>210</v>
      </c>
      <c r="AC220" s="21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1">
        <v>0.95748900000000003</v>
      </c>
      <c r="AH220" s="21">
        <v>179.52699999999999</v>
      </c>
      <c r="AI220" s="21">
        <v>-1.51947E-2</v>
      </c>
      <c r="AJ220" s="21">
        <v>210</v>
      </c>
      <c r="AK220" s="21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1">
        <v>0.74249299999999996</v>
      </c>
      <c r="AR220" s="21">
        <v>228.97300000000001</v>
      </c>
      <c r="AS220" s="21">
        <v>-1.52283E-2</v>
      </c>
      <c r="AT220" s="21">
        <v>210</v>
      </c>
      <c r="AU220" s="21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1">
        <v>0.95748900000000003</v>
      </c>
      <c r="AZ220" s="21">
        <v>263.31400000000002</v>
      </c>
      <c r="BA220" s="21">
        <v>-1.49628E-2</v>
      </c>
      <c r="BB220" s="21">
        <v>210</v>
      </c>
      <c r="BC220" s="21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51.180100000000003</v>
      </c>
      <c r="I221" s="21">
        <v>-1.56189E-2</v>
      </c>
      <c r="J221" s="21">
        <v>211</v>
      </c>
      <c r="K221" s="21">
        <v>0.73678600000000005</v>
      </c>
      <c r="L221">
        <f t="shared" si="36"/>
        <v>15.6189</v>
      </c>
      <c r="M221">
        <f t="shared" si="37"/>
        <v>11.518267137300001</v>
      </c>
      <c r="N221" s="9"/>
      <c r="O221" s="21">
        <v>0.96252400000000005</v>
      </c>
      <c r="P221" s="21">
        <v>100.607</v>
      </c>
      <c r="Q221" s="21">
        <v>-1.5258799999999999E-2</v>
      </c>
      <c r="R221" s="21">
        <v>211</v>
      </c>
      <c r="S221" s="21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1">
        <v>0.73745700000000003</v>
      </c>
      <c r="Z221" s="21">
        <v>130.06399999999999</v>
      </c>
      <c r="AA221" s="21">
        <v>-1.54999E-2</v>
      </c>
      <c r="AB221" s="21">
        <v>211</v>
      </c>
      <c r="AC221" s="21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1">
        <v>0.96252400000000005</v>
      </c>
      <c r="AH221" s="21">
        <v>179.53700000000001</v>
      </c>
      <c r="AI221" s="21">
        <v>-1.51764E-2</v>
      </c>
      <c r="AJ221" s="21">
        <v>211</v>
      </c>
      <c r="AK221" s="21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1">
        <v>0.73745700000000003</v>
      </c>
      <c r="AR221" s="21">
        <v>228.983</v>
      </c>
      <c r="AS221" s="21">
        <v>-1.52161E-2</v>
      </c>
      <c r="AT221" s="21">
        <v>211</v>
      </c>
      <c r="AU221" s="21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1">
        <v>0.96252400000000005</v>
      </c>
      <c r="AZ221" s="21">
        <v>263.32400000000001</v>
      </c>
      <c r="BA221" s="21">
        <v>-1.49567E-2</v>
      </c>
      <c r="BB221" s="21">
        <v>211</v>
      </c>
      <c r="BC221" s="21">
        <v>0.96099900000000005</v>
      </c>
      <c r="BD221">
        <f t="shared" si="46"/>
        <v>14.9567</v>
      </c>
      <c r="BE221">
        <f t="shared" si="47"/>
        <v>14.3961827108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51.190199999999997</v>
      </c>
      <c r="I222" s="21">
        <v>-1.5625E-2</v>
      </c>
      <c r="J222" s="21">
        <v>212</v>
      </c>
      <c r="K222" s="21">
        <v>0.73175000000000001</v>
      </c>
      <c r="L222">
        <f t="shared" si="36"/>
        <v>15.625</v>
      </c>
      <c r="M222">
        <f t="shared" si="37"/>
        <v>11.44409375</v>
      </c>
      <c r="N222" s="9"/>
      <c r="O222" s="21">
        <v>0.96755999999999998</v>
      </c>
      <c r="P222" s="21">
        <v>100.617</v>
      </c>
      <c r="Q222" s="21">
        <v>-1.5255700000000001E-2</v>
      </c>
      <c r="R222" s="21">
        <v>212</v>
      </c>
      <c r="S222" s="21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1">
        <v>0.73242200000000002</v>
      </c>
      <c r="Z222" s="21">
        <v>130.07400000000001</v>
      </c>
      <c r="AA222" s="21">
        <v>-1.5506000000000001E-2</v>
      </c>
      <c r="AB222" s="21">
        <v>212</v>
      </c>
      <c r="AC222" s="21">
        <v>0.73168900000000003</v>
      </c>
      <c r="AD222">
        <f t="shared" si="40"/>
        <v>15.506</v>
      </c>
      <c r="AE222">
        <f t="shared" si="41"/>
        <v>11.356935532</v>
      </c>
      <c r="AF222" s="9"/>
      <c r="AG222" s="21">
        <v>0.96755999999999998</v>
      </c>
      <c r="AH222" s="21">
        <v>179.547</v>
      </c>
      <c r="AI222" s="21">
        <v>-1.51672E-2</v>
      </c>
      <c r="AJ222" s="21">
        <v>212</v>
      </c>
      <c r="AK222" s="21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1">
        <v>0.73242200000000002</v>
      </c>
      <c r="AR222" s="21">
        <v>228.994</v>
      </c>
      <c r="AS222" s="21">
        <v>-1.5219099999999999E-2</v>
      </c>
      <c r="AT222" s="21">
        <v>212</v>
      </c>
      <c r="AU222" s="21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1">
        <v>0.96755999999999998</v>
      </c>
      <c r="AZ222" s="21">
        <v>263.334</v>
      </c>
      <c r="BA222" s="21">
        <v>-1.49567E-2</v>
      </c>
      <c r="BB222" s="21">
        <v>212</v>
      </c>
      <c r="BC222" s="21">
        <v>0.96679700000000002</v>
      </c>
      <c r="BD222">
        <f t="shared" si="46"/>
        <v>14.9567</v>
      </c>
      <c r="BE222">
        <f t="shared" si="47"/>
        <v>14.471504652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51.200299999999999</v>
      </c>
      <c r="I223" s="21">
        <v>-1.5625E-2</v>
      </c>
      <c r="J223" s="21">
        <v>213</v>
      </c>
      <c r="K223" s="21">
        <v>0.726715</v>
      </c>
      <c r="L223">
        <f t="shared" si="36"/>
        <v>15.625</v>
      </c>
      <c r="M223">
        <f t="shared" si="37"/>
        <v>11.365406249999999</v>
      </c>
      <c r="N223" s="9"/>
      <c r="O223" s="21">
        <v>0.97259499999999999</v>
      </c>
      <c r="P223" s="21">
        <v>100.627</v>
      </c>
      <c r="Q223" s="21">
        <v>-1.5246600000000001E-2</v>
      </c>
      <c r="R223" s="21">
        <v>213</v>
      </c>
      <c r="S223" s="21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1">
        <v>0.72738599999999998</v>
      </c>
      <c r="Z223" s="21">
        <v>130.084</v>
      </c>
      <c r="AA223" s="21">
        <v>-1.54999E-2</v>
      </c>
      <c r="AB223" s="21">
        <v>213</v>
      </c>
      <c r="AC223" s="21">
        <v>0.72665400000000002</v>
      </c>
      <c r="AD223">
        <f t="shared" si="40"/>
        <v>15.4999</v>
      </c>
      <c r="AE223">
        <f t="shared" si="41"/>
        <v>11.2744102614</v>
      </c>
      <c r="AF223" s="9"/>
      <c r="AG223" s="21">
        <v>0.97259499999999999</v>
      </c>
      <c r="AH223" s="21">
        <v>179.55699999999999</v>
      </c>
      <c r="AI223" s="21">
        <v>-1.5152000000000001E-2</v>
      </c>
      <c r="AJ223" s="21">
        <v>213</v>
      </c>
      <c r="AK223" s="21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1">
        <v>0.72738599999999998</v>
      </c>
      <c r="AR223" s="21">
        <v>229.00399999999999</v>
      </c>
      <c r="AS223" s="21">
        <v>-1.5240500000000001E-2</v>
      </c>
      <c r="AT223" s="21">
        <v>213</v>
      </c>
      <c r="AU223" s="21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1">
        <v>0.97259499999999999</v>
      </c>
      <c r="AZ223" s="21">
        <v>263.34399999999999</v>
      </c>
      <c r="BA223" s="21">
        <v>-1.4944499999999999E-2</v>
      </c>
      <c r="BB223" s="21">
        <v>213</v>
      </c>
      <c r="BC223" s="21">
        <v>0.97167999999999999</v>
      </c>
      <c r="BD223">
        <f t="shared" si="46"/>
        <v>14.9445</v>
      </c>
      <c r="BE223">
        <f t="shared" si="47"/>
        <v>14.5349459775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51.210299999999997</v>
      </c>
      <c r="I224" s="21">
        <v>-1.5628099999999999E-2</v>
      </c>
      <c r="J224" s="21">
        <v>214</v>
      </c>
      <c r="K224" s="21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1">
        <v>0.97763100000000003</v>
      </c>
      <c r="P224" s="21">
        <v>100.637</v>
      </c>
      <c r="Q224" s="21">
        <v>-1.52496E-2</v>
      </c>
      <c r="R224" s="21">
        <v>214</v>
      </c>
      <c r="S224" s="21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1">
        <v>0.72235099999999997</v>
      </c>
      <c r="Z224" s="21">
        <v>130.09399999999999</v>
      </c>
      <c r="AA224" s="21">
        <v>-1.54968E-2</v>
      </c>
      <c r="AB224" s="21">
        <v>214</v>
      </c>
      <c r="AC224" s="21">
        <v>0.72167999999999999</v>
      </c>
      <c r="AD224">
        <f t="shared" si="40"/>
        <v>15.4968</v>
      </c>
      <c r="AE224">
        <f t="shared" si="41"/>
        <v>11.1941289768</v>
      </c>
      <c r="AF224" s="9"/>
      <c r="AG224" s="21">
        <v>0.97763100000000003</v>
      </c>
      <c r="AH224" s="21">
        <v>179.56700000000001</v>
      </c>
      <c r="AI224" s="21">
        <v>-1.5130599999999999E-2</v>
      </c>
      <c r="AJ224" s="21">
        <v>214</v>
      </c>
      <c r="AK224" s="21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1">
        <v>0.72235099999999997</v>
      </c>
      <c r="AR224" s="21">
        <v>229.01400000000001</v>
      </c>
      <c r="AS224" s="21">
        <v>-1.5252699999999999E-2</v>
      </c>
      <c r="AT224" s="21">
        <v>214</v>
      </c>
      <c r="AU224" s="21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1">
        <v>0.97763100000000003</v>
      </c>
      <c r="AZ224" s="21">
        <v>263.35399999999998</v>
      </c>
      <c r="BA224" s="21">
        <v>-1.49292E-2</v>
      </c>
      <c r="BB224" s="21">
        <v>214</v>
      </c>
      <c r="BC224" s="21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51.220399999999998</v>
      </c>
      <c r="I225" s="21">
        <v>-1.5634200000000001E-2</v>
      </c>
      <c r="J225" s="21">
        <v>215</v>
      </c>
      <c r="K225" s="21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1">
        <v>0.98266600000000004</v>
      </c>
      <c r="P225" s="21">
        <v>100.64700000000001</v>
      </c>
      <c r="Q225" s="21">
        <v>-1.52374E-2</v>
      </c>
      <c r="R225" s="21">
        <v>215</v>
      </c>
      <c r="S225" s="21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1">
        <v>0.71731599999999995</v>
      </c>
      <c r="Z225" s="21">
        <v>130.10400000000001</v>
      </c>
      <c r="AA225" s="21">
        <v>-1.54999E-2</v>
      </c>
      <c r="AB225" s="21">
        <v>215</v>
      </c>
      <c r="AC225" s="21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1">
        <v>0.98266600000000004</v>
      </c>
      <c r="AH225" s="21">
        <v>179.577</v>
      </c>
      <c r="AI225" s="21">
        <v>-1.5109300000000001E-2</v>
      </c>
      <c r="AJ225" s="21">
        <v>215</v>
      </c>
      <c r="AK225" s="21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1">
        <v>0.71731599999999995</v>
      </c>
      <c r="AR225" s="21">
        <v>229.024</v>
      </c>
      <c r="AS225" s="21">
        <v>-1.5273999999999999E-2</v>
      </c>
      <c r="AT225" s="21">
        <v>215</v>
      </c>
      <c r="AU225" s="21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1">
        <v>0.98266600000000004</v>
      </c>
      <c r="AZ225" s="21">
        <v>263.36399999999998</v>
      </c>
      <c r="BA225" s="21">
        <v>-1.4919999999999999E-2</v>
      </c>
      <c r="BB225" s="21">
        <v>215</v>
      </c>
      <c r="BC225" s="21">
        <v>0.98175000000000001</v>
      </c>
      <c r="BD225">
        <f t="shared" si="46"/>
        <v>14.92</v>
      </c>
      <c r="BE225">
        <f t="shared" si="47"/>
        <v>14.66137672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51.230499999999999</v>
      </c>
      <c r="I226" s="21">
        <v>-1.56372E-2</v>
      </c>
      <c r="J226" s="21">
        <v>216</v>
      </c>
      <c r="K226" s="21">
        <v>0.71160900000000005</v>
      </c>
      <c r="L226">
        <f t="shared" si="36"/>
        <v>15.6372</v>
      </c>
      <c r="M226">
        <f t="shared" si="37"/>
        <v>11.138064816</v>
      </c>
      <c r="N226" s="9"/>
      <c r="O226" s="21">
        <v>0.98770100000000005</v>
      </c>
      <c r="P226" s="21">
        <v>100.657</v>
      </c>
      <c r="Q226" s="21">
        <v>-1.52313E-2</v>
      </c>
      <c r="R226" s="21">
        <v>216</v>
      </c>
      <c r="S226" s="21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1">
        <v>0.71228000000000002</v>
      </c>
      <c r="Z226" s="21">
        <v>130.114</v>
      </c>
      <c r="AA226" s="21">
        <v>-1.55029E-2</v>
      </c>
      <c r="AB226" s="21">
        <v>216</v>
      </c>
      <c r="AC226" s="21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1">
        <v>0.98770100000000005</v>
      </c>
      <c r="AH226" s="21">
        <v>179.58699999999999</v>
      </c>
      <c r="AI226" s="21">
        <v>-1.5096999999999999E-2</v>
      </c>
      <c r="AJ226" s="21">
        <v>216</v>
      </c>
      <c r="AK226" s="21">
        <v>0.98693799999999998</v>
      </c>
      <c r="AL226">
        <f t="shared" si="42"/>
        <v>15.097</v>
      </c>
      <c r="AM226">
        <f t="shared" si="43"/>
        <v>14.911321997</v>
      </c>
      <c r="AP226" s="9"/>
      <c r="AQ226" s="21">
        <v>0.71228000000000002</v>
      </c>
      <c r="AR226" s="21">
        <v>229.03399999999999</v>
      </c>
      <c r="AS226" s="21">
        <v>-1.5286299999999999E-2</v>
      </c>
      <c r="AT226" s="21">
        <v>216</v>
      </c>
      <c r="AU226" s="21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1">
        <v>0.98770100000000005</v>
      </c>
      <c r="AZ226" s="21">
        <v>263.37400000000002</v>
      </c>
      <c r="BA226" s="21">
        <v>-1.4913900000000001E-2</v>
      </c>
      <c r="BB226" s="21">
        <v>216</v>
      </c>
      <c r="BC226" s="21">
        <v>0.98724400000000001</v>
      </c>
      <c r="BD226">
        <f t="shared" si="46"/>
        <v>14.9139</v>
      </c>
      <c r="BE226">
        <f t="shared" si="47"/>
        <v>14.7304739439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51.240499999999997</v>
      </c>
      <c r="I227" s="21">
        <v>-1.56372E-2</v>
      </c>
      <c r="J227" s="21">
        <v>217</v>
      </c>
      <c r="K227" s="21">
        <v>0.70669599999999999</v>
      </c>
      <c r="L227">
        <f t="shared" si="36"/>
        <v>15.6372</v>
      </c>
      <c r="M227">
        <f t="shared" si="37"/>
        <v>11.059331514</v>
      </c>
      <c r="N227" s="9"/>
      <c r="O227" s="21">
        <v>0.99273699999999998</v>
      </c>
      <c r="P227" s="21">
        <v>100.667</v>
      </c>
      <c r="Q227" s="21">
        <v>-1.52222E-2</v>
      </c>
      <c r="R227" s="21">
        <v>217</v>
      </c>
      <c r="S227" s="21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1">
        <v>0.70724500000000001</v>
      </c>
      <c r="Z227" s="21">
        <v>130.124</v>
      </c>
      <c r="AA227" s="21">
        <v>-1.5512099999999999E-2</v>
      </c>
      <c r="AB227" s="21">
        <v>217</v>
      </c>
      <c r="AC227" s="21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1">
        <v>0.99273699999999998</v>
      </c>
      <c r="AH227" s="21">
        <v>179.59700000000001</v>
      </c>
      <c r="AI227" s="21">
        <v>-1.5096999999999999E-2</v>
      </c>
      <c r="AJ227" s="21">
        <v>217</v>
      </c>
      <c r="AK227" s="21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1">
        <v>0.70724500000000001</v>
      </c>
      <c r="AR227" s="21">
        <v>229.04400000000001</v>
      </c>
      <c r="AS227" s="21">
        <v>-1.5295400000000001E-2</v>
      </c>
      <c r="AT227" s="21">
        <v>217</v>
      </c>
      <c r="AU227" s="21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1">
        <v>0.99273699999999998</v>
      </c>
      <c r="AZ227" s="21">
        <v>263.38400000000001</v>
      </c>
      <c r="BA227" s="21">
        <v>-1.4904799999999999E-2</v>
      </c>
      <c r="BB227" s="21">
        <v>217</v>
      </c>
      <c r="BC227" s="21">
        <v>0.99212599999999995</v>
      </c>
      <c r="BD227">
        <f t="shared" si="46"/>
        <v>14.9048</v>
      </c>
      <c r="BE227">
        <f t="shared" si="47"/>
        <v>14.7965464376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51.250599999999999</v>
      </c>
      <c r="I228" s="21">
        <v>-1.5643299999999999E-2</v>
      </c>
      <c r="J228" s="21">
        <v>218</v>
      </c>
      <c r="K228" s="21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1">
        <v>0.99777199999999999</v>
      </c>
      <c r="P228" s="21">
        <v>100.67700000000001</v>
      </c>
      <c r="Q228" s="21">
        <v>-1.5213000000000001E-2</v>
      </c>
      <c r="R228" s="21">
        <v>218</v>
      </c>
      <c r="S228" s="21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1">
        <v>0.70220899999999997</v>
      </c>
      <c r="Z228" s="21">
        <v>130.13399999999999</v>
      </c>
      <c r="AA228" s="21">
        <v>-1.5518199999999999E-2</v>
      </c>
      <c r="AB228" s="21">
        <v>218</v>
      </c>
      <c r="AC228" s="21">
        <v>0.70153799999999999</v>
      </c>
      <c r="AD228">
        <f t="shared" si="40"/>
        <v>15.5182</v>
      </c>
      <c r="AE228">
        <f t="shared" si="41"/>
        <v>10.8970197038</v>
      </c>
      <c r="AF228" s="9"/>
      <c r="AG228" s="21">
        <v>0.99777199999999999</v>
      </c>
      <c r="AH228" s="21">
        <v>179.608</v>
      </c>
      <c r="AI228" s="21">
        <v>-1.51062E-2</v>
      </c>
      <c r="AJ228" s="21">
        <v>218</v>
      </c>
      <c r="AK228" s="21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1">
        <v>0.70220899999999997</v>
      </c>
      <c r="AR228" s="21">
        <v>229.054</v>
      </c>
      <c r="AS228" s="21">
        <v>-1.53107E-2</v>
      </c>
      <c r="AT228" s="21">
        <v>218</v>
      </c>
      <c r="AU228" s="21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1">
        <v>0.99777199999999999</v>
      </c>
      <c r="AZ228" s="21">
        <v>263.39400000000001</v>
      </c>
      <c r="BA228" s="21">
        <v>-1.4904799999999999E-2</v>
      </c>
      <c r="BB228" s="21">
        <v>218</v>
      </c>
      <c r="BC228" s="21">
        <v>0.99700900000000003</v>
      </c>
      <c r="BD228">
        <f t="shared" si="46"/>
        <v>14.9048</v>
      </c>
      <c r="BE228">
        <f t="shared" si="47"/>
        <v>14.8715921056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51.2607</v>
      </c>
      <c r="I229" s="21">
        <v>-1.5649400000000001E-2</v>
      </c>
      <c r="J229" s="21">
        <v>219</v>
      </c>
      <c r="K229" s="21">
        <v>0.69647199999999998</v>
      </c>
      <c r="L229">
        <f t="shared" si="36"/>
        <v>15.6494</v>
      </c>
      <c r="M229">
        <f t="shared" si="37"/>
        <v>10.9103547956</v>
      </c>
      <c r="N229" s="9"/>
      <c r="O229" s="21">
        <v>1.00281</v>
      </c>
      <c r="P229" s="21">
        <v>100.687</v>
      </c>
      <c r="Q229" s="21">
        <v>-1.5203899999999999E-2</v>
      </c>
      <c r="R229" s="21">
        <v>219</v>
      </c>
      <c r="S229" s="21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1">
        <v>0.69717399999999996</v>
      </c>
      <c r="Z229" s="21">
        <v>130.14400000000001</v>
      </c>
      <c r="AA229" s="21">
        <v>-1.55243E-2</v>
      </c>
      <c r="AB229" s="21">
        <v>219</v>
      </c>
      <c r="AC229" s="21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1">
        <v>1.00281</v>
      </c>
      <c r="AH229" s="21">
        <v>179.61799999999999</v>
      </c>
      <c r="AI229" s="21">
        <v>-1.5109300000000001E-2</v>
      </c>
      <c r="AJ229" s="21">
        <v>219</v>
      </c>
      <c r="AK229" s="21">
        <v>1.00159</v>
      </c>
      <c r="AL229">
        <f t="shared" si="42"/>
        <v>15.109300000000001</v>
      </c>
      <c r="AM229">
        <f t="shared" si="43"/>
        <v>15.151757133</v>
      </c>
      <c r="AP229" s="9"/>
      <c r="AQ229" s="21">
        <v>0.69717399999999996</v>
      </c>
      <c r="AR229" s="21">
        <v>229.06399999999999</v>
      </c>
      <c r="AS229" s="21">
        <v>-1.5341199999999999E-2</v>
      </c>
      <c r="AT229" s="21">
        <v>219</v>
      </c>
      <c r="AU229" s="21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1">
        <v>1.00281</v>
      </c>
      <c r="AZ229" s="21">
        <v>263.404</v>
      </c>
      <c r="BA229" s="21">
        <v>-1.4904799999999999E-2</v>
      </c>
      <c r="BB229" s="21">
        <v>219</v>
      </c>
      <c r="BC229" s="21">
        <v>1.0022</v>
      </c>
      <c r="BD229">
        <f t="shared" si="46"/>
        <v>14.9048</v>
      </c>
      <c r="BE229">
        <f t="shared" si="47"/>
        <v>14.946682487999999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51.270800000000001</v>
      </c>
      <c r="I230" s="21">
        <v>-1.5655499999999999E-2</v>
      </c>
      <c r="J230" s="21">
        <v>220</v>
      </c>
      <c r="K230" s="21">
        <v>0.69146700000000005</v>
      </c>
      <c r="L230">
        <f t="shared" si="36"/>
        <v>15.6555</v>
      </c>
      <c r="M230">
        <f t="shared" si="37"/>
        <v>10.835782114499999</v>
      </c>
      <c r="N230" s="9"/>
      <c r="O230" s="21">
        <v>1.0078400000000001</v>
      </c>
      <c r="P230" s="21">
        <v>100.697</v>
      </c>
      <c r="Q230" s="21">
        <v>-1.51886E-2</v>
      </c>
      <c r="R230" s="21">
        <v>220</v>
      </c>
      <c r="S230" s="21">
        <v>1.00708</v>
      </c>
      <c r="T230">
        <f t="shared" si="38"/>
        <v>15.188599999999999</v>
      </c>
      <c r="U230">
        <f t="shared" si="39"/>
        <v>15.307678624000001</v>
      </c>
      <c r="X230" s="9"/>
      <c r="Y230" s="21">
        <v>0.69213899999999995</v>
      </c>
      <c r="Z230" s="21">
        <v>130.154</v>
      </c>
      <c r="AA230" s="21">
        <v>-1.5533399999999999E-2</v>
      </c>
      <c r="AB230" s="21">
        <v>220</v>
      </c>
      <c r="AC230" s="21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1">
        <v>1.0078400000000001</v>
      </c>
      <c r="AH230" s="21">
        <v>179.62799999999999</v>
      </c>
      <c r="AI230" s="21">
        <v>-1.51062E-2</v>
      </c>
      <c r="AJ230" s="21">
        <v>220</v>
      </c>
      <c r="AK230" s="21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1">
        <v>0.69213899999999995</v>
      </c>
      <c r="AR230" s="21">
        <v>229.07400000000001</v>
      </c>
      <c r="AS230" s="21">
        <v>-1.53595E-2</v>
      </c>
      <c r="AT230" s="21">
        <v>220</v>
      </c>
      <c r="AU230" s="21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1">
        <v>1.0078400000000001</v>
      </c>
      <c r="AZ230" s="21">
        <v>263.41399999999999</v>
      </c>
      <c r="BA230" s="21">
        <v>-1.4898700000000001E-2</v>
      </c>
      <c r="BB230" s="21">
        <v>220</v>
      </c>
      <c r="BC230" s="21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51.280799999999999</v>
      </c>
      <c r="I231" s="21">
        <v>-1.5658600000000002E-2</v>
      </c>
      <c r="J231" s="21">
        <v>221</v>
      </c>
      <c r="K231" s="21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1">
        <v>1.01288</v>
      </c>
      <c r="P231" s="21">
        <v>100.70699999999999</v>
      </c>
      <c r="Q231" s="21">
        <v>-1.51825E-2</v>
      </c>
      <c r="R231" s="21">
        <v>221</v>
      </c>
      <c r="S231" s="21">
        <v>1.01166</v>
      </c>
      <c r="T231">
        <f t="shared" si="38"/>
        <v>15.182499999999999</v>
      </c>
      <c r="U231">
        <f t="shared" si="39"/>
        <v>15.3780506</v>
      </c>
      <c r="X231" s="9"/>
      <c r="Y231" s="21">
        <v>0.68710300000000002</v>
      </c>
      <c r="Z231" s="21">
        <v>130.16399999999999</v>
      </c>
      <c r="AA231" s="21">
        <v>-1.55426E-2</v>
      </c>
      <c r="AB231" s="21">
        <v>221</v>
      </c>
      <c r="AC231" s="21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1">
        <v>1.01288</v>
      </c>
      <c r="AH231" s="21">
        <v>179.63800000000001</v>
      </c>
      <c r="AI231" s="21">
        <v>-1.5096999999999999E-2</v>
      </c>
      <c r="AJ231" s="21">
        <v>221</v>
      </c>
      <c r="AK231" s="21">
        <v>1.01196</v>
      </c>
      <c r="AL231">
        <f t="shared" si="42"/>
        <v>15.097</v>
      </c>
      <c r="AM231">
        <f t="shared" si="43"/>
        <v>15.29144936</v>
      </c>
      <c r="AP231" s="9"/>
      <c r="AQ231" s="21">
        <v>0.68710300000000002</v>
      </c>
      <c r="AR231" s="21">
        <v>229.084</v>
      </c>
      <c r="AS231" s="21">
        <v>-1.53595E-2</v>
      </c>
      <c r="AT231" s="21">
        <v>221</v>
      </c>
      <c r="AU231" s="21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1">
        <v>1.01288</v>
      </c>
      <c r="AZ231" s="21">
        <v>263.42399999999998</v>
      </c>
      <c r="BA231" s="21">
        <v>-1.4892600000000001E-2</v>
      </c>
      <c r="BB231" s="21">
        <v>221</v>
      </c>
      <c r="BC231" s="21">
        <v>1.01257</v>
      </c>
      <c r="BD231">
        <f t="shared" si="46"/>
        <v>14.8926</v>
      </c>
      <c r="BE231">
        <f t="shared" si="47"/>
        <v>15.084416687999999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51.290900000000001</v>
      </c>
      <c r="I232" s="21">
        <v>-1.56647E-2</v>
      </c>
      <c r="J232" s="21">
        <v>222</v>
      </c>
      <c r="K232" s="21">
        <v>0.68133500000000002</v>
      </c>
      <c r="L232">
        <f t="shared" si="36"/>
        <v>15.6647</v>
      </c>
      <c r="M232">
        <f t="shared" si="37"/>
        <v>10.6843905996</v>
      </c>
      <c r="N232" s="9"/>
      <c r="O232" s="21">
        <v>1.0179100000000001</v>
      </c>
      <c r="P232" s="21">
        <v>100.717</v>
      </c>
      <c r="Q232" s="21">
        <v>-1.51764E-2</v>
      </c>
      <c r="R232" s="21">
        <v>222</v>
      </c>
      <c r="S232" s="21">
        <v>1.01715</v>
      </c>
      <c r="T232">
        <f t="shared" si="38"/>
        <v>15.176399999999999</v>
      </c>
      <c r="U232">
        <f t="shared" si="39"/>
        <v>15.448209324</v>
      </c>
      <c r="X232" s="9"/>
      <c r="Y232" s="21">
        <v>0.68206800000000001</v>
      </c>
      <c r="Z232" s="21">
        <v>130.17400000000001</v>
      </c>
      <c r="AA232" s="21">
        <v>-1.5551799999999999E-2</v>
      </c>
      <c r="AB232" s="21">
        <v>222</v>
      </c>
      <c r="AC232" s="21">
        <v>0.68127400000000005</v>
      </c>
      <c r="AD232">
        <f t="shared" si="40"/>
        <v>15.5518</v>
      </c>
      <c r="AE232">
        <f t="shared" si="41"/>
        <v>10.6073851224</v>
      </c>
      <c r="AF232" s="9"/>
      <c r="AG232" s="21">
        <v>1.0179100000000001</v>
      </c>
      <c r="AH232" s="21">
        <v>179.648</v>
      </c>
      <c r="AI232" s="21">
        <v>-1.5075699999999999E-2</v>
      </c>
      <c r="AJ232" s="21">
        <v>222</v>
      </c>
      <c r="AK232" s="21">
        <v>1.01715</v>
      </c>
      <c r="AL232">
        <f t="shared" si="42"/>
        <v>15.075699999999999</v>
      </c>
      <c r="AM232">
        <f t="shared" si="43"/>
        <v>15.345705787</v>
      </c>
      <c r="AP232" s="9"/>
      <c r="AQ232" s="21">
        <v>0.68206800000000001</v>
      </c>
      <c r="AR232" s="21">
        <v>229.09399999999999</v>
      </c>
      <c r="AS232" s="21">
        <v>-1.53656E-2</v>
      </c>
      <c r="AT232" s="21">
        <v>222</v>
      </c>
      <c r="AU232" s="21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1">
        <v>1.0179100000000001</v>
      </c>
      <c r="AZ232" s="21">
        <v>263.43400000000003</v>
      </c>
      <c r="BA232" s="21">
        <v>-1.4892600000000001E-2</v>
      </c>
      <c r="BB232" s="21">
        <v>222</v>
      </c>
      <c r="BC232" s="21">
        <v>1.01685</v>
      </c>
      <c r="BD232">
        <f t="shared" si="46"/>
        <v>14.8926</v>
      </c>
      <c r="BE232">
        <f t="shared" si="47"/>
        <v>15.159326466000001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51.301000000000002</v>
      </c>
      <c r="I233" s="21">
        <v>-1.56647E-2</v>
      </c>
      <c r="J233" s="21">
        <v>223</v>
      </c>
      <c r="K233" s="21">
        <v>0.67642199999999997</v>
      </c>
      <c r="L233">
        <f t="shared" si="36"/>
        <v>15.6647</v>
      </c>
      <c r="M233">
        <f t="shared" si="37"/>
        <v>10.605503170399999</v>
      </c>
      <c r="N233" s="9"/>
      <c r="O233" s="21">
        <v>1.02295</v>
      </c>
      <c r="P233" s="21">
        <v>100.727</v>
      </c>
      <c r="Q233" s="21">
        <v>-1.5179399999999999E-2</v>
      </c>
      <c r="R233" s="21">
        <v>223</v>
      </c>
      <c r="S233" s="21">
        <v>1.02203</v>
      </c>
      <c r="T233">
        <f t="shared" si="38"/>
        <v>15.179399999999999</v>
      </c>
      <c r="U233">
        <f t="shared" si="39"/>
        <v>15.52776723</v>
      </c>
      <c r="X233" s="9"/>
      <c r="Y233" s="21">
        <v>0.67703199999999997</v>
      </c>
      <c r="Z233" s="21">
        <v>130.184</v>
      </c>
      <c r="AA233" s="21">
        <v>-1.5551799999999999E-2</v>
      </c>
      <c r="AB233" s="21">
        <v>223</v>
      </c>
      <c r="AC233" s="21">
        <v>0.67642199999999997</v>
      </c>
      <c r="AD233">
        <f t="shared" si="40"/>
        <v>15.5518</v>
      </c>
      <c r="AE233">
        <f t="shared" si="41"/>
        <v>10.5290662576</v>
      </c>
      <c r="AF233" s="9"/>
      <c r="AG233" s="21">
        <v>1.02295</v>
      </c>
      <c r="AH233" s="21">
        <v>179.65799999999999</v>
      </c>
      <c r="AI233" s="21">
        <v>-1.50543E-2</v>
      </c>
      <c r="AJ233" s="21">
        <v>223</v>
      </c>
      <c r="AK233" s="21">
        <v>1.02203</v>
      </c>
      <c r="AL233">
        <f t="shared" si="42"/>
        <v>15.0543</v>
      </c>
      <c r="AM233">
        <f t="shared" si="43"/>
        <v>15.399796185</v>
      </c>
      <c r="AP233" s="9"/>
      <c r="AQ233" s="21">
        <v>0.67703199999999997</v>
      </c>
      <c r="AR233" s="21">
        <v>229.10400000000001</v>
      </c>
      <c r="AS233" s="21">
        <v>-1.5362499999999999E-2</v>
      </c>
      <c r="AT233" s="21">
        <v>223</v>
      </c>
      <c r="AU233" s="21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1">
        <v>1.02295</v>
      </c>
      <c r="AZ233" s="21">
        <v>263.44400000000002</v>
      </c>
      <c r="BA233" s="21">
        <v>-1.48956E-2</v>
      </c>
      <c r="BB233" s="21">
        <v>223</v>
      </c>
      <c r="BC233" s="21">
        <v>1.02142</v>
      </c>
      <c r="BD233">
        <f t="shared" si="46"/>
        <v>14.8956</v>
      </c>
      <c r="BE233">
        <f t="shared" si="47"/>
        <v>15.237454019999999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51.311</v>
      </c>
      <c r="I234" s="21">
        <v>-1.56647E-2</v>
      </c>
      <c r="J234" s="21">
        <v>224</v>
      </c>
      <c r="K234" s="21">
        <v>0.67120400000000002</v>
      </c>
      <c r="L234">
        <f t="shared" si="36"/>
        <v>15.6647</v>
      </c>
      <c r="M234">
        <f t="shared" si="37"/>
        <v>10.5266314059</v>
      </c>
      <c r="N234" s="9"/>
      <c r="O234" s="21">
        <v>1.0279799999999999</v>
      </c>
      <c r="P234" s="21">
        <v>100.73699999999999</v>
      </c>
      <c r="Q234" s="21">
        <v>-1.5185499999999999E-2</v>
      </c>
      <c r="R234" s="21">
        <v>224</v>
      </c>
      <c r="S234" s="21">
        <v>1.02722</v>
      </c>
      <c r="T234">
        <f t="shared" si="38"/>
        <v>15.185499999999999</v>
      </c>
      <c r="U234">
        <f t="shared" si="39"/>
        <v>15.610390289999998</v>
      </c>
      <c r="X234" s="9"/>
      <c r="Y234" s="21">
        <v>0.67199699999999996</v>
      </c>
      <c r="Z234" s="21">
        <v>130.19499999999999</v>
      </c>
      <c r="AA234" s="21">
        <v>-1.55579E-2</v>
      </c>
      <c r="AB234" s="21">
        <v>224</v>
      </c>
      <c r="AC234" s="21">
        <v>0.67135599999999995</v>
      </c>
      <c r="AD234">
        <f t="shared" si="40"/>
        <v>15.5579</v>
      </c>
      <c r="AE234">
        <f t="shared" si="41"/>
        <v>10.4548621263</v>
      </c>
      <c r="AF234" s="9"/>
      <c r="AG234" s="21">
        <v>1.0279799999999999</v>
      </c>
      <c r="AH234" s="21">
        <v>179.66800000000001</v>
      </c>
      <c r="AI234" s="21">
        <v>-1.50513E-2</v>
      </c>
      <c r="AJ234" s="21">
        <v>224</v>
      </c>
      <c r="AK234" s="21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1">
        <v>0.67199699999999996</v>
      </c>
      <c r="AR234" s="21">
        <v>229.114</v>
      </c>
      <c r="AS234" s="21">
        <v>-1.5368700000000001E-2</v>
      </c>
      <c r="AT234" s="21">
        <v>224</v>
      </c>
      <c r="AU234" s="21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1">
        <v>1.0279799999999999</v>
      </c>
      <c r="AZ234" s="21">
        <v>263.45499999999998</v>
      </c>
      <c r="BA234" s="21">
        <v>-1.48865E-2</v>
      </c>
      <c r="BB234" s="21">
        <v>224</v>
      </c>
      <c r="BC234" s="21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51.321100000000001</v>
      </c>
      <c r="I235" s="21">
        <v>-1.5661600000000001E-2</v>
      </c>
      <c r="J235" s="21">
        <v>225</v>
      </c>
      <c r="K235" s="21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1">
        <v>1.03302</v>
      </c>
      <c r="P235" s="21">
        <v>100.748</v>
      </c>
      <c r="Q235" s="21">
        <v>-1.5191700000000001E-2</v>
      </c>
      <c r="R235" s="21">
        <v>225</v>
      </c>
      <c r="S235" s="21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1">
        <v>0.66696200000000005</v>
      </c>
      <c r="Z235" s="21">
        <v>130.20500000000001</v>
      </c>
      <c r="AA235" s="21">
        <v>-1.55701E-2</v>
      </c>
      <c r="AB235" s="21">
        <v>225</v>
      </c>
      <c r="AC235" s="21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1">
        <v>1.03302</v>
      </c>
      <c r="AH235" s="21">
        <v>179.678</v>
      </c>
      <c r="AI235" s="21">
        <v>-1.5042099999999999E-2</v>
      </c>
      <c r="AJ235" s="21">
        <v>225</v>
      </c>
      <c r="AK235" s="21">
        <v>1.03271</v>
      </c>
      <c r="AL235">
        <f t="shared" si="42"/>
        <v>15.0421</v>
      </c>
      <c r="AM235">
        <f t="shared" si="43"/>
        <v>15.538790142</v>
      </c>
      <c r="AP235" s="9"/>
      <c r="AQ235" s="21">
        <v>0.66696200000000005</v>
      </c>
      <c r="AR235" s="21">
        <v>229.124</v>
      </c>
      <c r="AS235" s="21">
        <v>-1.53778E-2</v>
      </c>
      <c r="AT235" s="21">
        <v>225</v>
      </c>
      <c r="AU235" s="21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1">
        <v>1.03302</v>
      </c>
      <c r="AZ235" s="21">
        <v>263.46499999999997</v>
      </c>
      <c r="BA235" s="21">
        <v>-1.4865099999999999E-2</v>
      </c>
      <c r="BB235" s="21">
        <v>225</v>
      </c>
      <c r="BC235" s="21">
        <v>1.0318000000000001</v>
      </c>
      <c r="BD235">
        <f t="shared" si="46"/>
        <v>14.8651</v>
      </c>
      <c r="BE235">
        <f t="shared" si="47"/>
        <v>15.355945602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51.331200000000003</v>
      </c>
      <c r="I236" s="21">
        <v>-1.5658600000000002E-2</v>
      </c>
      <c r="J236" s="21">
        <v>226</v>
      </c>
      <c r="K236" s="21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1">
        <v>1.03806</v>
      </c>
      <c r="P236" s="21">
        <v>100.758</v>
      </c>
      <c r="Q236" s="21">
        <v>-1.5191700000000001E-2</v>
      </c>
      <c r="R236" s="21">
        <v>226</v>
      </c>
      <c r="S236" s="21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1">
        <v>0.66192600000000001</v>
      </c>
      <c r="Z236" s="21">
        <v>130.215</v>
      </c>
      <c r="AA236" s="21">
        <v>-1.55579E-2</v>
      </c>
      <c r="AB236" s="21">
        <v>226</v>
      </c>
      <c r="AC236" s="21">
        <v>0.66122400000000003</v>
      </c>
      <c r="AD236">
        <f t="shared" si="40"/>
        <v>15.5579</v>
      </c>
      <c r="AE236">
        <f t="shared" si="41"/>
        <v>10.2981785154</v>
      </c>
      <c r="AF236" s="9"/>
      <c r="AG236" s="21">
        <v>1.03806</v>
      </c>
      <c r="AH236" s="21">
        <v>179.68799999999999</v>
      </c>
      <c r="AI236" s="21">
        <v>-1.5029900000000001E-2</v>
      </c>
      <c r="AJ236" s="21">
        <v>226</v>
      </c>
      <c r="AK236" s="21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1">
        <v>0.66192600000000001</v>
      </c>
      <c r="AR236" s="21">
        <v>229.13499999999999</v>
      </c>
      <c r="AS236" s="21">
        <v>-1.5380899999999999E-2</v>
      </c>
      <c r="AT236" s="21">
        <v>226</v>
      </c>
      <c r="AU236" s="21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1">
        <v>1.03806</v>
      </c>
      <c r="AZ236" s="21">
        <v>263.47500000000002</v>
      </c>
      <c r="BA236" s="21">
        <v>-1.48468E-2</v>
      </c>
      <c r="BB236" s="21">
        <v>226</v>
      </c>
      <c r="BC236" s="21">
        <v>1.03729</v>
      </c>
      <c r="BD236">
        <f t="shared" si="46"/>
        <v>14.8468</v>
      </c>
      <c r="BE236">
        <f t="shared" si="47"/>
        <v>15.411869208000001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51.341299999999997</v>
      </c>
      <c r="I237" s="21">
        <v>-1.5655499999999999E-2</v>
      </c>
      <c r="J237" s="21">
        <v>227</v>
      </c>
      <c r="K237" s="21">
        <v>0.65625</v>
      </c>
      <c r="L237">
        <f t="shared" si="36"/>
        <v>15.6555</v>
      </c>
      <c r="M237">
        <f t="shared" si="37"/>
        <v>10.2839570505</v>
      </c>
      <c r="N237" s="9"/>
      <c r="O237" s="21">
        <v>1.0430900000000001</v>
      </c>
      <c r="P237" s="21">
        <v>100.768</v>
      </c>
      <c r="Q237" s="21">
        <v>-1.5179399999999999E-2</v>
      </c>
      <c r="R237" s="21">
        <v>227</v>
      </c>
      <c r="S237" s="21">
        <v>1.04156</v>
      </c>
      <c r="T237">
        <f t="shared" si="38"/>
        <v>15.179399999999999</v>
      </c>
      <c r="U237">
        <f t="shared" si="39"/>
        <v>15.833480346</v>
      </c>
      <c r="X237" s="9"/>
      <c r="Y237" s="21">
        <v>0.656891</v>
      </c>
      <c r="Z237" s="21">
        <v>130.22499999999999</v>
      </c>
      <c r="AA237" s="21">
        <v>-1.5560900000000001E-2</v>
      </c>
      <c r="AB237" s="21">
        <v>227</v>
      </c>
      <c r="AC237" s="21">
        <v>0.65625</v>
      </c>
      <c r="AD237">
        <f t="shared" si="40"/>
        <v>15.5609</v>
      </c>
      <c r="AE237">
        <f t="shared" si="41"/>
        <v>10.2218151619</v>
      </c>
      <c r="AF237" s="9"/>
      <c r="AG237" s="21">
        <v>1.0430900000000001</v>
      </c>
      <c r="AH237" s="21">
        <v>179.69800000000001</v>
      </c>
      <c r="AI237" s="21">
        <v>-1.5020800000000001E-2</v>
      </c>
      <c r="AJ237" s="21">
        <v>227</v>
      </c>
      <c r="AK237" s="21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1">
        <v>0.656891</v>
      </c>
      <c r="AR237" s="21">
        <v>229.14500000000001</v>
      </c>
      <c r="AS237" s="21">
        <v>-1.5383900000000001E-2</v>
      </c>
      <c r="AT237" s="21">
        <v>227</v>
      </c>
      <c r="AU237" s="21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1">
        <v>1.0430900000000001</v>
      </c>
      <c r="AZ237" s="21">
        <v>263.48500000000001</v>
      </c>
      <c r="BA237" s="21">
        <v>-1.48346E-2</v>
      </c>
      <c r="BB237" s="21">
        <v>227</v>
      </c>
      <c r="BC237" s="21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51.351300000000002</v>
      </c>
      <c r="I238" s="21">
        <v>-1.5649400000000001E-2</v>
      </c>
      <c r="J238" s="21">
        <v>228</v>
      </c>
      <c r="K238" s="21">
        <v>0.65109300000000003</v>
      </c>
      <c r="L238">
        <f t="shared" si="36"/>
        <v>15.6494</v>
      </c>
      <c r="M238">
        <f t="shared" si="37"/>
        <v>10.201139636999999</v>
      </c>
      <c r="N238" s="9"/>
      <c r="O238" s="21">
        <v>1.04813</v>
      </c>
      <c r="P238" s="21">
        <v>100.77800000000001</v>
      </c>
      <c r="Q238" s="21">
        <v>-1.5164199999999999E-2</v>
      </c>
      <c r="R238" s="21">
        <v>228</v>
      </c>
      <c r="S238" s="21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1">
        <v>0.65185499999999996</v>
      </c>
      <c r="Z238" s="21">
        <v>130.23500000000001</v>
      </c>
      <c r="AA238" s="21">
        <v>-1.5566999999999999E-2</v>
      </c>
      <c r="AB238" s="21">
        <v>228</v>
      </c>
      <c r="AC238" s="21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1">
        <v>1.04813</v>
      </c>
      <c r="AH238" s="21">
        <v>179.708</v>
      </c>
      <c r="AI238" s="21">
        <v>-1.5008499999999999E-2</v>
      </c>
      <c r="AJ238" s="21">
        <v>228</v>
      </c>
      <c r="AK238" s="21">
        <v>1.0470600000000001</v>
      </c>
      <c r="AL238">
        <f t="shared" si="42"/>
        <v>15.0085</v>
      </c>
      <c r="AM238">
        <f t="shared" si="43"/>
        <v>15.730859105</v>
      </c>
      <c r="AP238" s="9"/>
      <c r="AQ238" s="21">
        <v>0.65185499999999996</v>
      </c>
      <c r="AR238" s="21">
        <v>229.155</v>
      </c>
      <c r="AS238" s="21">
        <v>-1.5389999999999999E-2</v>
      </c>
      <c r="AT238" s="21">
        <v>228</v>
      </c>
      <c r="AU238" s="21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1">
        <v>1.04813</v>
      </c>
      <c r="AZ238" s="21">
        <v>263.495</v>
      </c>
      <c r="BA238" s="21">
        <v>-1.4816299999999999E-2</v>
      </c>
      <c r="BB238" s="21">
        <v>228</v>
      </c>
      <c r="BC238" s="21">
        <v>1.0470600000000001</v>
      </c>
      <c r="BD238">
        <f t="shared" si="46"/>
        <v>14.8163</v>
      </c>
      <c r="BE238">
        <f t="shared" si="47"/>
        <v>15.529408519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51.361400000000003</v>
      </c>
      <c r="I239" s="21">
        <v>-1.5649400000000001E-2</v>
      </c>
      <c r="J239" s="21">
        <v>229</v>
      </c>
      <c r="K239" s="21">
        <v>0.64611799999999997</v>
      </c>
      <c r="L239">
        <f t="shared" si="36"/>
        <v>15.6494</v>
      </c>
      <c r="M239">
        <f t="shared" si="37"/>
        <v>10.122344907999999</v>
      </c>
      <c r="N239" s="9"/>
      <c r="O239" s="21">
        <v>1.0531600000000001</v>
      </c>
      <c r="P239" s="21">
        <v>100.788</v>
      </c>
      <c r="Q239" s="21">
        <v>-1.5155E-2</v>
      </c>
      <c r="R239" s="21">
        <v>229</v>
      </c>
      <c r="S239" s="21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1">
        <v>0.64681999999999995</v>
      </c>
      <c r="Z239" s="21">
        <v>130.245</v>
      </c>
      <c r="AA239" s="21">
        <v>-1.5573099999999999E-2</v>
      </c>
      <c r="AB239" s="21">
        <v>229</v>
      </c>
      <c r="AC239" s="21">
        <v>0.64611799999999997</v>
      </c>
      <c r="AD239">
        <f t="shared" si="40"/>
        <v>15.5731</v>
      </c>
      <c r="AE239">
        <f t="shared" si="41"/>
        <v>10.072992542</v>
      </c>
      <c r="AF239" s="9"/>
      <c r="AG239" s="21">
        <v>1.0531600000000001</v>
      </c>
      <c r="AH239" s="21">
        <v>179.71799999999999</v>
      </c>
      <c r="AI239" s="21">
        <v>-1.50055E-2</v>
      </c>
      <c r="AJ239" s="21">
        <v>229</v>
      </c>
      <c r="AK239" s="21">
        <v>1.0519400000000001</v>
      </c>
      <c r="AL239">
        <f t="shared" si="42"/>
        <v>15.0055</v>
      </c>
      <c r="AM239">
        <f t="shared" si="43"/>
        <v>15.80319238</v>
      </c>
      <c r="AP239" s="9"/>
      <c r="AQ239" s="21">
        <v>0.64681999999999995</v>
      </c>
      <c r="AR239" s="21">
        <v>229.16499999999999</v>
      </c>
      <c r="AS239" s="21">
        <v>-1.5387E-2</v>
      </c>
      <c r="AT239" s="21">
        <v>229</v>
      </c>
      <c r="AU239" s="21">
        <v>0.64611799999999997</v>
      </c>
      <c r="AV239">
        <f t="shared" si="44"/>
        <v>15.387</v>
      </c>
      <c r="AW239">
        <f t="shared" si="45"/>
        <v>9.95261934</v>
      </c>
      <c r="AX239" s="9"/>
      <c r="AY239" s="21">
        <v>1.0531600000000001</v>
      </c>
      <c r="AZ239" s="21">
        <v>263.505</v>
      </c>
      <c r="BA239" s="21">
        <v>-1.4804100000000001E-2</v>
      </c>
      <c r="BB239" s="21">
        <v>229</v>
      </c>
      <c r="BC239" s="21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51.371499999999997</v>
      </c>
      <c r="I240" s="21">
        <v>-1.56525E-2</v>
      </c>
      <c r="J240" s="21">
        <v>230</v>
      </c>
      <c r="K240" s="21">
        <v>0.64108299999999996</v>
      </c>
      <c r="L240">
        <f t="shared" si="36"/>
        <v>15.6525</v>
      </c>
      <c r="M240">
        <f t="shared" si="37"/>
        <v>10.0455397125</v>
      </c>
      <c r="N240" s="9"/>
      <c r="O240" s="21">
        <v>1.0582</v>
      </c>
      <c r="P240" s="21">
        <v>100.798</v>
      </c>
      <c r="Q240" s="21">
        <v>-1.51398E-2</v>
      </c>
      <c r="R240" s="21">
        <v>230</v>
      </c>
      <c r="S240" s="21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1">
        <v>0.64178500000000005</v>
      </c>
      <c r="Z240" s="21">
        <v>130.255</v>
      </c>
      <c r="AA240" s="21">
        <v>-1.55792E-2</v>
      </c>
      <c r="AB240" s="21">
        <v>230</v>
      </c>
      <c r="AC240" s="21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1">
        <v>1.0582</v>
      </c>
      <c r="AH240" s="21">
        <v>179.72800000000001</v>
      </c>
      <c r="AI240" s="21">
        <v>-1.49902E-2</v>
      </c>
      <c r="AJ240" s="21">
        <v>230</v>
      </c>
      <c r="AK240" s="21">
        <v>1.0571299999999999</v>
      </c>
      <c r="AL240">
        <f t="shared" si="42"/>
        <v>14.9902</v>
      </c>
      <c r="AM240">
        <f t="shared" si="43"/>
        <v>15.86262964</v>
      </c>
      <c r="AP240" s="9"/>
      <c r="AQ240" s="21">
        <v>0.64178500000000005</v>
      </c>
      <c r="AR240" s="21">
        <v>229.17500000000001</v>
      </c>
      <c r="AS240" s="21">
        <v>-1.5383900000000001E-2</v>
      </c>
      <c r="AT240" s="21">
        <v>230</v>
      </c>
      <c r="AU240" s="21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1">
        <v>1.0582</v>
      </c>
      <c r="AZ240" s="21">
        <v>263.51499999999999</v>
      </c>
      <c r="BA240" s="21">
        <v>-1.4798E-2</v>
      </c>
      <c r="BB240" s="21">
        <v>230</v>
      </c>
      <c r="BC240" s="21">
        <v>1.0574300000000001</v>
      </c>
      <c r="BD240">
        <f t="shared" si="46"/>
        <v>14.798</v>
      </c>
      <c r="BE240">
        <f t="shared" si="47"/>
        <v>15.6592436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51.381500000000003</v>
      </c>
      <c r="I241" s="21">
        <v>-1.5658600000000002E-2</v>
      </c>
      <c r="J241" s="21">
        <v>231</v>
      </c>
      <c r="K241" s="21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1">
        <v>1.0632299999999999</v>
      </c>
      <c r="P241" s="21">
        <v>100.80800000000001</v>
      </c>
      <c r="Q241" s="21">
        <v>-1.51215E-2</v>
      </c>
      <c r="R241" s="21">
        <v>231</v>
      </c>
      <c r="S241" s="21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1">
        <v>0.63674900000000001</v>
      </c>
      <c r="Z241" s="21">
        <v>130.26499999999999</v>
      </c>
      <c r="AA241" s="21">
        <v>-1.55792E-2</v>
      </c>
      <c r="AB241" s="21">
        <v>231</v>
      </c>
      <c r="AC241" s="21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1">
        <v>1.0632299999999999</v>
      </c>
      <c r="AH241" s="21">
        <v>179.738</v>
      </c>
      <c r="AI241" s="21">
        <v>-1.4981100000000001E-2</v>
      </c>
      <c r="AJ241" s="21">
        <v>231</v>
      </c>
      <c r="AK241" s="21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1">
        <v>0.63674900000000001</v>
      </c>
      <c r="AR241" s="21">
        <v>229.185</v>
      </c>
      <c r="AS241" s="21">
        <v>-1.5383900000000001E-2</v>
      </c>
      <c r="AT241" s="21">
        <v>231</v>
      </c>
      <c r="AU241" s="21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1">
        <v>1.0632299999999999</v>
      </c>
      <c r="AZ241" s="21">
        <v>263.52499999999998</v>
      </c>
      <c r="BA241" s="21">
        <v>-1.4804100000000001E-2</v>
      </c>
      <c r="BB241" s="21">
        <v>231</v>
      </c>
      <c r="BC241" s="21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51.391599999999997</v>
      </c>
      <c r="I242" s="21">
        <v>-1.5661600000000001E-2</v>
      </c>
      <c r="J242" s="21">
        <v>232</v>
      </c>
      <c r="K242" s="21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1">
        <v>1.0682700000000001</v>
      </c>
      <c r="P242" s="21">
        <v>100.818</v>
      </c>
      <c r="Q242" s="21">
        <v>-1.51062E-2</v>
      </c>
      <c r="R242" s="21">
        <v>232</v>
      </c>
      <c r="S242" s="21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1">
        <v>0.631714</v>
      </c>
      <c r="Z242" s="21">
        <v>130.27500000000001</v>
      </c>
      <c r="AA242" s="21">
        <v>-1.55823E-2</v>
      </c>
      <c r="AB242" s="21">
        <v>232</v>
      </c>
      <c r="AC242" s="21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1">
        <v>1.0682700000000001</v>
      </c>
      <c r="AH242" s="21">
        <v>179.749</v>
      </c>
      <c r="AI242" s="21">
        <v>-1.4978E-2</v>
      </c>
      <c r="AJ242" s="21">
        <v>232</v>
      </c>
      <c r="AK242" s="21">
        <v>1.0671999999999999</v>
      </c>
      <c r="AL242">
        <f t="shared" si="42"/>
        <v>14.978</v>
      </c>
      <c r="AM242">
        <f t="shared" si="43"/>
        <v>16.00054806</v>
      </c>
      <c r="AP242" s="9"/>
      <c r="AQ242" s="21">
        <v>0.631714</v>
      </c>
      <c r="AR242" s="21">
        <v>229.19499999999999</v>
      </c>
      <c r="AS242" s="21">
        <v>-1.5389999999999999E-2</v>
      </c>
      <c r="AT242" s="21">
        <v>232</v>
      </c>
      <c r="AU242" s="21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1">
        <v>1.0682700000000001</v>
      </c>
      <c r="AZ242" s="21">
        <v>263.53500000000003</v>
      </c>
      <c r="BA242" s="21">
        <v>-1.4804100000000001E-2</v>
      </c>
      <c r="BB242" s="21">
        <v>232</v>
      </c>
      <c r="BC242" s="21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51.401699999999998</v>
      </c>
      <c r="I243" s="21">
        <v>-1.56647E-2</v>
      </c>
      <c r="J243" s="21">
        <v>233</v>
      </c>
      <c r="K243" s="21">
        <v>0.62600699999999998</v>
      </c>
      <c r="L243">
        <f t="shared" si="36"/>
        <v>15.6647</v>
      </c>
      <c r="M243">
        <f t="shared" si="37"/>
        <v>9.8167228665999993</v>
      </c>
      <c r="N243" s="9"/>
      <c r="O243" s="21">
        <v>1.0732999999999999</v>
      </c>
      <c r="P243" s="21">
        <v>100.828</v>
      </c>
      <c r="Q243" s="21">
        <v>-1.51062E-2</v>
      </c>
      <c r="R243" s="21">
        <v>233</v>
      </c>
      <c r="S243" s="21">
        <v>1.07178</v>
      </c>
      <c r="T243">
        <f t="shared" si="38"/>
        <v>15.106199999999999</v>
      </c>
      <c r="U243">
        <f t="shared" si="39"/>
        <v>16.213484459999997</v>
      </c>
      <c r="X243" s="9"/>
      <c r="Y243" s="21">
        <v>0.62667799999999996</v>
      </c>
      <c r="Z243" s="21">
        <v>130.285</v>
      </c>
      <c r="AA243" s="21">
        <v>-1.55823E-2</v>
      </c>
      <c r="AB243" s="21">
        <v>233</v>
      </c>
      <c r="AC243" s="21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1">
        <v>1.0732999999999999</v>
      </c>
      <c r="AH243" s="21">
        <v>179.75899999999999</v>
      </c>
      <c r="AI243" s="21">
        <v>-1.4978E-2</v>
      </c>
      <c r="AJ243" s="21">
        <v>233</v>
      </c>
      <c r="AK243" s="21">
        <v>1.07178</v>
      </c>
      <c r="AL243">
        <f t="shared" si="42"/>
        <v>14.978</v>
      </c>
      <c r="AM243">
        <f t="shared" si="43"/>
        <v>16.075887399999999</v>
      </c>
      <c r="AP243" s="9"/>
      <c r="AQ243" s="21">
        <v>0.62667799999999996</v>
      </c>
      <c r="AR243" s="21">
        <v>229.20500000000001</v>
      </c>
      <c r="AS243" s="21">
        <v>-1.5396099999999999E-2</v>
      </c>
      <c r="AT243" s="21">
        <v>233</v>
      </c>
      <c r="AU243" s="21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1">
        <v>1.0732999999999999</v>
      </c>
      <c r="AZ243" s="21">
        <v>263.54500000000002</v>
      </c>
      <c r="BA243" s="21">
        <v>-1.4801E-2</v>
      </c>
      <c r="BB243" s="21">
        <v>233</v>
      </c>
      <c r="BC243" s="21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51.411799999999999</v>
      </c>
      <c r="I244" s="21">
        <v>-1.56677E-2</v>
      </c>
      <c r="J244" s="21">
        <v>234</v>
      </c>
      <c r="K244" s="21">
        <v>0.62094099999999997</v>
      </c>
      <c r="L244">
        <f t="shared" si="36"/>
        <v>15.6677</v>
      </c>
      <c r="M244">
        <f t="shared" si="37"/>
        <v>9.7397160310999986</v>
      </c>
      <c r="N244" s="9"/>
      <c r="O244" s="21">
        <v>1.0783400000000001</v>
      </c>
      <c r="P244" s="21">
        <v>100.83799999999999</v>
      </c>
      <c r="Q244" s="21">
        <v>-1.5090900000000001E-2</v>
      </c>
      <c r="R244" s="21">
        <v>234</v>
      </c>
      <c r="S244" s="21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1">
        <v>0.62164299999999995</v>
      </c>
      <c r="Z244" s="21">
        <v>130.29499999999999</v>
      </c>
      <c r="AA244" s="21">
        <v>-1.55792E-2</v>
      </c>
      <c r="AB244" s="21">
        <v>234</v>
      </c>
      <c r="AC244" s="21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1">
        <v>1.0783400000000001</v>
      </c>
      <c r="AH244" s="21">
        <v>179.76900000000001</v>
      </c>
      <c r="AI244" s="21">
        <v>-1.4987199999999999E-2</v>
      </c>
      <c r="AJ244" s="21">
        <v>234</v>
      </c>
      <c r="AK244" s="21">
        <v>1.0772699999999999</v>
      </c>
      <c r="AL244">
        <f t="shared" si="42"/>
        <v>14.9872</v>
      </c>
      <c r="AM244">
        <f t="shared" si="43"/>
        <v>16.161297248</v>
      </c>
      <c r="AP244" s="9"/>
      <c r="AQ244" s="21">
        <v>0.62164299999999995</v>
      </c>
      <c r="AR244" s="21">
        <v>229.215</v>
      </c>
      <c r="AS244" s="21">
        <v>-1.54022E-2</v>
      </c>
      <c r="AT244" s="21">
        <v>234</v>
      </c>
      <c r="AU244" s="21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1">
        <v>1.0783400000000001</v>
      </c>
      <c r="AZ244" s="21">
        <v>263.55500000000001</v>
      </c>
      <c r="BA244" s="21">
        <v>-1.47888E-2</v>
      </c>
      <c r="BB244" s="21">
        <v>234</v>
      </c>
      <c r="BC244" s="21">
        <v>1.07697</v>
      </c>
      <c r="BD244">
        <f t="shared" si="46"/>
        <v>14.7888</v>
      </c>
      <c r="BE244">
        <f t="shared" si="47"/>
        <v>15.947354592000002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51.421799999999998</v>
      </c>
      <c r="I245" s="21">
        <v>-1.5673800000000002E-2</v>
      </c>
      <c r="J245" s="21">
        <v>235</v>
      </c>
      <c r="K245" s="21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1">
        <v>1.0833699999999999</v>
      </c>
      <c r="P245" s="21">
        <v>100.848</v>
      </c>
      <c r="Q245" s="21">
        <v>-1.5075699999999999E-2</v>
      </c>
      <c r="R245" s="21">
        <v>235</v>
      </c>
      <c r="S245" s="21">
        <v>1.08307</v>
      </c>
      <c r="T245">
        <f t="shared" si="38"/>
        <v>15.075699999999999</v>
      </c>
      <c r="U245">
        <f t="shared" si="39"/>
        <v>16.332561109</v>
      </c>
      <c r="X245" s="9"/>
      <c r="Y245" s="21">
        <v>0.61660800000000004</v>
      </c>
      <c r="Z245" s="21">
        <v>130.30500000000001</v>
      </c>
      <c r="AA245" s="21">
        <v>-1.55792E-2</v>
      </c>
      <c r="AB245" s="21">
        <v>235</v>
      </c>
      <c r="AC245" s="21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1">
        <v>1.0833699999999999</v>
      </c>
      <c r="AH245" s="21">
        <v>179.779</v>
      </c>
      <c r="AI245" s="21">
        <v>-1.4981100000000001E-2</v>
      </c>
      <c r="AJ245" s="21">
        <v>235</v>
      </c>
      <c r="AK245" s="21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1">
        <v>0.61660800000000004</v>
      </c>
      <c r="AR245" s="21">
        <v>229.22499999999999</v>
      </c>
      <c r="AS245" s="21">
        <v>-1.54083E-2</v>
      </c>
      <c r="AT245" s="21">
        <v>235</v>
      </c>
      <c r="AU245" s="21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1">
        <v>1.0833699999999999</v>
      </c>
      <c r="AZ245" s="21">
        <v>263.565</v>
      </c>
      <c r="BA245" s="21">
        <v>-1.47797E-2</v>
      </c>
      <c r="BB245" s="21">
        <v>235</v>
      </c>
      <c r="BC245" s="21">
        <v>1.0821499999999999</v>
      </c>
      <c r="BD245">
        <f t="shared" si="46"/>
        <v>14.7797</v>
      </c>
      <c r="BE245">
        <f t="shared" si="47"/>
        <v>16.011883589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51.431899999999999</v>
      </c>
      <c r="I246" s="21">
        <v>-1.56799E-2</v>
      </c>
      <c r="J246" s="21">
        <v>236</v>
      </c>
      <c r="K246" s="21">
        <v>0.61099199999999998</v>
      </c>
      <c r="L246">
        <f t="shared" si="36"/>
        <v>15.6799</v>
      </c>
      <c r="M246">
        <f t="shared" si="37"/>
        <v>9.5893878027999992</v>
      </c>
      <c r="N246" s="9"/>
      <c r="O246" s="21">
        <v>1.0884100000000001</v>
      </c>
      <c r="P246" s="21">
        <v>100.858</v>
      </c>
      <c r="Q246" s="21">
        <v>-1.5069600000000001E-2</v>
      </c>
      <c r="R246" s="21">
        <v>236</v>
      </c>
      <c r="S246" s="21">
        <v>1.08765</v>
      </c>
      <c r="T246">
        <f t="shared" si="38"/>
        <v>15.069600000000001</v>
      </c>
      <c r="U246">
        <f t="shared" si="39"/>
        <v>16.401903336000004</v>
      </c>
      <c r="X246" s="9"/>
      <c r="Y246" s="21">
        <v>0.611572</v>
      </c>
      <c r="Z246" s="21">
        <v>130.315</v>
      </c>
      <c r="AA246" s="21">
        <v>-1.55914E-2</v>
      </c>
      <c r="AB246" s="21">
        <v>236</v>
      </c>
      <c r="AC246" s="21">
        <v>0.61087000000000002</v>
      </c>
      <c r="AD246">
        <f t="shared" si="40"/>
        <v>15.5914</v>
      </c>
      <c r="AE246">
        <f t="shared" si="41"/>
        <v>9.5352636808</v>
      </c>
      <c r="AF246" s="9"/>
      <c r="AG246" s="21">
        <v>1.0884100000000001</v>
      </c>
      <c r="AH246" s="21">
        <v>179.78899999999999</v>
      </c>
      <c r="AI246" s="21">
        <v>-1.4978E-2</v>
      </c>
      <c r="AJ246" s="21">
        <v>236</v>
      </c>
      <c r="AK246" s="21">
        <v>1.08704</v>
      </c>
      <c r="AL246">
        <f t="shared" si="42"/>
        <v>14.978</v>
      </c>
      <c r="AM246">
        <f t="shared" si="43"/>
        <v>16.302204980000003</v>
      </c>
      <c r="AP246" s="9"/>
      <c r="AQ246" s="21">
        <v>0.611572</v>
      </c>
      <c r="AR246" s="21">
        <v>229.23500000000001</v>
      </c>
      <c r="AS246" s="21">
        <v>-1.5423600000000001E-2</v>
      </c>
      <c r="AT246" s="21">
        <v>236</v>
      </c>
      <c r="AU246" s="21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1">
        <v>1.0884100000000001</v>
      </c>
      <c r="AZ246" s="21">
        <v>263.57499999999999</v>
      </c>
      <c r="BA246" s="21">
        <v>-1.47736E-2</v>
      </c>
      <c r="BB246" s="21">
        <v>236</v>
      </c>
      <c r="BC246" s="21">
        <v>1.08734</v>
      </c>
      <c r="BD246">
        <f t="shared" si="46"/>
        <v>14.7736</v>
      </c>
      <c r="BE246">
        <f t="shared" si="47"/>
        <v>16.079733976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51.442</v>
      </c>
      <c r="I247" s="21">
        <v>-1.56921E-2</v>
      </c>
      <c r="J247" s="21">
        <v>237</v>
      </c>
      <c r="K247" s="21">
        <v>0.60583500000000001</v>
      </c>
      <c r="L247">
        <f t="shared" si="36"/>
        <v>15.6921</v>
      </c>
      <c r="M247">
        <f t="shared" si="37"/>
        <v>9.5178392577000004</v>
      </c>
      <c r="N247" s="9"/>
      <c r="O247" s="21">
        <v>1.09344</v>
      </c>
      <c r="P247" s="21">
        <v>100.86799999999999</v>
      </c>
      <c r="Q247" s="21">
        <v>-1.50787E-2</v>
      </c>
      <c r="R247" s="21">
        <v>237</v>
      </c>
      <c r="S247" s="21">
        <v>1.09283</v>
      </c>
      <c r="T247">
        <f t="shared" si="38"/>
        <v>15.078700000000001</v>
      </c>
      <c r="U247">
        <f t="shared" si="39"/>
        <v>16.487653728000002</v>
      </c>
      <c r="X247" s="9"/>
      <c r="Y247" s="21">
        <v>0.60653699999999999</v>
      </c>
      <c r="Z247" s="21">
        <v>130.32499999999999</v>
      </c>
      <c r="AA247" s="21">
        <v>-1.56036E-2</v>
      </c>
      <c r="AB247" s="21">
        <v>237</v>
      </c>
      <c r="AC247" s="21">
        <v>0.60583500000000001</v>
      </c>
      <c r="AD247">
        <f t="shared" si="40"/>
        <v>15.6036</v>
      </c>
      <c r="AE247">
        <f t="shared" si="41"/>
        <v>9.4641607332</v>
      </c>
      <c r="AF247" s="9"/>
      <c r="AG247" s="21">
        <v>1.09344</v>
      </c>
      <c r="AH247" s="21">
        <v>179.79900000000001</v>
      </c>
      <c r="AI247" s="21">
        <v>-1.49719E-2</v>
      </c>
      <c r="AJ247" s="21">
        <v>237</v>
      </c>
      <c r="AK247" s="21">
        <v>1.09253</v>
      </c>
      <c r="AL247">
        <f t="shared" si="42"/>
        <v>14.9719</v>
      </c>
      <c r="AM247">
        <f t="shared" si="43"/>
        <v>16.370874336</v>
      </c>
      <c r="AP247" s="9"/>
      <c r="AQ247" s="21">
        <v>0.60653699999999999</v>
      </c>
      <c r="AR247" s="21">
        <v>229.245</v>
      </c>
      <c r="AS247" s="21">
        <v>-1.54266E-2</v>
      </c>
      <c r="AT247" s="21">
        <v>237</v>
      </c>
      <c r="AU247" s="21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1">
        <v>1.09344</v>
      </c>
      <c r="AZ247" s="21">
        <v>263.58499999999998</v>
      </c>
      <c r="BA247" s="21">
        <v>-1.4761399999999999E-2</v>
      </c>
      <c r="BB247" s="21">
        <v>237</v>
      </c>
      <c r="BC247" s="21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51.451999999999998</v>
      </c>
      <c r="I248" s="21">
        <v>-1.5698199999999999E-2</v>
      </c>
      <c r="J248" s="21">
        <v>238</v>
      </c>
      <c r="K248" s="21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1">
        <v>1.0984799999999999</v>
      </c>
      <c r="P248" s="21">
        <v>100.878</v>
      </c>
      <c r="Q248" s="21">
        <v>-1.50787E-2</v>
      </c>
      <c r="R248" s="21">
        <v>238</v>
      </c>
      <c r="S248" s="21">
        <v>1.09741</v>
      </c>
      <c r="T248">
        <f t="shared" si="38"/>
        <v>15.078700000000001</v>
      </c>
      <c r="U248">
        <f t="shared" si="39"/>
        <v>16.563650375999998</v>
      </c>
      <c r="X248" s="9"/>
      <c r="Y248" s="21">
        <v>0.60150099999999995</v>
      </c>
      <c r="Z248" s="21">
        <v>130.33600000000001</v>
      </c>
      <c r="AA248" s="21">
        <v>-1.5609700000000001E-2</v>
      </c>
      <c r="AB248" s="21">
        <v>238</v>
      </c>
      <c r="AC248" s="21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1">
        <v>1.0984799999999999</v>
      </c>
      <c r="AH248" s="21">
        <v>179.809</v>
      </c>
      <c r="AI248" s="21">
        <v>-1.49628E-2</v>
      </c>
      <c r="AJ248" s="21">
        <v>238</v>
      </c>
      <c r="AK248" s="21">
        <v>1.09772</v>
      </c>
      <c r="AL248">
        <f t="shared" si="42"/>
        <v>14.9628</v>
      </c>
      <c r="AM248">
        <f t="shared" si="43"/>
        <v>16.436336544</v>
      </c>
      <c r="AP248" s="9"/>
      <c r="AQ248" s="21">
        <v>0.60150099999999995</v>
      </c>
      <c r="AR248" s="21">
        <v>229.255</v>
      </c>
      <c r="AS248" s="21">
        <v>-1.54266E-2</v>
      </c>
      <c r="AT248" s="21">
        <v>238</v>
      </c>
      <c r="AU248" s="21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1">
        <v>1.0984799999999999</v>
      </c>
      <c r="AZ248" s="21">
        <v>263.596</v>
      </c>
      <c r="BA248" s="21">
        <v>-1.47552E-2</v>
      </c>
      <c r="BB248" s="21">
        <v>238</v>
      </c>
      <c r="BC248" s="21">
        <v>1.09772</v>
      </c>
      <c r="BD248">
        <f t="shared" si="46"/>
        <v>14.7552</v>
      </c>
      <c r="BE248">
        <f t="shared" si="47"/>
        <v>16.208292095999997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51.4621</v>
      </c>
      <c r="I249" s="21">
        <v>-1.5704300000000001E-2</v>
      </c>
      <c r="J249" s="21">
        <v>239</v>
      </c>
      <c r="K249" s="21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1">
        <v>1.1035200000000001</v>
      </c>
      <c r="P249" s="21">
        <v>100.889</v>
      </c>
      <c r="Q249" s="21">
        <v>-1.5075699999999999E-2</v>
      </c>
      <c r="R249" s="21">
        <v>239</v>
      </c>
      <c r="S249" s="21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1">
        <v>0.59646600000000005</v>
      </c>
      <c r="Z249" s="21">
        <v>130.346</v>
      </c>
      <c r="AA249" s="21">
        <v>-1.56128E-2</v>
      </c>
      <c r="AB249" s="21">
        <v>239</v>
      </c>
      <c r="AC249" s="21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1">
        <v>1.1035200000000001</v>
      </c>
      <c r="AH249" s="21">
        <v>179.81899999999999</v>
      </c>
      <c r="AI249" s="21">
        <v>-1.4959699999999999E-2</v>
      </c>
      <c r="AJ249" s="21">
        <v>239</v>
      </c>
      <c r="AK249" s="21">
        <v>1.1026</v>
      </c>
      <c r="AL249">
        <f t="shared" si="42"/>
        <v>14.9597</v>
      </c>
      <c r="AM249">
        <f t="shared" si="43"/>
        <v>16.508328144</v>
      </c>
      <c r="AP249" s="9"/>
      <c r="AQ249" s="21">
        <v>0.59646600000000005</v>
      </c>
      <c r="AR249" s="21">
        <v>229.26499999999999</v>
      </c>
      <c r="AS249" s="21">
        <v>-1.54205E-2</v>
      </c>
      <c r="AT249" s="21">
        <v>239</v>
      </c>
      <c r="AU249" s="21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1">
        <v>1.1035200000000001</v>
      </c>
      <c r="AZ249" s="21">
        <v>263.60599999999999</v>
      </c>
      <c r="BA249" s="21">
        <v>-1.47644E-2</v>
      </c>
      <c r="BB249" s="21">
        <v>239</v>
      </c>
      <c r="BC249" s="21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51.472200000000001</v>
      </c>
      <c r="I250" s="21">
        <v>-1.5701300000000001E-2</v>
      </c>
      <c r="J250" s="21">
        <v>240</v>
      </c>
      <c r="K250" s="21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1">
        <v>1.1085499999999999</v>
      </c>
      <c r="P250" s="21">
        <v>100.899</v>
      </c>
      <c r="Q250" s="21">
        <v>-1.50604E-2</v>
      </c>
      <c r="R250" s="21">
        <v>240</v>
      </c>
      <c r="S250" s="21">
        <v>1.1077900000000001</v>
      </c>
      <c r="T250">
        <f t="shared" si="38"/>
        <v>15.0604</v>
      </c>
      <c r="U250">
        <f t="shared" si="39"/>
        <v>16.695206419999998</v>
      </c>
      <c r="X250" s="9"/>
      <c r="Y250" s="21">
        <v>0.59143100000000004</v>
      </c>
      <c r="Z250" s="21">
        <v>130.35599999999999</v>
      </c>
      <c r="AA250" s="21">
        <v>-1.5615800000000001E-2</v>
      </c>
      <c r="AB250" s="21">
        <v>240</v>
      </c>
      <c r="AC250" s="21">
        <v>0.59075900000000003</v>
      </c>
      <c r="AD250">
        <f t="shared" si="40"/>
        <v>15.6158</v>
      </c>
      <c r="AE250">
        <f t="shared" si="41"/>
        <v>9.2356682098</v>
      </c>
      <c r="AF250" s="9"/>
      <c r="AG250" s="21">
        <v>1.1085499999999999</v>
      </c>
      <c r="AH250" s="21">
        <v>179.82900000000001</v>
      </c>
      <c r="AI250" s="21">
        <v>-1.49628E-2</v>
      </c>
      <c r="AJ250" s="21">
        <v>240</v>
      </c>
      <c r="AK250" s="21">
        <v>1.10809</v>
      </c>
      <c r="AL250">
        <f t="shared" si="42"/>
        <v>14.9628</v>
      </c>
      <c r="AM250">
        <f t="shared" si="43"/>
        <v>16.58701194</v>
      </c>
      <c r="AP250" s="9"/>
      <c r="AQ250" s="21">
        <v>0.59143100000000004</v>
      </c>
      <c r="AR250" s="21">
        <v>229.27500000000001</v>
      </c>
      <c r="AS250" s="21">
        <v>-1.5423600000000001E-2</v>
      </c>
      <c r="AT250" s="21">
        <v>240</v>
      </c>
      <c r="AU250" s="21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1">
        <v>1.1085499999999999</v>
      </c>
      <c r="AZ250" s="21">
        <v>263.61599999999999</v>
      </c>
      <c r="BA250" s="21">
        <v>-1.47644E-2</v>
      </c>
      <c r="BB250" s="21">
        <v>240</v>
      </c>
      <c r="BC250" s="21">
        <v>1.10748</v>
      </c>
      <c r="BD250">
        <f t="shared" si="46"/>
        <v>14.7644</v>
      </c>
      <c r="BE250">
        <f t="shared" si="47"/>
        <v>16.367075619999998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51.482199999999999</v>
      </c>
      <c r="I251" s="21">
        <v>-1.5701300000000001E-2</v>
      </c>
      <c r="J251" s="21">
        <v>241</v>
      </c>
      <c r="K251" s="21">
        <v>0.585754</v>
      </c>
      <c r="L251">
        <f t="shared" si="36"/>
        <v>15.701300000000002</v>
      </c>
      <c r="M251">
        <f t="shared" si="37"/>
        <v>9.2071638135000011</v>
      </c>
      <c r="N251" s="9"/>
      <c r="O251" s="21">
        <v>1.1135900000000001</v>
      </c>
      <c r="P251" s="21">
        <v>100.90900000000001</v>
      </c>
      <c r="Q251" s="21">
        <v>-1.50604E-2</v>
      </c>
      <c r="R251" s="21">
        <v>241</v>
      </c>
      <c r="S251" s="21">
        <v>1.11328</v>
      </c>
      <c r="T251">
        <f t="shared" si="38"/>
        <v>15.0604</v>
      </c>
      <c r="U251">
        <f t="shared" si="39"/>
        <v>16.771110836000002</v>
      </c>
      <c r="X251" s="9"/>
      <c r="Y251" s="21">
        <v>0.586395</v>
      </c>
      <c r="Z251" s="21">
        <v>130.36600000000001</v>
      </c>
      <c r="AA251" s="21">
        <v>-1.5615800000000001E-2</v>
      </c>
      <c r="AB251" s="21">
        <v>241</v>
      </c>
      <c r="AC251" s="21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1">
        <v>1.1135900000000001</v>
      </c>
      <c r="AH251" s="21">
        <v>179.839</v>
      </c>
      <c r="AI251" s="21">
        <v>-1.4959699999999999E-2</v>
      </c>
      <c r="AJ251" s="21">
        <v>241</v>
      </c>
      <c r="AK251" s="21">
        <v>1.11267</v>
      </c>
      <c r="AL251">
        <f t="shared" si="42"/>
        <v>14.9597</v>
      </c>
      <c r="AM251">
        <f t="shared" si="43"/>
        <v>16.658972323</v>
      </c>
      <c r="AP251" s="9"/>
      <c r="AQ251" s="21">
        <v>0.586395</v>
      </c>
      <c r="AR251" s="21">
        <v>229.286</v>
      </c>
      <c r="AS251" s="21">
        <v>-1.5429699999999999E-2</v>
      </c>
      <c r="AT251" s="21">
        <v>241</v>
      </c>
      <c r="AU251" s="21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1">
        <v>1.1135900000000001</v>
      </c>
      <c r="AZ251" s="21">
        <v>263.62599999999998</v>
      </c>
      <c r="BA251" s="21">
        <v>-1.47583E-2</v>
      </c>
      <c r="BB251" s="21">
        <v>241</v>
      </c>
      <c r="BC251" s="21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51.4923</v>
      </c>
      <c r="I252" s="21">
        <v>-1.5698199999999999E-2</v>
      </c>
      <c r="J252" s="21">
        <v>242</v>
      </c>
      <c r="K252" s="21">
        <v>0.580627</v>
      </c>
      <c r="L252">
        <f t="shared" si="36"/>
        <v>15.698199999999998</v>
      </c>
      <c r="M252">
        <f t="shared" si="37"/>
        <v>9.126305551999998</v>
      </c>
      <c r="N252" s="9"/>
      <c r="O252" s="21">
        <v>1.1186199999999999</v>
      </c>
      <c r="P252" s="21">
        <v>100.919</v>
      </c>
      <c r="Q252" s="21">
        <v>-1.50665E-2</v>
      </c>
      <c r="R252" s="21">
        <v>242</v>
      </c>
      <c r="S252" s="21">
        <v>1.1178600000000001</v>
      </c>
      <c r="T252">
        <f t="shared" si="38"/>
        <v>15.0665</v>
      </c>
      <c r="U252">
        <f t="shared" si="39"/>
        <v>16.853688229999999</v>
      </c>
      <c r="X252" s="9"/>
      <c r="Y252" s="21">
        <v>0.58135999999999999</v>
      </c>
      <c r="Z252" s="21">
        <v>130.376</v>
      </c>
      <c r="AA252" s="21">
        <v>-1.56189E-2</v>
      </c>
      <c r="AB252" s="21">
        <v>242</v>
      </c>
      <c r="AC252" s="21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1">
        <v>1.1186199999999999</v>
      </c>
      <c r="AH252" s="21">
        <v>179.84899999999999</v>
      </c>
      <c r="AI252" s="21">
        <v>-1.4944499999999999E-2</v>
      </c>
      <c r="AJ252" s="21">
        <v>242</v>
      </c>
      <c r="AK252" s="21">
        <v>1.1178600000000001</v>
      </c>
      <c r="AL252">
        <f t="shared" si="42"/>
        <v>14.9445</v>
      </c>
      <c r="AM252">
        <f t="shared" si="43"/>
        <v>16.71721659</v>
      </c>
      <c r="AP252" s="9"/>
      <c r="AQ252" s="21">
        <v>0.58135999999999999</v>
      </c>
      <c r="AR252" s="21">
        <v>229.29599999999999</v>
      </c>
      <c r="AS252" s="21">
        <v>-1.5417500000000001E-2</v>
      </c>
      <c r="AT252" s="21">
        <v>242</v>
      </c>
      <c r="AU252" s="21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1">
        <v>1.1186199999999999</v>
      </c>
      <c r="AZ252" s="21">
        <v>263.63600000000002</v>
      </c>
      <c r="BA252" s="21">
        <v>-1.4742999999999999E-2</v>
      </c>
      <c r="BB252" s="21">
        <v>242</v>
      </c>
      <c r="BC252" s="21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51.502400000000002</v>
      </c>
      <c r="I253" s="21">
        <v>-1.5701300000000001E-2</v>
      </c>
      <c r="J253" s="21">
        <v>243</v>
      </c>
      <c r="K253" s="21">
        <v>0.575623</v>
      </c>
      <c r="L253">
        <f t="shared" si="36"/>
        <v>15.701300000000002</v>
      </c>
      <c r="M253">
        <f t="shared" si="37"/>
        <v>9.0490360212000009</v>
      </c>
      <c r="N253" s="9"/>
      <c r="O253" s="21">
        <v>1.1236600000000001</v>
      </c>
      <c r="P253" s="21">
        <v>100.929</v>
      </c>
      <c r="Q253" s="21">
        <v>-1.5063500000000001E-2</v>
      </c>
      <c r="R253" s="21">
        <v>243</v>
      </c>
      <c r="S253" s="21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1">
        <v>0.57632399999999995</v>
      </c>
      <c r="Z253" s="21">
        <v>130.386</v>
      </c>
      <c r="AA253" s="21">
        <v>-1.5621899999999999E-2</v>
      </c>
      <c r="AB253" s="21">
        <v>243</v>
      </c>
      <c r="AC253" s="21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1">
        <v>1.1236600000000001</v>
      </c>
      <c r="AH253" s="21">
        <v>179.85900000000001</v>
      </c>
      <c r="AI253" s="21">
        <v>-1.4926099999999999E-2</v>
      </c>
      <c r="AJ253" s="21">
        <v>243</v>
      </c>
      <c r="AK253" s="21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1">
        <v>0.57632399999999995</v>
      </c>
      <c r="AR253" s="21">
        <v>229.30600000000001</v>
      </c>
      <c r="AS253" s="21">
        <v>-1.54144E-2</v>
      </c>
      <c r="AT253" s="21">
        <v>243</v>
      </c>
      <c r="AU253" s="21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1">
        <v>1.1236600000000001</v>
      </c>
      <c r="AZ253" s="21">
        <v>263.64600000000002</v>
      </c>
      <c r="BA253" s="21">
        <v>-1.47186E-2</v>
      </c>
      <c r="BB253" s="21">
        <v>243</v>
      </c>
      <c r="BC253" s="21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51.512500000000003</v>
      </c>
      <c r="I254" s="21">
        <v>-1.5710399999999999E-2</v>
      </c>
      <c r="J254" s="21">
        <v>244</v>
      </c>
      <c r="K254" s="21">
        <v>0.57058699999999996</v>
      </c>
      <c r="L254">
        <f t="shared" si="36"/>
        <v>15.7104</v>
      </c>
      <c r="M254">
        <f t="shared" si="37"/>
        <v>8.9751787056000012</v>
      </c>
      <c r="N254" s="9"/>
      <c r="O254" s="21">
        <v>1.12869</v>
      </c>
      <c r="P254" s="21">
        <v>100.93899999999999</v>
      </c>
      <c r="Q254" s="21">
        <v>-1.50452E-2</v>
      </c>
      <c r="R254" s="21">
        <v>244</v>
      </c>
      <c r="S254" s="21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1">
        <v>0.57128900000000005</v>
      </c>
      <c r="Z254" s="21">
        <v>130.39599999999999</v>
      </c>
      <c r="AA254" s="21">
        <v>-1.5625E-2</v>
      </c>
      <c r="AB254" s="21">
        <v>244</v>
      </c>
      <c r="AC254" s="21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1">
        <v>1.12869</v>
      </c>
      <c r="AH254" s="21">
        <v>179.869</v>
      </c>
      <c r="AI254" s="21">
        <v>-1.4904799999999999E-2</v>
      </c>
      <c r="AJ254" s="21">
        <v>244</v>
      </c>
      <c r="AK254" s="21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1">
        <v>0.57128900000000005</v>
      </c>
      <c r="AR254" s="21">
        <v>229.316</v>
      </c>
      <c r="AS254" s="21">
        <v>-1.54144E-2</v>
      </c>
      <c r="AT254" s="21">
        <v>244</v>
      </c>
      <c r="AU254" s="21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1">
        <v>1.12869</v>
      </c>
      <c r="AZ254" s="21">
        <v>263.65600000000001</v>
      </c>
      <c r="BA254" s="21">
        <v>-1.4688100000000001E-2</v>
      </c>
      <c r="BB254" s="21">
        <v>244</v>
      </c>
      <c r="BC254" s="21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51.522500000000001</v>
      </c>
      <c r="I255" s="21">
        <v>-1.57196E-2</v>
      </c>
      <c r="J255" s="21">
        <v>245</v>
      </c>
      <c r="K255" s="21">
        <v>0.56549099999999997</v>
      </c>
      <c r="L255">
        <f t="shared" si="36"/>
        <v>15.7196</v>
      </c>
      <c r="M255">
        <f t="shared" si="37"/>
        <v>8.9012863784</v>
      </c>
      <c r="N255" s="9"/>
      <c r="O255" s="21">
        <v>1.1337299999999999</v>
      </c>
      <c r="P255" s="21">
        <v>100.949</v>
      </c>
      <c r="Q255" s="21">
        <v>-1.5026899999999999E-2</v>
      </c>
      <c r="R255" s="21">
        <v>245</v>
      </c>
      <c r="S255" s="21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1">
        <v>0.56625400000000004</v>
      </c>
      <c r="Z255" s="21">
        <v>130.40600000000001</v>
      </c>
      <c r="AA255" s="21">
        <v>-1.5628099999999999E-2</v>
      </c>
      <c r="AB255" s="21">
        <v>245</v>
      </c>
      <c r="AC255" s="21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1">
        <v>1.1337299999999999</v>
      </c>
      <c r="AH255" s="21">
        <v>179.87899999999999</v>
      </c>
      <c r="AI255" s="21">
        <v>-1.4892600000000001E-2</v>
      </c>
      <c r="AJ255" s="21">
        <v>245</v>
      </c>
      <c r="AK255" s="21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1">
        <v>0.56625400000000004</v>
      </c>
      <c r="AR255" s="21">
        <v>229.32599999999999</v>
      </c>
      <c r="AS255" s="21">
        <v>-1.5417500000000001E-2</v>
      </c>
      <c r="AT255" s="21">
        <v>245</v>
      </c>
      <c r="AU255" s="21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1">
        <v>1.1337299999999999</v>
      </c>
      <c r="AZ255" s="21">
        <v>263.666</v>
      </c>
      <c r="BA255" s="21">
        <v>-1.46667E-2</v>
      </c>
      <c r="BB255" s="21">
        <v>245</v>
      </c>
      <c r="BC255" s="21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51.532600000000002</v>
      </c>
      <c r="I256" s="21">
        <v>-1.5722699999999999E-2</v>
      </c>
      <c r="J256" s="21">
        <v>246</v>
      </c>
      <c r="K256" s="21">
        <v>0.56054700000000002</v>
      </c>
      <c r="L256">
        <f t="shared" si="36"/>
        <v>15.7227</v>
      </c>
      <c r="M256">
        <f t="shared" si="37"/>
        <v>8.8238622485999993</v>
      </c>
      <c r="N256" s="9"/>
      <c r="O256" s="21">
        <v>1.13876</v>
      </c>
      <c r="P256" s="21">
        <v>100.959</v>
      </c>
      <c r="Q256" s="21">
        <v>-1.5014599999999999E-2</v>
      </c>
      <c r="R256" s="21">
        <v>246</v>
      </c>
      <c r="S256" s="21">
        <v>1.1379999999999999</v>
      </c>
      <c r="T256">
        <f t="shared" si="38"/>
        <v>15.0146</v>
      </c>
      <c r="U256">
        <f t="shared" si="39"/>
        <v>17.098025895999999</v>
      </c>
      <c r="X256" s="9"/>
      <c r="Y256" s="21">
        <v>0.56121799999999999</v>
      </c>
      <c r="Z256" s="21">
        <v>130.416</v>
      </c>
      <c r="AA256" s="21">
        <v>-1.5631099999999998E-2</v>
      </c>
      <c r="AB256" s="21">
        <v>246</v>
      </c>
      <c r="AC256" s="21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1">
        <v>1.13876</v>
      </c>
      <c r="AH256" s="21">
        <v>179.89</v>
      </c>
      <c r="AI256" s="21">
        <v>-1.48865E-2</v>
      </c>
      <c r="AJ256" s="21">
        <v>246</v>
      </c>
      <c r="AK256" s="21">
        <v>1.1379999999999999</v>
      </c>
      <c r="AL256">
        <f t="shared" si="42"/>
        <v>14.8865</v>
      </c>
      <c r="AM256">
        <f t="shared" si="43"/>
        <v>16.95215074</v>
      </c>
      <c r="AP256" s="9"/>
      <c r="AQ256" s="21">
        <v>0.56121799999999999</v>
      </c>
      <c r="AR256" s="21">
        <v>229.33600000000001</v>
      </c>
      <c r="AS256" s="21">
        <v>-1.54205E-2</v>
      </c>
      <c r="AT256" s="21">
        <v>246</v>
      </c>
      <c r="AU256" s="21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1">
        <v>1.13876</v>
      </c>
      <c r="AZ256" s="21">
        <v>263.67599999999999</v>
      </c>
      <c r="BA256" s="21">
        <v>-1.46576E-2</v>
      </c>
      <c r="BB256" s="21">
        <v>246</v>
      </c>
      <c r="BC256" s="21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51.542700000000004</v>
      </c>
      <c r="I257" s="21">
        <v>-1.5725699999999999E-2</v>
      </c>
      <c r="J257" s="21">
        <v>247</v>
      </c>
      <c r="K257" s="21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1">
        <v>1.1437999999999999</v>
      </c>
      <c r="P257" s="21">
        <v>100.96899999999999</v>
      </c>
      <c r="Q257" s="21">
        <v>-1.5008499999999999E-2</v>
      </c>
      <c r="R257" s="21">
        <v>247</v>
      </c>
      <c r="S257" s="21">
        <v>1.1425799999999999</v>
      </c>
      <c r="T257">
        <f t="shared" si="38"/>
        <v>15.0085</v>
      </c>
      <c r="U257">
        <f t="shared" si="39"/>
        <v>17.1667223</v>
      </c>
      <c r="X257" s="9"/>
      <c r="Y257" s="21">
        <v>0.55618299999999998</v>
      </c>
      <c r="Z257" s="21">
        <v>130.42599999999999</v>
      </c>
      <c r="AA257" s="21">
        <v>-1.5628099999999999E-2</v>
      </c>
      <c r="AB257" s="21">
        <v>247</v>
      </c>
      <c r="AC257" s="21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1">
        <v>1.1437999999999999</v>
      </c>
      <c r="AH257" s="21">
        <v>179.9</v>
      </c>
      <c r="AI257" s="21">
        <v>-1.48834E-2</v>
      </c>
      <c r="AJ257" s="21">
        <v>247</v>
      </c>
      <c r="AK257" s="21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1">
        <v>0.55618299999999998</v>
      </c>
      <c r="AR257" s="21">
        <v>229.346</v>
      </c>
      <c r="AS257" s="21">
        <v>-1.5423600000000001E-2</v>
      </c>
      <c r="AT257" s="21">
        <v>247</v>
      </c>
      <c r="AU257" s="21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1">
        <v>1.1437999999999999</v>
      </c>
      <c r="AZ257" s="21">
        <v>263.68599999999998</v>
      </c>
      <c r="BA257" s="21">
        <v>-1.46515E-2</v>
      </c>
      <c r="BB257" s="21">
        <v>247</v>
      </c>
      <c r="BC257" s="21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51.552700000000002</v>
      </c>
      <c r="I258" s="21">
        <v>-1.5728800000000001E-2</v>
      </c>
      <c r="J258" s="21">
        <v>248</v>
      </c>
      <c r="K258" s="21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1">
        <v>1.14883</v>
      </c>
      <c r="P258" s="21">
        <v>100.979</v>
      </c>
      <c r="Q258" s="21">
        <v>-1.5002400000000001E-2</v>
      </c>
      <c r="R258" s="21">
        <v>248</v>
      </c>
      <c r="S258" s="21">
        <v>1.14838</v>
      </c>
      <c r="T258">
        <f t="shared" si="38"/>
        <v>15.002400000000002</v>
      </c>
      <c r="U258">
        <f t="shared" si="39"/>
        <v>17.235207192000001</v>
      </c>
      <c r="X258" s="9"/>
      <c r="Y258" s="21">
        <v>0.55114700000000005</v>
      </c>
      <c r="Z258" s="21">
        <v>130.43600000000001</v>
      </c>
      <c r="AA258" s="21">
        <v>-1.56372E-2</v>
      </c>
      <c r="AB258" s="21">
        <v>248</v>
      </c>
      <c r="AC258" s="21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1">
        <v>1.14883</v>
      </c>
      <c r="AH258" s="21">
        <v>179.91</v>
      </c>
      <c r="AI258" s="21">
        <v>-1.48865E-2</v>
      </c>
      <c r="AJ258" s="21">
        <v>248</v>
      </c>
      <c r="AK258" s="21">
        <v>1.14838</v>
      </c>
      <c r="AL258">
        <f t="shared" si="42"/>
        <v>14.8865</v>
      </c>
      <c r="AM258">
        <f t="shared" si="43"/>
        <v>17.102057795</v>
      </c>
      <c r="AP258" s="9"/>
      <c r="AQ258" s="21">
        <v>0.55114700000000005</v>
      </c>
      <c r="AR258" s="21">
        <v>229.35599999999999</v>
      </c>
      <c r="AS258" s="21">
        <v>-1.5432700000000001E-2</v>
      </c>
      <c r="AT258" s="21">
        <v>248</v>
      </c>
      <c r="AU258" s="21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1">
        <v>1.14883</v>
      </c>
      <c r="AZ258" s="21">
        <v>263.69600000000003</v>
      </c>
      <c r="BA258" s="21">
        <v>-1.46362E-2</v>
      </c>
      <c r="BB258" s="21">
        <v>248</v>
      </c>
      <c r="BC258" s="21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51.562800000000003</v>
      </c>
      <c r="I259" s="21">
        <v>-1.5728800000000001E-2</v>
      </c>
      <c r="J259" s="21">
        <v>249</v>
      </c>
      <c r="K259" s="21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1">
        <v>1.15387</v>
      </c>
      <c r="P259" s="21">
        <v>100.989</v>
      </c>
      <c r="Q259" s="21">
        <v>-1.4981100000000001E-2</v>
      </c>
      <c r="R259" s="21">
        <v>249</v>
      </c>
      <c r="S259" s="21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1">
        <v>0.54611200000000004</v>
      </c>
      <c r="Z259" s="21">
        <v>130.446</v>
      </c>
      <c r="AA259" s="21">
        <v>-1.56372E-2</v>
      </c>
      <c r="AB259" s="21">
        <v>249</v>
      </c>
      <c r="AC259" s="21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1">
        <v>1.15387</v>
      </c>
      <c r="AH259" s="21">
        <v>179.92</v>
      </c>
      <c r="AI259" s="21">
        <v>-1.48804E-2</v>
      </c>
      <c r="AJ259" s="21">
        <v>249</v>
      </c>
      <c r="AK259" s="21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1">
        <v>0.54611200000000004</v>
      </c>
      <c r="AR259" s="21">
        <v>229.36600000000001</v>
      </c>
      <c r="AS259" s="21">
        <v>-1.54358E-2</v>
      </c>
      <c r="AT259" s="21">
        <v>249</v>
      </c>
      <c r="AU259" s="21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1">
        <v>1.15387</v>
      </c>
      <c r="AZ259" s="21">
        <v>263.70600000000002</v>
      </c>
      <c r="BA259" s="21">
        <v>-1.4639299999999999E-2</v>
      </c>
      <c r="BB259" s="21">
        <v>249</v>
      </c>
      <c r="BC259" s="21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51.572899999999997</v>
      </c>
      <c r="I260" s="21">
        <v>-1.5731800000000001E-2</v>
      </c>
      <c r="J260" s="21">
        <v>250</v>
      </c>
      <c r="K260" s="21">
        <v>0.54034400000000005</v>
      </c>
      <c r="L260">
        <f t="shared" si="36"/>
        <v>15.7318</v>
      </c>
      <c r="M260">
        <f t="shared" si="37"/>
        <v>8.5121151485999995</v>
      </c>
      <c r="N260" s="9"/>
      <c r="O260" s="21">
        <v>1.1589100000000001</v>
      </c>
      <c r="P260" s="21">
        <v>100.999</v>
      </c>
      <c r="Q260" s="21">
        <v>-1.4975E-2</v>
      </c>
      <c r="R260" s="21">
        <v>250</v>
      </c>
      <c r="S260" s="21">
        <v>1.1575299999999999</v>
      </c>
      <c r="T260">
        <f t="shared" si="38"/>
        <v>14.975</v>
      </c>
      <c r="U260">
        <f t="shared" si="39"/>
        <v>17.354677250000002</v>
      </c>
      <c r="X260" s="9"/>
      <c r="Y260" s="21">
        <v>0.54107700000000003</v>
      </c>
      <c r="Z260" s="21">
        <v>130.45599999999999</v>
      </c>
      <c r="AA260" s="21">
        <v>-1.5640299999999999E-2</v>
      </c>
      <c r="AB260" s="21">
        <v>250</v>
      </c>
      <c r="AC260" s="21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1">
        <v>1.1589100000000001</v>
      </c>
      <c r="AH260" s="21">
        <v>179.93</v>
      </c>
      <c r="AI260" s="21">
        <v>-1.4859000000000001E-2</v>
      </c>
      <c r="AJ260" s="21">
        <v>250</v>
      </c>
      <c r="AK260" s="21">
        <v>1.1581399999999999</v>
      </c>
      <c r="AL260">
        <f t="shared" si="42"/>
        <v>14.859</v>
      </c>
      <c r="AM260">
        <f t="shared" si="43"/>
        <v>17.22024369</v>
      </c>
      <c r="AP260" s="9"/>
      <c r="AQ260" s="21">
        <v>0.54107700000000003</v>
      </c>
      <c r="AR260" s="21">
        <v>229.376</v>
      </c>
      <c r="AS260" s="21">
        <v>-1.5438800000000001E-2</v>
      </c>
      <c r="AT260" s="21">
        <v>250</v>
      </c>
      <c r="AU260" s="21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1">
        <v>1.1589100000000001</v>
      </c>
      <c r="AZ260" s="21">
        <v>263.71600000000001</v>
      </c>
      <c r="BA260" s="21">
        <v>-1.4633200000000001E-2</v>
      </c>
      <c r="BB260" s="21">
        <v>250</v>
      </c>
      <c r="BC260" s="21">
        <v>1.15845</v>
      </c>
      <c r="BD260">
        <f t="shared" si="46"/>
        <v>14.6332</v>
      </c>
      <c r="BE260">
        <f t="shared" si="47"/>
        <v>16.958561812000003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51.582999999999998</v>
      </c>
      <c r="I261" s="21">
        <v>-1.5728800000000001E-2</v>
      </c>
      <c r="J261" s="21">
        <v>251</v>
      </c>
      <c r="K261" s="21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1">
        <v>1.16394</v>
      </c>
      <c r="P261" s="21">
        <v>101.009</v>
      </c>
      <c r="Q261" s="21">
        <v>-1.49689E-2</v>
      </c>
      <c r="R261" s="21">
        <v>251</v>
      </c>
      <c r="S261" s="21">
        <v>1.1630199999999999</v>
      </c>
      <c r="T261">
        <f t="shared" si="38"/>
        <v>14.9689</v>
      </c>
      <c r="U261">
        <f t="shared" si="39"/>
        <v>17.422901465999999</v>
      </c>
      <c r="X261" s="9"/>
      <c r="Y261" s="21">
        <v>0.53604099999999999</v>
      </c>
      <c r="Z261" s="21">
        <v>130.46600000000001</v>
      </c>
      <c r="AA261" s="21">
        <v>-1.5640299999999999E-2</v>
      </c>
      <c r="AB261" s="21">
        <v>251</v>
      </c>
      <c r="AC261" s="21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1">
        <v>1.16394</v>
      </c>
      <c r="AH261" s="21">
        <v>179.94</v>
      </c>
      <c r="AI261" s="21">
        <v>-1.4837599999999999E-2</v>
      </c>
      <c r="AJ261" s="21">
        <v>251</v>
      </c>
      <c r="AK261" s="21">
        <v>1.16333</v>
      </c>
      <c r="AL261">
        <f t="shared" si="42"/>
        <v>14.8376</v>
      </c>
      <c r="AM261">
        <f t="shared" si="43"/>
        <v>17.270076144000001</v>
      </c>
      <c r="AP261" s="9"/>
      <c r="AQ261" s="21">
        <v>0.53604099999999999</v>
      </c>
      <c r="AR261" s="21">
        <v>229.386</v>
      </c>
      <c r="AS261" s="21">
        <v>-1.54419E-2</v>
      </c>
      <c r="AT261" s="21">
        <v>251</v>
      </c>
      <c r="AU261" s="21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1">
        <v>1.16394</v>
      </c>
      <c r="AZ261" s="21">
        <v>263.726</v>
      </c>
      <c r="BA261" s="21">
        <v>-1.4633200000000001E-2</v>
      </c>
      <c r="BB261" s="21">
        <v>251</v>
      </c>
      <c r="BC261" s="21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51.593000000000004</v>
      </c>
      <c r="I262" s="21">
        <v>-1.57349E-2</v>
      </c>
      <c r="J262" s="21">
        <v>252</v>
      </c>
      <c r="K262" s="21">
        <v>0.53036499999999998</v>
      </c>
      <c r="L262">
        <f t="shared" si="36"/>
        <v>15.7349</v>
      </c>
      <c r="M262">
        <f t="shared" si="37"/>
        <v>8.3553263093999988</v>
      </c>
      <c r="N262" s="9"/>
      <c r="O262" s="21">
        <v>1.1689799999999999</v>
      </c>
      <c r="P262" s="21">
        <v>101.01900000000001</v>
      </c>
      <c r="Q262" s="21">
        <v>-1.49658E-2</v>
      </c>
      <c r="R262" s="21">
        <v>252</v>
      </c>
      <c r="S262" s="21">
        <v>1.1673</v>
      </c>
      <c r="T262">
        <f t="shared" si="38"/>
        <v>14.9658</v>
      </c>
      <c r="U262">
        <f t="shared" si="39"/>
        <v>17.494720883999999</v>
      </c>
      <c r="X262" s="9"/>
      <c r="Y262" s="21">
        <v>0.53100599999999998</v>
      </c>
      <c r="Z262" s="21">
        <v>130.476</v>
      </c>
      <c r="AA262" s="21">
        <v>-1.5640299999999999E-2</v>
      </c>
      <c r="AB262" s="21">
        <v>252</v>
      </c>
      <c r="AC262" s="21">
        <v>0.530304</v>
      </c>
      <c r="AD262">
        <f t="shared" si="40"/>
        <v>15.6403</v>
      </c>
      <c r="AE262">
        <f t="shared" si="41"/>
        <v>8.3050931418000005</v>
      </c>
      <c r="AF262" s="9"/>
      <c r="AG262" s="21">
        <v>1.1689799999999999</v>
      </c>
      <c r="AH262" s="21">
        <v>179.95</v>
      </c>
      <c r="AI262" s="21">
        <v>-1.4819300000000001E-2</v>
      </c>
      <c r="AJ262" s="21">
        <v>252</v>
      </c>
      <c r="AK262" s="21">
        <v>1.1676</v>
      </c>
      <c r="AL262">
        <f t="shared" si="42"/>
        <v>14.8193</v>
      </c>
      <c r="AM262">
        <f t="shared" si="43"/>
        <v>17.323465314</v>
      </c>
      <c r="AP262" s="9"/>
      <c r="AQ262" s="21">
        <v>0.53100599999999998</v>
      </c>
      <c r="AR262" s="21">
        <v>229.39599999999999</v>
      </c>
      <c r="AS262" s="21">
        <v>-1.5444899999999999E-2</v>
      </c>
      <c r="AT262" s="21">
        <v>252</v>
      </c>
      <c r="AU262" s="21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1">
        <v>1.1689799999999999</v>
      </c>
      <c r="AZ262" s="21">
        <v>263.73700000000002</v>
      </c>
      <c r="BA262" s="21">
        <v>-1.46301E-2</v>
      </c>
      <c r="BB262" s="21">
        <v>252</v>
      </c>
      <c r="BC262" s="21">
        <v>1.1676</v>
      </c>
      <c r="BD262">
        <f t="shared" si="46"/>
        <v>14.630100000000001</v>
      </c>
      <c r="BE262">
        <f t="shared" si="47"/>
        <v>17.102294298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51.603099999999998</v>
      </c>
      <c r="I263" s="21">
        <v>-1.5741000000000002E-2</v>
      </c>
      <c r="J263" s="21">
        <v>253</v>
      </c>
      <c r="K263" s="21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1">
        <v>1.17401</v>
      </c>
      <c r="P263" s="21">
        <v>101.03</v>
      </c>
      <c r="Q263" s="21">
        <v>-1.49567E-2</v>
      </c>
      <c r="R263" s="21">
        <v>253</v>
      </c>
      <c r="S263" s="21">
        <v>1.1734</v>
      </c>
      <c r="T263">
        <f t="shared" si="38"/>
        <v>14.9567</v>
      </c>
      <c r="U263">
        <f t="shared" si="39"/>
        <v>17.559315367</v>
      </c>
      <c r="X263" s="9"/>
      <c r="Y263" s="21">
        <v>0.52597000000000005</v>
      </c>
      <c r="Z263" s="21">
        <v>130.48699999999999</v>
      </c>
      <c r="AA263" s="21">
        <v>-1.56372E-2</v>
      </c>
      <c r="AB263" s="21">
        <v>253</v>
      </c>
      <c r="AC263" s="21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1">
        <v>1.17401</v>
      </c>
      <c r="AH263" s="21">
        <v>179.96</v>
      </c>
      <c r="AI263" s="21">
        <v>-1.4810200000000001E-2</v>
      </c>
      <c r="AJ263" s="21">
        <v>253</v>
      </c>
      <c r="AK263" s="21">
        <v>1.17279</v>
      </c>
      <c r="AL263">
        <f t="shared" si="42"/>
        <v>14.8102</v>
      </c>
      <c r="AM263">
        <f t="shared" si="43"/>
        <v>17.387322902000001</v>
      </c>
      <c r="AP263" s="9"/>
      <c r="AQ263" s="21">
        <v>0.52597000000000005</v>
      </c>
      <c r="AR263" s="21">
        <v>229.40600000000001</v>
      </c>
      <c r="AS263" s="21">
        <v>-1.5444899999999999E-2</v>
      </c>
      <c r="AT263" s="21">
        <v>253</v>
      </c>
      <c r="AU263" s="21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1">
        <v>1.17401</v>
      </c>
      <c r="AZ263" s="21">
        <v>263.74700000000001</v>
      </c>
      <c r="BA263" s="21">
        <v>-1.4627100000000001E-2</v>
      </c>
      <c r="BB263" s="21">
        <v>253</v>
      </c>
      <c r="BC263" s="21">
        <v>1.17279</v>
      </c>
      <c r="BD263">
        <f t="shared" si="46"/>
        <v>14.6271</v>
      </c>
      <c r="BE263">
        <f t="shared" si="47"/>
        <v>17.172361671000001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51.613199999999999</v>
      </c>
      <c r="I264" s="21">
        <v>-1.5741000000000002E-2</v>
      </c>
      <c r="J264" s="21">
        <v>254</v>
      </c>
      <c r="K264" s="21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1">
        <v>1.1790499999999999</v>
      </c>
      <c r="P264" s="21">
        <v>101.04</v>
      </c>
      <c r="Q264" s="21">
        <v>-1.49506E-2</v>
      </c>
      <c r="R264" s="21">
        <v>254</v>
      </c>
      <c r="S264" s="21">
        <v>1.17798</v>
      </c>
      <c r="T264">
        <f t="shared" si="38"/>
        <v>14.9506</v>
      </c>
      <c r="U264">
        <f t="shared" si="39"/>
        <v>17.627504929999997</v>
      </c>
      <c r="X264" s="9"/>
      <c r="Y264" s="21">
        <v>0.52093500000000004</v>
      </c>
      <c r="Z264" s="21">
        <v>130.49700000000001</v>
      </c>
      <c r="AA264" s="21">
        <v>-1.5643299999999999E-2</v>
      </c>
      <c r="AB264" s="21">
        <v>254</v>
      </c>
      <c r="AC264" s="21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1">
        <v>1.1790499999999999</v>
      </c>
      <c r="AH264" s="21">
        <v>179.97</v>
      </c>
      <c r="AI264" s="21">
        <v>-1.47949E-2</v>
      </c>
      <c r="AJ264" s="21">
        <v>254</v>
      </c>
      <c r="AK264" s="21">
        <v>1.17767</v>
      </c>
      <c r="AL264">
        <f t="shared" si="42"/>
        <v>14.7949</v>
      </c>
      <c r="AM264">
        <f t="shared" si="43"/>
        <v>17.443926845</v>
      </c>
      <c r="AP264" s="9"/>
      <c r="AQ264" s="21">
        <v>0.52093500000000004</v>
      </c>
      <c r="AR264" s="21">
        <v>229.416</v>
      </c>
      <c r="AS264" s="21">
        <v>-1.5450999999999999E-2</v>
      </c>
      <c r="AT264" s="21">
        <v>254</v>
      </c>
      <c r="AU264" s="21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1">
        <v>1.1790499999999999</v>
      </c>
      <c r="AZ264" s="21">
        <v>263.75700000000001</v>
      </c>
      <c r="BA264" s="21">
        <v>-1.4605699999999999E-2</v>
      </c>
      <c r="BB264" s="21">
        <v>254</v>
      </c>
      <c r="BC264" s="21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51.623199999999997</v>
      </c>
      <c r="I265" s="21">
        <v>-1.5744000000000001E-2</v>
      </c>
      <c r="J265" s="21">
        <v>255</v>
      </c>
      <c r="K265" s="21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1">
        <v>1.18408</v>
      </c>
      <c r="P265" s="21">
        <v>101.05</v>
      </c>
      <c r="Q265" s="21">
        <v>-1.4941400000000001E-2</v>
      </c>
      <c r="R265" s="21">
        <v>255</v>
      </c>
      <c r="S265" s="21">
        <v>1.1831700000000001</v>
      </c>
      <c r="T265">
        <f t="shared" si="38"/>
        <v>14.9414</v>
      </c>
      <c r="U265">
        <f t="shared" si="39"/>
        <v>17.691812912</v>
      </c>
      <c r="X265" s="9"/>
      <c r="Y265" s="21">
        <v>0.51590000000000003</v>
      </c>
      <c r="Z265" s="21">
        <v>130.50700000000001</v>
      </c>
      <c r="AA265" s="21">
        <v>-1.5643299999999999E-2</v>
      </c>
      <c r="AB265" s="21">
        <v>255</v>
      </c>
      <c r="AC265" s="21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1">
        <v>1.18408</v>
      </c>
      <c r="AH265" s="21">
        <v>179.98</v>
      </c>
      <c r="AI265" s="21">
        <v>-1.4776600000000001E-2</v>
      </c>
      <c r="AJ265" s="21">
        <v>255</v>
      </c>
      <c r="AK265" s="21">
        <v>1.18347</v>
      </c>
      <c r="AL265">
        <f t="shared" si="42"/>
        <v>14.7766</v>
      </c>
      <c r="AM265">
        <f t="shared" si="43"/>
        <v>17.496676528000002</v>
      </c>
      <c r="AP265" s="9"/>
      <c r="AQ265" s="21">
        <v>0.51590000000000003</v>
      </c>
      <c r="AR265" s="21">
        <v>229.42699999999999</v>
      </c>
      <c r="AS265" s="21">
        <v>-1.54541E-2</v>
      </c>
      <c r="AT265" s="21">
        <v>255</v>
      </c>
      <c r="AU265" s="21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1">
        <v>1.18408</v>
      </c>
      <c r="AZ265" s="21">
        <v>263.767</v>
      </c>
      <c r="BA265" s="21">
        <v>-1.45874E-2</v>
      </c>
      <c r="BB265" s="21">
        <v>255</v>
      </c>
      <c r="BC265" s="21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51.633299999999998</v>
      </c>
      <c r="I266" s="21">
        <v>-1.57501E-2</v>
      </c>
      <c r="J266" s="21">
        <v>256</v>
      </c>
      <c r="K266" s="21">
        <v>0.510162</v>
      </c>
      <c r="L266">
        <f t="shared" si="36"/>
        <v>15.7501</v>
      </c>
      <c r="M266">
        <f t="shared" si="37"/>
        <v>8.0461590863999994</v>
      </c>
      <c r="N266" s="9"/>
      <c r="O266" s="21">
        <v>1.18912</v>
      </c>
      <c r="P266" s="21">
        <v>101.06</v>
      </c>
      <c r="Q266" s="21">
        <v>-1.4926099999999999E-2</v>
      </c>
      <c r="R266" s="21">
        <v>256</v>
      </c>
      <c r="S266" s="21">
        <v>1.1880500000000001</v>
      </c>
      <c r="T266">
        <f t="shared" si="38"/>
        <v>14.9261</v>
      </c>
      <c r="U266">
        <f t="shared" si="39"/>
        <v>17.748924031999998</v>
      </c>
      <c r="X266" s="9"/>
      <c r="Y266" s="21">
        <v>0.51086399999999998</v>
      </c>
      <c r="Z266" s="21">
        <v>130.517</v>
      </c>
      <c r="AA266" s="21">
        <v>-1.5649400000000001E-2</v>
      </c>
      <c r="AB266" s="21">
        <v>256</v>
      </c>
      <c r="AC266" s="21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1">
        <v>1.18912</v>
      </c>
      <c r="AH266" s="21">
        <v>179.99</v>
      </c>
      <c r="AI266" s="21">
        <v>-1.47552E-2</v>
      </c>
      <c r="AJ266" s="21">
        <v>256</v>
      </c>
      <c r="AK266" s="21">
        <v>1.18835</v>
      </c>
      <c r="AL266">
        <f t="shared" si="42"/>
        <v>14.7552</v>
      </c>
      <c r="AM266">
        <f t="shared" si="43"/>
        <v>17.545703423999999</v>
      </c>
      <c r="AP266" s="9"/>
      <c r="AQ266" s="21">
        <v>0.51086399999999998</v>
      </c>
      <c r="AR266" s="21">
        <v>229.43700000000001</v>
      </c>
      <c r="AS266" s="21">
        <v>-1.54602E-2</v>
      </c>
      <c r="AT266" s="21">
        <v>256</v>
      </c>
      <c r="AU266" s="21">
        <v>0.51022299999999998</v>
      </c>
      <c r="AV266">
        <f t="shared" si="44"/>
        <v>15.4602</v>
      </c>
      <c r="AW266">
        <f t="shared" si="45"/>
        <v>7.8980596128</v>
      </c>
      <c r="AX266" s="9"/>
      <c r="AY266" s="21">
        <v>1.18912</v>
      </c>
      <c r="AZ266" s="21">
        <v>263.77699999999999</v>
      </c>
      <c r="BA266" s="21">
        <v>-1.45691E-2</v>
      </c>
      <c r="BB266" s="21">
        <v>256</v>
      </c>
      <c r="BC266" s="21">
        <v>1.18835</v>
      </c>
      <c r="BD266">
        <f t="shared" si="46"/>
        <v>14.569100000000001</v>
      </c>
      <c r="BE266">
        <f t="shared" si="47"/>
        <v>17.324408192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51.6434</v>
      </c>
      <c r="I267" s="21">
        <v>-1.57593E-2</v>
      </c>
      <c r="J267" s="21">
        <v>257</v>
      </c>
      <c r="K267" s="21">
        <v>0.50512699999999999</v>
      </c>
      <c r="L267">
        <f t="shared" si="36"/>
        <v>15.7593</v>
      </c>
      <c r="M267">
        <f t="shared" si="37"/>
        <v>7.9715109596999998</v>
      </c>
      <c r="N267" s="9"/>
      <c r="O267" s="21">
        <v>1.19415</v>
      </c>
      <c r="P267" s="21">
        <v>101.07</v>
      </c>
      <c r="Q267" s="21">
        <v>-1.4926099999999999E-2</v>
      </c>
      <c r="R267" s="21">
        <v>257</v>
      </c>
      <c r="S267" s="21">
        <v>1.19293</v>
      </c>
      <c r="T267">
        <f t="shared" si="38"/>
        <v>14.9261</v>
      </c>
      <c r="U267">
        <f t="shared" si="39"/>
        <v>17.824002315000001</v>
      </c>
      <c r="X267" s="9"/>
      <c r="Y267" s="21">
        <v>0.50582899999999997</v>
      </c>
      <c r="Z267" s="21">
        <v>130.52699999999999</v>
      </c>
      <c r="AA267" s="21">
        <v>-1.56525E-2</v>
      </c>
      <c r="AB267" s="21">
        <v>257</v>
      </c>
      <c r="AC267" s="21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1">
        <v>1.19415</v>
      </c>
      <c r="AH267" s="21">
        <v>180</v>
      </c>
      <c r="AI267" s="21">
        <v>-1.47461E-2</v>
      </c>
      <c r="AJ267" s="21">
        <v>257</v>
      </c>
      <c r="AK267" s="21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1">
        <v>0.50582899999999997</v>
      </c>
      <c r="AR267" s="21">
        <v>229.447</v>
      </c>
      <c r="AS267" s="21">
        <v>-1.5466300000000001E-2</v>
      </c>
      <c r="AT267" s="21">
        <v>257</v>
      </c>
      <c r="AU267" s="21">
        <v>0.50512699999999999</v>
      </c>
      <c r="AV267">
        <f t="shared" si="44"/>
        <v>15.4663</v>
      </c>
      <c r="AW267">
        <f t="shared" si="45"/>
        <v>7.8233030627</v>
      </c>
      <c r="AX267" s="9"/>
      <c r="AY267" s="21">
        <v>1.19415</v>
      </c>
      <c r="AZ267" s="21">
        <v>263.78699999999998</v>
      </c>
      <c r="BA267" s="21">
        <v>-1.45477E-2</v>
      </c>
      <c r="BB267" s="21">
        <v>257</v>
      </c>
      <c r="BC267" s="21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51.653500000000001</v>
      </c>
      <c r="I268" s="21">
        <v>-1.5768399999999998E-2</v>
      </c>
      <c r="J268" s="21">
        <v>258</v>
      </c>
      <c r="K268" s="21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1">
        <v>1.19919</v>
      </c>
      <c r="P268" s="21">
        <v>101.08</v>
      </c>
      <c r="Q268" s="21">
        <v>-1.4913900000000001E-2</v>
      </c>
      <c r="R268" s="21">
        <v>258</v>
      </c>
      <c r="S268" s="21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1">
        <v>0.50079300000000004</v>
      </c>
      <c r="Z268" s="21">
        <v>130.53700000000001</v>
      </c>
      <c r="AA268" s="21">
        <v>-1.5658600000000002E-2</v>
      </c>
      <c r="AB268" s="21">
        <v>258</v>
      </c>
      <c r="AC268" s="21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1">
        <v>1.19919</v>
      </c>
      <c r="AH268" s="21">
        <v>180.01</v>
      </c>
      <c r="AI268" s="21">
        <v>-1.47308E-2</v>
      </c>
      <c r="AJ268" s="21">
        <v>258</v>
      </c>
      <c r="AK268" s="21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1">
        <v>0.50079300000000004</v>
      </c>
      <c r="AR268" s="21">
        <v>229.45699999999999</v>
      </c>
      <c r="AS268" s="21">
        <v>-1.54755E-2</v>
      </c>
      <c r="AT268" s="21">
        <v>258</v>
      </c>
      <c r="AU268" s="21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1">
        <v>1.19919</v>
      </c>
      <c r="AZ268" s="21">
        <v>263.79700000000003</v>
      </c>
      <c r="BA268" s="21">
        <v>-1.45355E-2</v>
      </c>
      <c r="BB268" s="21">
        <v>258</v>
      </c>
      <c r="BC268" s="21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51.663499999999999</v>
      </c>
      <c r="I269" s="21">
        <v>-1.5768399999999998E-2</v>
      </c>
      <c r="J269" s="21">
        <v>259</v>
      </c>
      <c r="K269" s="21">
        <v>0.495056</v>
      </c>
      <c r="L269">
        <f t="shared" si="48"/>
        <v>15.768399999999998</v>
      </c>
      <c r="M269">
        <f t="shared" si="49"/>
        <v>7.8173104471999988</v>
      </c>
      <c r="N269" s="9"/>
      <c r="O269" s="21">
        <v>1.2042200000000001</v>
      </c>
      <c r="P269" s="21">
        <v>101.09</v>
      </c>
      <c r="Q269" s="21">
        <v>-1.48956E-2</v>
      </c>
      <c r="R269" s="21">
        <v>259</v>
      </c>
      <c r="S269" s="21">
        <v>1.2033100000000001</v>
      </c>
      <c r="T269">
        <f t="shared" si="50"/>
        <v>14.8956</v>
      </c>
      <c r="U269">
        <f t="shared" si="51"/>
        <v>17.937579432</v>
      </c>
      <c r="X269" s="9"/>
      <c r="Y269" s="21">
        <v>0.49575799999999998</v>
      </c>
      <c r="Z269" s="21">
        <v>130.547</v>
      </c>
      <c r="AA269" s="21">
        <v>-1.5661600000000001E-2</v>
      </c>
      <c r="AB269" s="21">
        <v>259</v>
      </c>
      <c r="AC269" s="21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1">
        <v>1.2042200000000001</v>
      </c>
      <c r="AH269" s="21">
        <v>180.02</v>
      </c>
      <c r="AI269" s="21">
        <v>-1.47125E-2</v>
      </c>
      <c r="AJ269" s="21">
        <v>259</v>
      </c>
      <c r="AK269" s="21">
        <v>1.2033100000000001</v>
      </c>
      <c r="AL269">
        <f t="shared" si="54"/>
        <v>14.7125</v>
      </c>
      <c r="AM269">
        <f t="shared" si="55"/>
        <v>17.71708675</v>
      </c>
      <c r="AP269" s="9"/>
      <c r="AQ269" s="21">
        <v>0.49575799999999998</v>
      </c>
      <c r="AR269" s="21">
        <v>229.46700000000001</v>
      </c>
      <c r="AS269" s="21">
        <v>-1.5472400000000001E-2</v>
      </c>
      <c r="AT269" s="21">
        <v>259</v>
      </c>
      <c r="AU269" s="21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1">
        <v>1.2042200000000001</v>
      </c>
      <c r="AZ269" s="21">
        <v>263.80700000000002</v>
      </c>
      <c r="BA269" s="21">
        <v>-1.45264E-2</v>
      </c>
      <c r="BB269" s="21">
        <v>259</v>
      </c>
      <c r="BC269" s="21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51.6736</v>
      </c>
      <c r="I270" s="21">
        <v>-1.5768399999999998E-2</v>
      </c>
      <c r="J270" s="21">
        <v>260</v>
      </c>
      <c r="K270" s="21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1">
        <v>1.20926</v>
      </c>
      <c r="P270" s="21">
        <v>101.1</v>
      </c>
      <c r="Q270" s="21">
        <v>-1.48743E-2</v>
      </c>
      <c r="R270" s="21">
        <v>260</v>
      </c>
      <c r="S270" s="21">
        <v>1.2081900000000001</v>
      </c>
      <c r="T270">
        <f t="shared" si="50"/>
        <v>14.8743</v>
      </c>
      <c r="U270">
        <f t="shared" si="51"/>
        <v>17.986896017999999</v>
      </c>
      <c r="X270" s="9"/>
      <c r="Y270" s="21">
        <v>0.49072300000000002</v>
      </c>
      <c r="Z270" s="21">
        <v>130.55699999999999</v>
      </c>
      <c r="AA270" s="21">
        <v>-1.56647E-2</v>
      </c>
      <c r="AB270" s="21">
        <v>260</v>
      </c>
      <c r="AC270" s="21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1">
        <v>1.20926</v>
      </c>
      <c r="AH270" s="21">
        <v>180.03100000000001</v>
      </c>
      <c r="AI270" s="21">
        <v>-1.4694199999999999E-2</v>
      </c>
      <c r="AJ270" s="21">
        <v>260</v>
      </c>
      <c r="AK270" s="21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1">
        <v>0.49072300000000002</v>
      </c>
      <c r="AR270" s="21">
        <v>229.477</v>
      </c>
      <c r="AS270" s="21">
        <v>-1.54755E-2</v>
      </c>
      <c r="AT270" s="21">
        <v>260</v>
      </c>
      <c r="AU270" s="21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1">
        <v>1.20926</v>
      </c>
      <c r="AZ270" s="21">
        <v>263.81700000000001</v>
      </c>
      <c r="BA270" s="21">
        <v>-1.4511100000000001E-2</v>
      </c>
      <c r="BB270" s="21">
        <v>260</v>
      </c>
      <c r="BC270" s="21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51.683700000000002</v>
      </c>
      <c r="I271" s="21">
        <v>-1.5765399999999999E-2</v>
      </c>
      <c r="J271" s="21">
        <v>261</v>
      </c>
      <c r="K271" s="21">
        <v>0.485016</v>
      </c>
      <c r="L271">
        <f t="shared" si="48"/>
        <v>15.7654</v>
      </c>
      <c r="M271">
        <f t="shared" si="49"/>
        <v>7.6570498297999992</v>
      </c>
      <c r="N271" s="9"/>
      <c r="O271" s="21">
        <v>1.2142900000000001</v>
      </c>
      <c r="P271" s="21">
        <v>101.11</v>
      </c>
      <c r="Q271" s="21">
        <v>-1.4843800000000001E-2</v>
      </c>
      <c r="R271" s="21">
        <v>261</v>
      </c>
      <c r="S271" s="21">
        <v>1.2130700000000001</v>
      </c>
      <c r="T271">
        <f t="shared" si="50"/>
        <v>14.8438</v>
      </c>
      <c r="U271">
        <f t="shared" si="51"/>
        <v>18.024677902000001</v>
      </c>
      <c r="X271" s="9"/>
      <c r="Y271" s="21">
        <v>0.48568699999999998</v>
      </c>
      <c r="Z271" s="21">
        <v>130.56700000000001</v>
      </c>
      <c r="AA271" s="21">
        <v>-1.5661600000000001E-2</v>
      </c>
      <c r="AB271" s="21">
        <v>261</v>
      </c>
      <c r="AC271" s="21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1">
        <v>1.2142900000000001</v>
      </c>
      <c r="AH271" s="21">
        <v>180.041</v>
      </c>
      <c r="AI271" s="21">
        <v>-1.46851E-2</v>
      </c>
      <c r="AJ271" s="21">
        <v>261</v>
      </c>
      <c r="AK271" s="21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1">
        <v>0.48568699999999998</v>
      </c>
      <c r="AR271" s="21">
        <v>229.48699999999999</v>
      </c>
      <c r="AS271" s="21">
        <v>-1.5478499999999999E-2</v>
      </c>
      <c r="AT271" s="21">
        <v>261</v>
      </c>
      <c r="AU271" s="21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1">
        <v>1.2142900000000001</v>
      </c>
      <c r="AZ271" s="21">
        <v>263.827</v>
      </c>
      <c r="BA271" s="21">
        <v>-1.44989E-2</v>
      </c>
      <c r="BB271" s="21">
        <v>261</v>
      </c>
      <c r="BC271" s="21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51.6937</v>
      </c>
      <c r="I272" s="21">
        <v>-1.5765399999999999E-2</v>
      </c>
      <c r="J272" s="21">
        <v>262</v>
      </c>
      <c r="K272" s="21">
        <v>0.47988900000000001</v>
      </c>
      <c r="L272">
        <f t="shared" si="48"/>
        <v>15.7654</v>
      </c>
      <c r="M272">
        <f t="shared" si="49"/>
        <v>7.5776710408000003</v>
      </c>
      <c r="N272" s="9"/>
      <c r="O272" s="21">
        <v>1.21933</v>
      </c>
      <c r="P272" s="21">
        <v>101.12</v>
      </c>
      <c r="Q272" s="21">
        <v>-1.4822399999999999E-2</v>
      </c>
      <c r="R272" s="21">
        <v>262</v>
      </c>
      <c r="S272" s="21">
        <v>1.2188699999999999</v>
      </c>
      <c r="T272">
        <f t="shared" si="50"/>
        <v>14.8224</v>
      </c>
      <c r="U272">
        <f t="shared" si="51"/>
        <v>18.073396991999999</v>
      </c>
      <c r="X272" s="9"/>
      <c r="Y272" s="21">
        <v>0.48065200000000002</v>
      </c>
      <c r="Z272" s="21">
        <v>130.577</v>
      </c>
      <c r="AA272" s="21">
        <v>-1.5655499999999999E-2</v>
      </c>
      <c r="AB272" s="21">
        <v>262</v>
      </c>
      <c r="AC272" s="21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1">
        <v>1.21933</v>
      </c>
      <c r="AH272" s="21">
        <v>180.05099999999999</v>
      </c>
      <c r="AI272" s="21">
        <v>-1.46851E-2</v>
      </c>
      <c r="AJ272" s="21">
        <v>262</v>
      </c>
      <c r="AK272" s="21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1">
        <v>0.48065200000000002</v>
      </c>
      <c r="AR272" s="21">
        <v>229.49700000000001</v>
      </c>
      <c r="AS272" s="21">
        <v>-1.5484599999999999E-2</v>
      </c>
      <c r="AT272" s="21">
        <v>262</v>
      </c>
      <c r="AU272" s="21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1">
        <v>1.21933</v>
      </c>
      <c r="AZ272" s="21">
        <v>263.83699999999999</v>
      </c>
      <c r="BA272" s="21">
        <v>-1.44867E-2</v>
      </c>
      <c r="BB272" s="21">
        <v>262</v>
      </c>
      <c r="BC272" s="21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51.703800000000001</v>
      </c>
      <c r="I273" s="21">
        <v>-1.5768399999999998E-2</v>
      </c>
      <c r="J273" s="21">
        <v>263</v>
      </c>
      <c r="K273" s="21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1">
        <v>1.22437</v>
      </c>
      <c r="P273" s="21">
        <v>101.13</v>
      </c>
      <c r="Q273" s="21">
        <v>-1.48071E-2</v>
      </c>
      <c r="R273" s="21">
        <v>263</v>
      </c>
      <c r="S273" s="21">
        <v>1.2240599999999999</v>
      </c>
      <c r="T273">
        <f t="shared" si="50"/>
        <v>14.8071</v>
      </c>
      <c r="U273">
        <f t="shared" si="51"/>
        <v>18.129369026999999</v>
      </c>
      <c r="X273" s="9"/>
      <c r="Y273" s="21">
        <v>0.47561599999999998</v>
      </c>
      <c r="Z273" s="21">
        <v>130.58699999999999</v>
      </c>
      <c r="AA273" s="21">
        <v>-1.5658600000000002E-2</v>
      </c>
      <c r="AB273" s="21">
        <v>263</v>
      </c>
      <c r="AC273" s="21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1">
        <v>1.22437</v>
      </c>
      <c r="AH273" s="21">
        <v>180.06100000000001</v>
      </c>
      <c r="AI273" s="21">
        <v>-1.4672899999999999E-2</v>
      </c>
      <c r="AJ273" s="21">
        <v>263</v>
      </c>
      <c r="AK273" s="21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1">
        <v>0.47561599999999998</v>
      </c>
      <c r="AR273" s="21">
        <v>229.50700000000001</v>
      </c>
      <c r="AS273" s="21">
        <v>-1.54907E-2</v>
      </c>
      <c r="AT273" s="21">
        <v>263</v>
      </c>
      <c r="AU273" s="21">
        <v>0.47488399999999997</v>
      </c>
      <c r="AV273">
        <f t="shared" si="56"/>
        <v>15.4907</v>
      </c>
      <c r="AW273">
        <f t="shared" si="57"/>
        <v>7.3676247712</v>
      </c>
      <c r="AX273" s="9"/>
      <c r="AY273" s="21">
        <v>1.22437</v>
      </c>
      <c r="AZ273" s="21">
        <v>263.84699999999998</v>
      </c>
      <c r="BA273" s="21">
        <v>-1.4471400000000001E-2</v>
      </c>
      <c r="BB273" s="21">
        <v>263</v>
      </c>
      <c r="BC273" s="21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51.713900000000002</v>
      </c>
      <c r="I274" s="21">
        <v>-1.5768399999999998E-2</v>
      </c>
      <c r="J274" s="21">
        <v>264</v>
      </c>
      <c r="K274" s="21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1">
        <v>1.2294</v>
      </c>
      <c r="P274" s="21">
        <v>101.14</v>
      </c>
      <c r="Q274" s="21">
        <v>-1.47919E-2</v>
      </c>
      <c r="R274" s="21">
        <v>264</v>
      </c>
      <c r="S274" s="21">
        <v>1.2283299999999999</v>
      </c>
      <c r="T274">
        <f t="shared" si="50"/>
        <v>14.7919</v>
      </c>
      <c r="U274">
        <f t="shared" si="51"/>
        <v>18.185161860000001</v>
      </c>
      <c r="X274" s="9"/>
      <c r="Y274" s="21">
        <v>0.47058100000000003</v>
      </c>
      <c r="Z274" s="21">
        <v>130.59700000000001</v>
      </c>
      <c r="AA274" s="21">
        <v>-1.56525E-2</v>
      </c>
      <c r="AB274" s="21">
        <v>264</v>
      </c>
      <c r="AC274" s="21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1">
        <v>1.2294</v>
      </c>
      <c r="AH274" s="21">
        <v>180.071</v>
      </c>
      <c r="AI274" s="21">
        <v>-1.46515E-2</v>
      </c>
      <c r="AJ274" s="21">
        <v>264</v>
      </c>
      <c r="AK274" s="21">
        <v>1.22864</v>
      </c>
      <c r="AL274">
        <f t="shared" si="54"/>
        <v>14.6515</v>
      </c>
      <c r="AM274">
        <f t="shared" si="55"/>
        <v>18.012554100000003</v>
      </c>
      <c r="AP274" s="9"/>
      <c r="AQ274" s="21">
        <v>0.47058100000000003</v>
      </c>
      <c r="AR274" s="21">
        <v>229.517</v>
      </c>
      <c r="AS274" s="21">
        <v>-1.54938E-2</v>
      </c>
      <c r="AT274" s="21">
        <v>264</v>
      </c>
      <c r="AU274" s="21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1">
        <v>1.2294</v>
      </c>
      <c r="AZ274" s="21">
        <v>263.85700000000003</v>
      </c>
      <c r="BA274" s="21">
        <v>-1.44501E-2</v>
      </c>
      <c r="BB274" s="21">
        <v>264</v>
      </c>
      <c r="BC274" s="21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1">
        <v>0.46554600000000002</v>
      </c>
      <c r="H275" s="21">
        <v>51.723999999999997</v>
      </c>
      <c r="I275" s="21">
        <v>-1.5771500000000001E-2</v>
      </c>
      <c r="J275" s="21">
        <v>265</v>
      </c>
      <c r="K275" s="21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1">
        <v>1.23444</v>
      </c>
      <c r="P275" s="21">
        <v>101.15</v>
      </c>
      <c r="Q275" s="21">
        <v>-1.47736E-2</v>
      </c>
      <c r="R275" s="21">
        <v>265</v>
      </c>
      <c r="S275" s="21">
        <v>1.23322</v>
      </c>
      <c r="T275">
        <f t="shared" si="50"/>
        <v>14.7736</v>
      </c>
      <c r="U275">
        <f t="shared" si="51"/>
        <v>18.237122784</v>
      </c>
      <c r="X275" s="9"/>
      <c r="Y275" s="21">
        <v>0.46554600000000002</v>
      </c>
      <c r="Z275" s="21">
        <v>130.607</v>
      </c>
      <c r="AA275" s="21">
        <v>-1.56525E-2</v>
      </c>
      <c r="AB275" s="21">
        <v>265</v>
      </c>
      <c r="AC275" s="21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1">
        <v>1.23444</v>
      </c>
      <c r="AH275" s="21">
        <v>180.08099999999999</v>
      </c>
      <c r="AI275" s="21">
        <v>-1.46362E-2</v>
      </c>
      <c r="AJ275" s="21">
        <v>265</v>
      </c>
      <c r="AK275" s="21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1">
        <v>0.46554600000000002</v>
      </c>
      <c r="AR275" s="21">
        <v>229.52699999999999</v>
      </c>
      <c r="AS275" s="21">
        <v>-1.54999E-2</v>
      </c>
      <c r="AT275" s="21">
        <v>265</v>
      </c>
      <c r="AU275" s="21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1">
        <v>1.23444</v>
      </c>
      <c r="AZ275" s="21">
        <v>263.86700000000002</v>
      </c>
      <c r="BA275" s="21">
        <v>-1.44318E-2</v>
      </c>
      <c r="BB275" s="21">
        <v>265</v>
      </c>
      <c r="BC275" s="21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1">
        <v>0.46050999999999997</v>
      </c>
      <c r="H276" s="21">
        <v>51.734000000000002</v>
      </c>
      <c r="I276" s="21">
        <v>-1.57745E-2</v>
      </c>
      <c r="J276" s="21">
        <v>266</v>
      </c>
      <c r="K276" s="21">
        <v>0.45993000000000001</v>
      </c>
      <c r="L276">
        <f t="shared" si="48"/>
        <v>15.7745</v>
      </c>
      <c r="M276">
        <f t="shared" si="49"/>
        <v>7.2643149949999994</v>
      </c>
      <c r="N276" s="9"/>
      <c r="O276" s="21">
        <v>1.2394700000000001</v>
      </c>
      <c r="P276" s="21">
        <v>101.16</v>
      </c>
      <c r="Q276" s="21">
        <v>-1.47583E-2</v>
      </c>
      <c r="R276" s="21">
        <v>266</v>
      </c>
      <c r="S276" s="21">
        <v>1.23871</v>
      </c>
      <c r="T276">
        <f t="shared" si="50"/>
        <v>14.7583</v>
      </c>
      <c r="U276">
        <f t="shared" si="51"/>
        <v>18.292470101000003</v>
      </c>
      <c r="X276" s="9"/>
      <c r="Y276" s="21">
        <v>0.46050999999999997</v>
      </c>
      <c r="Z276" s="21">
        <v>130.61699999999999</v>
      </c>
      <c r="AA276" s="21">
        <v>-1.5658600000000002E-2</v>
      </c>
      <c r="AB276" s="21">
        <v>266</v>
      </c>
      <c r="AC276" s="21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1">
        <v>1.2394700000000001</v>
      </c>
      <c r="AH276" s="21">
        <v>180.09100000000001</v>
      </c>
      <c r="AI276" s="21">
        <v>-1.46149E-2</v>
      </c>
      <c r="AJ276" s="21">
        <v>266</v>
      </c>
      <c r="AK276" s="21">
        <v>1.23871</v>
      </c>
      <c r="AL276">
        <f t="shared" si="54"/>
        <v>14.6149</v>
      </c>
      <c r="AM276">
        <f t="shared" si="55"/>
        <v>18.114730103000003</v>
      </c>
      <c r="AP276" s="9"/>
      <c r="AQ276" s="21">
        <v>0.46050999999999997</v>
      </c>
      <c r="AR276" s="21">
        <v>229.53700000000001</v>
      </c>
      <c r="AS276" s="21">
        <v>-1.54968E-2</v>
      </c>
      <c r="AT276" s="21">
        <v>266</v>
      </c>
      <c r="AU276" s="21">
        <v>0.459839</v>
      </c>
      <c r="AV276">
        <f t="shared" si="56"/>
        <v>15.4968</v>
      </c>
      <c r="AW276">
        <f t="shared" si="57"/>
        <v>7.1364313679999993</v>
      </c>
      <c r="AX276" s="9"/>
      <c r="AY276" s="21">
        <v>1.2394700000000001</v>
      </c>
      <c r="AZ276" s="21">
        <v>263.87799999999999</v>
      </c>
      <c r="BA276" s="21">
        <v>-1.44165E-2</v>
      </c>
      <c r="BB276" s="21">
        <v>266</v>
      </c>
      <c r="BC276" s="21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1">
        <v>0.45547500000000002</v>
      </c>
      <c r="H277" s="21">
        <v>51.744100000000003</v>
      </c>
      <c r="I277" s="21">
        <v>-1.5777599999999999E-2</v>
      </c>
      <c r="J277" s="21">
        <v>267</v>
      </c>
      <c r="K277" s="21">
        <v>0.454926</v>
      </c>
      <c r="L277">
        <f t="shared" si="48"/>
        <v>15.7776</v>
      </c>
      <c r="M277">
        <f t="shared" si="49"/>
        <v>7.18630236</v>
      </c>
      <c r="N277" s="9"/>
      <c r="O277" s="21">
        <v>1.24451</v>
      </c>
      <c r="P277" s="21">
        <v>101.17100000000001</v>
      </c>
      <c r="Q277" s="21">
        <v>-1.474E-2</v>
      </c>
      <c r="R277" s="21">
        <v>267</v>
      </c>
      <c r="S277" s="21">
        <v>1.24329</v>
      </c>
      <c r="T277">
        <f t="shared" si="50"/>
        <v>14.74</v>
      </c>
      <c r="U277">
        <f t="shared" si="51"/>
        <v>18.3440774</v>
      </c>
      <c r="X277" s="9"/>
      <c r="Y277" s="21">
        <v>0.45547500000000002</v>
      </c>
      <c r="Z277" s="21">
        <v>130.62799999999999</v>
      </c>
      <c r="AA277" s="21">
        <v>-1.56677E-2</v>
      </c>
      <c r="AB277" s="21">
        <v>267</v>
      </c>
      <c r="AC277" s="21">
        <v>0.45489499999999999</v>
      </c>
      <c r="AD277">
        <f t="shared" si="52"/>
        <v>15.6677</v>
      </c>
      <c r="AE277">
        <f t="shared" si="53"/>
        <v>7.1362456575</v>
      </c>
      <c r="AF277" s="9"/>
      <c r="AG277" s="21">
        <v>1.24451</v>
      </c>
      <c r="AH277" s="21">
        <v>180.101</v>
      </c>
      <c r="AI277" s="21">
        <v>-1.4590499999999999E-2</v>
      </c>
      <c r="AJ277" s="21">
        <v>267</v>
      </c>
      <c r="AK277" s="21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1">
        <v>0.45547500000000002</v>
      </c>
      <c r="AR277" s="21">
        <v>229.547</v>
      </c>
      <c r="AS277" s="21">
        <v>-1.54999E-2</v>
      </c>
      <c r="AT277" s="21">
        <v>267</v>
      </c>
      <c r="AU277" s="21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1">
        <v>1.24451</v>
      </c>
      <c r="AZ277" s="21">
        <v>263.88799999999998</v>
      </c>
      <c r="BA277" s="21">
        <v>-1.4395099999999999E-2</v>
      </c>
      <c r="BB277" s="21">
        <v>267</v>
      </c>
      <c r="BC277" s="21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1">
        <v>0.45043899999999998</v>
      </c>
      <c r="H278" s="21">
        <v>51.754199999999997</v>
      </c>
      <c r="I278" s="21">
        <v>-1.5777599999999999E-2</v>
      </c>
      <c r="J278" s="21">
        <v>268</v>
      </c>
      <c r="K278" s="21">
        <v>0.44973800000000003</v>
      </c>
      <c r="L278">
        <f t="shared" si="48"/>
        <v>15.7776</v>
      </c>
      <c r="M278">
        <f t="shared" si="49"/>
        <v>7.1068463663999992</v>
      </c>
      <c r="N278" s="9"/>
      <c r="O278" s="21">
        <v>1.2495400000000001</v>
      </c>
      <c r="P278" s="21">
        <v>101.181</v>
      </c>
      <c r="Q278" s="21">
        <v>-1.4715600000000001E-2</v>
      </c>
      <c r="R278" s="21">
        <v>268</v>
      </c>
      <c r="S278" s="21">
        <v>1.24878</v>
      </c>
      <c r="T278">
        <f t="shared" si="50"/>
        <v>14.7156</v>
      </c>
      <c r="U278">
        <f t="shared" si="51"/>
        <v>18.387730824000002</v>
      </c>
      <c r="X278" s="9"/>
      <c r="Y278" s="21">
        <v>0.45043899999999998</v>
      </c>
      <c r="Z278" s="21">
        <v>130.63800000000001</v>
      </c>
      <c r="AA278" s="21">
        <v>-1.5676900000000001E-2</v>
      </c>
      <c r="AB278" s="21">
        <v>268</v>
      </c>
      <c r="AC278" s="21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1">
        <v>1.2495400000000001</v>
      </c>
      <c r="AH278" s="21">
        <v>180.11099999999999</v>
      </c>
      <c r="AI278" s="21">
        <v>-1.45813E-2</v>
      </c>
      <c r="AJ278" s="21">
        <v>268</v>
      </c>
      <c r="AK278" s="21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1">
        <v>0.45043899999999998</v>
      </c>
      <c r="AR278" s="21">
        <v>229.55699999999999</v>
      </c>
      <c r="AS278" s="21">
        <v>-1.55029E-2</v>
      </c>
      <c r="AT278" s="21">
        <v>268</v>
      </c>
      <c r="AU278" s="21">
        <v>0.449768</v>
      </c>
      <c r="AV278">
        <f t="shared" si="56"/>
        <v>15.5029</v>
      </c>
      <c r="AW278">
        <f t="shared" si="57"/>
        <v>6.9831107730999999</v>
      </c>
      <c r="AX278" s="9"/>
      <c r="AY278" s="21">
        <v>1.2495400000000001</v>
      </c>
      <c r="AZ278" s="21">
        <v>263.89800000000002</v>
      </c>
      <c r="BA278" s="21">
        <v>-1.4367700000000001E-2</v>
      </c>
      <c r="BB278" s="21">
        <v>268</v>
      </c>
      <c r="BC278" s="21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1">
        <v>0.44540400000000002</v>
      </c>
      <c r="H279" s="21">
        <v>51.764200000000002</v>
      </c>
      <c r="I279" s="21">
        <v>-1.5786700000000001E-2</v>
      </c>
      <c r="J279" s="21">
        <v>269</v>
      </c>
      <c r="K279" s="21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1">
        <v>1.25458</v>
      </c>
      <c r="P279" s="21">
        <v>101.191</v>
      </c>
      <c r="Q279" s="21">
        <v>-1.4694199999999999E-2</v>
      </c>
      <c r="R279" s="21">
        <v>269</v>
      </c>
      <c r="S279" s="21">
        <v>1.25397</v>
      </c>
      <c r="T279">
        <f t="shared" si="50"/>
        <v>14.694199999999999</v>
      </c>
      <c r="U279">
        <f t="shared" si="51"/>
        <v>18.435049436</v>
      </c>
      <c r="X279" s="9"/>
      <c r="Y279" s="21">
        <v>0.44540400000000002</v>
      </c>
      <c r="Z279" s="21">
        <v>130.648</v>
      </c>
      <c r="AA279" s="21">
        <v>-1.56799E-2</v>
      </c>
      <c r="AB279" s="21">
        <v>269</v>
      </c>
      <c r="AC279" s="21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1">
        <v>1.25458</v>
      </c>
      <c r="AH279" s="21">
        <v>180.12100000000001</v>
      </c>
      <c r="AI279" s="21">
        <v>-1.45752E-2</v>
      </c>
      <c r="AJ279" s="21">
        <v>269</v>
      </c>
      <c r="AK279" s="21">
        <v>1.25397</v>
      </c>
      <c r="AL279">
        <f t="shared" si="54"/>
        <v>14.575200000000001</v>
      </c>
      <c r="AM279">
        <f t="shared" si="55"/>
        <v>18.285754416</v>
      </c>
      <c r="AP279" s="9"/>
      <c r="AQ279" s="21">
        <v>0.44540400000000002</v>
      </c>
      <c r="AR279" s="21">
        <v>229.56800000000001</v>
      </c>
      <c r="AS279" s="21">
        <v>-1.5506000000000001E-2</v>
      </c>
      <c r="AT279" s="21">
        <v>269</v>
      </c>
      <c r="AU279" s="21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1">
        <v>1.25458</v>
      </c>
      <c r="AZ279" s="21">
        <v>263.90800000000002</v>
      </c>
      <c r="BA279" s="21">
        <v>-1.4346299999999999E-2</v>
      </c>
      <c r="BB279" s="21">
        <v>269</v>
      </c>
      <c r="BC279" s="21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1">
        <v>0.44036900000000001</v>
      </c>
      <c r="H280" s="21">
        <v>51.774299999999997</v>
      </c>
      <c r="I280" s="21">
        <v>-1.5792799999999999E-2</v>
      </c>
      <c r="J280" s="21">
        <v>270</v>
      </c>
      <c r="K280" s="21">
        <v>0.43975799999999998</v>
      </c>
      <c r="L280">
        <f t="shared" si="48"/>
        <v>15.7928</v>
      </c>
      <c r="M280">
        <f t="shared" si="49"/>
        <v>6.9546595432</v>
      </c>
      <c r="N280" s="9"/>
      <c r="O280" s="21">
        <v>1.2596099999999999</v>
      </c>
      <c r="P280" s="21">
        <v>101.20099999999999</v>
      </c>
      <c r="Q280" s="21">
        <v>-1.4678999999999999E-2</v>
      </c>
      <c r="R280" s="21">
        <v>270</v>
      </c>
      <c r="S280" s="21">
        <v>1.25885</v>
      </c>
      <c r="T280">
        <f t="shared" si="50"/>
        <v>14.678999999999998</v>
      </c>
      <c r="U280">
        <f t="shared" si="51"/>
        <v>18.489815189999998</v>
      </c>
      <c r="X280" s="9"/>
      <c r="Y280" s="21">
        <v>0.44036900000000001</v>
      </c>
      <c r="Z280" s="21">
        <v>130.65799999999999</v>
      </c>
      <c r="AA280" s="21">
        <v>-1.56921E-2</v>
      </c>
      <c r="AB280" s="21">
        <v>270</v>
      </c>
      <c r="AC280" s="21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1">
        <v>1.2596099999999999</v>
      </c>
      <c r="AH280" s="21">
        <v>180.131</v>
      </c>
      <c r="AI280" s="21">
        <v>-1.4563E-2</v>
      </c>
      <c r="AJ280" s="21">
        <v>270</v>
      </c>
      <c r="AK280" s="21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1">
        <v>0.44036900000000001</v>
      </c>
      <c r="AR280" s="21">
        <v>229.578</v>
      </c>
      <c r="AS280" s="21">
        <v>-1.5512099999999999E-2</v>
      </c>
      <c r="AT280" s="21">
        <v>270</v>
      </c>
      <c r="AU280" s="21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1">
        <v>1.2596099999999999</v>
      </c>
      <c r="AZ280" s="21">
        <v>263.91800000000001</v>
      </c>
      <c r="BA280" s="21">
        <v>-1.43219E-2</v>
      </c>
      <c r="BB280" s="21">
        <v>270</v>
      </c>
      <c r="BC280" s="21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1">
        <v>0.43533300000000003</v>
      </c>
      <c r="H281" s="21">
        <v>51.784399999999998</v>
      </c>
      <c r="I281" s="21">
        <v>-1.5792799999999999E-2</v>
      </c>
      <c r="J281" s="21">
        <v>271</v>
      </c>
      <c r="K281" s="21">
        <v>0.434784</v>
      </c>
      <c r="L281">
        <f t="shared" si="48"/>
        <v>15.7928</v>
      </c>
      <c r="M281">
        <f t="shared" si="49"/>
        <v>6.8751270024000002</v>
      </c>
      <c r="N281" s="9"/>
      <c r="O281" s="21">
        <v>1.2646500000000001</v>
      </c>
      <c r="P281" s="21">
        <v>101.211</v>
      </c>
      <c r="Q281" s="21">
        <v>-1.46667E-2</v>
      </c>
      <c r="R281" s="21">
        <v>271</v>
      </c>
      <c r="S281" s="21">
        <v>1.26373</v>
      </c>
      <c r="T281">
        <f t="shared" si="50"/>
        <v>14.666699999999999</v>
      </c>
      <c r="U281">
        <f t="shared" si="51"/>
        <v>18.548242155000001</v>
      </c>
      <c r="X281" s="9"/>
      <c r="Y281" s="21">
        <v>0.43533300000000003</v>
      </c>
      <c r="Z281" s="21">
        <v>130.66800000000001</v>
      </c>
      <c r="AA281" s="21">
        <v>-1.5695199999999999E-2</v>
      </c>
      <c r="AB281" s="21">
        <v>271</v>
      </c>
      <c r="AC281" s="21">
        <v>0.43466199999999999</v>
      </c>
      <c r="AD281">
        <f t="shared" si="52"/>
        <v>15.6952</v>
      </c>
      <c r="AE281">
        <f t="shared" si="53"/>
        <v>6.8326385016</v>
      </c>
      <c r="AF281" s="9"/>
      <c r="AG281" s="21">
        <v>1.2646500000000001</v>
      </c>
      <c r="AH281" s="21">
        <v>180.14099999999999</v>
      </c>
      <c r="AI281" s="21">
        <v>-1.45355E-2</v>
      </c>
      <c r="AJ281" s="21">
        <v>271</v>
      </c>
      <c r="AK281" s="21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1">
        <v>0.43533300000000003</v>
      </c>
      <c r="AR281" s="21">
        <v>229.58799999999999</v>
      </c>
      <c r="AS281" s="21">
        <v>-1.5512099999999999E-2</v>
      </c>
      <c r="AT281" s="21">
        <v>271</v>
      </c>
      <c r="AU281" s="21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1">
        <v>1.2646500000000001</v>
      </c>
      <c r="AZ281" s="21">
        <v>263.928</v>
      </c>
      <c r="BA281" s="21">
        <v>-1.43097E-2</v>
      </c>
      <c r="BB281" s="21">
        <v>271</v>
      </c>
      <c r="BC281" s="21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1">
        <v>0.43029800000000001</v>
      </c>
      <c r="H282" s="21">
        <v>51.794400000000003</v>
      </c>
      <c r="I282" s="21">
        <v>-1.5792799999999999E-2</v>
      </c>
      <c r="J282" s="21">
        <v>272</v>
      </c>
      <c r="K282" s="21">
        <v>0.42971799999999999</v>
      </c>
      <c r="L282">
        <f t="shared" si="48"/>
        <v>15.7928</v>
      </c>
      <c r="M282">
        <f t="shared" si="49"/>
        <v>6.7956102543999997</v>
      </c>
      <c r="N282" s="9"/>
      <c r="O282" s="21">
        <v>1.2696799999999999</v>
      </c>
      <c r="P282" s="21">
        <v>101.221</v>
      </c>
      <c r="Q282" s="21">
        <v>-1.46576E-2</v>
      </c>
      <c r="R282" s="21">
        <v>272</v>
      </c>
      <c r="S282" s="21">
        <v>1.2686200000000001</v>
      </c>
      <c r="T282">
        <f t="shared" si="50"/>
        <v>14.6576</v>
      </c>
      <c r="U282">
        <f t="shared" si="51"/>
        <v>18.610461567999998</v>
      </c>
      <c r="X282" s="9"/>
      <c r="Y282" s="21">
        <v>0.43029800000000001</v>
      </c>
      <c r="Z282" s="21">
        <v>130.678</v>
      </c>
      <c r="AA282" s="21">
        <v>-1.5701300000000001E-2</v>
      </c>
      <c r="AB282" s="21">
        <v>272</v>
      </c>
      <c r="AC282" s="21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1">
        <v>1.2696799999999999</v>
      </c>
      <c r="AH282" s="21">
        <v>180.15100000000001</v>
      </c>
      <c r="AI282" s="21">
        <v>-1.45264E-2</v>
      </c>
      <c r="AJ282" s="21">
        <v>272</v>
      </c>
      <c r="AK282" s="21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1">
        <v>0.43029800000000001</v>
      </c>
      <c r="AR282" s="21">
        <v>229.59800000000001</v>
      </c>
      <c r="AS282" s="21">
        <v>-1.5521200000000001E-2</v>
      </c>
      <c r="AT282" s="21">
        <v>272</v>
      </c>
      <c r="AU282" s="21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1">
        <v>1.2696799999999999</v>
      </c>
      <c r="AZ282" s="21">
        <v>263.93799999999999</v>
      </c>
      <c r="BA282" s="21">
        <v>-1.4285300000000001E-2</v>
      </c>
      <c r="BB282" s="21">
        <v>272</v>
      </c>
      <c r="BC282" s="21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1">
        <v>0.42526199999999997</v>
      </c>
      <c r="H283" s="21">
        <v>51.804499999999997</v>
      </c>
      <c r="I283" s="21">
        <v>-1.5786700000000001E-2</v>
      </c>
      <c r="J283" s="21">
        <v>273</v>
      </c>
      <c r="K283" s="21">
        <v>0.424622</v>
      </c>
      <c r="L283">
        <f t="shared" si="48"/>
        <v>15.786700000000002</v>
      </c>
      <c r="M283">
        <f t="shared" si="49"/>
        <v>6.7134836154000004</v>
      </c>
      <c r="N283" s="9"/>
      <c r="O283" s="21">
        <v>1.2747200000000001</v>
      </c>
      <c r="P283" s="21">
        <v>101.23099999999999</v>
      </c>
      <c r="Q283" s="21">
        <v>-1.4639299999999999E-2</v>
      </c>
      <c r="R283" s="21">
        <v>273</v>
      </c>
      <c r="S283" s="21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1">
        <v>0.42526199999999997</v>
      </c>
      <c r="Z283" s="21">
        <v>130.68799999999999</v>
      </c>
      <c r="AA283" s="21">
        <v>-1.5698199999999999E-2</v>
      </c>
      <c r="AB283" s="21">
        <v>273</v>
      </c>
      <c r="AC283" s="21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1">
        <v>1.2747200000000001</v>
      </c>
      <c r="AH283" s="21">
        <v>180.161</v>
      </c>
      <c r="AI283" s="21">
        <v>-1.4508099999999999E-2</v>
      </c>
      <c r="AJ283" s="21">
        <v>273</v>
      </c>
      <c r="AK283" s="21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1">
        <v>0.42526199999999997</v>
      </c>
      <c r="AR283" s="21">
        <v>229.608</v>
      </c>
      <c r="AS283" s="21">
        <v>-1.5521200000000001E-2</v>
      </c>
      <c r="AT283" s="21">
        <v>273</v>
      </c>
      <c r="AU283" s="21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1">
        <v>1.2747200000000001</v>
      </c>
      <c r="AZ283" s="21">
        <v>263.94799999999998</v>
      </c>
      <c r="BA283" s="21">
        <v>-1.42609E-2</v>
      </c>
      <c r="BB283" s="21">
        <v>273</v>
      </c>
      <c r="BC283" s="21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1">
        <v>0.42022700000000002</v>
      </c>
      <c r="H284" s="21">
        <v>51.814599999999999</v>
      </c>
      <c r="I284" s="21">
        <v>-1.5780599999999999E-2</v>
      </c>
      <c r="J284" s="21">
        <v>274</v>
      </c>
      <c r="K284" s="21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1">
        <v>1.2797499999999999</v>
      </c>
      <c r="P284" s="21">
        <v>101.241</v>
      </c>
      <c r="Q284" s="21">
        <v>-1.46179E-2</v>
      </c>
      <c r="R284" s="21">
        <v>274</v>
      </c>
      <c r="S284" s="21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1">
        <v>0.42022700000000002</v>
      </c>
      <c r="Z284" s="21">
        <v>130.69800000000001</v>
      </c>
      <c r="AA284" s="21">
        <v>-1.5698199999999999E-2</v>
      </c>
      <c r="AB284" s="21">
        <v>274</v>
      </c>
      <c r="AC284" s="21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1">
        <v>1.2797499999999999</v>
      </c>
      <c r="AH284" s="21">
        <v>180.17099999999999</v>
      </c>
      <c r="AI284" s="21">
        <v>-1.44867E-2</v>
      </c>
      <c r="AJ284" s="21">
        <v>274</v>
      </c>
      <c r="AK284" s="21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1">
        <v>0.42022700000000002</v>
      </c>
      <c r="AR284" s="21">
        <v>229.61799999999999</v>
      </c>
      <c r="AS284" s="21">
        <v>-1.5551799999999999E-2</v>
      </c>
      <c r="AT284" s="21">
        <v>274</v>
      </c>
      <c r="AU284" s="21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1">
        <v>1.2797499999999999</v>
      </c>
      <c r="AZ284" s="21">
        <v>263.95800000000003</v>
      </c>
      <c r="BA284" s="21">
        <v>-1.42303E-2</v>
      </c>
      <c r="BB284" s="21">
        <v>274</v>
      </c>
      <c r="BC284" s="21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1">
        <v>0.41519200000000001</v>
      </c>
      <c r="H285" s="21">
        <v>51.8247</v>
      </c>
      <c r="I285" s="21">
        <v>-1.57745E-2</v>
      </c>
      <c r="J285" s="21">
        <v>275</v>
      </c>
      <c r="K285" s="21">
        <v>0.41461199999999998</v>
      </c>
      <c r="L285">
        <f t="shared" si="48"/>
        <v>15.7745</v>
      </c>
      <c r="M285">
        <f t="shared" si="49"/>
        <v>6.5494462039999997</v>
      </c>
      <c r="N285" s="9"/>
      <c r="O285" s="21">
        <v>1.2847900000000001</v>
      </c>
      <c r="P285" s="21">
        <v>101.251</v>
      </c>
      <c r="Q285" s="21">
        <v>-1.4593500000000001E-2</v>
      </c>
      <c r="R285" s="21">
        <v>275</v>
      </c>
      <c r="S285" s="21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1">
        <v>0.41519200000000001</v>
      </c>
      <c r="Z285" s="21">
        <v>130.708</v>
      </c>
      <c r="AA285" s="21">
        <v>-1.5701300000000001E-2</v>
      </c>
      <c r="AB285" s="21">
        <v>275</v>
      </c>
      <c r="AC285" s="21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1">
        <v>1.2847900000000001</v>
      </c>
      <c r="AH285" s="21">
        <v>180.18199999999999</v>
      </c>
      <c r="AI285" s="21">
        <v>-1.44653E-2</v>
      </c>
      <c r="AJ285" s="21">
        <v>275</v>
      </c>
      <c r="AK285" s="21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1">
        <v>0.41519200000000001</v>
      </c>
      <c r="AR285" s="21">
        <v>229.62799999999999</v>
      </c>
      <c r="AS285" s="21">
        <v>-1.5551799999999999E-2</v>
      </c>
      <c r="AT285" s="21">
        <v>275</v>
      </c>
      <c r="AU285" s="21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1">
        <v>1.2847900000000001</v>
      </c>
      <c r="AZ285" s="21">
        <v>263.96800000000002</v>
      </c>
      <c r="BA285" s="21">
        <v>-1.42059E-2</v>
      </c>
      <c r="BB285" s="21">
        <v>275</v>
      </c>
      <c r="BC285" s="21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1">
        <v>0.41015600000000002</v>
      </c>
      <c r="H286" s="21">
        <v>51.834699999999998</v>
      </c>
      <c r="I286" s="21">
        <v>-1.57745E-2</v>
      </c>
      <c r="J286" s="21">
        <v>276</v>
      </c>
      <c r="K286" s="21">
        <v>0.40942400000000001</v>
      </c>
      <c r="L286">
        <f t="shared" si="48"/>
        <v>15.7745</v>
      </c>
      <c r="M286">
        <f t="shared" si="49"/>
        <v>6.4700058220000001</v>
      </c>
      <c r="N286" s="9"/>
      <c r="O286" s="21">
        <v>1.28983</v>
      </c>
      <c r="P286" s="21">
        <v>101.261</v>
      </c>
      <c r="Q286" s="21">
        <v>-1.45691E-2</v>
      </c>
      <c r="R286" s="21">
        <v>276</v>
      </c>
      <c r="S286" s="21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1">
        <v>0.41015600000000002</v>
      </c>
      <c r="Z286" s="21">
        <v>130.71799999999999</v>
      </c>
      <c r="AA286" s="21">
        <v>-1.5704300000000001E-2</v>
      </c>
      <c r="AB286" s="21">
        <v>276</v>
      </c>
      <c r="AC286" s="21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1">
        <v>1.28983</v>
      </c>
      <c r="AH286" s="21">
        <v>180.19200000000001</v>
      </c>
      <c r="AI286" s="21">
        <v>-1.44318E-2</v>
      </c>
      <c r="AJ286" s="21">
        <v>276</v>
      </c>
      <c r="AK286" s="21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1">
        <v>0.41015600000000002</v>
      </c>
      <c r="AR286" s="21">
        <v>229.63800000000001</v>
      </c>
      <c r="AS286" s="21">
        <v>-1.5551799999999999E-2</v>
      </c>
      <c r="AT286" s="21">
        <v>276</v>
      </c>
      <c r="AU286" s="21">
        <v>0.409607</v>
      </c>
      <c r="AV286">
        <f t="shared" si="56"/>
        <v>15.5518</v>
      </c>
      <c r="AW286">
        <f t="shared" si="57"/>
        <v>6.3786640808000001</v>
      </c>
      <c r="AX286" s="9"/>
      <c r="AY286" s="21">
        <v>1.28983</v>
      </c>
      <c r="AZ286" s="21">
        <v>263.97800000000001</v>
      </c>
      <c r="BA286" s="21">
        <v>-1.41785E-2</v>
      </c>
      <c r="BB286" s="21">
        <v>276</v>
      </c>
      <c r="BC286" s="21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1">
        <v>0.40512100000000001</v>
      </c>
      <c r="H287" s="21">
        <v>51.844799999999999</v>
      </c>
      <c r="I287" s="21">
        <v>-1.57745E-2</v>
      </c>
      <c r="J287" s="21">
        <v>277</v>
      </c>
      <c r="K287" s="21">
        <v>0.40460200000000002</v>
      </c>
      <c r="L287">
        <f t="shared" si="48"/>
        <v>15.7745</v>
      </c>
      <c r="M287">
        <f t="shared" si="49"/>
        <v>6.3905812145000001</v>
      </c>
      <c r="N287" s="9"/>
      <c r="O287" s="21">
        <v>1.2948599999999999</v>
      </c>
      <c r="P287" s="21">
        <v>101.271</v>
      </c>
      <c r="Q287" s="21">
        <v>-1.45325E-2</v>
      </c>
      <c r="R287" s="21">
        <v>277</v>
      </c>
      <c r="S287" s="21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1">
        <v>0.40512100000000001</v>
      </c>
      <c r="Z287" s="21">
        <v>130.72800000000001</v>
      </c>
      <c r="AA287" s="21">
        <v>-1.57074E-2</v>
      </c>
      <c r="AB287" s="21">
        <v>277</v>
      </c>
      <c r="AC287" s="21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1">
        <v>1.2948599999999999</v>
      </c>
      <c r="AH287" s="21">
        <v>180.202</v>
      </c>
      <c r="AI287" s="21">
        <v>-1.4413499999999999E-2</v>
      </c>
      <c r="AJ287" s="21">
        <v>277</v>
      </c>
      <c r="AK287" s="21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1">
        <v>0.40512100000000001</v>
      </c>
      <c r="AR287" s="21">
        <v>229.648</v>
      </c>
      <c r="AS287" s="21">
        <v>-1.5560900000000001E-2</v>
      </c>
      <c r="AT287" s="21">
        <v>277</v>
      </c>
      <c r="AU287" s="21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1">
        <v>1.2948599999999999</v>
      </c>
      <c r="AZ287" s="21">
        <v>263.988</v>
      </c>
      <c r="BA287" s="21">
        <v>-1.41663E-2</v>
      </c>
      <c r="BB287" s="21">
        <v>277</v>
      </c>
      <c r="BC287" s="21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1">
        <v>0.40008500000000002</v>
      </c>
      <c r="H288" s="21">
        <v>51.854900000000001</v>
      </c>
      <c r="I288" s="21">
        <v>-1.5780599999999999E-2</v>
      </c>
      <c r="J288" s="21">
        <v>278</v>
      </c>
      <c r="K288" s="21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1">
        <v>1.2999000000000001</v>
      </c>
      <c r="P288" s="21">
        <v>101.28100000000001</v>
      </c>
      <c r="Q288" s="21">
        <v>-1.44989E-2</v>
      </c>
      <c r="R288" s="21">
        <v>278</v>
      </c>
      <c r="S288" s="21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1">
        <v>0.40008500000000002</v>
      </c>
      <c r="Z288" s="21">
        <v>130.738</v>
      </c>
      <c r="AA288" s="21">
        <v>-1.5713499999999998E-2</v>
      </c>
      <c r="AB288" s="21">
        <v>278</v>
      </c>
      <c r="AC288" s="21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1">
        <v>1.2999000000000001</v>
      </c>
      <c r="AH288" s="21">
        <v>180.21199999999999</v>
      </c>
      <c r="AI288" s="21">
        <v>-1.4385999999999999E-2</v>
      </c>
      <c r="AJ288" s="21">
        <v>278</v>
      </c>
      <c r="AK288" s="21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1">
        <v>0.40008500000000002</v>
      </c>
      <c r="AR288" s="21">
        <v>229.65799999999999</v>
      </c>
      <c r="AS288" s="21">
        <v>-1.5560900000000001E-2</v>
      </c>
      <c r="AT288" s="21">
        <v>278</v>
      </c>
      <c r="AU288" s="21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1">
        <v>1.2999000000000001</v>
      </c>
      <c r="AZ288" s="21">
        <v>263.99799999999999</v>
      </c>
      <c r="BA288" s="21">
        <v>-1.4151E-2</v>
      </c>
      <c r="BB288" s="21">
        <v>278</v>
      </c>
      <c r="BC288" s="21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1">
        <v>0.39505000000000001</v>
      </c>
      <c r="H289" s="21">
        <v>51.864899999999999</v>
      </c>
      <c r="I289" s="21">
        <v>-1.5783700000000001E-2</v>
      </c>
      <c r="J289" s="21">
        <v>279</v>
      </c>
      <c r="K289" s="21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1">
        <v>1.3049299999999999</v>
      </c>
      <c r="P289" s="21">
        <v>101.291</v>
      </c>
      <c r="Q289" s="21">
        <v>-1.44745E-2</v>
      </c>
      <c r="R289" s="21">
        <v>279</v>
      </c>
      <c r="S289" s="21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1">
        <v>0.39505000000000001</v>
      </c>
      <c r="Z289" s="21">
        <v>130.74799999999999</v>
      </c>
      <c r="AA289" s="21">
        <v>-1.57196E-2</v>
      </c>
      <c r="AB289" s="21">
        <v>279</v>
      </c>
      <c r="AC289" s="21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1">
        <v>1.3049299999999999</v>
      </c>
      <c r="AH289" s="21">
        <v>180.22200000000001</v>
      </c>
      <c r="AI289" s="21">
        <v>-1.43616E-2</v>
      </c>
      <c r="AJ289" s="21">
        <v>279</v>
      </c>
      <c r="AK289" s="21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1">
        <v>0.39505000000000001</v>
      </c>
      <c r="AR289" s="21">
        <v>229.66800000000001</v>
      </c>
      <c r="AS289" s="21">
        <v>-1.55701E-2</v>
      </c>
      <c r="AT289" s="21">
        <v>279</v>
      </c>
      <c r="AU289" s="21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1">
        <v>1.3049299999999999</v>
      </c>
      <c r="AZ289" s="21">
        <v>264.00799999999998</v>
      </c>
      <c r="BA289" s="21">
        <v>-1.41266E-2</v>
      </c>
      <c r="BB289" s="21">
        <v>279</v>
      </c>
      <c r="BC289" s="21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1">
        <v>0.390015</v>
      </c>
      <c r="H290" s="21">
        <v>51.875</v>
      </c>
      <c r="I290" s="21">
        <v>-1.5783700000000001E-2</v>
      </c>
      <c r="J290" s="21">
        <v>280</v>
      </c>
      <c r="K290" s="21">
        <v>0.389374</v>
      </c>
      <c r="L290">
        <f t="shared" si="48"/>
        <v>15.783700000000001</v>
      </c>
      <c r="M290">
        <f t="shared" si="49"/>
        <v>6.1558797555000009</v>
      </c>
      <c r="N290" s="9"/>
      <c r="O290" s="21">
        <v>1.3099700000000001</v>
      </c>
      <c r="P290" s="21">
        <v>101.301</v>
      </c>
      <c r="Q290" s="21">
        <v>-1.4444E-2</v>
      </c>
      <c r="R290" s="21">
        <v>280</v>
      </c>
      <c r="S290" s="21">
        <v>1.30951</v>
      </c>
      <c r="T290">
        <f t="shared" si="50"/>
        <v>14.444000000000001</v>
      </c>
      <c r="U290">
        <f t="shared" si="51"/>
        <v>18.921206680000001</v>
      </c>
      <c r="X290" s="9"/>
      <c r="Y290" s="21">
        <v>0.390015</v>
      </c>
      <c r="Z290" s="21">
        <v>130.75800000000001</v>
      </c>
      <c r="AA290" s="21">
        <v>-1.57196E-2</v>
      </c>
      <c r="AB290" s="21">
        <v>280</v>
      </c>
      <c r="AC290" s="21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1">
        <v>1.3099700000000001</v>
      </c>
      <c r="AH290" s="21">
        <v>180.232</v>
      </c>
      <c r="AI290" s="21">
        <v>-1.4334100000000001E-2</v>
      </c>
      <c r="AJ290" s="21">
        <v>280</v>
      </c>
      <c r="AK290" s="21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1">
        <v>0.390015</v>
      </c>
      <c r="AR290" s="21">
        <v>229.678</v>
      </c>
      <c r="AS290" s="21">
        <v>-1.55762E-2</v>
      </c>
      <c r="AT290" s="21">
        <v>280</v>
      </c>
      <c r="AU290" s="21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1">
        <v>1.3099700000000001</v>
      </c>
      <c r="AZ290" s="21">
        <v>264.01799999999997</v>
      </c>
      <c r="BA290" s="21">
        <v>-1.40991E-2</v>
      </c>
      <c r="BB290" s="21">
        <v>280</v>
      </c>
      <c r="BC290" s="21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1">
        <v>0.38497900000000002</v>
      </c>
      <c r="H291" s="21">
        <v>51.885100000000001</v>
      </c>
      <c r="I291" s="21">
        <v>-1.5780599999999999E-2</v>
      </c>
      <c r="J291" s="21">
        <v>281</v>
      </c>
      <c r="K291" s="21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1">
        <v>1.3149999999999999</v>
      </c>
      <c r="P291" s="21">
        <v>101.312</v>
      </c>
      <c r="Q291" s="21">
        <v>-1.44043E-2</v>
      </c>
      <c r="R291" s="21">
        <v>281</v>
      </c>
      <c r="S291" s="21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1">
        <v>0.38497900000000002</v>
      </c>
      <c r="Z291" s="21">
        <v>130.76900000000001</v>
      </c>
      <c r="AA291" s="21">
        <v>-1.5716600000000001E-2</v>
      </c>
      <c r="AB291" s="21">
        <v>281</v>
      </c>
      <c r="AC291" s="21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1">
        <v>1.3149999999999999</v>
      </c>
      <c r="AH291" s="21">
        <v>180.24199999999999</v>
      </c>
      <c r="AI291" s="21">
        <v>-1.43036E-2</v>
      </c>
      <c r="AJ291" s="21">
        <v>281</v>
      </c>
      <c r="AK291" s="21">
        <v>1.31409</v>
      </c>
      <c r="AL291">
        <f t="shared" si="54"/>
        <v>14.303599999999999</v>
      </c>
      <c r="AM291">
        <f t="shared" si="55"/>
        <v>18.809234</v>
      </c>
      <c r="AP291" s="9"/>
      <c r="AQ291" s="21">
        <v>0.38497900000000002</v>
      </c>
      <c r="AR291" s="21">
        <v>229.68799999999999</v>
      </c>
      <c r="AS291" s="21">
        <v>-1.55823E-2</v>
      </c>
      <c r="AT291" s="21">
        <v>281</v>
      </c>
      <c r="AU291" s="21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1">
        <v>1.3149999999999999</v>
      </c>
      <c r="AZ291" s="21">
        <v>264.029</v>
      </c>
      <c r="BA291" s="21">
        <v>-1.40778E-2</v>
      </c>
      <c r="BB291" s="21">
        <v>281</v>
      </c>
      <c r="BC291" s="21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1">
        <v>0.379944</v>
      </c>
      <c r="H292" s="21">
        <v>51.895200000000003</v>
      </c>
      <c r="I292" s="21">
        <v>-1.5783700000000001E-2</v>
      </c>
      <c r="J292" s="21">
        <v>282</v>
      </c>
      <c r="K292" s="21">
        <v>0.379303</v>
      </c>
      <c r="L292">
        <f t="shared" si="48"/>
        <v>15.783700000000001</v>
      </c>
      <c r="M292">
        <f t="shared" si="49"/>
        <v>5.996922112800001</v>
      </c>
      <c r="N292" s="9"/>
      <c r="O292" s="21">
        <v>1.3200400000000001</v>
      </c>
      <c r="P292" s="21">
        <v>101.322</v>
      </c>
      <c r="Q292" s="21">
        <v>-1.43585E-2</v>
      </c>
      <c r="R292" s="21">
        <v>282</v>
      </c>
      <c r="S292" s="21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1">
        <v>0.379944</v>
      </c>
      <c r="Z292" s="21">
        <v>130.779</v>
      </c>
      <c r="AA292" s="21">
        <v>-1.57196E-2</v>
      </c>
      <c r="AB292" s="21">
        <v>282</v>
      </c>
      <c r="AC292" s="21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1">
        <v>1.3200400000000001</v>
      </c>
      <c r="AH292" s="21">
        <v>180.25200000000001</v>
      </c>
      <c r="AI292" s="21">
        <v>-1.42609E-2</v>
      </c>
      <c r="AJ292" s="21">
        <v>282</v>
      </c>
      <c r="AK292" s="21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1">
        <v>0.379944</v>
      </c>
      <c r="AR292" s="21">
        <v>229.69800000000001</v>
      </c>
      <c r="AS292" s="21">
        <v>-1.5594500000000001E-2</v>
      </c>
      <c r="AT292" s="21">
        <v>282</v>
      </c>
      <c r="AU292" s="21">
        <v>0.379303</v>
      </c>
      <c r="AV292">
        <f t="shared" si="56"/>
        <v>15.5945</v>
      </c>
      <c r="AW292">
        <f t="shared" si="57"/>
        <v>5.9250367080000004</v>
      </c>
      <c r="AX292" s="9"/>
      <c r="AY292" s="21">
        <v>1.3200400000000001</v>
      </c>
      <c r="AZ292" s="21">
        <v>264.03899999999999</v>
      </c>
      <c r="BA292" s="21">
        <v>-1.4047199999999999E-2</v>
      </c>
      <c r="BB292" s="21">
        <v>282</v>
      </c>
      <c r="BC292" s="21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1">
        <v>0.37490800000000002</v>
      </c>
      <c r="H293" s="21">
        <v>51.905200000000001</v>
      </c>
      <c r="I293" s="21">
        <v>-1.57898E-2</v>
      </c>
      <c r="J293" s="21">
        <v>283</v>
      </c>
      <c r="K293" s="21">
        <v>0.37414599999999998</v>
      </c>
      <c r="L293">
        <f t="shared" si="48"/>
        <v>15.7898</v>
      </c>
      <c r="M293">
        <f t="shared" si="49"/>
        <v>5.9197223383999997</v>
      </c>
      <c r="N293" s="9"/>
      <c r="O293" s="21">
        <v>1.32507</v>
      </c>
      <c r="P293" s="21">
        <v>101.33199999999999</v>
      </c>
      <c r="Q293" s="21">
        <v>-1.4331099999999999E-2</v>
      </c>
      <c r="R293" s="21">
        <v>283</v>
      </c>
      <c r="S293" s="21">
        <v>1.32446</v>
      </c>
      <c r="T293">
        <f t="shared" si="50"/>
        <v>14.331099999999999</v>
      </c>
      <c r="U293">
        <f t="shared" si="51"/>
        <v>18.989710676999998</v>
      </c>
      <c r="X293" s="9"/>
      <c r="Y293" s="21">
        <v>0.37490800000000002</v>
      </c>
      <c r="Z293" s="21">
        <v>130.78899999999999</v>
      </c>
      <c r="AA293" s="21">
        <v>-1.5725699999999999E-2</v>
      </c>
      <c r="AB293" s="21">
        <v>283</v>
      </c>
      <c r="AC293" s="21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1">
        <v>1.32507</v>
      </c>
      <c r="AH293" s="21">
        <v>180.262</v>
      </c>
      <c r="AI293" s="21">
        <v>-1.42273E-2</v>
      </c>
      <c r="AJ293" s="21">
        <v>283</v>
      </c>
      <c r="AK293" s="21">
        <v>1.32477</v>
      </c>
      <c r="AL293">
        <f t="shared" si="54"/>
        <v>14.2273</v>
      </c>
      <c r="AM293">
        <f t="shared" si="55"/>
        <v>18.852168410999997</v>
      </c>
      <c r="AP293" s="9"/>
      <c r="AQ293" s="21">
        <v>0.37490800000000002</v>
      </c>
      <c r="AR293" s="21">
        <v>229.709</v>
      </c>
      <c r="AS293" s="21">
        <v>-1.5594500000000001E-2</v>
      </c>
      <c r="AT293" s="21">
        <v>283</v>
      </c>
      <c r="AU293" s="21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1">
        <v>1.32507</v>
      </c>
      <c r="AZ293" s="21">
        <v>264.04899999999998</v>
      </c>
      <c r="BA293" s="21">
        <v>-1.40289E-2</v>
      </c>
      <c r="BB293" s="21">
        <v>283</v>
      </c>
      <c r="BC293" s="21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1">
        <v>0.36987300000000001</v>
      </c>
      <c r="H294" s="21">
        <v>51.915300000000002</v>
      </c>
      <c r="I294" s="21">
        <v>-1.57898E-2</v>
      </c>
      <c r="J294" s="21">
        <v>284</v>
      </c>
      <c r="K294" s="21">
        <v>0.369232</v>
      </c>
      <c r="L294">
        <f t="shared" si="48"/>
        <v>15.7898</v>
      </c>
      <c r="M294">
        <f t="shared" si="49"/>
        <v>5.8402206954000002</v>
      </c>
      <c r="N294" s="9"/>
      <c r="O294" s="21">
        <v>1.3301099999999999</v>
      </c>
      <c r="P294" s="21">
        <v>101.342</v>
      </c>
      <c r="Q294" s="21">
        <v>-1.4306599999999999E-2</v>
      </c>
      <c r="R294" s="21">
        <v>284</v>
      </c>
      <c r="S294" s="21">
        <v>1.32935</v>
      </c>
      <c r="T294">
        <f t="shared" si="50"/>
        <v>14.3066</v>
      </c>
      <c r="U294">
        <f t="shared" si="51"/>
        <v>19.029351725999998</v>
      </c>
      <c r="X294" s="9"/>
      <c r="Y294" s="21">
        <v>0.36987300000000001</v>
      </c>
      <c r="Z294" s="21">
        <v>130.79900000000001</v>
      </c>
      <c r="AA294" s="21">
        <v>-1.5731800000000001E-2</v>
      </c>
      <c r="AB294" s="21">
        <v>284</v>
      </c>
      <c r="AC294" s="21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1">
        <v>1.3301099999999999</v>
      </c>
      <c r="AH294" s="21">
        <v>180.27199999999999</v>
      </c>
      <c r="AI294" s="21">
        <v>-1.4190700000000001E-2</v>
      </c>
      <c r="AJ294" s="21">
        <v>284</v>
      </c>
      <c r="AK294" s="21">
        <v>1.32904</v>
      </c>
      <c r="AL294">
        <f t="shared" si="54"/>
        <v>14.1907</v>
      </c>
      <c r="AM294">
        <f t="shared" si="55"/>
        <v>18.875191976999997</v>
      </c>
      <c r="AP294" s="9"/>
      <c r="AQ294" s="21">
        <v>0.36987300000000001</v>
      </c>
      <c r="AR294" s="21">
        <v>229.71899999999999</v>
      </c>
      <c r="AS294" s="21">
        <v>-1.55975E-2</v>
      </c>
      <c r="AT294" s="21">
        <v>284</v>
      </c>
      <c r="AU294" s="21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1">
        <v>1.3301099999999999</v>
      </c>
      <c r="AZ294" s="21">
        <v>264.05900000000003</v>
      </c>
      <c r="BA294" s="21">
        <v>-1.3998399999999999E-2</v>
      </c>
      <c r="BB294" s="21">
        <v>284</v>
      </c>
      <c r="BC294" s="21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1">
        <v>0.364838</v>
      </c>
      <c r="H295" s="21">
        <v>51.925400000000003</v>
      </c>
      <c r="I295" s="21">
        <v>-1.57898E-2</v>
      </c>
      <c r="J295" s="21">
        <v>285</v>
      </c>
      <c r="K295" s="21">
        <v>0.364319</v>
      </c>
      <c r="L295">
        <f t="shared" si="48"/>
        <v>15.7898</v>
      </c>
      <c r="M295">
        <f t="shared" si="49"/>
        <v>5.7607190523999998</v>
      </c>
      <c r="N295" s="9"/>
      <c r="O295" s="21">
        <v>1.33514</v>
      </c>
      <c r="P295" s="21">
        <v>101.352</v>
      </c>
      <c r="Q295" s="21">
        <v>-1.42822E-2</v>
      </c>
      <c r="R295" s="21">
        <v>285</v>
      </c>
      <c r="S295" s="21">
        <v>1.33453</v>
      </c>
      <c r="T295">
        <f t="shared" si="50"/>
        <v>14.2822</v>
      </c>
      <c r="U295">
        <f t="shared" si="51"/>
        <v>19.068736508000001</v>
      </c>
      <c r="X295" s="9"/>
      <c r="Y295" s="21">
        <v>0.364838</v>
      </c>
      <c r="Z295" s="21">
        <v>130.809</v>
      </c>
      <c r="AA295" s="21">
        <v>-1.5737899999999999E-2</v>
      </c>
      <c r="AB295" s="21">
        <v>285</v>
      </c>
      <c r="AC295" s="21">
        <v>0.364288</v>
      </c>
      <c r="AD295">
        <f t="shared" si="52"/>
        <v>15.7379</v>
      </c>
      <c r="AE295">
        <f t="shared" si="53"/>
        <v>5.7417839602000003</v>
      </c>
      <c r="AF295" s="9"/>
      <c r="AG295" s="21">
        <v>1.33514</v>
      </c>
      <c r="AH295" s="21">
        <v>180.28200000000001</v>
      </c>
      <c r="AI295" s="21">
        <v>-1.41479E-2</v>
      </c>
      <c r="AJ295" s="21">
        <v>285</v>
      </c>
      <c r="AK295" s="21">
        <v>1.33453</v>
      </c>
      <c r="AL295">
        <f t="shared" si="54"/>
        <v>14.1479</v>
      </c>
      <c r="AM295">
        <f t="shared" si="55"/>
        <v>18.889427206000001</v>
      </c>
      <c r="AP295" s="9"/>
      <c r="AQ295" s="21">
        <v>0.364838</v>
      </c>
      <c r="AR295" s="21">
        <v>229.72900000000001</v>
      </c>
      <c r="AS295" s="21">
        <v>-1.5594500000000001E-2</v>
      </c>
      <c r="AT295" s="21">
        <v>285</v>
      </c>
      <c r="AU295" s="21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1">
        <v>1.33514</v>
      </c>
      <c r="AZ295" s="21">
        <v>264.06900000000002</v>
      </c>
      <c r="BA295" s="21">
        <v>-1.39679E-2</v>
      </c>
      <c r="BB295" s="21">
        <v>285</v>
      </c>
      <c r="BC295" s="21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1">
        <v>0.35980200000000001</v>
      </c>
      <c r="H296" s="21">
        <v>51.935400000000001</v>
      </c>
      <c r="I296" s="21">
        <v>-1.5792799999999999E-2</v>
      </c>
      <c r="J296" s="21">
        <v>286</v>
      </c>
      <c r="K296" s="21">
        <v>0.35913099999999998</v>
      </c>
      <c r="L296">
        <f t="shared" si="48"/>
        <v>15.7928</v>
      </c>
      <c r="M296">
        <f t="shared" si="49"/>
        <v>5.6822810256</v>
      </c>
      <c r="N296" s="9"/>
      <c r="O296" s="21">
        <v>1.3401799999999999</v>
      </c>
      <c r="P296" s="21">
        <v>101.36199999999999</v>
      </c>
      <c r="Q296" s="21">
        <v>-1.42609E-2</v>
      </c>
      <c r="R296" s="21">
        <v>286</v>
      </c>
      <c r="S296" s="21">
        <v>1.33972</v>
      </c>
      <c r="T296">
        <f t="shared" si="50"/>
        <v>14.260899999999999</v>
      </c>
      <c r="U296">
        <f t="shared" si="51"/>
        <v>19.112172961999999</v>
      </c>
      <c r="X296" s="9"/>
      <c r="Y296" s="21">
        <v>0.35980200000000001</v>
      </c>
      <c r="Z296" s="21">
        <v>130.81899999999999</v>
      </c>
      <c r="AA296" s="21">
        <v>-1.5737899999999999E-2</v>
      </c>
      <c r="AB296" s="21">
        <v>286</v>
      </c>
      <c r="AC296" s="21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1">
        <v>1.3401799999999999</v>
      </c>
      <c r="AH296" s="21">
        <v>180.292</v>
      </c>
      <c r="AI296" s="21">
        <v>-1.41052E-2</v>
      </c>
      <c r="AJ296" s="21">
        <v>286</v>
      </c>
      <c r="AK296" s="21">
        <v>1.33911</v>
      </c>
      <c r="AL296">
        <f t="shared" si="54"/>
        <v>14.1052</v>
      </c>
      <c r="AM296">
        <f t="shared" si="55"/>
        <v>18.903506935999999</v>
      </c>
      <c r="AP296" s="9"/>
      <c r="AQ296" s="21">
        <v>0.35980200000000001</v>
      </c>
      <c r="AR296" s="21">
        <v>229.739</v>
      </c>
      <c r="AS296" s="21">
        <v>-1.5594500000000001E-2</v>
      </c>
      <c r="AT296" s="21">
        <v>286</v>
      </c>
      <c r="AU296" s="21">
        <v>0.35913099999999998</v>
      </c>
      <c r="AV296">
        <f t="shared" si="56"/>
        <v>15.5945</v>
      </c>
      <c r="AW296">
        <f t="shared" si="57"/>
        <v>5.610932289</v>
      </c>
      <c r="AX296" s="9"/>
      <c r="AY296" s="21">
        <v>1.3401799999999999</v>
      </c>
      <c r="AZ296" s="21">
        <v>264.07900000000001</v>
      </c>
      <c r="BA296" s="21">
        <v>-1.39343E-2</v>
      </c>
      <c r="BB296" s="21">
        <v>286</v>
      </c>
      <c r="BC296" s="21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1">
        <v>0.354767</v>
      </c>
      <c r="H297" s="21">
        <v>51.945500000000003</v>
      </c>
      <c r="I297" s="21">
        <v>-1.5795900000000002E-2</v>
      </c>
      <c r="J297" s="21">
        <v>287</v>
      </c>
      <c r="K297" s="21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1">
        <v>1.34521</v>
      </c>
      <c r="P297" s="21">
        <v>101.372</v>
      </c>
      <c r="Q297" s="21">
        <v>-1.42334E-2</v>
      </c>
      <c r="R297" s="21">
        <v>287</v>
      </c>
      <c r="S297" s="21">
        <v>1.3443000000000001</v>
      </c>
      <c r="T297">
        <f t="shared" si="50"/>
        <v>14.2334</v>
      </c>
      <c r="U297">
        <f t="shared" si="51"/>
        <v>19.146912013999998</v>
      </c>
      <c r="X297" s="9"/>
      <c r="Y297" s="21">
        <v>0.354767</v>
      </c>
      <c r="Z297" s="21">
        <v>130.82900000000001</v>
      </c>
      <c r="AA297" s="21">
        <v>-1.5728800000000001E-2</v>
      </c>
      <c r="AB297" s="21">
        <v>287</v>
      </c>
      <c r="AC297" s="21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1">
        <v>1.34521</v>
      </c>
      <c r="AH297" s="21">
        <v>180.30199999999999</v>
      </c>
      <c r="AI297" s="21">
        <v>-1.4065599999999999E-2</v>
      </c>
      <c r="AJ297" s="21">
        <v>287</v>
      </c>
      <c r="AK297" s="21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1">
        <v>0.354767</v>
      </c>
      <c r="AR297" s="21">
        <v>229.749</v>
      </c>
      <c r="AS297" s="21">
        <v>-1.5600599999999999E-2</v>
      </c>
      <c r="AT297" s="21">
        <v>287</v>
      </c>
      <c r="AU297" s="21">
        <v>0.354126</v>
      </c>
      <c r="AV297">
        <f t="shared" si="56"/>
        <v>15.6006</v>
      </c>
      <c r="AW297">
        <f t="shared" si="57"/>
        <v>5.5345780602000003</v>
      </c>
      <c r="AX297" s="9"/>
      <c r="AY297" s="21">
        <v>1.34521</v>
      </c>
      <c r="AZ297" s="21">
        <v>264.089</v>
      </c>
      <c r="BA297" s="21">
        <v>-1.3894699999999999E-2</v>
      </c>
      <c r="BB297" s="21">
        <v>287</v>
      </c>
      <c r="BC297" s="21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1">
        <v>0.34973100000000001</v>
      </c>
      <c r="H298" s="21">
        <v>51.955599999999997</v>
      </c>
      <c r="I298" s="21">
        <v>-1.5795900000000002E-2</v>
      </c>
      <c r="J298" s="21">
        <v>288</v>
      </c>
      <c r="K298" s="21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1">
        <v>1.35025</v>
      </c>
      <c r="P298" s="21">
        <v>101.38200000000001</v>
      </c>
      <c r="Q298" s="21">
        <v>-1.4196800000000001E-2</v>
      </c>
      <c r="R298" s="21">
        <v>288</v>
      </c>
      <c r="S298" s="21">
        <v>1.34918</v>
      </c>
      <c r="T298">
        <f t="shared" si="50"/>
        <v>14.196800000000001</v>
      </c>
      <c r="U298">
        <f t="shared" si="51"/>
        <v>19.1692292</v>
      </c>
      <c r="X298" s="9"/>
      <c r="Y298" s="21">
        <v>0.34973100000000001</v>
      </c>
      <c r="Z298" s="21">
        <v>130.839</v>
      </c>
      <c r="AA298" s="21">
        <v>-1.5716600000000001E-2</v>
      </c>
      <c r="AB298" s="21">
        <v>288</v>
      </c>
      <c r="AC298" s="21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1">
        <v>1.35025</v>
      </c>
      <c r="AH298" s="21">
        <v>180.31200000000001</v>
      </c>
      <c r="AI298" s="21">
        <v>-1.40228E-2</v>
      </c>
      <c r="AJ298" s="21">
        <v>288</v>
      </c>
      <c r="AK298" s="21">
        <v>1.3488800000000001</v>
      </c>
      <c r="AL298">
        <f t="shared" si="54"/>
        <v>14.0228</v>
      </c>
      <c r="AM298">
        <f t="shared" si="55"/>
        <v>18.9342857</v>
      </c>
      <c r="AP298" s="9"/>
      <c r="AQ298" s="21">
        <v>0.34973100000000001</v>
      </c>
      <c r="AR298" s="21">
        <v>229.75899999999999</v>
      </c>
      <c r="AS298" s="21">
        <v>-1.5600599999999999E-2</v>
      </c>
      <c r="AT298" s="21">
        <v>288</v>
      </c>
      <c r="AU298" s="21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1">
        <v>1.35025</v>
      </c>
      <c r="AZ298" s="21">
        <v>264.09899999999999</v>
      </c>
      <c r="BA298" s="21">
        <v>-1.3864100000000001E-2</v>
      </c>
      <c r="BB298" s="21">
        <v>288</v>
      </c>
      <c r="BC298" s="21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1">
        <v>0.344696</v>
      </c>
      <c r="H299" s="21">
        <v>51.965699999999998</v>
      </c>
      <c r="I299" s="21">
        <v>-1.5795900000000002E-2</v>
      </c>
      <c r="J299" s="21">
        <v>289</v>
      </c>
      <c r="K299" s="21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1">
        <v>1.3552900000000001</v>
      </c>
      <c r="P299" s="21">
        <v>101.392</v>
      </c>
      <c r="Q299" s="21">
        <v>-1.41602E-2</v>
      </c>
      <c r="R299" s="21">
        <v>289</v>
      </c>
      <c r="S299" s="21">
        <v>1.3543700000000001</v>
      </c>
      <c r="T299">
        <f t="shared" si="50"/>
        <v>14.1602</v>
      </c>
      <c r="U299">
        <f t="shared" si="51"/>
        <v>19.191177458000002</v>
      </c>
      <c r="X299" s="9"/>
      <c r="Y299" s="21">
        <v>0.344696</v>
      </c>
      <c r="Z299" s="21">
        <v>130.84899999999999</v>
      </c>
      <c r="AA299" s="21">
        <v>-1.5716600000000001E-2</v>
      </c>
      <c r="AB299" s="21">
        <v>289</v>
      </c>
      <c r="AC299" s="21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1">
        <v>1.3552900000000001</v>
      </c>
      <c r="AH299" s="21">
        <v>180.32300000000001</v>
      </c>
      <c r="AI299" s="21">
        <v>-1.39893E-2</v>
      </c>
      <c r="AJ299" s="21">
        <v>289</v>
      </c>
      <c r="AK299" s="21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1">
        <v>0.344696</v>
      </c>
      <c r="AR299" s="21">
        <v>229.76900000000001</v>
      </c>
      <c r="AS299" s="21">
        <v>-1.5594500000000001E-2</v>
      </c>
      <c r="AT299" s="21">
        <v>289</v>
      </c>
      <c r="AU299" s="21">
        <v>0.344055</v>
      </c>
      <c r="AV299">
        <f t="shared" si="56"/>
        <v>15.5945</v>
      </c>
      <c r="AW299">
        <f t="shared" si="57"/>
        <v>5.3753617719999998</v>
      </c>
      <c r="AX299" s="9"/>
      <c r="AY299" s="21">
        <v>1.3552900000000001</v>
      </c>
      <c r="AZ299" s="21">
        <v>264.10899999999998</v>
      </c>
      <c r="BA299" s="21">
        <v>-1.38184E-2</v>
      </c>
      <c r="BB299" s="21">
        <v>289</v>
      </c>
      <c r="BC299" s="21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1">
        <v>0.33966099999999999</v>
      </c>
      <c r="H300" s="21">
        <v>51.975700000000003</v>
      </c>
      <c r="I300" s="21">
        <v>-1.5792799999999999E-2</v>
      </c>
      <c r="J300" s="21">
        <v>290</v>
      </c>
      <c r="K300" s="21">
        <v>0.33905000000000002</v>
      </c>
      <c r="L300">
        <f t="shared" si="48"/>
        <v>15.7928</v>
      </c>
      <c r="M300">
        <f t="shared" si="49"/>
        <v>5.3641982407999995</v>
      </c>
      <c r="N300" s="9"/>
      <c r="O300" s="21">
        <v>1.36032</v>
      </c>
      <c r="P300" s="21">
        <v>101.402</v>
      </c>
      <c r="Q300" s="21">
        <v>-1.4129600000000001E-2</v>
      </c>
      <c r="R300" s="21">
        <v>290</v>
      </c>
      <c r="S300" s="21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1">
        <v>0.33966099999999999</v>
      </c>
      <c r="Z300" s="21">
        <v>130.85900000000001</v>
      </c>
      <c r="AA300" s="21">
        <v>-1.57196E-2</v>
      </c>
      <c r="AB300" s="21">
        <v>290</v>
      </c>
      <c r="AC300" s="21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1">
        <v>1.36032</v>
      </c>
      <c r="AH300" s="21">
        <v>180.333</v>
      </c>
      <c r="AI300" s="21">
        <v>-1.3952600000000001E-2</v>
      </c>
      <c r="AJ300" s="21">
        <v>290</v>
      </c>
      <c r="AK300" s="21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1">
        <v>0.33966099999999999</v>
      </c>
      <c r="AR300" s="21">
        <v>229.779</v>
      </c>
      <c r="AS300" s="21">
        <v>-1.55914E-2</v>
      </c>
      <c r="AT300" s="21">
        <v>290</v>
      </c>
      <c r="AU300" s="21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1">
        <v>1.36032</v>
      </c>
      <c r="AZ300" s="21">
        <v>264.11900000000003</v>
      </c>
      <c r="BA300" s="21">
        <v>-1.37695E-2</v>
      </c>
      <c r="BB300" s="21">
        <v>290</v>
      </c>
      <c r="BC300" s="21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1">
        <v>0.33462500000000001</v>
      </c>
      <c r="H301" s="21">
        <v>51.985799999999998</v>
      </c>
      <c r="I301" s="21">
        <v>-1.5792799999999999E-2</v>
      </c>
      <c r="J301" s="21">
        <v>291</v>
      </c>
      <c r="K301" s="21">
        <v>0.33404499999999998</v>
      </c>
      <c r="L301">
        <f t="shared" si="48"/>
        <v>15.7928</v>
      </c>
      <c r="M301">
        <f t="shared" si="49"/>
        <v>5.2846656999999997</v>
      </c>
      <c r="N301" s="9"/>
      <c r="O301" s="21">
        <v>1.3653599999999999</v>
      </c>
      <c r="P301" s="21">
        <v>101.41200000000001</v>
      </c>
      <c r="Q301" s="21">
        <v>-1.40991E-2</v>
      </c>
      <c r="R301" s="21">
        <v>291</v>
      </c>
      <c r="S301" s="21">
        <v>1.3650500000000001</v>
      </c>
      <c r="T301">
        <f t="shared" si="50"/>
        <v>14.0991</v>
      </c>
      <c r="U301">
        <f t="shared" si="51"/>
        <v>19.250347175999998</v>
      </c>
      <c r="X301" s="9"/>
      <c r="Y301" s="21">
        <v>0.33462500000000001</v>
      </c>
      <c r="Z301" s="21">
        <v>130.869</v>
      </c>
      <c r="AA301" s="21">
        <v>-1.5725699999999999E-2</v>
      </c>
      <c r="AB301" s="21">
        <v>291</v>
      </c>
      <c r="AC301" s="21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1">
        <v>1.3653599999999999</v>
      </c>
      <c r="AH301" s="21">
        <v>180.34299999999999</v>
      </c>
      <c r="AI301" s="21">
        <v>-1.39069E-2</v>
      </c>
      <c r="AJ301" s="21">
        <v>291</v>
      </c>
      <c r="AK301" s="21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1">
        <v>0.33462500000000001</v>
      </c>
      <c r="AR301" s="21">
        <v>229.78899999999999</v>
      </c>
      <c r="AS301" s="21">
        <v>-1.55975E-2</v>
      </c>
      <c r="AT301" s="21">
        <v>291</v>
      </c>
      <c r="AU301" s="21">
        <v>0.333984</v>
      </c>
      <c r="AV301">
        <f t="shared" si="56"/>
        <v>15.5975</v>
      </c>
      <c r="AW301">
        <f t="shared" si="57"/>
        <v>5.2193134375000003</v>
      </c>
      <c r="AX301" s="9"/>
      <c r="AY301" s="21">
        <v>1.3653599999999999</v>
      </c>
      <c r="AZ301" s="21">
        <v>264.12900000000002</v>
      </c>
      <c r="BA301" s="21">
        <v>-1.3717699999999999E-2</v>
      </c>
      <c r="BB301" s="21">
        <v>291</v>
      </c>
      <c r="BC301" s="21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1">
        <v>0.32958999999999999</v>
      </c>
      <c r="H302" s="21">
        <v>51.995899999999999</v>
      </c>
      <c r="I302" s="21">
        <v>-1.57898E-2</v>
      </c>
      <c r="J302" s="21">
        <v>292</v>
      </c>
      <c r="K302" s="21">
        <v>0.32897900000000002</v>
      </c>
      <c r="L302">
        <f t="shared" si="48"/>
        <v>15.7898</v>
      </c>
      <c r="M302">
        <f t="shared" si="49"/>
        <v>5.2041601819999999</v>
      </c>
      <c r="N302" s="9"/>
      <c r="O302" s="21">
        <v>1.37039</v>
      </c>
      <c r="P302" s="21">
        <v>101.422</v>
      </c>
      <c r="Q302" s="21">
        <v>-1.40564E-2</v>
      </c>
      <c r="R302" s="21">
        <v>292</v>
      </c>
      <c r="S302" s="21">
        <v>1.3693200000000001</v>
      </c>
      <c r="T302">
        <f t="shared" si="50"/>
        <v>14.0564</v>
      </c>
      <c r="U302">
        <f t="shared" si="51"/>
        <v>19.262749996</v>
      </c>
      <c r="X302" s="9"/>
      <c r="Y302" s="21">
        <v>0.32958999999999999</v>
      </c>
      <c r="Z302" s="21">
        <v>130.87899999999999</v>
      </c>
      <c r="AA302" s="21">
        <v>-1.5728800000000001E-2</v>
      </c>
      <c r="AB302" s="21">
        <v>292</v>
      </c>
      <c r="AC302" s="21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1">
        <v>1.37039</v>
      </c>
      <c r="AH302" s="21">
        <v>180.35300000000001</v>
      </c>
      <c r="AI302" s="21">
        <v>-1.3854999999999999E-2</v>
      </c>
      <c r="AJ302" s="21">
        <v>292</v>
      </c>
      <c r="AK302" s="21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1">
        <v>0.32958999999999999</v>
      </c>
      <c r="AR302" s="21">
        <v>229.79900000000001</v>
      </c>
      <c r="AS302" s="21">
        <v>-1.5606699999999999E-2</v>
      </c>
      <c r="AT302" s="21">
        <v>292</v>
      </c>
      <c r="AU302" s="21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1">
        <v>1.37039</v>
      </c>
      <c r="AZ302" s="21">
        <v>264.13900000000001</v>
      </c>
      <c r="BA302" s="21">
        <v>-1.36749E-2</v>
      </c>
      <c r="BB302" s="21">
        <v>292</v>
      </c>
      <c r="BC302" s="21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1">
        <v>0.32455400000000001</v>
      </c>
      <c r="H303" s="21">
        <v>52.005899999999997</v>
      </c>
      <c r="I303" s="21">
        <v>-1.5795900000000002E-2</v>
      </c>
      <c r="J303" s="21">
        <v>293</v>
      </c>
      <c r="K303" s="21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1">
        <v>1.3754299999999999</v>
      </c>
      <c r="P303" s="21">
        <v>101.432</v>
      </c>
      <c r="Q303" s="21">
        <v>-1.40167E-2</v>
      </c>
      <c r="R303" s="21">
        <v>293</v>
      </c>
      <c r="S303" s="21">
        <v>1.3745099999999999</v>
      </c>
      <c r="T303">
        <f t="shared" si="50"/>
        <v>14.0167</v>
      </c>
      <c r="U303">
        <f t="shared" si="51"/>
        <v>19.278989680999999</v>
      </c>
      <c r="X303" s="9"/>
      <c r="Y303" s="21">
        <v>0.32455400000000001</v>
      </c>
      <c r="Z303" s="21">
        <v>130.88900000000001</v>
      </c>
      <c r="AA303" s="21">
        <v>-1.5731800000000001E-2</v>
      </c>
      <c r="AB303" s="21">
        <v>293</v>
      </c>
      <c r="AC303" s="21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1">
        <v>1.3754299999999999</v>
      </c>
      <c r="AH303" s="21">
        <v>180.363</v>
      </c>
      <c r="AI303" s="21">
        <v>-1.3809200000000001E-2</v>
      </c>
      <c r="AJ303" s="21">
        <v>293</v>
      </c>
      <c r="AK303" s="21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1">
        <v>0.32455400000000001</v>
      </c>
      <c r="AR303" s="21">
        <v>229.809</v>
      </c>
      <c r="AS303" s="21">
        <v>-1.56128E-2</v>
      </c>
      <c r="AT303" s="21">
        <v>293</v>
      </c>
      <c r="AU303" s="21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1">
        <v>1.3754299999999999</v>
      </c>
      <c r="AZ303" s="21">
        <v>264.149</v>
      </c>
      <c r="BA303" s="21">
        <v>-1.3632200000000001E-2</v>
      </c>
      <c r="BB303" s="21">
        <v>293</v>
      </c>
      <c r="BC303" s="21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1">
        <v>0.319519</v>
      </c>
      <c r="H304" s="21">
        <v>52.015999999999998</v>
      </c>
      <c r="I304" s="21">
        <v>-1.5799000000000001E-2</v>
      </c>
      <c r="J304" s="21">
        <v>294</v>
      </c>
      <c r="K304" s="21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1">
        <v>1.38046</v>
      </c>
      <c r="P304" s="21">
        <v>101.44199999999999</v>
      </c>
      <c r="Q304" s="21">
        <v>-1.39679E-2</v>
      </c>
      <c r="R304" s="21">
        <v>294</v>
      </c>
      <c r="S304" s="21">
        <v>1.3793899999999999</v>
      </c>
      <c r="T304">
        <f t="shared" si="50"/>
        <v>13.9679</v>
      </c>
      <c r="U304">
        <f t="shared" si="51"/>
        <v>19.282127234000001</v>
      </c>
      <c r="X304" s="9"/>
      <c r="Y304" s="21">
        <v>0.319519</v>
      </c>
      <c r="Z304" s="21">
        <v>130.899</v>
      </c>
      <c r="AA304" s="21">
        <v>-1.57349E-2</v>
      </c>
      <c r="AB304" s="21">
        <v>294</v>
      </c>
      <c r="AC304" s="21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1">
        <v>1.38046</v>
      </c>
      <c r="AH304" s="21">
        <v>180.37299999999999</v>
      </c>
      <c r="AI304" s="21">
        <v>-1.3766499999999999E-2</v>
      </c>
      <c r="AJ304" s="21">
        <v>294</v>
      </c>
      <c r="AK304" s="21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1">
        <v>0.319519</v>
      </c>
      <c r="AR304" s="21">
        <v>229.81899999999999</v>
      </c>
      <c r="AS304" s="21">
        <v>-1.56189E-2</v>
      </c>
      <c r="AT304" s="21">
        <v>294</v>
      </c>
      <c r="AU304" s="21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1">
        <v>1.38046</v>
      </c>
      <c r="AZ304" s="21">
        <v>264.15899999999999</v>
      </c>
      <c r="BA304" s="21">
        <v>-1.3589499999999999E-2</v>
      </c>
      <c r="BB304" s="21">
        <v>294</v>
      </c>
      <c r="BC304" s="21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1">
        <v>0.31448399999999999</v>
      </c>
      <c r="H305" s="21">
        <v>52.0261</v>
      </c>
      <c r="I305" s="21">
        <v>-1.5811200000000001E-2</v>
      </c>
      <c r="J305" s="21">
        <v>295</v>
      </c>
      <c r="K305" s="21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1">
        <v>1.3855</v>
      </c>
      <c r="P305" s="21">
        <v>101.453</v>
      </c>
      <c r="Q305" s="21">
        <v>-1.39221E-2</v>
      </c>
      <c r="R305" s="21">
        <v>295</v>
      </c>
      <c r="S305" s="21">
        <v>1.38489</v>
      </c>
      <c r="T305">
        <f t="shared" si="50"/>
        <v>13.9221</v>
      </c>
      <c r="U305">
        <f t="shared" si="51"/>
        <v>19.289069550000001</v>
      </c>
      <c r="X305" s="9"/>
      <c r="Y305" s="21">
        <v>0.31448399999999999</v>
      </c>
      <c r="Z305" s="21">
        <v>130.91</v>
      </c>
      <c r="AA305" s="21">
        <v>-1.57349E-2</v>
      </c>
      <c r="AB305" s="21">
        <v>295</v>
      </c>
      <c r="AC305" s="21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1">
        <v>1.3855</v>
      </c>
      <c r="AH305" s="21">
        <v>180.38300000000001</v>
      </c>
      <c r="AI305" s="21">
        <v>-1.37238E-2</v>
      </c>
      <c r="AJ305" s="21">
        <v>295</v>
      </c>
      <c r="AK305" s="21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1">
        <v>0.31448399999999999</v>
      </c>
      <c r="AR305" s="21">
        <v>229.82900000000001</v>
      </c>
      <c r="AS305" s="21">
        <v>-1.5625E-2</v>
      </c>
      <c r="AT305" s="21">
        <v>295</v>
      </c>
      <c r="AU305" s="21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1">
        <v>1.3855</v>
      </c>
      <c r="AZ305" s="21">
        <v>264.17</v>
      </c>
      <c r="BA305" s="21">
        <v>-1.3543700000000001E-2</v>
      </c>
      <c r="BB305" s="21">
        <v>295</v>
      </c>
      <c r="BC305" s="21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1">
        <v>0.309448</v>
      </c>
      <c r="H306" s="21">
        <v>52.036200000000001</v>
      </c>
      <c r="I306" s="21">
        <v>-1.5817299999999999E-2</v>
      </c>
      <c r="J306" s="21">
        <v>296</v>
      </c>
      <c r="K306" s="21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1">
        <v>1.39053</v>
      </c>
      <c r="P306" s="21">
        <v>101.46299999999999</v>
      </c>
      <c r="Q306" s="21">
        <v>-1.3876299999999999E-2</v>
      </c>
      <c r="R306" s="21">
        <v>296</v>
      </c>
      <c r="S306" s="21">
        <v>1.38947</v>
      </c>
      <c r="T306">
        <f t="shared" si="50"/>
        <v>13.876299999999999</v>
      </c>
      <c r="U306">
        <f t="shared" si="51"/>
        <v>19.295411438999999</v>
      </c>
      <c r="X306" s="9"/>
      <c r="Y306" s="21">
        <v>0.309448</v>
      </c>
      <c r="Z306" s="21">
        <v>130.91999999999999</v>
      </c>
      <c r="AA306" s="21">
        <v>-1.57349E-2</v>
      </c>
      <c r="AB306" s="21">
        <v>296</v>
      </c>
      <c r="AC306" s="21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1">
        <v>1.39053</v>
      </c>
      <c r="AH306" s="21">
        <v>180.393</v>
      </c>
      <c r="AI306" s="21">
        <v>-1.36749E-2</v>
      </c>
      <c r="AJ306" s="21">
        <v>296</v>
      </c>
      <c r="AK306" s="21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1">
        <v>0.309448</v>
      </c>
      <c r="AR306" s="21">
        <v>229.839</v>
      </c>
      <c r="AS306" s="21">
        <v>-1.5634200000000001E-2</v>
      </c>
      <c r="AT306" s="21">
        <v>296</v>
      </c>
      <c r="AU306" s="21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1">
        <v>1.39053</v>
      </c>
      <c r="AZ306" s="21">
        <v>264.18</v>
      </c>
      <c r="BA306" s="21">
        <v>-1.3494900000000001E-2</v>
      </c>
      <c r="BB306" s="21">
        <v>296</v>
      </c>
      <c r="BC306" s="21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1">
        <v>0.30441299999999999</v>
      </c>
      <c r="H307" s="21">
        <v>52.046199999999999</v>
      </c>
      <c r="I307" s="21">
        <v>-1.5820299999999999E-2</v>
      </c>
      <c r="J307" s="21">
        <v>297</v>
      </c>
      <c r="K307" s="21">
        <v>0.30377199999999999</v>
      </c>
      <c r="L307">
        <f t="shared" si="48"/>
        <v>15.8203</v>
      </c>
      <c r="M307">
        <f t="shared" si="49"/>
        <v>4.8159049838999994</v>
      </c>
      <c r="N307" s="9"/>
      <c r="O307" s="21">
        <v>1.39557</v>
      </c>
      <c r="P307" s="21">
        <v>101.473</v>
      </c>
      <c r="Q307" s="21">
        <v>-1.38275E-2</v>
      </c>
      <c r="R307" s="21">
        <v>297</v>
      </c>
      <c r="S307" s="21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1">
        <v>0.30441299999999999</v>
      </c>
      <c r="Z307" s="21">
        <v>130.93</v>
      </c>
      <c r="AA307" s="21">
        <v>-1.57349E-2</v>
      </c>
      <c r="AB307" s="21">
        <v>297</v>
      </c>
      <c r="AC307" s="21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1">
        <v>1.39557</v>
      </c>
      <c r="AH307" s="21">
        <v>180.40299999999999</v>
      </c>
      <c r="AI307" s="21">
        <v>-1.3623E-2</v>
      </c>
      <c r="AJ307" s="21">
        <v>297</v>
      </c>
      <c r="AK307" s="21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1">
        <v>0.30441299999999999</v>
      </c>
      <c r="AR307" s="21">
        <v>229.85</v>
      </c>
      <c r="AS307" s="21">
        <v>-1.5640299999999999E-2</v>
      </c>
      <c r="AT307" s="21">
        <v>297</v>
      </c>
      <c r="AU307" s="21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1">
        <v>1.39557</v>
      </c>
      <c r="AZ307" s="21">
        <v>264.19</v>
      </c>
      <c r="BA307" s="21">
        <v>-1.34552E-2</v>
      </c>
      <c r="BB307" s="21">
        <v>297</v>
      </c>
      <c r="BC307" s="21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1">
        <v>0.299377</v>
      </c>
      <c r="H308" s="21">
        <v>52.0563</v>
      </c>
      <c r="I308" s="21">
        <v>-1.5823400000000001E-2</v>
      </c>
      <c r="J308" s="21">
        <v>298</v>
      </c>
      <c r="K308" s="21">
        <v>0.298676</v>
      </c>
      <c r="L308">
        <f t="shared" si="48"/>
        <v>15.823400000000001</v>
      </c>
      <c r="M308">
        <f t="shared" si="49"/>
        <v>4.7371620218000006</v>
      </c>
      <c r="N308" s="9"/>
      <c r="O308" s="21">
        <v>1.4006000000000001</v>
      </c>
      <c r="P308" s="21">
        <v>101.483</v>
      </c>
      <c r="Q308" s="21">
        <v>-1.37787E-2</v>
      </c>
      <c r="R308" s="21">
        <v>298</v>
      </c>
      <c r="S308" s="21">
        <v>1.39954</v>
      </c>
      <c r="T308">
        <f t="shared" si="50"/>
        <v>13.778699999999999</v>
      </c>
      <c r="U308">
        <f t="shared" si="51"/>
        <v>19.29844722</v>
      </c>
      <c r="X308" s="9"/>
      <c r="Y308" s="21">
        <v>0.299377</v>
      </c>
      <c r="Z308" s="21">
        <v>130.94</v>
      </c>
      <c r="AA308" s="21">
        <v>-1.57349E-2</v>
      </c>
      <c r="AB308" s="21">
        <v>298</v>
      </c>
      <c r="AC308" s="21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1">
        <v>1.4006000000000001</v>
      </c>
      <c r="AH308" s="21">
        <v>180.41300000000001</v>
      </c>
      <c r="AI308" s="21">
        <v>-1.35773E-2</v>
      </c>
      <c r="AJ308" s="21">
        <v>298</v>
      </c>
      <c r="AK308" s="21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1">
        <v>0.299377</v>
      </c>
      <c r="AR308" s="21">
        <v>229.86</v>
      </c>
      <c r="AS308" s="21">
        <v>-1.5646400000000001E-2</v>
      </c>
      <c r="AT308" s="21">
        <v>298</v>
      </c>
      <c r="AU308" s="21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1">
        <v>1.4006000000000001</v>
      </c>
      <c r="AZ308" s="21">
        <v>264.2</v>
      </c>
      <c r="BA308" s="21">
        <v>-1.34094E-2</v>
      </c>
      <c r="BB308" s="21">
        <v>298</v>
      </c>
      <c r="BC308" s="21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1">
        <v>0.29434199999999999</v>
      </c>
      <c r="H309" s="21">
        <v>52.066400000000002</v>
      </c>
      <c r="I309" s="21">
        <v>-1.5823400000000001E-2</v>
      </c>
      <c r="J309" s="21">
        <v>299</v>
      </c>
      <c r="K309" s="21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1">
        <v>1.40564</v>
      </c>
      <c r="P309" s="21">
        <v>101.49299999999999</v>
      </c>
      <c r="Q309" s="21">
        <v>-1.3726800000000001E-2</v>
      </c>
      <c r="R309" s="21">
        <v>299</v>
      </c>
      <c r="S309" s="21">
        <v>1.40503</v>
      </c>
      <c r="T309">
        <f t="shared" si="50"/>
        <v>13.726800000000001</v>
      </c>
      <c r="U309">
        <f t="shared" si="51"/>
        <v>19.294939152000001</v>
      </c>
      <c r="X309" s="9"/>
      <c r="Y309" s="21">
        <v>0.29434199999999999</v>
      </c>
      <c r="Z309" s="21">
        <v>130.94999999999999</v>
      </c>
      <c r="AA309" s="21">
        <v>-1.57349E-2</v>
      </c>
      <c r="AB309" s="21">
        <v>299</v>
      </c>
      <c r="AC309" s="21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1">
        <v>1.40564</v>
      </c>
      <c r="AH309" s="21">
        <v>180.423</v>
      </c>
      <c r="AI309" s="21">
        <v>-1.3528399999999999E-2</v>
      </c>
      <c r="AJ309" s="21">
        <v>299</v>
      </c>
      <c r="AK309" s="21">
        <v>1.40472</v>
      </c>
      <c r="AL309">
        <f t="shared" si="54"/>
        <v>13.5284</v>
      </c>
      <c r="AM309">
        <f t="shared" si="55"/>
        <v>19.016060176</v>
      </c>
      <c r="AP309" s="9"/>
      <c r="AQ309" s="21">
        <v>0.29434199999999999</v>
      </c>
      <c r="AR309" s="21">
        <v>229.87</v>
      </c>
      <c r="AS309" s="21">
        <v>-1.5640299999999999E-2</v>
      </c>
      <c r="AT309" s="21">
        <v>299</v>
      </c>
      <c r="AU309" s="21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1">
        <v>1.40564</v>
      </c>
      <c r="AZ309" s="21">
        <v>264.20999999999998</v>
      </c>
      <c r="BA309" s="21">
        <v>-1.33606E-2</v>
      </c>
      <c r="BB309" s="21">
        <v>299</v>
      </c>
      <c r="BC309" s="21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1">
        <v>0.28930699999999998</v>
      </c>
      <c r="H310" s="21">
        <v>52.0764</v>
      </c>
      <c r="I310" s="21">
        <v>-1.5820299999999999E-2</v>
      </c>
      <c r="J310" s="21">
        <v>300</v>
      </c>
      <c r="K310" s="21">
        <v>0.28869600000000001</v>
      </c>
      <c r="L310">
        <f t="shared" si="48"/>
        <v>15.8203</v>
      </c>
      <c r="M310">
        <f t="shared" si="49"/>
        <v>4.5769235320999995</v>
      </c>
      <c r="N310" s="9"/>
      <c r="O310" s="21">
        <v>1.4106799999999999</v>
      </c>
      <c r="P310" s="21">
        <v>101.503</v>
      </c>
      <c r="Q310" s="21">
        <v>-1.3677999999999999E-2</v>
      </c>
      <c r="R310" s="21">
        <v>300</v>
      </c>
      <c r="S310" s="21">
        <v>1.40991</v>
      </c>
      <c r="T310">
        <f t="shared" si="50"/>
        <v>13.677999999999999</v>
      </c>
      <c r="U310">
        <f t="shared" si="51"/>
        <v>19.295281039999999</v>
      </c>
      <c r="X310" s="9"/>
      <c r="Y310" s="21">
        <v>0.28930699999999998</v>
      </c>
      <c r="Z310" s="21">
        <v>130.96</v>
      </c>
      <c r="AA310" s="21">
        <v>-1.57349E-2</v>
      </c>
      <c r="AB310" s="21">
        <v>300</v>
      </c>
      <c r="AC310" s="21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1">
        <v>1.4106799999999999</v>
      </c>
      <c r="AH310" s="21">
        <v>180.43299999999999</v>
      </c>
      <c r="AI310" s="21">
        <v>-1.3473499999999999E-2</v>
      </c>
      <c r="AJ310" s="21">
        <v>300</v>
      </c>
      <c r="AK310" s="21">
        <v>1.40961</v>
      </c>
      <c r="AL310">
        <f t="shared" si="54"/>
        <v>13.4735</v>
      </c>
      <c r="AM310">
        <f t="shared" si="55"/>
        <v>19.006796979999997</v>
      </c>
      <c r="AP310" s="9"/>
      <c r="AQ310" s="21">
        <v>0.28930699999999998</v>
      </c>
      <c r="AR310" s="21">
        <v>229.88</v>
      </c>
      <c r="AS310" s="21">
        <v>-1.5640299999999999E-2</v>
      </c>
      <c r="AT310" s="21">
        <v>300</v>
      </c>
      <c r="AU310" s="21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1">
        <v>1.4106799999999999</v>
      </c>
      <c r="AZ310" s="21">
        <v>264.22000000000003</v>
      </c>
      <c r="BA310" s="21">
        <v>-1.33057E-2</v>
      </c>
      <c r="BB310" s="21">
        <v>300</v>
      </c>
      <c r="BC310" s="21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1">
        <v>0.284271</v>
      </c>
      <c r="H311" s="21">
        <v>52.086500000000001</v>
      </c>
      <c r="I311" s="21">
        <v>-1.5823400000000001E-2</v>
      </c>
      <c r="J311" s="21">
        <v>301</v>
      </c>
      <c r="K311" s="21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1">
        <v>1.41571</v>
      </c>
      <c r="P311" s="21">
        <v>101.51300000000001</v>
      </c>
      <c r="Q311" s="21">
        <v>-1.362E-2</v>
      </c>
      <c r="R311" s="21">
        <v>301</v>
      </c>
      <c r="S311" s="21">
        <v>1.41479</v>
      </c>
      <c r="T311">
        <f t="shared" si="50"/>
        <v>13.620000000000001</v>
      </c>
      <c r="U311">
        <f t="shared" si="51"/>
        <v>19.281970200000004</v>
      </c>
      <c r="X311" s="9"/>
      <c r="Y311" s="21">
        <v>0.284271</v>
      </c>
      <c r="Z311" s="21">
        <v>130.97</v>
      </c>
      <c r="AA311" s="21">
        <v>-1.5737899999999999E-2</v>
      </c>
      <c r="AB311" s="21">
        <v>301</v>
      </c>
      <c r="AC311" s="21">
        <v>0.283661</v>
      </c>
      <c r="AD311">
        <f t="shared" si="52"/>
        <v>15.7379</v>
      </c>
      <c r="AE311">
        <f t="shared" si="53"/>
        <v>4.4738285709000003</v>
      </c>
      <c r="AF311" s="9"/>
      <c r="AG311" s="21">
        <v>1.41571</v>
      </c>
      <c r="AH311" s="21">
        <v>180.44300000000001</v>
      </c>
      <c r="AI311" s="21">
        <v>-1.3421600000000001E-2</v>
      </c>
      <c r="AJ311" s="21">
        <v>301</v>
      </c>
      <c r="AK311" s="21">
        <v>1.4151</v>
      </c>
      <c r="AL311">
        <f t="shared" si="54"/>
        <v>13.4216</v>
      </c>
      <c r="AM311">
        <f t="shared" si="55"/>
        <v>19.001093336</v>
      </c>
      <c r="AP311" s="9"/>
      <c r="AQ311" s="21">
        <v>0.284271</v>
      </c>
      <c r="AR311" s="21">
        <v>229.89</v>
      </c>
      <c r="AS311" s="21">
        <v>-1.5640299999999999E-2</v>
      </c>
      <c r="AT311" s="21">
        <v>301</v>
      </c>
      <c r="AU311" s="21">
        <v>0.28362999999999999</v>
      </c>
      <c r="AV311">
        <f t="shared" si="56"/>
        <v>15.6403</v>
      </c>
      <c r="AW311">
        <f t="shared" si="57"/>
        <v>4.4460837213</v>
      </c>
      <c r="AX311" s="9"/>
      <c r="AY311" s="21">
        <v>1.41571</v>
      </c>
      <c r="AZ311" s="21">
        <v>264.23</v>
      </c>
      <c r="BA311" s="21">
        <v>-1.3250700000000001E-2</v>
      </c>
      <c r="BB311" s="21">
        <v>301</v>
      </c>
      <c r="BC311" s="21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1">
        <v>0.27923599999999998</v>
      </c>
      <c r="H312" s="21">
        <v>52.096600000000002</v>
      </c>
      <c r="I312" s="21">
        <v>-1.58295E-2</v>
      </c>
      <c r="J312" s="21">
        <v>302</v>
      </c>
      <c r="K312" s="21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1">
        <v>1.42075</v>
      </c>
      <c r="P312" s="21">
        <v>101.523</v>
      </c>
      <c r="Q312" s="21">
        <v>-1.3555899999999999E-2</v>
      </c>
      <c r="R312" s="21">
        <v>302</v>
      </c>
      <c r="S312" s="21">
        <v>1.41998</v>
      </c>
      <c r="T312">
        <f t="shared" si="50"/>
        <v>13.555899999999999</v>
      </c>
      <c r="U312">
        <f t="shared" si="51"/>
        <v>19.259544925</v>
      </c>
      <c r="X312" s="9"/>
      <c r="Y312" s="21">
        <v>0.27923599999999998</v>
      </c>
      <c r="Z312" s="21">
        <v>130.97999999999999</v>
      </c>
      <c r="AA312" s="21">
        <v>-1.5741000000000002E-2</v>
      </c>
      <c r="AB312" s="21">
        <v>302</v>
      </c>
      <c r="AC312" s="21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1">
        <v>1.42075</v>
      </c>
      <c r="AH312" s="21">
        <v>180.453</v>
      </c>
      <c r="AI312" s="21">
        <v>-1.33606E-2</v>
      </c>
      <c r="AJ312" s="21">
        <v>302</v>
      </c>
      <c r="AK312" s="21">
        <v>1.41998</v>
      </c>
      <c r="AL312">
        <f t="shared" si="54"/>
        <v>13.3606</v>
      </c>
      <c r="AM312">
        <f t="shared" si="55"/>
        <v>18.98207245</v>
      </c>
      <c r="AP312" s="9"/>
      <c r="AQ312" s="21">
        <v>0.27923599999999998</v>
      </c>
      <c r="AR312" s="21">
        <v>229.9</v>
      </c>
      <c r="AS312" s="21">
        <v>-1.56372E-2</v>
      </c>
      <c r="AT312" s="21">
        <v>302</v>
      </c>
      <c r="AU312" s="21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1">
        <v>1.42075</v>
      </c>
      <c r="AZ312" s="21">
        <v>264.24</v>
      </c>
      <c r="BA312" s="21">
        <v>-1.31927E-2</v>
      </c>
      <c r="BB312" s="21">
        <v>302</v>
      </c>
      <c r="BC312" s="21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1">
        <v>0.2742</v>
      </c>
      <c r="H313" s="21">
        <v>52.1066</v>
      </c>
      <c r="I313" s="21">
        <v>-1.5832499999999999E-2</v>
      </c>
      <c r="J313" s="21">
        <v>303</v>
      </c>
      <c r="K313" s="21">
        <v>0.273621</v>
      </c>
      <c r="L313">
        <f t="shared" si="48"/>
        <v>15.8325</v>
      </c>
      <c r="M313">
        <f t="shared" si="49"/>
        <v>4.3412714999999995</v>
      </c>
      <c r="N313" s="9"/>
      <c r="O313" s="21">
        <v>1.42578</v>
      </c>
      <c r="P313" s="21">
        <v>101.533</v>
      </c>
      <c r="Q313" s="21">
        <v>-1.34979E-2</v>
      </c>
      <c r="R313" s="21">
        <v>303</v>
      </c>
      <c r="S313" s="21">
        <v>1.42517</v>
      </c>
      <c r="T313">
        <f t="shared" si="50"/>
        <v>13.4979</v>
      </c>
      <c r="U313">
        <f t="shared" si="51"/>
        <v>19.245035862000002</v>
      </c>
      <c r="X313" s="9"/>
      <c r="Y313" s="21">
        <v>0.2742</v>
      </c>
      <c r="Z313" s="21">
        <v>130.99</v>
      </c>
      <c r="AA313" s="21">
        <v>-1.57471E-2</v>
      </c>
      <c r="AB313" s="21">
        <v>303</v>
      </c>
      <c r="AC313" s="21">
        <v>0.27356000000000003</v>
      </c>
      <c r="AD313">
        <f t="shared" si="52"/>
        <v>15.7471</v>
      </c>
      <c r="AE313">
        <f t="shared" si="53"/>
        <v>4.31785482</v>
      </c>
      <c r="AF313" s="9"/>
      <c r="AG313" s="21">
        <v>1.42578</v>
      </c>
      <c r="AH313" s="21">
        <v>180.464</v>
      </c>
      <c r="AI313" s="21">
        <v>-1.3296499999999999E-2</v>
      </c>
      <c r="AJ313" s="21">
        <v>303</v>
      </c>
      <c r="AK313" s="21">
        <v>1.42456</v>
      </c>
      <c r="AL313">
        <f t="shared" si="54"/>
        <v>13.2965</v>
      </c>
      <c r="AM313">
        <f t="shared" si="55"/>
        <v>18.957883770000002</v>
      </c>
      <c r="AP313" s="9"/>
      <c r="AQ313" s="21">
        <v>0.2742</v>
      </c>
      <c r="AR313" s="21">
        <v>229.91</v>
      </c>
      <c r="AS313" s="21">
        <v>-1.5631099999999998E-2</v>
      </c>
      <c r="AT313" s="21">
        <v>303</v>
      </c>
      <c r="AU313" s="21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1">
        <v>1.42578</v>
      </c>
      <c r="AZ313" s="21">
        <v>264.25</v>
      </c>
      <c r="BA313" s="21">
        <v>-1.31226E-2</v>
      </c>
      <c r="BB313" s="21">
        <v>303</v>
      </c>
      <c r="BC313" s="21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1">
        <v>0.26916499999999999</v>
      </c>
      <c r="H314" s="21">
        <v>52.116700000000002</v>
      </c>
      <c r="I314" s="21">
        <v>-1.5835599999999998E-2</v>
      </c>
      <c r="J314" s="21">
        <v>304</v>
      </c>
      <c r="K314" s="21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1">
        <v>1.43082</v>
      </c>
      <c r="P314" s="21">
        <v>101.54300000000001</v>
      </c>
      <c r="Q314" s="21">
        <v>-1.3421600000000001E-2</v>
      </c>
      <c r="R314" s="21">
        <v>304</v>
      </c>
      <c r="S314" s="21">
        <v>1.4297500000000001</v>
      </c>
      <c r="T314">
        <f t="shared" si="50"/>
        <v>13.4216</v>
      </c>
      <c r="U314">
        <f t="shared" si="51"/>
        <v>19.203893711999999</v>
      </c>
      <c r="X314" s="9"/>
      <c r="Y314" s="21">
        <v>0.26916499999999999</v>
      </c>
      <c r="Z314" s="21">
        <v>131</v>
      </c>
      <c r="AA314" s="21">
        <v>-1.5753199999999998E-2</v>
      </c>
      <c r="AB314" s="21">
        <v>304</v>
      </c>
      <c r="AC314" s="21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1">
        <v>1.43082</v>
      </c>
      <c r="AH314" s="21">
        <v>180.47399999999999</v>
      </c>
      <c r="AI314" s="21">
        <v>-1.32263E-2</v>
      </c>
      <c r="AJ314" s="21">
        <v>304</v>
      </c>
      <c r="AK314" s="21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1">
        <v>0.26916499999999999</v>
      </c>
      <c r="AR314" s="21">
        <v>229.92</v>
      </c>
      <c r="AS314" s="21">
        <v>-1.5628099999999999E-2</v>
      </c>
      <c r="AT314" s="21">
        <v>304</v>
      </c>
      <c r="AU314" s="21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1">
        <v>1.43082</v>
      </c>
      <c r="AZ314" s="21">
        <v>264.26</v>
      </c>
      <c r="BA314" s="21">
        <v>-1.30554E-2</v>
      </c>
      <c r="BB314" s="21">
        <v>304</v>
      </c>
      <c r="BC314" s="21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1">
        <v>0.26412999999999998</v>
      </c>
      <c r="H315" s="21">
        <v>52.126800000000003</v>
      </c>
      <c r="I315" s="21">
        <v>-1.5832499999999999E-2</v>
      </c>
      <c r="J315" s="21">
        <v>305</v>
      </c>
      <c r="K315" s="21">
        <v>0.26345800000000003</v>
      </c>
      <c r="L315">
        <f t="shared" si="48"/>
        <v>15.8325</v>
      </c>
      <c r="M315">
        <f t="shared" si="49"/>
        <v>4.1818382249999999</v>
      </c>
      <c r="N315" s="9"/>
      <c r="O315" s="21">
        <v>1.4358500000000001</v>
      </c>
      <c r="P315" s="21">
        <v>101.553</v>
      </c>
      <c r="Q315" s="21">
        <v>-1.3339200000000001E-2</v>
      </c>
      <c r="R315" s="21">
        <v>305</v>
      </c>
      <c r="S315" s="21">
        <v>1.4346300000000001</v>
      </c>
      <c r="T315">
        <f t="shared" si="50"/>
        <v>13.3392</v>
      </c>
      <c r="U315">
        <f t="shared" si="51"/>
        <v>19.15309032</v>
      </c>
      <c r="X315" s="9"/>
      <c r="Y315" s="21">
        <v>0.26412999999999998</v>
      </c>
      <c r="Z315" s="21">
        <v>131.01</v>
      </c>
      <c r="AA315" s="21">
        <v>-1.5753199999999998E-2</v>
      </c>
      <c r="AB315" s="21">
        <v>305</v>
      </c>
      <c r="AC315" s="21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1">
        <v>1.4358500000000001</v>
      </c>
      <c r="AH315" s="21">
        <v>180.48400000000001</v>
      </c>
      <c r="AI315" s="21">
        <v>-1.3162200000000001E-2</v>
      </c>
      <c r="AJ315" s="21">
        <v>305</v>
      </c>
      <c r="AK315" s="21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1">
        <v>0.26412999999999998</v>
      </c>
      <c r="AR315" s="21">
        <v>229.93</v>
      </c>
      <c r="AS315" s="21">
        <v>-1.5634200000000001E-2</v>
      </c>
      <c r="AT315" s="21">
        <v>305</v>
      </c>
      <c r="AU315" s="21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1">
        <v>1.4358500000000001</v>
      </c>
      <c r="AZ315" s="21">
        <v>264.27</v>
      </c>
      <c r="BA315" s="21">
        <v>-1.30005E-2</v>
      </c>
      <c r="BB315" s="21">
        <v>305</v>
      </c>
      <c r="BC315" s="21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1">
        <v>0.25909399999999999</v>
      </c>
      <c r="H316" s="21">
        <v>52.136899999999997</v>
      </c>
      <c r="I316" s="21">
        <v>-1.5832499999999999E-2</v>
      </c>
      <c r="J316" s="21">
        <v>306</v>
      </c>
      <c r="K316" s="21">
        <v>0.25845299999999999</v>
      </c>
      <c r="L316">
        <f t="shared" si="48"/>
        <v>15.8325</v>
      </c>
      <c r="M316">
        <f t="shared" si="49"/>
        <v>4.1021057550000002</v>
      </c>
      <c r="N316" s="9"/>
      <c r="O316" s="21">
        <v>1.44089</v>
      </c>
      <c r="P316" s="21">
        <v>101.563</v>
      </c>
      <c r="Q316" s="21">
        <v>-1.32721E-2</v>
      </c>
      <c r="R316" s="21">
        <v>306</v>
      </c>
      <c r="S316" s="21">
        <v>1.4395100000000001</v>
      </c>
      <c r="T316">
        <f t="shared" si="50"/>
        <v>13.2721</v>
      </c>
      <c r="U316">
        <f t="shared" si="51"/>
        <v>19.123636169000001</v>
      </c>
      <c r="X316" s="9"/>
      <c r="Y316" s="21">
        <v>0.25909399999999999</v>
      </c>
      <c r="Z316" s="21">
        <v>131.02000000000001</v>
      </c>
      <c r="AA316" s="21">
        <v>-1.57501E-2</v>
      </c>
      <c r="AB316" s="21">
        <v>306</v>
      </c>
      <c r="AC316" s="21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1">
        <v>1.44089</v>
      </c>
      <c r="AH316" s="21">
        <v>180.494</v>
      </c>
      <c r="AI316" s="21">
        <v>-1.3089E-2</v>
      </c>
      <c r="AJ316" s="21">
        <v>306</v>
      </c>
      <c r="AK316" s="21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1">
        <v>0.25909399999999999</v>
      </c>
      <c r="AR316" s="21">
        <v>229.94</v>
      </c>
      <c r="AS316" s="21">
        <v>-1.5643299999999999E-2</v>
      </c>
      <c r="AT316" s="21">
        <v>306</v>
      </c>
      <c r="AU316" s="21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1">
        <v>1.44089</v>
      </c>
      <c r="AZ316" s="21">
        <v>264.27999999999997</v>
      </c>
      <c r="BA316" s="21">
        <v>-1.29395E-2</v>
      </c>
      <c r="BB316" s="21">
        <v>306</v>
      </c>
      <c r="BC316" s="21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1">
        <v>0.25405899999999998</v>
      </c>
      <c r="H317" s="21">
        <v>52.146900000000002</v>
      </c>
      <c r="I317" s="21">
        <v>-1.58295E-2</v>
      </c>
      <c r="J317" s="21">
        <v>307</v>
      </c>
      <c r="K317" s="21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1">
        <v>1.4459200000000001</v>
      </c>
      <c r="P317" s="21">
        <v>101.57299999999999</v>
      </c>
      <c r="Q317" s="21">
        <v>-1.3195800000000001E-2</v>
      </c>
      <c r="R317" s="21">
        <v>307</v>
      </c>
      <c r="S317" s="21">
        <v>1.4459200000000001</v>
      </c>
      <c r="T317">
        <f t="shared" si="50"/>
        <v>13.1958</v>
      </c>
      <c r="U317">
        <f t="shared" si="51"/>
        <v>19.080071136000001</v>
      </c>
      <c r="X317" s="9"/>
      <c r="Y317" s="21">
        <v>0.25405899999999998</v>
      </c>
      <c r="Z317" s="21">
        <v>131.03</v>
      </c>
      <c r="AA317" s="21">
        <v>-1.57501E-2</v>
      </c>
      <c r="AB317" s="21">
        <v>307</v>
      </c>
      <c r="AC317" s="21">
        <v>0.253357</v>
      </c>
      <c r="AD317">
        <f t="shared" si="52"/>
        <v>15.7501</v>
      </c>
      <c r="AE317">
        <f t="shared" si="53"/>
        <v>4.0014546558999999</v>
      </c>
      <c r="AF317" s="9"/>
      <c r="AG317" s="21">
        <v>1.4459200000000001</v>
      </c>
      <c r="AH317" s="21">
        <v>180.50399999999999</v>
      </c>
      <c r="AI317" s="21">
        <v>-1.30096E-2</v>
      </c>
      <c r="AJ317" s="21">
        <v>307</v>
      </c>
      <c r="AK317" s="21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1">
        <v>0.25405899999999998</v>
      </c>
      <c r="AR317" s="21">
        <v>229.95</v>
      </c>
      <c r="AS317" s="21">
        <v>-1.5649400000000001E-2</v>
      </c>
      <c r="AT317" s="21">
        <v>307</v>
      </c>
      <c r="AU317" s="21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1">
        <v>1.4459200000000001</v>
      </c>
      <c r="AZ317" s="21">
        <v>264.29000000000002</v>
      </c>
      <c r="BA317" s="21">
        <v>-1.28754E-2</v>
      </c>
      <c r="BB317" s="21">
        <v>307</v>
      </c>
      <c r="BC317" s="21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1">
        <v>0.24902299999999999</v>
      </c>
      <c r="H318" s="21">
        <v>52.156999999999996</v>
      </c>
      <c r="I318" s="21">
        <v>-1.58295E-2</v>
      </c>
      <c r="J318" s="21">
        <v>308</v>
      </c>
      <c r="K318" s="21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1">
        <v>1.45096</v>
      </c>
      <c r="P318" s="21">
        <v>101.583</v>
      </c>
      <c r="Q318" s="21">
        <v>-1.31165E-2</v>
      </c>
      <c r="R318" s="21">
        <v>308</v>
      </c>
      <c r="S318" s="21">
        <v>1.4504999999999999</v>
      </c>
      <c r="T318">
        <f t="shared" si="50"/>
        <v>13.1165</v>
      </c>
      <c r="U318">
        <f t="shared" si="51"/>
        <v>19.031516840000002</v>
      </c>
      <c r="X318" s="9"/>
      <c r="Y318" s="21">
        <v>0.24902299999999999</v>
      </c>
      <c r="Z318" s="21">
        <v>131.04</v>
      </c>
      <c r="AA318" s="21">
        <v>-1.5753199999999998E-2</v>
      </c>
      <c r="AB318" s="21">
        <v>308</v>
      </c>
      <c r="AC318" s="21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1">
        <v>1.45096</v>
      </c>
      <c r="AH318" s="21">
        <v>180.51400000000001</v>
      </c>
      <c r="AI318" s="21">
        <v>-1.29333E-2</v>
      </c>
      <c r="AJ318" s="21">
        <v>308</v>
      </c>
      <c r="AK318" s="21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1">
        <v>0.24902299999999999</v>
      </c>
      <c r="AR318" s="21">
        <v>229.96</v>
      </c>
      <c r="AS318" s="21">
        <v>-1.5649400000000001E-2</v>
      </c>
      <c r="AT318" s="21">
        <v>308</v>
      </c>
      <c r="AU318" s="21">
        <v>0.248444</v>
      </c>
      <c r="AV318">
        <f t="shared" si="56"/>
        <v>15.6494</v>
      </c>
      <c r="AW318">
        <f t="shared" si="57"/>
        <v>3.8970605361999997</v>
      </c>
      <c r="AX318" s="9"/>
      <c r="AY318" s="21">
        <v>1.45096</v>
      </c>
      <c r="AZ318" s="21">
        <v>264.3</v>
      </c>
      <c r="BA318" s="21">
        <v>-1.28021E-2</v>
      </c>
      <c r="BB318" s="21">
        <v>308</v>
      </c>
      <c r="BC318" s="21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1">
        <v>0.24398800000000001</v>
      </c>
      <c r="H319" s="21">
        <v>52.167099999999998</v>
      </c>
      <c r="I319" s="21">
        <v>-1.58295E-2</v>
      </c>
      <c r="J319" s="21">
        <v>309</v>
      </c>
      <c r="K319" s="21">
        <v>0.243225</v>
      </c>
      <c r="L319">
        <f t="shared" si="48"/>
        <v>15.829499999999999</v>
      </c>
      <c r="M319">
        <f t="shared" si="49"/>
        <v>3.8622080460000001</v>
      </c>
      <c r="N319" s="9"/>
      <c r="O319" s="21">
        <v>1.4559899999999999</v>
      </c>
      <c r="P319" s="21">
        <v>101.593</v>
      </c>
      <c r="Q319" s="21">
        <v>-1.30341E-2</v>
      </c>
      <c r="R319" s="21">
        <v>309</v>
      </c>
      <c r="S319" s="21">
        <v>1.4553799999999999</v>
      </c>
      <c r="T319">
        <f t="shared" si="50"/>
        <v>13.0341</v>
      </c>
      <c r="U319">
        <f t="shared" si="51"/>
        <v>18.977519259000001</v>
      </c>
      <c r="X319" s="9"/>
      <c r="Y319" s="21">
        <v>0.24398800000000001</v>
      </c>
      <c r="Z319" s="21">
        <v>131.05099999999999</v>
      </c>
      <c r="AA319" s="21">
        <v>-1.5756200000000001E-2</v>
      </c>
      <c r="AB319" s="21">
        <v>309</v>
      </c>
      <c r="AC319" s="21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1">
        <v>1.4559899999999999</v>
      </c>
      <c r="AH319" s="21">
        <v>180.524</v>
      </c>
      <c r="AI319" s="21">
        <v>-1.28418E-2</v>
      </c>
      <c r="AJ319" s="21">
        <v>309</v>
      </c>
      <c r="AK319" s="21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1">
        <v>0.24398800000000001</v>
      </c>
      <c r="AR319" s="21">
        <v>229.97</v>
      </c>
      <c r="AS319" s="21">
        <v>-1.5649400000000001E-2</v>
      </c>
      <c r="AT319" s="21">
        <v>309</v>
      </c>
      <c r="AU319" s="21">
        <v>0.243286</v>
      </c>
      <c r="AV319">
        <f t="shared" si="56"/>
        <v>15.6494</v>
      </c>
      <c r="AW319">
        <f t="shared" si="57"/>
        <v>3.8182658072</v>
      </c>
      <c r="AX319" s="9"/>
      <c r="AY319" s="21">
        <v>1.4559899999999999</v>
      </c>
      <c r="AZ319" s="21">
        <v>264.31099999999998</v>
      </c>
      <c r="BA319" s="21">
        <v>-1.2722799999999999E-2</v>
      </c>
      <c r="BB319" s="21">
        <v>309</v>
      </c>
      <c r="BC319" s="21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1">
        <v>0.238953</v>
      </c>
      <c r="H320" s="21">
        <v>52.177100000000003</v>
      </c>
      <c r="I320" s="21">
        <v>-1.5832499999999999E-2</v>
      </c>
      <c r="J320" s="21">
        <v>310</v>
      </c>
      <c r="K320" s="21">
        <v>0.238342</v>
      </c>
      <c r="L320">
        <f t="shared" si="48"/>
        <v>15.8325</v>
      </c>
      <c r="M320">
        <f t="shared" si="49"/>
        <v>3.7832233724999997</v>
      </c>
      <c r="N320" s="9"/>
      <c r="O320" s="21">
        <v>1.4610300000000001</v>
      </c>
      <c r="P320" s="21">
        <v>101.604</v>
      </c>
      <c r="Q320" s="21">
        <v>-1.2948599999999999E-2</v>
      </c>
      <c r="R320" s="21">
        <v>310</v>
      </c>
      <c r="S320" s="21">
        <v>1.46027</v>
      </c>
      <c r="T320">
        <f t="shared" si="50"/>
        <v>12.948599999999999</v>
      </c>
      <c r="U320">
        <f t="shared" si="51"/>
        <v>18.918293058</v>
      </c>
      <c r="X320" s="9"/>
      <c r="Y320" s="21">
        <v>0.238953</v>
      </c>
      <c r="Z320" s="21">
        <v>131.06100000000001</v>
      </c>
      <c r="AA320" s="21">
        <v>-1.57593E-2</v>
      </c>
      <c r="AB320" s="21">
        <v>310</v>
      </c>
      <c r="AC320" s="21">
        <v>0.238373</v>
      </c>
      <c r="AD320">
        <f t="shared" si="52"/>
        <v>15.7593</v>
      </c>
      <c r="AE320">
        <f t="shared" si="53"/>
        <v>3.7657320129</v>
      </c>
      <c r="AF320" s="9"/>
      <c r="AG320" s="21">
        <v>1.4610300000000001</v>
      </c>
      <c r="AH320" s="21">
        <v>180.53399999999999</v>
      </c>
      <c r="AI320" s="21">
        <v>-1.27533E-2</v>
      </c>
      <c r="AJ320" s="21">
        <v>310</v>
      </c>
      <c r="AK320" s="21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1">
        <v>0.238953</v>
      </c>
      <c r="AR320" s="21">
        <v>229.98</v>
      </c>
      <c r="AS320" s="21">
        <v>-1.5655499999999999E-2</v>
      </c>
      <c r="AT320" s="21">
        <v>310</v>
      </c>
      <c r="AU320" s="21">
        <v>0.238373</v>
      </c>
      <c r="AV320">
        <f t="shared" si="56"/>
        <v>15.6555</v>
      </c>
      <c r="AW320">
        <f t="shared" si="57"/>
        <v>3.7409286915000002</v>
      </c>
      <c r="AX320" s="9"/>
      <c r="AY320" s="21">
        <v>1.4610300000000001</v>
      </c>
      <c r="AZ320" s="21">
        <v>264.32100000000003</v>
      </c>
      <c r="BA320" s="21">
        <v>-1.2634299999999999E-2</v>
      </c>
      <c r="BB320" s="21">
        <v>310</v>
      </c>
      <c r="BC320" s="21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1">
        <v>0.23391700000000001</v>
      </c>
      <c r="H321" s="21">
        <v>52.187199999999997</v>
      </c>
      <c r="I321" s="21">
        <v>-1.5838600000000001E-2</v>
      </c>
      <c r="J321" s="21">
        <v>311</v>
      </c>
      <c r="K321" s="21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1">
        <v>1.4660599999999999</v>
      </c>
      <c r="P321" s="21">
        <v>101.614</v>
      </c>
      <c r="Q321" s="21">
        <v>-1.2854000000000001E-2</v>
      </c>
      <c r="R321" s="21">
        <v>311</v>
      </c>
      <c r="S321" s="21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1">
        <v>0.23391700000000001</v>
      </c>
      <c r="Z321" s="21">
        <v>131.071</v>
      </c>
      <c r="AA321" s="21">
        <v>-1.57623E-2</v>
      </c>
      <c r="AB321" s="21">
        <v>311</v>
      </c>
      <c r="AC321" s="21">
        <v>0.233429</v>
      </c>
      <c r="AD321">
        <f t="shared" si="52"/>
        <v>15.7623</v>
      </c>
      <c r="AE321">
        <f t="shared" si="53"/>
        <v>3.6870699291000002</v>
      </c>
      <c r="AF321" s="9"/>
      <c r="AG321" s="21">
        <v>1.4660599999999999</v>
      </c>
      <c r="AH321" s="21">
        <v>180.54400000000001</v>
      </c>
      <c r="AI321" s="21">
        <v>-1.26678E-2</v>
      </c>
      <c r="AJ321" s="21">
        <v>311</v>
      </c>
      <c r="AK321" s="21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1">
        <v>0.23391700000000001</v>
      </c>
      <c r="AR321" s="21">
        <v>229.99100000000001</v>
      </c>
      <c r="AS321" s="21">
        <v>-1.56647E-2</v>
      </c>
      <c r="AT321" s="21">
        <v>311</v>
      </c>
      <c r="AU321" s="21">
        <v>0.23336799999999999</v>
      </c>
      <c r="AV321">
        <f t="shared" si="56"/>
        <v>15.6647</v>
      </c>
      <c r="AW321">
        <f t="shared" si="57"/>
        <v>3.6642396299</v>
      </c>
      <c r="AX321" s="9"/>
      <c r="AY321" s="21">
        <v>1.4660599999999999</v>
      </c>
      <c r="AZ321" s="21">
        <v>264.33100000000002</v>
      </c>
      <c r="BA321" s="21">
        <v>-1.2545799999999999E-2</v>
      </c>
      <c r="BB321" s="21">
        <v>311</v>
      </c>
      <c r="BC321" s="21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1">
        <v>0.228882</v>
      </c>
      <c r="H322" s="21">
        <v>52.197299999999998</v>
      </c>
      <c r="I322" s="21">
        <v>-1.5838600000000001E-2</v>
      </c>
      <c r="J322" s="21">
        <v>312</v>
      </c>
      <c r="K322" s="21">
        <v>0.22821</v>
      </c>
      <c r="L322">
        <f t="shared" si="48"/>
        <v>15.838600000000001</v>
      </c>
      <c r="M322">
        <f t="shared" si="49"/>
        <v>3.6251704452000002</v>
      </c>
      <c r="N322" s="9"/>
      <c r="O322" s="21">
        <v>1.4711000000000001</v>
      </c>
      <c r="P322" s="21">
        <v>101.624</v>
      </c>
      <c r="Q322" s="21">
        <v>-1.2765500000000001E-2</v>
      </c>
      <c r="R322" s="21">
        <v>312</v>
      </c>
      <c r="S322" s="21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1">
        <v>0.228882</v>
      </c>
      <c r="Z322" s="21">
        <v>131.08099999999999</v>
      </c>
      <c r="AA322" s="21">
        <v>-1.5768399999999998E-2</v>
      </c>
      <c r="AB322" s="21">
        <v>312</v>
      </c>
      <c r="AC322" s="21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1">
        <v>1.4711000000000001</v>
      </c>
      <c r="AH322" s="21">
        <v>180.554</v>
      </c>
      <c r="AI322" s="21">
        <v>-1.25854E-2</v>
      </c>
      <c r="AJ322" s="21">
        <v>312</v>
      </c>
      <c r="AK322" s="21">
        <v>1.47034</v>
      </c>
      <c r="AL322">
        <f t="shared" si="54"/>
        <v>12.5854</v>
      </c>
      <c r="AM322">
        <f t="shared" si="55"/>
        <v>18.51438194</v>
      </c>
      <c r="AP322" s="9"/>
      <c r="AQ322" s="21">
        <v>0.228882</v>
      </c>
      <c r="AR322" s="21">
        <v>230.001</v>
      </c>
      <c r="AS322" s="21">
        <v>-1.5673800000000002E-2</v>
      </c>
      <c r="AT322" s="21">
        <v>312</v>
      </c>
      <c r="AU322" s="21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1">
        <v>1.4711000000000001</v>
      </c>
      <c r="AZ322" s="21">
        <v>264.34100000000001</v>
      </c>
      <c r="BA322" s="21">
        <v>-1.2457299999999999E-2</v>
      </c>
      <c r="BB322" s="21">
        <v>312</v>
      </c>
      <c r="BC322" s="21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1">
        <v>0.22384599999999999</v>
      </c>
      <c r="H323" s="21">
        <v>52.2074</v>
      </c>
      <c r="I323" s="21">
        <v>-1.58417E-2</v>
      </c>
      <c r="J323" s="21">
        <v>313</v>
      </c>
      <c r="K323" s="21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1">
        <v>1.47614</v>
      </c>
      <c r="P323" s="21">
        <v>101.634</v>
      </c>
      <c r="Q323" s="21">
        <v>-1.2674E-2</v>
      </c>
      <c r="R323" s="21">
        <v>313</v>
      </c>
      <c r="S323" s="21">
        <v>1.47522</v>
      </c>
      <c r="T323">
        <f t="shared" si="50"/>
        <v>12.673999999999999</v>
      </c>
      <c r="U323">
        <f t="shared" si="51"/>
        <v>18.70859836</v>
      </c>
      <c r="X323" s="9"/>
      <c r="Y323" s="21">
        <v>0.22384599999999999</v>
      </c>
      <c r="Z323" s="21">
        <v>131.09100000000001</v>
      </c>
      <c r="AA323" s="21">
        <v>-1.5771500000000001E-2</v>
      </c>
      <c r="AB323" s="21">
        <v>313</v>
      </c>
      <c r="AC323" s="21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1">
        <v>1.47614</v>
      </c>
      <c r="AH323" s="21">
        <v>180.56399999999999</v>
      </c>
      <c r="AI323" s="21">
        <v>-1.24969E-2</v>
      </c>
      <c r="AJ323" s="21">
        <v>313</v>
      </c>
      <c r="AK323" s="21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1">
        <v>0.22384599999999999</v>
      </c>
      <c r="AR323" s="21">
        <v>230.011</v>
      </c>
      <c r="AS323" s="21">
        <v>-1.5676900000000001E-2</v>
      </c>
      <c r="AT323" s="21">
        <v>313</v>
      </c>
      <c r="AU323" s="21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1">
        <v>1.47614</v>
      </c>
      <c r="AZ323" s="21">
        <v>264.351</v>
      </c>
      <c r="BA323" s="21">
        <v>-1.2362700000000001E-2</v>
      </c>
      <c r="BB323" s="21">
        <v>313</v>
      </c>
      <c r="BC323" s="21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1">
        <v>0.21881100000000001</v>
      </c>
      <c r="H324" s="21">
        <v>52.217399999999998</v>
      </c>
      <c r="I324" s="21">
        <v>-1.5835599999999998E-2</v>
      </c>
      <c r="J324" s="21">
        <v>314</v>
      </c>
      <c r="K324" s="21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1">
        <v>1.4811700000000001</v>
      </c>
      <c r="P324" s="21">
        <v>101.64400000000001</v>
      </c>
      <c r="Q324" s="21">
        <v>-1.25763E-2</v>
      </c>
      <c r="R324" s="21">
        <v>314</v>
      </c>
      <c r="S324" s="21">
        <v>1.48041</v>
      </c>
      <c r="T324">
        <f t="shared" si="50"/>
        <v>12.5763</v>
      </c>
      <c r="U324">
        <f t="shared" si="51"/>
        <v>18.627638271000002</v>
      </c>
      <c r="X324" s="9"/>
      <c r="Y324" s="21">
        <v>0.21881100000000001</v>
      </c>
      <c r="Z324" s="21">
        <v>131.101</v>
      </c>
      <c r="AA324" s="21">
        <v>-1.5777599999999999E-2</v>
      </c>
      <c r="AB324" s="21">
        <v>314</v>
      </c>
      <c r="AC324" s="21">
        <v>0.21826200000000001</v>
      </c>
      <c r="AD324">
        <f t="shared" si="52"/>
        <v>15.7776</v>
      </c>
      <c r="AE324">
        <f t="shared" si="53"/>
        <v>3.4523124336</v>
      </c>
      <c r="AF324" s="9"/>
      <c r="AG324" s="21">
        <v>1.4811700000000001</v>
      </c>
      <c r="AH324" s="21">
        <v>180.57400000000001</v>
      </c>
      <c r="AI324" s="21">
        <v>-1.24054E-2</v>
      </c>
      <c r="AJ324" s="21">
        <v>314</v>
      </c>
      <c r="AK324" s="21">
        <v>1.48041</v>
      </c>
      <c r="AL324">
        <f t="shared" si="54"/>
        <v>12.4054</v>
      </c>
      <c r="AM324">
        <f t="shared" si="55"/>
        <v>18.374506318000002</v>
      </c>
      <c r="AP324" s="9"/>
      <c r="AQ324" s="21">
        <v>0.21881100000000001</v>
      </c>
      <c r="AR324" s="21">
        <v>230.02099999999999</v>
      </c>
      <c r="AS324" s="21">
        <v>-1.56799E-2</v>
      </c>
      <c r="AT324" s="21">
        <v>314</v>
      </c>
      <c r="AU324" s="21">
        <v>0.21817</v>
      </c>
      <c r="AV324">
        <f t="shared" si="56"/>
        <v>15.6799</v>
      </c>
      <c r="AW324">
        <f t="shared" si="57"/>
        <v>3.4309345989</v>
      </c>
      <c r="AX324" s="9"/>
      <c r="AY324" s="21">
        <v>1.4811700000000001</v>
      </c>
      <c r="AZ324" s="21">
        <v>264.36099999999999</v>
      </c>
      <c r="BA324" s="21">
        <v>-1.22711E-2</v>
      </c>
      <c r="BB324" s="21">
        <v>314</v>
      </c>
      <c r="BC324" s="21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1">
        <v>0.21377599999999999</v>
      </c>
      <c r="H325" s="21">
        <v>52.227499999999999</v>
      </c>
      <c r="I325" s="21">
        <v>-1.5832499999999999E-2</v>
      </c>
      <c r="J325" s="21">
        <v>315</v>
      </c>
      <c r="K325" s="21">
        <v>0.213287</v>
      </c>
      <c r="L325">
        <f t="shared" si="48"/>
        <v>15.8325</v>
      </c>
      <c r="M325">
        <f t="shared" si="49"/>
        <v>3.38460852</v>
      </c>
      <c r="N325" s="9"/>
      <c r="O325" s="21">
        <v>1.48621</v>
      </c>
      <c r="P325" s="21">
        <v>101.654</v>
      </c>
      <c r="Q325" s="21">
        <v>-1.2478599999999999E-2</v>
      </c>
      <c r="R325" s="21">
        <v>315</v>
      </c>
      <c r="S325" s="21">
        <v>1.4856</v>
      </c>
      <c r="T325">
        <f t="shared" si="50"/>
        <v>12.4786</v>
      </c>
      <c r="U325">
        <f t="shared" si="51"/>
        <v>18.545820106000001</v>
      </c>
      <c r="X325" s="9"/>
      <c r="Y325" s="21">
        <v>0.21377599999999999</v>
      </c>
      <c r="Z325" s="21">
        <v>131.11099999999999</v>
      </c>
      <c r="AA325" s="21">
        <v>-1.5777599999999999E-2</v>
      </c>
      <c r="AB325" s="21">
        <v>315</v>
      </c>
      <c r="AC325" s="21">
        <v>0.213257</v>
      </c>
      <c r="AD325">
        <f t="shared" si="52"/>
        <v>15.7776</v>
      </c>
      <c r="AE325">
        <f t="shared" si="53"/>
        <v>3.3728722175999999</v>
      </c>
      <c r="AF325" s="9"/>
      <c r="AG325" s="21">
        <v>1.48621</v>
      </c>
      <c r="AH325" s="21">
        <v>180.584</v>
      </c>
      <c r="AI325" s="21">
        <v>-1.23047E-2</v>
      </c>
      <c r="AJ325" s="21">
        <v>315</v>
      </c>
      <c r="AK325" s="21">
        <v>1.48529</v>
      </c>
      <c r="AL325">
        <f t="shared" si="54"/>
        <v>12.3047</v>
      </c>
      <c r="AM325">
        <f t="shared" si="55"/>
        <v>18.287368187000002</v>
      </c>
      <c r="AP325" s="9"/>
      <c r="AQ325" s="21">
        <v>0.21377599999999999</v>
      </c>
      <c r="AR325" s="21">
        <v>230.03100000000001</v>
      </c>
      <c r="AS325" s="21">
        <v>-1.56799E-2</v>
      </c>
      <c r="AT325" s="21">
        <v>315</v>
      </c>
      <c r="AU325" s="21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1">
        <v>1.48621</v>
      </c>
      <c r="AZ325" s="21">
        <v>264.37099999999998</v>
      </c>
      <c r="BA325" s="21">
        <v>-1.2164299999999999E-2</v>
      </c>
      <c r="BB325" s="21">
        <v>315</v>
      </c>
      <c r="BC325" s="21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1">
        <v>0.20874000000000001</v>
      </c>
      <c r="H326" s="21">
        <v>52.2376</v>
      </c>
      <c r="I326" s="21">
        <v>-1.5832499999999999E-2</v>
      </c>
      <c r="J326" s="21">
        <v>316</v>
      </c>
      <c r="K326" s="21">
        <v>0.20819099999999999</v>
      </c>
      <c r="L326">
        <f t="shared" si="48"/>
        <v>15.8325</v>
      </c>
      <c r="M326">
        <f t="shared" si="49"/>
        <v>3.3048760499999998</v>
      </c>
      <c r="N326" s="9"/>
      <c r="O326" s="21">
        <v>1.4912399999999999</v>
      </c>
      <c r="P326" s="21">
        <v>101.664</v>
      </c>
      <c r="Q326" s="21">
        <v>-1.2368799999999999E-2</v>
      </c>
      <c r="R326" s="21">
        <v>316</v>
      </c>
      <c r="S326" s="21">
        <v>1.49078</v>
      </c>
      <c r="T326">
        <f t="shared" si="50"/>
        <v>12.368799999999998</v>
      </c>
      <c r="U326">
        <f t="shared" si="51"/>
        <v>18.444849311999995</v>
      </c>
      <c r="X326" s="9"/>
      <c r="Y326" s="21">
        <v>0.20874000000000001</v>
      </c>
      <c r="Z326" s="21">
        <v>131.12100000000001</v>
      </c>
      <c r="AA326" s="21">
        <v>-1.5780599999999999E-2</v>
      </c>
      <c r="AB326" s="21">
        <v>316</v>
      </c>
      <c r="AC326" s="21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1">
        <v>1.4912399999999999</v>
      </c>
      <c r="AH326" s="21">
        <v>180.59399999999999</v>
      </c>
      <c r="AI326" s="21">
        <v>-1.2200900000000001E-2</v>
      </c>
      <c r="AJ326" s="21">
        <v>316</v>
      </c>
      <c r="AK326" s="21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1">
        <v>0.20874000000000001</v>
      </c>
      <c r="AR326" s="21">
        <v>230.041</v>
      </c>
      <c r="AS326" s="21">
        <v>-1.5682999999999999E-2</v>
      </c>
      <c r="AT326" s="21">
        <v>316</v>
      </c>
      <c r="AU326" s="21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1">
        <v>1.4912399999999999</v>
      </c>
      <c r="AZ326" s="21">
        <v>264.38099999999997</v>
      </c>
      <c r="BA326" s="21">
        <v>-1.20483E-2</v>
      </c>
      <c r="BB326" s="21">
        <v>316</v>
      </c>
      <c r="BC326" s="21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1">
        <v>0.203705</v>
      </c>
      <c r="H327" s="21">
        <v>52.247599999999998</v>
      </c>
      <c r="I327" s="21">
        <v>-1.58295E-2</v>
      </c>
      <c r="J327" s="21">
        <v>317</v>
      </c>
      <c r="K327" s="21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1">
        <v>1.4962800000000001</v>
      </c>
      <c r="P327" s="21">
        <v>101.67400000000001</v>
      </c>
      <c r="Q327" s="21">
        <v>-1.22589E-2</v>
      </c>
      <c r="R327" s="21">
        <v>317</v>
      </c>
      <c r="S327" s="21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1">
        <v>0.203705</v>
      </c>
      <c r="Z327" s="21">
        <v>131.131</v>
      </c>
      <c r="AA327" s="21">
        <v>-1.5777599999999999E-2</v>
      </c>
      <c r="AB327" s="21">
        <v>317</v>
      </c>
      <c r="AC327" s="21">
        <v>0.203156</v>
      </c>
      <c r="AD327">
        <f t="shared" si="52"/>
        <v>15.7776</v>
      </c>
      <c r="AE327">
        <f t="shared" si="53"/>
        <v>3.2139760079999999</v>
      </c>
      <c r="AF327" s="9"/>
      <c r="AG327" s="21">
        <v>1.4962800000000001</v>
      </c>
      <c r="AH327" s="21">
        <v>180.60499999999999</v>
      </c>
      <c r="AI327" s="21">
        <v>-1.2097200000000001E-2</v>
      </c>
      <c r="AJ327" s="21">
        <v>317</v>
      </c>
      <c r="AK327" s="21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1">
        <v>0.203705</v>
      </c>
      <c r="AR327" s="21">
        <v>230.05099999999999</v>
      </c>
      <c r="AS327" s="21">
        <v>-1.5682999999999999E-2</v>
      </c>
      <c r="AT327" s="21">
        <v>317</v>
      </c>
      <c r="AU327" s="21">
        <v>0.203094</v>
      </c>
      <c r="AV327">
        <f t="shared" si="56"/>
        <v>15.683</v>
      </c>
      <c r="AW327">
        <f t="shared" si="57"/>
        <v>3.1947055149999999</v>
      </c>
      <c r="AX327" s="9"/>
      <c r="AY327" s="21">
        <v>1.4962800000000001</v>
      </c>
      <c r="AZ327" s="21">
        <v>264.39100000000002</v>
      </c>
      <c r="BA327" s="21">
        <v>-1.19232E-2</v>
      </c>
      <c r="BB327" s="21">
        <v>317</v>
      </c>
      <c r="BC327" s="21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1">
        <v>0.19866900000000001</v>
      </c>
      <c r="H328" s="21">
        <v>52.2577</v>
      </c>
      <c r="I328" s="21">
        <v>-1.5835599999999998E-2</v>
      </c>
      <c r="J328" s="21">
        <v>318</v>
      </c>
      <c r="K328" s="21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1">
        <v>1.5013099999999999</v>
      </c>
      <c r="P328" s="21">
        <v>101.684</v>
      </c>
      <c r="Q328" s="21">
        <v>-1.2149E-2</v>
      </c>
      <c r="R328" s="21">
        <v>318</v>
      </c>
      <c r="S328" s="21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1">
        <v>0.19866900000000001</v>
      </c>
      <c r="Z328" s="21">
        <v>131.14099999999999</v>
      </c>
      <c r="AA328" s="21">
        <v>-1.5780599999999999E-2</v>
      </c>
      <c r="AB328" s="21">
        <v>318</v>
      </c>
      <c r="AC328" s="21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1">
        <v>1.5013099999999999</v>
      </c>
      <c r="AH328" s="21">
        <v>180.61500000000001</v>
      </c>
      <c r="AI328" s="21">
        <v>-1.19995E-2</v>
      </c>
      <c r="AJ328" s="21">
        <v>318</v>
      </c>
      <c r="AK328" s="21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1">
        <v>0.19866900000000001</v>
      </c>
      <c r="AR328" s="21">
        <v>230.06100000000001</v>
      </c>
      <c r="AS328" s="21">
        <v>-1.5682999999999999E-2</v>
      </c>
      <c r="AT328" s="21">
        <v>318</v>
      </c>
      <c r="AU328" s="21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1">
        <v>1.5013099999999999</v>
      </c>
      <c r="AZ328" s="21">
        <v>264.40100000000001</v>
      </c>
      <c r="BA328" s="21">
        <v>-1.1804200000000001E-2</v>
      </c>
      <c r="BB328" s="21">
        <v>318</v>
      </c>
      <c r="BC328" s="21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1">
        <v>0.193634</v>
      </c>
      <c r="H329" s="21">
        <v>52.267800000000001</v>
      </c>
      <c r="I329" s="21">
        <v>-1.5838600000000001E-2</v>
      </c>
      <c r="J329" s="21">
        <v>319</v>
      </c>
      <c r="K329" s="21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1">
        <v>1.5063500000000001</v>
      </c>
      <c r="P329" s="21">
        <v>101.694</v>
      </c>
      <c r="Q329" s="21">
        <v>-1.2036099999999999E-2</v>
      </c>
      <c r="R329" s="21">
        <v>319</v>
      </c>
      <c r="S329" s="21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1">
        <v>0.193634</v>
      </c>
      <c r="Z329" s="21">
        <v>131.15100000000001</v>
      </c>
      <c r="AA329" s="21">
        <v>-1.5786700000000001E-2</v>
      </c>
      <c r="AB329" s="21">
        <v>319</v>
      </c>
      <c r="AC329" s="21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1">
        <v>1.5063500000000001</v>
      </c>
      <c r="AH329" s="21">
        <v>180.625</v>
      </c>
      <c r="AI329" s="21">
        <v>-1.1898799999999999E-2</v>
      </c>
      <c r="AJ329" s="21">
        <v>319</v>
      </c>
      <c r="AK329" s="21">
        <v>1.50543</v>
      </c>
      <c r="AL329">
        <f t="shared" si="54"/>
        <v>11.8988</v>
      </c>
      <c r="AM329">
        <f t="shared" si="55"/>
        <v>17.923757380000001</v>
      </c>
      <c r="AP329" s="9"/>
      <c r="AQ329" s="21">
        <v>0.193634</v>
      </c>
      <c r="AR329" s="21">
        <v>230.071</v>
      </c>
      <c r="AS329" s="21">
        <v>-1.5682999999999999E-2</v>
      </c>
      <c r="AT329" s="21">
        <v>319</v>
      </c>
      <c r="AU329" s="21">
        <v>0.193054</v>
      </c>
      <c r="AV329">
        <f t="shared" si="56"/>
        <v>15.683</v>
      </c>
      <c r="AW329">
        <f t="shared" si="57"/>
        <v>3.036762022</v>
      </c>
      <c r="AX329" s="9"/>
      <c r="AY329" s="21">
        <v>1.5063500000000001</v>
      </c>
      <c r="AZ329" s="21">
        <v>264.411</v>
      </c>
      <c r="BA329" s="21">
        <v>-1.1688199999999999E-2</v>
      </c>
      <c r="BB329" s="21">
        <v>319</v>
      </c>
      <c r="BC329" s="21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1">
        <v>0.18859899999999999</v>
      </c>
      <c r="H330" s="21">
        <v>52.277900000000002</v>
      </c>
      <c r="I330" s="21">
        <v>-1.58447E-2</v>
      </c>
      <c r="J330" s="21">
        <v>320</v>
      </c>
      <c r="K330" s="21">
        <v>0.18798799999999999</v>
      </c>
      <c r="L330">
        <f t="shared" si="48"/>
        <v>15.8447</v>
      </c>
      <c r="M330">
        <f t="shared" si="49"/>
        <v>2.9882945752999999</v>
      </c>
      <c r="N330" s="9"/>
      <c r="O330" s="21">
        <v>1.5113799999999999</v>
      </c>
      <c r="P330" s="21">
        <v>101.70399999999999</v>
      </c>
      <c r="Q330" s="21">
        <v>-1.19171E-2</v>
      </c>
      <c r="R330" s="21">
        <v>320</v>
      </c>
      <c r="S330" s="21">
        <v>1.5106200000000001</v>
      </c>
      <c r="T330">
        <f t="shared" si="50"/>
        <v>11.9171</v>
      </c>
      <c r="U330">
        <f t="shared" si="51"/>
        <v>18.011266597999999</v>
      </c>
      <c r="X330" s="9"/>
      <c r="Y330" s="21">
        <v>0.18859899999999999</v>
      </c>
      <c r="Z330" s="21">
        <v>131.161</v>
      </c>
      <c r="AA330" s="21">
        <v>-1.57898E-2</v>
      </c>
      <c r="AB330" s="21">
        <v>320</v>
      </c>
      <c r="AC330" s="21">
        <v>0.18792700000000001</v>
      </c>
      <c r="AD330">
        <f t="shared" si="52"/>
        <v>15.7898</v>
      </c>
      <c r="AE330">
        <f t="shared" si="53"/>
        <v>2.9779404902</v>
      </c>
      <c r="AF330" s="9"/>
      <c r="AG330" s="21">
        <v>1.5113799999999999</v>
      </c>
      <c r="AH330" s="21">
        <v>180.63499999999999</v>
      </c>
      <c r="AI330" s="21">
        <v>-1.17859E-2</v>
      </c>
      <c r="AJ330" s="21">
        <v>320</v>
      </c>
      <c r="AK330" s="21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1">
        <v>0.18859899999999999</v>
      </c>
      <c r="AR330" s="21">
        <v>230.08099999999999</v>
      </c>
      <c r="AS330" s="21">
        <v>-1.56799E-2</v>
      </c>
      <c r="AT330" s="21">
        <v>320</v>
      </c>
      <c r="AU330" s="21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1">
        <v>1.5113799999999999</v>
      </c>
      <c r="AZ330" s="21">
        <v>264.42099999999999</v>
      </c>
      <c r="BA330" s="21">
        <v>-1.15662E-2</v>
      </c>
      <c r="BB330" s="21">
        <v>320</v>
      </c>
      <c r="BC330" s="21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1">
        <v>0.183563</v>
      </c>
      <c r="H331" s="21">
        <v>52.2879</v>
      </c>
      <c r="I331" s="21">
        <v>-1.5853900000000001E-2</v>
      </c>
      <c r="J331" s="21">
        <v>321</v>
      </c>
      <c r="K331" s="21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1">
        <v>1.5164200000000001</v>
      </c>
      <c r="P331" s="21">
        <v>101.714</v>
      </c>
      <c r="Q331" s="21">
        <v>-1.1792E-2</v>
      </c>
      <c r="R331" s="21">
        <v>321</v>
      </c>
      <c r="S331" s="21">
        <v>1.5158100000000001</v>
      </c>
      <c r="T331">
        <f t="shared" si="50"/>
        <v>11.792</v>
      </c>
      <c r="U331">
        <f t="shared" si="51"/>
        <v>17.881624640000002</v>
      </c>
      <c r="X331" s="9"/>
      <c r="Y331" s="21">
        <v>0.183563</v>
      </c>
      <c r="Z331" s="21">
        <v>131.17099999999999</v>
      </c>
      <c r="AA331" s="21">
        <v>-1.5786700000000001E-2</v>
      </c>
      <c r="AB331" s="21">
        <v>321</v>
      </c>
      <c r="AC331" s="21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1">
        <v>1.5164200000000001</v>
      </c>
      <c r="AH331" s="21">
        <v>180.64500000000001</v>
      </c>
      <c r="AI331" s="21">
        <v>-1.1672999999999999E-2</v>
      </c>
      <c r="AJ331" s="21">
        <v>321</v>
      </c>
      <c r="AK331" s="21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1">
        <v>0.183563</v>
      </c>
      <c r="AR331" s="21">
        <v>230.09100000000001</v>
      </c>
      <c r="AS331" s="21">
        <v>-1.56799E-2</v>
      </c>
      <c r="AT331" s="21">
        <v>321</v>
      </c>
      <c r="AU331" s="21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1">
        <v>1.5164200000000001</v>
      </c>
      <c r="AZ331" s="21">
        <v>264.43099999999998</v>
      </c>
      <c r="BA331" s="21">
        <v>-1.14441E-2</v>
      </c>
      <c r="BB331" s="21">
        <v>321</v>
      </c>
      <c r="BC331" s="21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1">
        <v>0.17852799999999999</v>
      </c>
      <c r="H332" s="21">
        <v>52.298000000000002</v>
      </c>
      <c r="I332" s="21">
        <v>-1.5866100000000001E-2</v>
      </c>
      <c r="J332" s="21">
        <v>322</v>
      </c>
      <c r="K332" s="21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1">
        <v>1.52145</v>
      </c>
      <c r="P332" s="21">
        <v>101.724</v>
      </c>
      <c r="Q332" s="21">
        <v>-1.1660800000000001E-2</v>
      </c>
      <c r="R332" s="21">
        <v>322</v>
      </c>
      <c r="S332" s="21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1">
        <v>0.17852799999999999</v>
      </c>
      <c r="Z332" s="21">
        <v>131.18100000000001</v>
      </c>
      <c r="AA332" s="21">
        <v>-1.5786700000000001E-2</v>
      </c>
      <c r="AB332" s="21">
        <v>322</v>
      </c>
      <c r="AC332" s="21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1">
        <v>1.52145</v>
      </c>
      <c r="AH332" s="21">
        <v>180.655</v>
      </c>
      <c r="AI332" s="21">
        <v>-1.15601E-2</v>
      </c>
      <c r="AJ332" s="21">
        <v>322</v>
      </c>
      <c r="AK332" s="21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1">
        <v>0.17852799999999999</v>
      </c>
      <c r="AR332" s="21">
        <v>230.101</v>
      </c>
      <c r="AS332" s="21">
        <v>-1.5682999999999999E-2</v>
      </c>
      <c r="AT332" s="21">
        <v>322</v>
      </c>
      <c r="AU332" s="21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1">
        <v>1.52145</v>
      </c>
      <c r="AZ332" s="21">
        <v>264.44099999999997</v>
      </c>
      <c r="BA332" s="21">
        <v>-1.13159E-2</v>
      </c>
      <c r="BB332" s="21">
        <v>322</v>
      </c>
      <c r="BC332" s="21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1">
        <v>0.17349200000000001</v>
      </c>
      <c r="H333" s="21">
        <v>52.308100000000003</v>
      </c>
      <c r="I333" s="21">
        <v>-1.58722E-2</v>
      </c>
      <c r="J333" s="21">
        <v>323</v>
      </c>
      <c r="K333" s="21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1">
        <v>1.5264899999999999</v>
      </c>
      <c r="P333" s="21">
        <v>101.73399999999999</v>
      </c>
      <c r="Q333" s="21">
        <v>-1.15265E-2</v>
      </c>
      <c r="R333" s="21">
        <v>323</v>
      </c>
      <c r="S333" s="21">
        <v>1.5255700000000001</v>
      </c>
      <c r="T333">
        <f t="shared" si="62"/>
        <v>11.5265</v>
      </c>
      <c r="U333">
        <f t="shared" si="63"/>
        <v>17.595086984999998</v>
      </c>
      <c r="X333" s="9"/>
      <c r="Y333" s="21">
        <v>0.17349200000000001</v>
      </c>
      <c r="Z333" s="21">
        <v>131.19200000000001</v>
      </c>
      <c r="AA333" s="21">
        <v>-1.57898E-2</v>
      </c>
      <c r="AB333" s="21">
        <v>323</v>
      </c>
      <c r="AC333" s="21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1">
        <v>1.5264899999999999</v>
      </c>
      <c r="AH333" s="21">
        <v>180.66499999999999</v>
      </c>
      <c r="AI333" s="21">
        <v>-1.14349E-2</v>
      </c>
      <c r="AJ333" s="21">
        <v>323</v>
      </c>
      <c r="AK333" s="21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1">
        <v>0.17349200000000001</v>
      </c>
      <c r="AR333" s="21">
        <v>230.11099999999999</v>
      </c>
      <c r="AS333" s="21">
        <v>-1.5682999999999999E-2</v>
      </c>
      <c r="AT333" s="21">
        <v>323</v>
      </c>
      <c r="AU333" s="21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1">
        <v>1.5264899999999999</v>
      </c>
      <c r="AZ333" s="21">
        <v>264.452</v>
      </c>
      <c r="BA333" s="21">
        <v>-1.11877E-2</v>
      </c>
      <c r="BB333" s="21">
        <v>323</v>
      </c>
      <c r="BC333" s="21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1">
        <v>0.168457</v>
      </c>
      <c r="H334" s="21">
        <v>52.318100000000001</v>
      </c>
      <c r="I334" s="21">
        <v>-1.5875199999999999E-2</v>
      </c>
      <c r="J334" s="21">
        <v>324</v>
      </c>
      <c r="K334" s="21">
        <v>0.167877</v>
      </c>
      <c r="L334">
        <f t="shared" si="60"/>
        <v>15.8752</v>
      </c>
      <c r="M334">
        <f t="shared" si="61"/>
        <v>2.6742885664</v>
      </c>
      <c r="N334" s="9"/>
      <c r="O334" s="21">
        <v>1.53152</v>
      </c>
      <c r="P334" s="21">
        <v>101.745</v>
      </c>
      <c r="Q334" s="21">
        <v>-1.13861E-2</v>
      </c>
      <c r="R334" s="21">
        <v>324</v>
      </c>
      <c r="S334" s="21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1">
        <v>0.168457</v>
      </c>
      <c r="Z334" s="21">
        <v>131.202</v>
      </c>
      <c r="AA334" s="21">
        <v>-1.5786700000000001E-2</v>
      </c>
      <c r="AB334" s="21">
        <v>324</v>
      </c>
      <c r="AC334" s="21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1">
        <v>1.53152</v>
      </c>
      <c r="AH334" s="21">
        <v>180.67500000000001</v>
      </c>
      <c r="AI334" s="21">
        <v>-1.12976E-2</v>
      </c>
      <c r="AJ334" s="21">
        <v>324</v>
      </c>
      <c r="AK334" s="21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1">
        <v>0.168457</v>
      </c>
      <c r="AR334" s="21">
        <v>230.12100000000001</v>
      </c>
      <c r="AS334" s="21">
        <v>-1.56921E-2</v>
      </c>
      <c r="AT334" s="21">
        <v>324</v>
      </c>
      <c r="AU334" s="21">
        <v>0.167908</v>
      </c>
      <c r="AV334">
        <f t="shared" si="68"/>
        <v>15.6921</v>
      </c>
      <c r="AW334">
        <f t="shared" si="69"/>
        <v>2.6434440897</v>
      </c>
      <c r="AX334" s="9"/>
      <c r="AY334" s="21">
        <v>1.53152</v>
      </c>
      <c r="AZ334" s="21">
        <v>264.46199999999999</v>
      </c>
      <c r="BA334" s="21">
        <v>-1.1065699999999999E-2</v>
      </c>
      <c r="BB334" s="21">
        <v>324</v>
      </c>
      <c r="BC334" s="21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1">
        <v>0.16342200000000001</v>
      </c>
      <c r="H335" s="21">
        <v>52.328200000000002</v>
      </c>
      <c r="I335" s="21">
        <v>-1.58722E-2</v>
      </c>
      <c r="J335" s="21">
        <v>325</v>
      </c>
      <c r="K335" s="21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1">
        <v>1.5365599999999999</v>
      </c>
      <c r="P335" s="21">
        <v>101.755</v>
      </c>
      <c r="Q335" s="21">
        <v>-1.1239600000000001E-2</v>
      </c>
      <c r="R335" s="21">
        <v>325</v>
      </c>
      <c r="S335" s="21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1">
        <v>0.16342200000000001</v>
      </c>
      <c r="Z335" s="21">
        <v>131.21199999999999</v>
      </c>
      <c r="AA335" s="21">
        <v>-1.5783700000000001E-2</v>
      </c>
      <c r="AB335" s="21">
        <v>325</v>
      </c>
      <c r="AC335" s="21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1">
        <v>1.5365599999999999</v>
      </c>
      <c r="AH335" s="21">
        <v>180.685</v>
      </c>
      <c r="AI335" s="21">
        <v>-1.1157200000000001E-2</v>
      </c>
      <c r="AJ335" s="21">
        <v>325</v>
      </c>
      <c r="AK335" s="21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1">
        <v>0.16342200000000001</v>
      </c>
      <c r="AR335" s="21">
        <v>230.13200000000001</v>
      </c>
      <c r="AS335" s="21">
        <v>-1.5695199999999999E-2</v>
      </c>
      <c r="AT335" s="21">
        <v>325</v>
      </c>
      <c r="AU335" s="21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1">
        <v>1.5365599999999999</v>
      </c>
      <c r="AZ335" s="21">
        <v>264.47199999999998</v>
      </c>
      <c r="BA335" s="21">
        <v>-1.0925300000000001E-2</v>
      </c>
      <c r="BB335" s="21">
        <v>325</v>
      </c>
      <c r="BC335" s="21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1">
        <v>0.158386</v>
      </c>
      <c r="H336" s="21">
        <v>52.338299999999997</v>
      </c>
      <c r="I336" s="21">
        <v>-1.5869100000000001E-2</v>
      </c>
      <c r="J336" s="21">
        <v>326</v>
      </c>
      <c r="K336" s="21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1">
        <v>1.5416000000000001</v>
      </c>
      <c r="P336" s="21">
        <v>101.765</v>
      </c>
      <c r="Q336" s="21">
        <v>-1.1096200000000001E-2</v>
      </c>
      <c r="R336" s="21">
        <v>326</v>
      </c>
      <c r="S336" s="21">
        <v>1.54053</v>
      </c>
      <c r="T336">
        <f t="shared" si="62"/>
        <v>11.0962</v>
      </c>
      <c r="U336">
        <f t="shared" si="63"/>
        <v>17.105901920000001</v>
      </c>
      <c r="X336" s="9"/>
      <c r="Y336" s="21">
        <v>0.158386</v>
      </c>
      <c r="Z336" s="21">
        <v>131.22200000000001</v>
      </c>
      <c r="AA336" s="21">
        <v>-1.5783700000000001E-2</v>
      </c>
      <c r="AB336" s="21">
        <v>326</v>
      </c>
      <c r="AC336" s="21">
        <v>0.157806</v>
      </c>
      <c r="AD336">
        <f t="shared" si="64"/>
        <v>15.783700000000001</v>
      </c>
      <c r="AE336">
        <f t="shared" si="65"/>
        <v>2.4999171082</v>
      </c>
      <c r="AF336" s="9"/>
      <c r="AG336" s="21">
        <v>1.5416000000000001</v>
      </c>
      <c r="AH336" s="21">
        <v>180.69499999999999</v>
      </c>
      <c r="AI336" s="21">
        <v>-1.10107E-2</v>
      </c>
      <c r="AJ336" s="21">
        <v>326</v>
      </c>
      <c r="AK336" s="21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1">
        <v>0.158386</v>
      </c>
      <c r="AR336" s="21">
        <v>230.142</v>
      </c>
      <c r="AS336" s="21">
        <v>-1.5698199999999999E-2</v>
      </c>
      <c r="AT336" s="21">
        <v>326</v>
      </c>
      <c r="AU336" s="21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1">
        <v>1.5416000000000001</v>
      </c>
      <c r="AZ336" s="21">
        <v>264.48200000000003</v>
      </c>
      <c r="BA336" s="21">
        <v>-1.07727E-2</v>
      </c>
      <c r="BB336" s="21">
        <v>326</v>
      </c>
      <c r="BC336" s="21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1">
        <v>0.15335099999999999</v>
      </c>
      <c r="H337" s="21">
        <v>52.348399999999998</v>
      </c>
      <c r="I337" s="21">
        <v>-1.5869100000000001E-2</v>
      </c>
      <c r="J337" s="21">
        <v>327</v>
      </c>
      <c r="K337" s="21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1">
        <v>1.5466299999999999</v>
      </c>
      <c r="P337" s="21">
        <v>101.77500000000001</v>
      </c>
      <c r="Q337" s="21">
        <v>-1.0937499999999999E-2</v>
      </c>
      <c r="R337" s="21">
        <v>327</v>
      </c>
      <c r="S337" s="21">
        <v>1.5460199999999999</v>
      </c>
      <c r="T337">
        <f t="shared" si="62"/>
        <v>10.9375</v>
      </c>
      <c r="U337">
        <f t="shared" si="63"/>
        <v>16.916265625000001</v>
      </c>
      <c r="X337" s="9"/>
      <c r="Y337" s="21">
        <v>0.15335099999999999</v>
      </c>
      <c r="Z337" s="21">
        <v>131.232</v>
      </c>
      <c r="AA337" s="21">
        <v>-1.5786700000000001E-2</v>
      </c>
      <c r="AB337" s="21">
        <v>327</v>
      </c>
      <c r="AC337" s="21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1">
        <v>1.5466299999999999</v>
      </c>
      <c r="AH337" s="21">
        <v>180.70500000000001</v>
      </c>
      <c r="AI337" s="21">
        <v>-1.08643E-2</v>
      </c>
      <c r="AJ337" s="21">
        <v>327</v>
      </c>
      <c r="AK337" s="21">
        <v>1.54633</v>
      </c>
      <c r="AL337">
        <f t="shared" si="66"/>
        <v>10.8643</v>
      </c>
      <c r="AM337">
        <f t="shared" si="67"/>
        <v>16.803052308999998</v>
      </c>
      <c r="AP337" s="9"/>
      <c r="AQ337" s="21">
        <v>0.15335099999999999</v>
      </c>
      <c r="AR337" s="21">
        <v>230.15199999999999</v>
      </c>
      <c r="AS337" s="21">
        <v>-1.5701300000000001E-2</v>
      </c>
      <c r="AT337" s="21">
        <v>327</v>
      </c>
      <c r="AU337" s="21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1">
        <v>1.5466299999999999</v>
      </c>
      <c r="AZ337" s="21">
        <v>264.49200000000002</v>
      </c>
      <c r="BA337" s="21">
        <v>-1.0617100000000001E-2</v>
      </c>
      <c r="BB337" s="21">
        <v>327</v>
      </c>
      <c r="BC337" s="21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1">
        <v>0.148315</v>
      </c>
      <c r="H338" s="21">
        <v>52.358400000000003</v>
      </c>
      <c r="I338" s="21">
        <v>-1.58722E-2</v>
      </c>
      <c r="J338" s="21">
        <v>328</v>
      </c>
      <c r="K338" s="21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1">
        <v>1.5516700000000001</v>
      </c>
      <c r="P338" s="21">
        <v>101.785</v>
      </c>
      <c r="Q338" s="21">
        <v>-1.07758E-2</v>
      </c>
      <c r="R338" s="21">
        <v>328</v>
      </c>
      <c r="S338" s="21">
        <v>1.55121</v>
      </c>
      <c r="T338">
        <f t="shared" si="62"/>
        <v>10.7758</v>
      </c>
      <c r="U338">
        <f t="shared" si="63"/>
        <v>16.720485586000002</v>
      </c>
      <c r="X338" s="9"/>
      <c r="Y338" s="21">
        <v>0.148315</v>
      </c>
      <c r="Z338" s="21">
        <v>131.24199999999999</v>
      </c>
      <c r="AA338" s="21">
        <v>-1.57898E-2</v>
      </c>
      <c r="AB338" s="21">
        <v>328</v>
      </c>
      <c r="AC338" s="21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1">
        <v>1.5516700000000001</v>
      </c>
      <c r="AH338" s="21">
        <v>180.715</v>
      </c>
      <c r="AI338" s="21">
        <v>-1.07086E-2</v>
      </c>
      <c r="AJ338" s="21">
        <v>328</v>
      </c>
      <c r="AK338" s="21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1">
        <v>0.148315</v>
      </c>
      <c r="AR338" s="21">
        <v>230.16200000000001</v>
      </c>
      <c r="AS338" s="21">
        <v>-1.5698199999999999E-2</v>
      </c>
      <c r="AT338" s="21">
        <v>328</v>
      </c>
      <c r="AU338" s="21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1">
        <v>1.5516700000000001</v>
      </c>
      <c r="AZ338" s="21">
        <v>264.50200000000001</v>
      </c>
      <c r="BA338" s="21">
        <v>-1.0455300000000001E-2</v>
      </c>
      <c r="BB338" s="21">
        <v>328</v>
      </c>
      <c r="BC338" s="21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1">
        <v>0.14327999999999999</v>
      </c>
      <c r="H339" s="21">
        <v>52.368499999999997</v>
      </c>
      <c r="I339" s="21">
        <v>-1.58722E-2</v>
      </c>
      <c r="J339" s="21">
        <v>329</v>
      </c>
      <c r="K339" s="21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1">
        <v>1.5567</v>
      </c>
      <c r="P339" s="21">
        <v>101.795</v>
      </c>
      <c r="Q339" s="21">
        <v>-1.06049E-2</v>
      </c>
      <c r="R339" s="21">
        <v>329</v>
      </c>
      <c r="S339" s="21">
        <v>1.55609</v>
      </c>
      <c r="T339">
        <f t="shared" si="62"/>
        <v>10.604900000000001</v>
      </c>
      <c r="U339">
        <f t="shared" si="63"/>
        <v>16.508647830000001</v>
      </c>
      <c r="X339" s="9"/>
      <c r="Y339" s="21">
        <v>0.14327999999999999</v>
      </c>
      <c r="Z339" s="21">
        <v>131.25200000000001</v>
      </c>
      <c r="AA339" s="21">
        <v>-1.5795900000000002E-2</v>
      </c>
      <c r="AB339" s="21">
        <v>329</v>
      </c>
      <c r="AC339" s="21">
        <v>0.142731</v>
      </c>
      <c r="AD339">
        <f t="shared" si="64"/>
        <v>15.795900000000001</v>
      </c>
      <c r="AE339">
        <f t="shared" si="65"/>
        <v>2.263236552</v>
      </c>
      <c r="AF339" s="9"/>
      <c r="AG339" s="21">
        <v>1.5567</v>
      </c>
      <c r="AH339" s="21">
        <v>180.72499999999999</v>
      </c>
      <c r="AI339" s="21">
        <v>-1.05316E-2</v>
      </c>
      <c r="AJ339" s="21">
        <v>329</v>
      </c>
      <c r="AK339" s="21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1">
        <v>0.14327999999999999</v>
      </c>
      <c r="AR339" s="21">
        <v>230.172</v>
      </c>
      <c r="AS339" s="21">
        <v>-1.5698199999999999E-2</v>
      </c>
      <c r="AT339" s="21">
        <v>329</v>
      </c>
      <c r="AU339" s="21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1">
        <v>1.5567</v>
      </c>
      <c r="AZ339" s="21">
        <v>264.512</v>
      </c>
      <c r="BA339" s="21">
        <v>-1.0290499999999999E-2</v>
      </c>
      <c r="BB339" s="21">
        <v>329</v>
      </c>
      <c r="BC339" s="21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1">
        <v>0.13824500000000001</v>
      </c>
      <c r="H340" s="21">
        <v>52.378599999999999</v>
      </c>
      <c r="I340" s="21">
        <v>-1.5875199999999999E-2</v>
      </c>
      <c r="J340" s="21">
        <v>330</v>
      </c>
      <c r="K340" s="21">
        <v>0.13769500000000001</v>
      </c>
      <c r="L340">
        <f t="shared" si="60"/>
        <v>15.8752</v>
      </c>
      <c r="M340">
        <f t="shared" si="61"/>
        <v>2.1946670240000001</v>
      </c>
      <c r="N340" s="9"/>
      <c r="O340" s="21">
        <v>1.5617399999999999</v>
      </c>
      <c r="P340" s="21">
        <v>101.80500000000001</v>
      </c>
      <c r="Q340" s="21">
        <v>-1.04279E-2</v>
      </c>
      <c r="R340" s="21">
        <v>330</v>
      </c>
      <c r="S340" s="21">
        <v>1.56097</v>
      </c>
      <c r="T340">
        <f t="shared" si="62"/>
        <v>10.427900000000001</v>
      </c>
      <c r="U340">
        <f t="shared" si="63"/>
        <v>16.285668546</v>
      </c>
      <c r="X340" s="9"/>
      <c r="Y340" s="21">
        <v>0.13824500000000001</v>
      </c>
      <c r="Z340" s="21">
        <v>131.262</v>
      </c>
      <c r="AA340" s="21">
        <v>-1.5799000000000001E-2</v>
      </c>
      <c r="AB340" s="21">
        <v>330</v>
      </c>
      <c r="AC340" s="21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1">
        <v>1.5617399999999999</v>
      </c>
      <c r="AH340" s="21">
        <v>180.73500000000001</v>
      </c>
      <c r="AI340" s="21">
        <v>-1.0351600000000001E-2</v>
      </c>
      <c r="AJ340" s="21">
        <v>330</v>
      </c>
      <c r="AK340" s="21">
        <v>1.56097</v>
      </c>
      <c r="AL340">
        <f t="shared" si="66"/>
        <v>10.351600000000001</v>
      </c>
      <c r="AM340">
        <f t="shared" si="67"/>
        <v>16.166507784</v>
      </c>
      <c r="AP340" s="9"/>
      <c r="AQ340" s="21">
        <v>0.13824500000000001</v>
      </c>
      <c r="AR340" s="21">
        <v>230.18199999999999</v>
      </c>
      <c r="AS340" s="21">
        <v>-1.5704300000000001E-2</v>
      </c>
      <c r="AT340" s="21">
        <v>330</v>
      </c>
      <c r="AU340" s="21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1">
        <v>1.5617399999999999</v>
      </c>
      <c r="AZ340" s="21">
        <v>264.52199999999999</v>
      </c>
      <c r="BA340" s="21">
        <v>-1.0119599999999999E-2</v>
      </c>
      <c r="BB340" s="21">
        <v>330</v>
      </c>
      <c r="BC340" s="21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1">
        <v>0.13320899999999999</v>
      </c>
      <c r="H341" s="21">
        <v>52.388599999999997</v>
      </c>
      <c r="I341" s="21">
        <v>-1.5869100000000001E-2</v>
      </c>
      <c r="J341" s="21">
        <v>331</v>
      </c>
      <c r="K341" s="21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1">
        <v>1.56677</v>
      </c>
      <c r="P341" s="21">
        <v>101.815</v>
      </c>
      <c r="Q341" s="21">
        <v>-1.02448E-2</v>
      </c>
      <c r="R341" s="21">
        <v>331</v>
      </c>
      <c r="S341" s="21">
        <v>1.56616</v>
      </c>
      <c r="T341">
        <f t="shared" si="62"/>
        <v>10.2448</v>
      </c>
      <c r="U341">
        <f t="shared" si="63"/>
        <v>16.051245296000001</v>
      </c>
      <c r="X341" s="9"/>
      <c r="Y341" s="21">
        <v>0.13320899999999999</v>
      </c>
      <c r="Z341" s="21">
        <v>131.27199999999999</v>
      </c>
      <c r="AA341" s="21">
        <v>-1.5802E-2</v>
      </c>
      <c r="AB341" s="21">
        <v>331</v>
      </c>
      <c r="AC341" s="21">
        <v>0.13256799999999999</v>
      </c>
      <c r="AD341">
        <f t="shared" si="64"/>
        <v>15.802</v>
      </c>
      <c r="AE341">
        <f t="shared" si="65"/>
        <v>2.104968618</v>
      </c>
      <c r="AF341" s="9"/>
      <c r="AG341" s="21">
        <v>1.56677</v>
      </c>
      <c r="AH341" s="21">
        <v>180.74600000000001</v>
      </c>
      <c r="AI341" s="21">
        <v>-1.01624E-2</v>
      </c>
      <c r="AJ341" s="21">
        <v>331</v>
      </c>
      <c r="AK341" s="21">
        <v>1.56616</v>
      </c>
      <c r="AL341">
        <f t="shared" si="66"/>
        <v>10.1624</v>
      </c>
      <c r="AM341">
        <f t="shared" si="67"/>
        <v>15.922143448</v>
      </c>
      <c r="AP341" s="9"/>
      <c r="AQ341" s="21">
        <v>0.13320899999999999</v>
      </c>
      <c r="AR341" s="21">
        <v>230.19200000000001</v>
      </c>
      <c r="AS341" s="21">
        <v>-1.57074E-2</v>
      </c>
      <c r="AT341" s="21">
        <v>331</v>
      </c>
      <c r="AU341" s="21">
        <v>0.13269</v>
      </c>
      <c r="AV341">
        <f t="shared" si="68"/>
        <v>15.7074</v>
      </c>
      <c r="AW341">
        <f t="shared" si="69"/>
        <v>2.0923670465999997</v>
      </c>
      <c r="AX341" s="9"/>
      <c r="AY341" s="21">
        <v>1.56677</v>
      </c>
      <c r="AZ341" s="21">
        <v>264.53199999999998</v>
      </c>
      <c r="BA341" s="21">
        <v>-9.9487299999999994E-3</v>
      </c>
      <c r="BB341" s="21">
        <v>331</v>
      </c>
      <c r="BC341" s="21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1">
        <v>0.12817400000000001</v>
      </c>
      <c r="H342" s="21">
        <v>52.398699999999998</v>
      </c>
      <c r="I342" s="21">
        <v>-1.5866100000000001E-2</v>
      </c>
      <c r="J342" s="21">
        <v>332</v>
      </c>
      <c r="K342" s="21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1">
        <v>1.5718099999999999</v>
      </c>
      <c r="P342" s="21">
        <v>101.825</v>
      </c>
      <c r="Q342" s="21">
        <v>-1.0058599999999999E-2</v>
      </c>
      <c r="R342" s="21">
        <v>332</v>
      </c>
      <c r="S342" s="21">
        <v>1.57104</v>
      </c>
      <c r="T342">
        <f t="shared" si="62"/>
        <v>10.058599999999998</v>
      </c>
      <c r="U342">
        <f t="shared" si="63"/>
        <v>15.810208065999996</v>
      </c>
      <c r="X342" s="9"/>
      <c r="Y342" s="21">
        <v>0.12817400000000001</v>
      </c>
      <c r="Z342" s="21">
        <v>131.28200000000001</v>
      </c>
      <c r="AA342" s="21">
        <v>-1.5808099999999999E-2</v>
      </c>
      <c r="AB342" s="21">
        <v>332</v>
      </c>
      <c r="AC342" s="21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1">
        <v>1.5718099999999999</v>
      </c>
      <c r="AH342" s="21">
        <v>180.756</v>
      </c>
      <c r="AI342" s="21">
        <v>-9.9670399999999999E-3</v>
      </c>
      <c r="AJ342" s="21">
        <v>332</v>
      </c>
      <c r="AK342" s="21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1">
        <v>0.12817400000000001</v>
      </c>
      <c r="AR342" s="21">
        <v>230.202</v>
      </c>
      <c r="AS342" s="21">
        <v>-1.5710399999999999E-2</v>
      </c>
      <c r="AT342" s="21">
        <v>332</v>
      </c>
      <c r="AU342" s="21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1">
        <v>1.5718099999999999</v>
      </c>
      <c r="AZ342" s="21">
        <v>264.54199999999997</v>
      </c>
      <c r="BA342" s="21">
        <v>-9.7747800000000003E-3</v>
      </c>
      <c r="BB342" s="21">
        <v>332</v>
      </c>
      <c r="BC342" s="21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1">
        <v>0.123138</v>
      </c>
      <c r="H343" s="21">
        <v>52.408799999999999</v>
      </c>
      <c r="I343" s="21">
        <v>-1.5859999999999999E-2</v>
      </c>
      <c r="J343" s="21">
        <v>333</v>
      </c>
      <c r="K343" s="21">
        <v>0.122498</v>
      </c>
      <c r="L343">
        <f t="shared" si="60"/>
        <v>15.86</v>
      </c>
      <c r="M343">
        <f t="shared" si="61"/>
        <v>1.9529686799999999</v>
      </c>
      <c r="N343" s="9"/>
      <c r="O343" s="21">
        <v>1.57684</v>
      </c>
      <c r="P343" s="21">
        <v>101.83499999999999</v>
      </c>
      <c r="Q343" s="21">
        <v>-9.8541299999999991E-3</v>
      </c>
      <c r="R343" s="21">
        <v>333</v>
      </c>
      <c r="S343" s="21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1">
        <v>0.123138</v>
      </c>
      <c r="Z343" s="21">
        <v>131.292</v>
      </c>
      <c r="AA343" s="21">
        <v>-1.5817299999999999E-2</v>
      </c>
      <c r="AB343" s="21">
        <v>333</v>
      </c>
      <c r="AC343" s="21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1">
        <v>1.57684</v>
      </c>
      <c r="AH343" s="21">
        <v>180.76599999999999</v>
      </c>
      <c r="AI343" s="21">
        <v>-9.7656300000000008E-3</v>
      </c>
      <c r="AJ343" s="21">
        <v>333</v>
      </c>
      <c r="AK343" s="21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1">
        <v>0.123138</v>
      </c>
      <c r="AR343" s="21">
        <v>230.21199999999999</v>
      </c>
      <c r="AS343" s="21">
        <v>-1.5716600000000001E-2</v>
      </c>
      <c r="AT343" s="21">
        <v>333</v>
      </c>
      <c r="AU343" s="21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1">
        <v>1.57684</v>
      </c>
      <c r="AZ343" s="21">
        <v>264.55200000000002</v>
      </c>
      <c r="BA343" s="21">
        <v>-9.5825200000000006E-3</v>
      </c>
      <c r="BB343" s="21">
        <v>333</v>
      </c>
      <c r="BC343" s="21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1">
        <v>0.118103</v>
      </c>
      <c r="H344" s="21">
        <v>52.418900000000001</v>
      </c>
      <c r="I344" s="21">
        <v>-1.5862999999999999E-2</v>
      </c>
      <c r="J344" s="21">
        <v>334</v>
      </c>
      <c r="K344" s="21">
        <v>0.117615</v>
      </c>
      <c r="L344">
        <f t="shared" si="60"/>
        <v>15.862999999999998</v>
      </c>
      <c r="M344">
        <f t="shared" si="61"/>
        <v>1.8734678889999998</v>
      </c>
      <c r="N344" s="9"/>
      <c r="O344" s="21">
        <v>1.58188</v>
      </c>
      <c r="P344" s="21">
        <v>101.845</v>
      </c>
      <c r="Q344" s="21">
        <v>-9.6466099999999999E-3</v>
      </c>
      <c r="R344" s="21">
        <v>334</v>
      </c>
      <c r="S344" s="21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1">
        <v>0.118103</v>
      </c>
      <c r="Z344" s="21">
        <v>131.30199999999999</v>
      </c>
      <c r="AA344" s="21">
        <v>-1.5823400000000001E-2</v>
      </c>
      <c r="AB344" s="21">
        <v>334</v>
      </c>
      <c r="AC344" s="21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1">
        <v>1.58188</v>
      </c>
      <c r="AH344" s="21">
        <v>180.77600000000001</v>
      </c>
      <c r="AI344" s="21">
        <v>-9.5672599999999993E-3</v>
      </c>
      <c r="AJ344" s="21">
        <v>334</v>
      </c>
      <c r="AK344" s="21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1">
        <v>0.118103</v>
      </c>
      <c r="AR344" s="21">
        <v>230.22200000000001</v>
      </c>
      <c r="AS344" s="21">
        <v>-1.5716600000000001E-2</v>
      </c>
      <c r="AT344" s="21">
        <v>334</v>
      </c>
      <c r="AU344" s="21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1">
        <v>1.58188</v>
      </c>
      <c r="AZ344" s="21">
        <v>264.56200000000001</v>
      </c>
      <c r="BA344" s="21">
        <v>-9.38721E-3</v>
      </c>
      <c r="BB344" s="21">
        <v>334</v>
      </c>
      <c r="BC344" s="21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1">
        <v>0.113068</v>
      </c>
      <c r="H345" s="21">
        <v>52.428899999999999</v>
      </c>
      <c r="I345" s="21">
        <v>-1.5869100000000001E-2</v>
      </c>
      <c r="J345" s="21">
        <v>335</v>
      </c>
      <c r="K345" s="21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1">
        <v>1.58691</v>
      </c>
      <c r="P345" s="21">
        <v>101.855</v>
      </c>
      <c r="Q345" s="21">
        <v>-9.4268800000000003E-3</v>
      </c>
      <c r="R345" s="21">
        <v>335</v>
      </c>
      <c r="S345" s="21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1">
        <v>0.113068</v>
      </c>
      <c r="Z345" s="21">
        <v>131.31200000000001</v>
      </c>
      <c r="AA345" s="21">
        <v>-1.5817299999999999E-2</v>
      </c>
      <c r="AB345" s="21">
        <v>335</v>
      </c>
      <c r="AC345" s="21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1">
        <v>1.58691</v>
      </c>
      <c r="AH345" s="21">
        <v>180.786</v>
      </c>
      <c r="AI345" s="21">
        <v>-9.3505900000000006E-3</v>
      </c>
      <c r="AJ345" s="21">
        <v>335</v>
      </c>
      <c r="AK345" s="21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1">
        <v>0.113068</v>
      </c>
      <c r="AR345" s="21">
        <v>230.232</v>
      </c>
      <c r="AS345" s="21">
        <v>-1.5713499999999998E-2</v>
      </c>
      <c r="AT345" s="21">
        <v>335</v>
      </c>
      <c r="AU345" s="21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1">
        <v>1.58691</v>
      </c>
      <c r="AZ345" s="21">
        <v>264.572</v>
      </c>
      <c r="BA345" s="21">
        <v>-9.1796900000000008E-3</v>
      </c>
      <c r="BB345" s="21">
        <v>335</v>
      </c>
      <c r="BC345" s="21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1">
        <v>0.108032</v>
      </c>
      <c r="H346" s="21">
        <v>52.439</v>
      </c>
      <c r="I346" s="21">
        <v>-1.58722E-2</v>
      </c>
      <c r="J346" s="21">
        <v>336</v>
      </c>
      <c r="K346" s="21">
        <v>0.107422</v>
      </c>
      <c r="L346">
        <f t="shared" si="60"/>
        <v>15.872199999999999</v>
      </c>
      <c r="M346">
        <f t="shared" si="61"/>
        <v>1.7147055104</v>
      </c>
      <c r="N346" s="9"/>
      <c r="O346" s="21">
        <v>1.59195</v>
      </c>
      <c r="P346" s="21">
        <v>101.86499999999999</v>
      </c>
      <c r="Q346" s="21">
        <v>-9.2040999999999998E-3</v>
      </c>
      <c r="R346" s="21">
        <v>336</v>
      </c>
      <c r="S346" s="21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1">
        <v>0.108032</v>
      </c>
      <c r="Z346" s="21">
        <v>131.322</v>
      </c>
      <c r="AA346" s="21">
        <v>-1.58142E-2</v>
      </c>
      <c r="AB346" s="21">
        <v>336</v>
      </c>
      <c r="AC346" s="21">
        <v>0.107483</v>
      </c>
      <c r="AD346">
        <f t="shared" si="64"/>
        <v>15.8142</v>
      </c>
      <c r="AE346">
        <f t="shared" si="65"/>
        <v>1.7084396544</v>
      </c>
      <c r="AF346" s="9"/>
      <c r="AG346" s="21">
        <v>1.59195</v>
      </c>
      <c r="AH346" s="21">
        <v>180.79599999999999</v>
      </c>
      <c r="AI346" s="21">
        <v>-9.1278100000000001E-3</v>
      </c>
      <c r="AJ346" s="21">
        <v>336</v>
      </c>
      <c r="AK346" s="21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1">
        <v>0.108032</v>
      </c>
      <c r="AR346" s="21">
        <v>230.24199999999999</v>
      </c>
      <c r="AS346" s="21">
        <v>-1.5713499999999998E-2</v>
      </c>
      <c r="AT346" s="21">
        <v>336</v>
      </c>
      <c r="AU346" s="21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1">
        <v>1.59195</v>
      </c>
      <c r="AZ346" s="21">
        <v>264.58199999999999</v>
      </c>
      <c r="BA346" s="21">
        <v>-8.9599599999999995E-3</v>
      </c>
      <c r="BB346" s="21">
        <v>336</v>
      </c>
      <c r="BC346" s="21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1">
        <v>0.10299700000000001</v>
      </c>
      <c r="H347" s="21">
        <v>52.449100000000001</v>
      </c>
      <c r="I347" s="21">
        <v>-1.58722E-2</v>
      </c>
      <c r="J347" s="21">
        <v>337</v>
      </c>
      <c r="K347" s="21">
        <v>0.102478</v>
      </c>
      <c r="L347">
        <f t="shared" si="60"/>
        <v>15.872199999999999</v>
      </c>
      <c r="M347">
        <f t="shared" si="61"/>
        <v>1.6347889834</v>
      </c>
      <c r="N347" s="9"/>
      <c r="O347" s="21">
        <v>1.5969800000000001</v>
      </c>
      <c r="P347" s="21">
        <v>101.875</v>
      </c>
      <c r="Q347" s="21">
        <v>-8.97827E-3</v>
      </c>
      <c r="R347" s="21">
        <v>337</v>
      </c>
      <c r="S347" s="21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1">
        <v>0.10299700000000001</v>
      </c>
      <c r="Z347" s="21">
        <v>131.333</v>
      </c>
      <c r="AA347" s="21">
        <v>-1.5820299999999999E-2</v>
      </c>
      <c r="AB347" s="21">
        <v>337</v>
      </c>
      <c r="AC347" s="21">
        <v>0.102356</v>
      </c>
      <c r="AD347">
        <f t="shared" si="64"/>
        <v>15.8203</v>
      </c>
      <c r="AE347">
        <f t="shared" si="65"/>
        <v>1.6294434391000001</v>
      </c>
      <c r="AF347" s="9"/>
      <c r="AG347" s="21">
        <v>1.5969800000000001</v>
      </c>
      <c r="AH347" s="21">
        <v>180.80600000000001</v>
      </c>
      <c r="AI347" s="21">
        <v>-8.9019800000000003E-3</v>
      </c>
      <c r="AJ347" s="21">
        <v>337</v>
      </c>
      <c r="AK347" s="21">
        <v>1.5960700000000001</v>
      </c>
      <c r="AL347">
        <f t="shared" si="66"/>
        <v>8.90198</v>
      </c>
      <c r="AM347">
        <f t="shared" si="67"/>
        <v>14.2162840204</v>
      </c>
      <c r="AP347" s="9"/>
      <c r="AQ347" s="21">
        <v>0.10299700000000001</v>
      </c>
      <c r="AR347" s="21">
        <v>230.25200000000001</v>
      </c>
      <c r="AS347" s="21">
        <v>-1.5716600000000001E-2</v>
      </c>
      <c r="AT347" s="21">
        <v>337</v>
      </c>
      <c r="AU347" s="21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1">
        <v>1.5969800000000001</v>
      </c>
      <c r="AZ347" s="21">
        <v>264.59300000000002</v>
      </c>
      <c r="BA347" s="21">
        <v>-8.7371800000000006E-3</v>
      </c>
      <c r="BB347" s="21">
        <v>337</v>
      </c>
      <c r="BC347" s="21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1">
        <v>9.7961400000000004E-2</v>
      </c>
      <c r="H348" s="21">
        <v>52.459099999999999</v>
      </c>
      <c r="I348" s="21">
        <v>-1.5869100000000001E-2</v>
      </c>
      <c r="J348" s="21">
        <v>338</v>
      </c>
      <c r="K348" s="21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1">
        <v>1.60202</v>
      </c>
      <c r="P348" s="21">
        <v>101.886</v>
      </c>
      <c r="Q348" s="21">
        <v>-8.74634E-3</v>
      </c>
      <c r="R348" s="21">
        <v>338</v>
      </c>
      <c r="S348" s="21">
        <v>1.6015600000000001</v>
      </c>
      <c r="T348">
        <f t="shared" si="62"/>
        <v>8.74634</v>
      </c>
      <c r="U348">
        <f t="shared" si="63"/>
        <v>14.0118116068</v>
      </c>
      <c r="X348" s="9"/>
      <c r="Y348" s="21">
        <v>9.7961400000000004E-2</v>
      </c>
      <c r="Z348" s="21">
        <v>131.34299999999999</v>
      </c>
      <c r="AA348" s="21">
        <v>-1.5823400000000001E-2</v>
      </c>
      <c r="AB348" s="21">
        <v>338</v>
      </c>
      <c r="AC348" s="21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1">
        <v>1.60202</v>
      </c>
      <c r="AH348" s="21">
        <v>180.816</v>
      </c>
      <c r="AI348" s="21">
        <v>-8.65784E-3</v>
      </c>
      <c r="AJ348" s="21">
        <v>338</v>
      </c>
      <c r="AK348" s="21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1">
        <v>9.7961400000000004E-2</v>
      </c>
      <c r="AR348" s="21">
        <v>230.262</v>
      </c>
      <c r="AS348" s="21">
        <v>-1.5725699999999999E-2</v>
      </c>
      <c r="AT348" s="21">
        <v>338</v>
      </c>
      <c r="AU348" s="21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1">
        <v>1.60202</v>
      </c>
      <c r="AZ348" s="21">
        <v>264.60300000000001</v>
      </c>
      <c r="BA348" s="21">
        <v>-8.5082999999999999E-3</v>
      </c>
      <c r="BB348" s="21">
        <v>338</v>
      </c>
      <c r="BC348" s="21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1">
        <v>9.2925999999999995E-2</v>
      </c>
      <c r="H349" s="21">
        <v>52.469200000000001</v>
      </c>
      <c r="I349" s="21">
        <v>-1.58722E-2</v>
      </c>
      <c r="J349" s="21">
        <v>339</v>
      </c>
      <c r="K349" s="21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1">
        <v>1.6070599999999999</v>
      </c>
      <c r="P349" s="21">
        <v>101.896</v>
      </c>
      <c r="Q349" s="21">
        <v>-8.5021999999999997E-3</v>
      </c>
      <c r="R349" s="21">
        <v>339</v>
      </c>
      <c r="S349" s="21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1">
        <v>9.2925999999999995E-2</v>
      </c>
      <c r="Z349" s="21">
        <v>131.35300000000001</v>
      </c>
      <c r="AA349" s="21">
        <v>-1.5823400000000001E-2</v>
      </c>
      <c r="AB349" s="21">
        <v>339</v>
      </c>
      <c r="AC349" s="21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1">
        <v>1.6070599999999999</v>
      </c>
      <c r="AH349" s="21">
        <v>180.82599999999999</v>
      </c>
      <c r="AI349" s="21">
        <v>-8.4106400000000005E-3</v>
      </c>
      <c r="AJ349" s="21">
        <v>339</v>
      </c>
      <c r="AK349" s="21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1">
        <v>9.2925999999999995E-2</v>
      </c>
      <c r="AR349" s="21">
        <v>230.273</v>
      </c>
      <c r="AS349" s="21">
        <v>-1.5731800000000001E-2</v>
      </c>
      <c r="AT349" s="21">
        <v>339</v>
      </c>
      <c r="AU349" s="21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1">
        <v>1.6070599999999999</v>
      </c>
      <c r="AZ349" s="21">
        <v>264.613</v>
      </c>
      <c r="BA349" s="21">
        <v>-8.2611100000000003E-3</v>
      </c>
      <c r="BB349" s="21">
        <v>339</v>
      </c>
      <c r="BC349" s="21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1">
        <v>8.7890599999999999E-2</v>
      </c>
      <c r="H350" s="21">
        <v>52.479300000000002</v>
      </c>
      <c r="I350" s="21">
        <v>-1.5866100000000001E-2</v>
      </c>
      <c r="J350" s="21">
        <v>340</v>
      </c>
      <c r="K350" s="21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1">
        <v>1.61209</v>
      </c>
      <c r="P350" s="21">
        <v>101.90600000000001</v>
      </c>
      <c r="Q350" s="21">
        <v>-8.2397500000000005E-3</v>
      </c>
      <c r="R350" s="21">
        <v>340</v>
      </c>
      <c r="S350" s="21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1">
        <v>8.7890599999999999E-2</v>
      </c>
      <c r="Z350" s="21">
        <v>131.363</v>
      </c>
      <c r="AA350" s="21">
        <v>-1.5826400000000001E-2</v>
      </c>
      <c r="AB350" s="21">
        <v>340</v>
      </c>
      <c r="AC350" s="21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1">
        <v>1.61209</v>
      </c>
      <c r="AH350" s="21">
        <v>180.83600000000001</v>
      </c>
      <c r="AI350" s="21">
        <v>-8.1481899999999996E-3</v>
      </c>
      <c r="AJ350" s="21">
        <v>340</v>
      </c>
      <c r="AK350" s="21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1">
        <v>8.7890599999999999E-2</v>
      </c>
      <c r="AR350" s="21">
        <v>230.28299999999999</v>
      </c>
      <c r="AS350" s="21">
        <v>-1.5728800000000001E-2</v>
      </c>
      <c r="AT350" s="21">
        <v>340</v>
      </c>
      <c r="AU350" s="21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1">
        <v>1.61209</v>
      </c>
      <c r="AZ350" s="21">
        <v>264.62299999999999</v>
      </c>
      <c r="BA350" s="21">
        <v>-8.0108599999999999E-3</v>
      </c>
      <c r="BB350" s="21">
        <v>340</v>
      </c>
      <c r="BC350" s="21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1">
        <v>8.2855200000000004E-2</v>
      </c>
      <c r="H351" s="21">
        <v>52.4893</v>
      </c>
      <c r="I351" s="21">
        <v>-1.58722E-2</v>
      </c>
      <c r="J351" s="21">
        <v>341</v>
      </c>
      <c r="K351" s="21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1">
        <v>1.61713</v>
      </c>
      <c r="P351" s="21">
        <v>101.916</v>
      </c>
      <c r="Q351" s="21">
        <v>-7.9742400000000005E-3</v>
      </c>
      <c r="R351" s="21">
        <v>341</v>
      </c>
      <c r="S351" s="21">
        <v>1.61652</v>
      </c>
      <c r="T351">
        <f t="shared" si="62"/>
        <v>7.9742400000000009</v>
      </c>
      <c r="U351">
        <f t="shared" si="63"/>
        <v>12.895382731200002</v>
      </c>
      <c r="X351" s="9"/>
      <c r="Y351" s="21">
        <v>8.2855200000000004E-2</v>
      </c>
      <c r="Z351" s="21">
        <v>131.37299999999999</v>
      </c>
      <c r="AA351" s="21">
        <v>-1.58295E-2</v>
      </c>
      <c r="AB351" s="21">
        <v>341</v>
      </c>
      <c r="AC351" s="21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1">
        <v>1.61713</v>
      </c>
      <c r="AH351" s="21">
        <v>180.846</v>
      </c>
      <c r="AI351" s="21">
        <v>-7.8735400000000001E-3</v>
      </c>
      <c r="AJ351" s="21">
        <v>341</v>
      </c>
      <c r="AK351" s="21">
        <v>1.61652</v>
      </c>
      <c r="AL351">
        <f t="shared" si="66"/>
        <v>7.8735400000000002</v>
      </c>
      <c r="AM351">
        <f t="shared" si="67"/>
        <v>12.7325377402</v>
      </c>
      <c r="AP351" s="9"/>
      <c r="AQ351" s="21">
        <v>8.2855200000000004E-2</v>
      </c>
      <c r="AR351" s="21">
        <v>230.29300000000001</v>
      </c>
      <c r="AS351" s="21">
        <v>-1.5728800000000001E-2</v>
      </c>
      <c r="AT351" s="21">
        <v>341</v>
      </c>
      <c r="AU351" s="21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1">
        <v>1.61713</v>
      </c>
      <c r="AZ351" s="21">
        <v>264.63299999999998</v>
      </c>
      <c r="BA351" s="21">
        <v>-7.7514599999999999E-3</v>
      </c>
      <c r="BB351" s="21">
        <v>341</v>
      </c>
      <c r="BC351" s="21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1">
        <v>7.7819799999999995E-2</v>
      </c>
      <c r="H352" s="21">
        <v>52.499400000000001</v>
      </c>
      <c r="I352" s="21">
        <v>-1.5881300000000001E-2</v>
      </c>
      <c r="J352" s="21">
        <v>342</v>
      </c>
      <c r="K352" s="21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1">
        <v>1.62216</v>
      </c>
      <c r="P352" s="21">
        <v>101.926</v>
      </c>
      <c r="Q352" s="21">
        <v>-7.6873799999999997E-3</v>
      </c>
      <c r="R352" s="21">
        <v>342</v>
      </c>
      <c r="S352" s="21">
        <v>1.6214</v>
      </c>
      <c r="T352">
        <f t="shared" si="62"/>
        <v>7.6873800000000001</v>
      </c>
      <c r="U352">
        <f t="shared" si="63"/>
        <v>12.4701603408</v>
      </c>
      <c r="X352" s="9"/>
      <c r="Y352" s="21">
        <v>7.7819799999999995E-2</v>
      </c>
      <c r="Z352" s="21">
        <v>131.38300000000001</v>
      </c>
      <c r="AA352" s="21">
        <v>-1.5832499999999999E-2</v>
      </c>
      <c r="AB352" s="21">
        <v>342</v>
      </c>
      <c r="AC352" s="21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1">
        <v>1.62216</v>
      </c>
      <c r="AH352" s="21">
        <v>180.85599999999999</v>
      </c>
      <c r="AI352" s="21">
        <v>-7.6019299999999998E-3</v>
      </c>
      <c r="AJ352" s="21">
        <v>342</v>
      </c>
      <c r="AK352" s="21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1">
        <v>7.7819799999999995E-2</v>
      </c>
      <c r="AR352" s="21">
        <v>230.303</v>
      </c>
      <c r="AS352" s="21">
        <v>-1.5741000000000002E-2</v>
      </c>
      <c r="AT352" s="21">
        <v>342</v>
      </c>
      <c r="AU352" s="21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1">
        <v>1.62216</v>
      </c>
      <c r="AZ352" s="21">
        <v>264.64299999999997</v>
      </c>
      <c r="BA352" s="21">
        <v>-7.4768100000000004E-3</v>
      </c>
      <c r="BB352" s="21">
        <v>342</v>
      </c>
      <c r="BC352" s="21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1">
        <v>7.2784399999999999E-2</v>
      </c>
      <c r="H353" s="21">
        <v>52.509500000000003</v>
      </c>
      <c r="I353" s="21">
        <v>-1.5887499999999999E-2</v>
      </c>
      <c r="J353" s="21">
        <v>343</v>
      </c>
      <c r="K353" s="21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1">
        <v>1.6272</v>
      </c>
      <c r="P353" s="21">
        <v>101.93600000000001</v>
      </c>
      <c r="Q353" s="21">
        <v>-7.3822000000000002E-3</v>
      </c>
      <c r="R353" s="21">
        <v>343</v>
      </c>
      <c r="S353" s="21">
        <v>1.62659</v>
      </c>
      <c r="T353">
        <f t="shared" si="62"/>
        <v>7.3822000000000001</v>
      </c>
      <c r="U353">
        <f t="shared" si="63"/>
        <v>12.012315839999999</v>
      </c>
      <c r="X353" s="9"/>
      <c r="Y353" s="21">
        <v>7.2784399999999999E-2</v>
      </c>
      <c r="Z353" s="21">
        <v>131.393</v>
      </c>
      <c r="AA353" s="21">
        <v>-1.5832499999999999E-2</v>
      </c>
      <c r="AB353" s="21">
        <v>343</v>
      </c>
      <c r="AC353" s="21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1">
        <v>1.6272</v>
      </c>
      <c r="AH353" s="21">
        <v>180.86600000000001</v>
      </c>
      <c r="AI353" s="21">
        <v>-7.31506E-3</v>
      </c>
      <c r="AJ353" s="21">
        <v>343</v>
      </c>
      <c r="AK353" s="21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1">
        <v>7.2784399999999999E-2</v>
      </c>
      <c r="AR353" s="21">
        <v>230.31299999999999</v>
      </c>
      <c r="AS353" s="21">
        <v>-1.5744000000000001E-2</v>
      </c>
      <c r="AT353" s="21">
        <v>343</v>
      </c>
      <c r="AU353" s="21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1">
        <v>1.6272</v>
      </c>
      <c r="AZ353" s="21">
        <v>264.65300000000002</v>
      </c>
      <c r="BA353" s="21">
        <v>-7.1807900000000003E-3</v>
      </c>
      <c r="BB353" s="21">
        <v>343</v>
      </c>
      <c r="BC353" s="21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1">
        <v>6.7749000000000004E-2</v>
      </c>
      <c r="H354" s="21">
        <v>52.519599999999997</v>
      </c>
      <c r="I354" s="21">
        <v>-1.5887499999999999E-2</v>
      </c>
      <c r="J354" s="21">
        <v>344</v>
      </c>
      <c r="K354" s="21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1">
        <v>1.6322300000000001</v>
      </c>
      <c r="P354" s="21">
        <v>101.946</v>
      </c>
      <c r="Q354" s="21">
        <v>-7.0739699999999997E-3</v>
      </c>
      <c r="R354" s="21">
        <v>344</v>
      </c>
      <c r="S354" s="21">
        <v>1.63239</v>
      </c>
      <c r="T354">
        <f t="shared" si="62"/>
        <v>7.0739700000000001</v>
      </c>
      <c r="U354">
        <f t="shared" si="63"/>
        <v>11.546346053100001</v>
      </c>
      <c r="X354" s="9"/>
      <c r="Y354" s="21">
        <v>6.7749000000000004E-2</v>
      </c>
      <c r="Z354" s="21">
        <v>131.40299999999999</v>
      </c>
      <c r="AA354" s="21">
        <v>-1.5826400000000001E-2</v>
      </c>
      <c r="AB354" s="21">
        <v>344</v>
      </c>
      <c r="AC354" s="21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1">
        <v>1.6322300000000001</v>
      </c>
      <c r="AH354" s="21">
        <v>180.876</v>
      </c>
      <c r="AI354" s="21">
        <v>-7.0282000000000001E-3</v>
      </c>
      <c r="AJ354" s="21">
        <v>344</v>
      </c>
      <c r="AK354" s="21">
        <v>1.63147</v>
      </c>
      <c r="AL354">
        <f t="shared" si="66"/>
        <v>7.0282</v>
      </c>
      <c r="AM354">
        <f t="shared" si="67"/>
        <v>11.471638886000001</v>
      </c>
      <c r="AP354" s="9"/>
      <c r="AQ354" s="21">
        <v>6.7749000000000004E-2</v>
      </c>
      <c r="AR354" s="21">
        <v>230.32300000000001</v>
      </c>
      <c r="AS354" s="21">
        <v>-1.5741000000000002E-2</v>
      </c>
      <c r="AT354" s="21">
        <v>344</v>
      </c>
      <c r="AU354" s="21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1">
        <v>1.6322300000000001</v>
      </c>
      <c r="AZ354" s="21">
        <v>264.66300000000001</v>
      </c>
      <c r="BA354" s="21">
        <v>-6.8695099999999997E-3</v>
      </c>
      <c r="BB354" s="21">
        <v>344</v>
      </c>
      <c r="BC354" s="21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1">
        <v>6.2713599999999994E-2</v>
      </c>
      <c r="H355" s="21">
        <v>52.529600000000002</v>
      </c>
      <c r="I355" s="21">
        <v>-1.5893600000000001E-2</v>
      </c>
      <c r="J355" s="21">
        <v>345</v>
      </c>
      <c r="K355" s="21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1">
        <v>1.63727</v>
      </c>
      <c r="P355" s="21">
        <v>101.956</v>
      </c>
      <c r="Q355" s="21">
        <v>-6.7535399999999997E-3</v>
      </c>
      <c r="R355" s="21">
        <v>345</v>
      </c>
      <c r="S355" s="21">
        <v>1.63666</v>
      </c>
      <c r="T355">
        <f t="shared" si="62"/>
        <v>6.7535400000000001</v>
      </c>
      <c r="U355">
        <f t="shared" si="63"/>
        <v>11.057368435800001</v>
      </c>
      <c r="X355" s="9"/>
      <c r="Y355" s="21">
        <v>6.2713599999999994E-2</v>
      </c>
      <c r="Z355" s="21">
        <v>131.41300000000001</v>
      </c>
      <c r="AA355" s="21">
        <v>-1.5823400000000001E-2</v>
      </c>
      <c r="AB355" s="21">
        <v>345</v>
      </c>
      <c r="AC355" s="21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1">
        <v>1.63727</v>
      </c>
      <c r="AH355" s="21">
        <v>180.887</v>
      </c>
      <c r="AI355" s="21">
        <v>-6.7169200000000004E-3</v>
      </c>
      <c r="AJ355" s="21">
        <v>345</v>
      </c>
      <c r="AK355" s="21">
        <v>1.63635</v>
      </c>
      <c r="AL355">
        <f t="shared" si="66"/>
        <v>6.71692</v>
      </c>
      <c r="AM355">
        <f t="shared" si="67"/>
        <v>10.9974116084</v>
      </c>
      <c r="AP355" s="9"/>
      <c r="AQ355" s="21">
        <v>6.2713599999999994E-2</v>
      </c>
      <c r="AR355" s="21">
        <v>230.333</v>
      </c>
      <c r="AS355" s="21">
        <v>-1.5741000000000002E-2</v>
      </c>
      <c r="AT355" s="21">
        <v>345</v>
      </c>
      <c r="AU355" s="21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1">
        <v>1.63727</v>
      </c>
      <c r="AZ355" s="21">
        <v>264.673</v>
      </c>
      <c r="BA355" s="21">
        <v>-6.5551799999999999E-3</v>
      </c>
      <c r="BB355" s="21">
        <v>345</v>
      </c>
      <c r="BC355" s="21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1">
        <v>5.7678199999999999E-2</v>
      </c>
      <c r="H356" s="21">
        <v>52.539700000000003</v>
      </c>
      <c r="I356" s="21">
        <v>-1.58966E-2</v>
      </c>
      <c r="J356" s="21">
        <v>346</v>
      </c>
      <c r="K356" s="21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1">
        <v>1.6423000000000001</v>
      </c>
      <c r="P356" s="21">
        <v>101.96599999999999</v>
      </c>
      <c r="Q356" s="21">
        <v>-6.4147900000000001E-3</v>
      </c>
      <c r="R356" s="21">
        <v>346</v>
      </c>
      <c r="S356" s="21">
        <v>1.64154</v>
      </c>
      <c r="T356">
        <f t="shared" si="62"/>
        <v>6.41479</v>
      </c>
      <c r="U356">
        <f t="shared" si="63"/>
        <v>10.535009617</v>
      </c>
      <c r="X356" s="9"/>
      <c r="Y356" s="21">
        <v>5.7678199999999999E-2</v>
      </c>
      <c r="Z356" s="21">
        <v>131.423</v>
      </c>
      <c r="AA356" s="21">
        <v>-1.5820299999999999E-2</v>
      </c>
      <c r="AB356" s="21">
        <v>346</v>
      </c>
      <c r="AC356" s="21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1">
        <v>1.6423000000000001</v>
      </c>
      <c r="AH356" s="21">
        <v>180.89699999999999</v>
      </c>
      <c r="AI356" s="21">
        <v>-6.3964800000000004E-3</v>
      </c>
      <c r="AJ356" s="21">
        <v>346</v>
      </c>
      <c r="AK356" s="21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1">
        <v>5.7678199999999999E-2</v>
      </c>
      <c r="AR356" s="21">
        <v>230.34299999999999</v>
      </c>
      <c r="AS356" s="21">
        <v>-1.5737899999999999E-2</v>
      </c>
      <c r="AT356" s="21">
        <v>346</v>
      </c>
      <c r="AU356" s="21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1">
        <v>1.6423000000000001</v>
      </c>
      <c r="AZ356" s="21">
        <v>264.68299999999999</v>
      </c>
      <c r="BA356" s="21">
        <v>-6.23779E-3</v>
      </c>
      <c r="BB356" s="21">
        <v>346</v>
      </c>
      <c r="BC356" s="21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1">
        <v>5.2642799999999997E-2</v>
      </c>
      <c r="H357" s="21">
        <v>52.549799999999998</v>
      </c>
      <c r="I357" s="21">
        <v>-1.58966E-2</v>
      </c>
      <c r="J357" s="21">
        <v>347</v>
      </c>
      <c r="K357" s="21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1">
        <v>1.64734</v>
      </c>
      <c r="P357" s="21">
        <v>101.976</v>
      </c>
      <c r="Q357" s="21">
        <v>-6.0730000000000003E-3</v>
      </c>
      <c r="R357" s="21">
        <v>347</v>
      </c>
      <c r="S357" s="21">
        <v>1.64673</v>
      </c>
      <c r="T357">
        <f t="shared" si="62"/>
        <v>6.0730000000000004</v>
      </c>
      <c r="U357">
        <f t="shared" si="63"/>
        <v>10.004295820000001</v>
      </c>
      <c r="X357" s="9"/>
      <c r="Y357" s="21">
        <v>5.2642799999999997E-2</v>
      </c>
      <c r="Z357" s="21">
        <v>131.43299999999999</v>
      </c>
      <c r="AA357" s="21">
        <v>-1.58295E-2</v>
      </c>
      <c r="AB357" s="21">
        <v>347</v>
      </c>
      <c r="AC357" s="21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1">
        <v>1.64734</v>
      </c>
      <c r="AH357" s="21">
        <v>180.90700000000001</v>
      </c>
      <c r="AI357" s="21">
        <v>-6.0516399999999996E-3</v>
      </c>
      <c r="AJ357" s="21">
        <v>347</v>
      </c>
      <c r="AK357" s="21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1">
        <v>5.2642799999999997E-2</v>
      </c>
      <c r="AR357" s="21">
        <v>230.35300000000001</v>
      </c>
      <c r="AS357" s="21">
        <v>-1.5741000000000002E-2</v>
      </c>
      <c r="AT357" s="21">
        <v>347</v>
      </c>
      <c r="AU357" s="21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1">
        <v>1.64734</v>
      </c>
      <c r="AZ357" s="21">
        <v>264.69299999999998</v>
      </c>
      <c r="BA357" s="21">
        <v>-5.8837899999999999E-3</v>
      </c>
      <c r="BB357" s="21">
        <v>347</v>
      </c>
      <c r="BC357" s="21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1">
        <v>4.7607400000000001E-2</v>
      </c>
      <c r="H358" s="21">
        <v>52.559800000000003</v>
      </c>
      <c r="I358" s="21">
        <v>-1.58966E-2</v>
      </c>
      <c r="J358" s="21">
        <v>348</v>
      </c>
      <c r="K358" s="21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1">
        <v>1.6523699999999999</v>
      </c>
      <c r="P358" s="21">
        <v>101.986</v>
      </c>
      <c r="Q358" s="21">
        <v>-5.7189900000000002E-3</v>
      </c>
      <c r="R358" s="21">
        <v>348</v>
      </c>
      <c r="S358" s="21">
        <v>1.65161</v>
      </c>
      <c r="T358">
        <f t="shared" si="62"/>
        <v>5.7189899999999998</v>
      </c>
      <c r="U358">
        <f t="shared" si="63"/>
        <v>9.4498875062999996</v>
      </c>
      <c r="X358" s="9"/>
      <c r="Y358" s="21">
        <v>4.7607400000000001E-2</v>
      </c>
      <c r="Z358" s="21">
        <v>131.44300000000001</v>
      </c>
      <c r="AA358" s="21">
        <v>-1.5835599999999998E-2</v>
      </c>
      <c r="AB358" s="21">
        <v>348</v>
      </c>
      <c r="AC358" s="21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1">
        <v>1.6523699999999999</v>
      </c>
      <c r="AH358" s="21">
        <v>180.917</v>
      </c>
      <c r="AI358" s="21">
        <v>-5.6945800000000003E-3</v>
      </c>
      <c r="AJ358" s="21">
        <v>348</v>
      </c>
      <c r="AK358" s="21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1">
        <v>4.7607400000000001E-2</v>
      </c>
      <c r="AR358" s="21">
        <v>230.363</v>
      </c>
      <c r="AS358" s="21">
        <v>-1.5741000000000002E-2</v>
      </c>
      <c r="AT358" s="21">
        <v>348</v>
      </c>
      <c r="AU358" s="21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1">
        <v>1.6523699999999999</v>
      </c>
      <c r="AZ358" s="21">
        <v>264.70299999999997</v>
      </c>
      <c r="BA358" s="21">
        <v>-5.5206300000000003E-3</v>
      </c>
      <c r="BB358" s="21">
        <v>348</v>
      </c>
      <c r="BC358" s="21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1">
        <v>4.2571999999999999E-2</v>
      </c>
      <c r="H359" s="21">
        <v>52.569899999999997</v>
      </c>
      <c r="I359" s="21">
        <v>-1.58966E-2</v>
      </c>
      <c r="J359" s="21">
        <v>349</v>
      </c>
      <c r="K359" s="21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1">
        <v>1.65741</v>
      </c>
      <c r="P359" s="21">
        <v>101.996</v>
      </c>
      <c r="Q359" s="21">
        <v>-5.3436300000000003E-3</v>
      </c>
      <c r="R359" s="21">
        <v>349</v>
      </c>
      <c r="S359" s="21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1">
        <v>4.2571999999999999E-2</v>
      </c>
      <c r="Z359" s="21">
        <v>131.453</v>
      </c>
      <c r="AA359" s="21">
        <v>-1.5847799999999999E-2</v>
      </c>
      <c r="AB359" s="21">
        <v>349</v>
      </c>
      <c r="AC359" s="21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1">
        <v>1.65741</v>
      </c>
      <c r="AH359" s="21">
        <v>180.92699999999999</v>
      </c>
      <c r="AI359" s="21">
        <v>-5.3192100000000004E-3</v>
      </c>
      <c r="AJ359" s="21">
        <v>349</v>
      </c>
      <c r="AK359" s="21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1">
        <v>4.2571999999999999E-2</v>
      </c>
      <c r="AR359" s="21">
        <v>230.37299999999999</v>
      </c>
      <c r="AS359" s="21">
        <v>-1.5744000000000001E-2</v>
      </c>
      <c r="AT359" s="21">
        <v>349</v>
      </c>
      <c r="AU359" s="21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1">
        <v>1.65741</v>
      </c>
      <c r="AZ359" s="21">
        <v>264.71300000000002</v>
      </c>
      <c r="BA359" s="21">
        <v>-5.1544199999999998E-3</v>
      </c>
      <c r="BB359" s="21">
        <v>349</v>
      </c>
      <c r="BC359" s="21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1">
        <v>3.7536600000000003E-2</v>
      </c>
      <c r="H360" s="21">
        <v>52.58</v>
      </c>
      <c r="I360" s="21">
        <v>-1.5890499999999998E-2</v>
      </c>
      <c r="J360" s="21">
        <v>350</v>
      </c>
      <c r="K360" s="21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1">
        <v>1.66245</v>
      </c>
      <c r="P360" s="21">
        <v>102.006</v>
      </c>
      <c r="Q360" s="21">
        <v>-4.9527E-3</v>
      </c>
      <c r="R360" s="21">
        <v>350</v>
      </c>
      <c r="S360" s="21">
        <v>1.66168</v>
      </c>
      <c r="T360">
        <f t="shared" si="62"/>
        <v>4.9527000000000001</v>
      </c>
      <c r="U360">
        <f t="shared" si="63"/>
        <v>8.2336161150000002</v>
      </c>
      <c r="X360" s="9"/>
      <c r="Y360" s="21">
        <v>3.7536600000000003E-2</v>
      </c>
      <c r="Z360" s="21">
        <v>131.46299999999999</v>
      </c>
      <c r="AA360" s="21">
        <v>-1.5850800000000002E-2</v>
      </c>
      <c r="AB360" s="21">
        <v>350</v>
      </c>
      <c r="AC360" s="21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1">
        <v>1.66245</v>
      </c>
      <c r="AH360" s="21">
        <v>180.93700000000001</v>
      </c>
      <c r="AI360" s="21">
        <v>-4.9279800000000002E-3</v>
      </c>
      <c r="AJ360" s="21">
        <v>350</v>
      </c>
      <c r="AK360" s="21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1">
        <v>3.7536600000000003E-2</v>
      </c>
      <c r="AR360" s="21">
        <v>230.38300000000001</v>
      </c>
      <c r="AS360" s="21">
        <v>-1.57501E-2</v>
      </c>
      <c r="AT360" s="21">
        <v>350</v>
      </c>
      <c r="AU360" s="21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1">
        <v>1.66245</v>
      </c>
      <c r="AZ360" s="21">
        <v>264.72300000000001</v>
      </c>
      <c r="BA360" s="21">
        <v>-4.7683700000000001E-3</v>
      </c>
      <c r="BB360" s="21">
        <v>350</v>
      </c>
      <c r="BC360" s="21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1">
        <v>3.2501200000000001E-2</v>
      </c>
      <c r="H361" s="21">
        <v>52.5901</v>
      </c>
      <c r="I361" s="21">
        <v>-1.5887499999999999E-2</v>
      </c>
      <c r="J361" s="21">
        <v>351</v>
      </c>
      <c r="K361" s="21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1">
        <v>1.6674800000000001</v>
      </c>
      <c r="P361" s="21">
        <v>102.01600000000001</v>
      </c>
      <c r="Q361" s="21">
        <v>-4.5513899999999998E-3</v>
      </c>
      <c r="R361" s="21">
        <v>351</v>
      </c>
      <c r="S361" s="21">
        <v>1.66656</v>
      </c>
      <c r="T361">
        <f t="shared" si="62"/>
        <v>4.5513899999999996</v>
      </c>
      <c r="U361">
        <f t="shared" si="63"/>
        <v>7.5893517972</v>
      </c>
      <c r="X361" s="9"/>
      <c r="Y361" s="21">
        <v>3.2501200000000001E-2</v>
      </c>
      <c r="Z361" s="21">
        <v>131.47399999999999</v>
      </c>
      <c r="AA361" s="21">
        <v>-1.5850800000000002E-2</v>
      </c>
      <c r="AB361" s="21">
        <v>351</v>
      </c>
      <c r="AC361" s="21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1">
        <v>1.6674800000000001</v>
      </c>
      <c r="AH361" s="21">
        <v>180.947</v>
      </c>
      <c r="AI361" s="21">
        <v>-4.5205699999999998E-3</v>
      </c>
      <c r="AJ361" s="21">
        <v>351</v>
      </c>
      <c r="AK361" s="21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1">
        <v>3.2501200000000001E-2</v>
      </c>
      <c r="AR361" s="21">
        <v>230.393</v>
      </c>
      <c r="AS361" s="21">
        <v>-1.57471E-2</v>
      </c>
      <c r="AT361" s="21">
        <v>351</v>
      </c>
      <c r="AU361" s="21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1">
        <v>1.6674800000000001</v>
      </c>
      <c r="AZ361" s="21">
        <v>264.73399999999998</v>
      </c>
      <c r="BA361" s="21">
        <v>-4.36646E-3</v>
      </c>
      <c r="BB361" s="21">
        <v>351</v>
      </c>
      <c r="BC361" s="21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1">
        <v>2.7465799999999999E-2</v>
      </c>
      <c r="H362" s="21">
        <v>52.600099999999998</v>
      </c>
      <c r="I362" s="21">
        <v>-1.5887499999999999E-2</v>
      </c>
      <c r="J362" s="21">
        <v>352</v>
      </c>
      <c r="K362" s="21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1">
        <v>1.67252</v>
      </c>
      <c r="P362" s="21">
        <v>102.027</v>
      </c>
      <c r="Q362" s="21">
        <v>-4.1250599999999998E-3</v>
      </c>
      <c r="R362" s="21">
        <v>352</v>
      </c>
      <c r="S362" s="21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1">
        <v>2.7465799999999999E-2</v>
      </c>
      <c r="Z362" s="21">
        <v>131.48400000000001</v>
      </c>
      <c r="AA362" s="21">
        <v>-1.5847799999999999E-2</v>
      </c>
      <c r="AB362" s="21">
        <v>352</v>
      </c>
      <c r="AC362" s="21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1">
        <v>1.67252</v>
      </c>
      <c r="AH362" s="21">
        <v>180.95699999999999</v>
      </c>
      <c r="AI362" s="21">
        <v>-4.0954600000000004E-3</v>
      </c>
      <c r="AJ362" s="21">
        <v>352</v>
      </c>
      <c r="AK362" s="21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1">
        <v>2.7465799999999999E-2</v>
      </c>
      <c r="AR362" s="21">
        <v>230.40299999999999</v>
      </c>
      <c r="AS362" s="21">
        <v>-1.57501E-2</v>
      </c>
      <c r="AT362" s="21">
        <v>352</v>
      </c>
      <c r="AU362" s="21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1">
        <v>1.67252</v>
      </c>
      <c r="AZ362" s="21">
        <v>264.74400000000003</v>
      </c>
      <c r="BA362" s="21">
        <v>-3.88763E-3</v>
      </c>
      <c r="BB362" s="21">
        <v>352</v>
      </c>
      <c r="BC362" s="21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1">
        <v>2.24304E-2</v>
      </c>
      <c r="H363" s="21">
        <v>52.610199999999999</v>
      </c>
      <c r="I363" s="21">
        <v>-1.5887499999999999E-2</v>
      </c>
      <c r="J363" s="21">
        <v>353</v>
      </c>
      <c r="K363" s="21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1">
        <v>1.6775500000000001</v>
      </c>
      <c r="P363" s="21">
        <v>102.03700000000001</v>
      </c>
      <c r="Q363" s="21">
        <v>-3.6959800000000002E-3</v>
      </c>
      <c r="R363" s="21">
        <v>353</v>
      </c>
      <c r="S363" s="21">
        <v>1.6769400000000001</v>
      </c>
      <c r="T363">
        <f t="shared" si="62"/>
        <v>3.69598</v>
      </c>
      <c r="U363">
        <f t="shared" si="63"/>
        <v>6.2001912490000004</v>
      </c>
      <c r="X363" s="9"/>
      <c r="Y363" s="21">
        <v>2.24304E-2</v>
      </c>
      <c r="Z363" s="21">
        <v>131.494</v>
      </c>
      <c r="AA363" s="21">
        <v>-1.5847799999999999E-2</v>
      </c>
      <c r="AB363" s="21">
        <v>353</v>
      </c>
      <c r="AC363" s="21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1">
        <v>1.6775500000000001</v>
      </c>
      <c r="AH363" s="21">
        <v>180.96700000000001</v>
      </c>
      <c r="AI363" s="21">
        <v>-3.6526499999999999E-3</v>
      </c>
      <c r="AJ363" s="21">
        <v>353</v>
      </c>
      <c r="AK363" s="21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1">
        <v>2.24304E-2</v>
      </c>
      <c r="AR363" s="21">
        <v>230.41399999999999</v>
      </c>
      <c r="AS363" s="21">
        <v>-1.57471E-2</v>
      </c>
      <c r="AT363" s="21">
        <v>353</v>
      </c>
      <c r="AU363" s="21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1">
        <v>1.6775500000000001</v>
      </c>
      <c r="AZ363" s="21">
        <v>264.75400000000002</v>
      </c>
      <c r="BA363" s="21">
        <v>-3.4463499999999999E-3</v>
      </c>
      <c r="BB363" s="21">
        <v>353</v>
      </c>
      <c r="BC363" s="21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1">
        <v>1.7395000000000001E-2</v>
      </c>
      <c r="H364" s="21">
        <v>52.6203</v>
      </c>
      <c r="I364" s="21">
        <v>-1.5890499999999998E-2</v>
      </c>
      <c r="J364" s="21">
        <v>354</v>
      </c>
      <c r="K364" s="21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1">
        <v>1.68259</v>
      </c>
      <c r="P364" s="21">
        <v>102.047</v>
      </c>
      <c r="Q364" s="21">
        <v>-3.2406599999999998E-3</v>
      </c>
      <c r="R364" s="21">
        <v>354</v>
      </c>
      <c r="S364" s="21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1">
        <v>1.7395000000000001E-2</v>
      </c>
      <c r="Z364" s="21">
        <v>131.50399999999999</v>
      </c>
      <c r="AA364" s="21">
        <v>-1.58447E-2</v>
      </c>
      <c r="AB364" s="21">
        <v>354</v>
      </c>
      <c r="AC364" s="21">
        <v>1.7215000000000001E-2</v>
      </c>
      <c r="AD364">
        <f t="shared" si="64"/>
        <v>15.8447</v>
      </c>
      <c r="AE364">
        <f t="shared" si="65"/>
        <v>0.2756185565</v>
      </c>
      <c r="AF364" s="9"/>
      <c r="AG364" s="21">
        <v>1.68259</v>
      </c>
      <c r="AH364" s="21">
        <v>180.977</v>
      </c>
      <c r="AI364" s="21">
        <v>-3.2028199999999999E-3</v>
      </c>
      <c r="AJ364" s="21">
        <v>354</v>
      </c>
      <c r="AK364" s="21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1">
        <v>1.7395000000000001E-2</v>
      </c>
      <c r="AR364" s="21">
        <v>230.42400000000001</v>
      </c>
      <c r="AS364" s="21">
        <v>-1.57471E-2</v>
      </c>
      <c r="AT364" s="21">
        <v>354</v>
      </c>
      <c r="AU364" s="21">
        <v>1.7215000000000001E-2</v>
      </c>
      <c r="AV364">
        <f t="shared" si="68"/>
        <v>15.7471</v>
      </c>
      <c r="AW364">
        <f t="shared" si="69"/>
        <v>0.2739208045</v>
      </c>
      <c r="AX364" s="9"/>
      <c r="AY364" s="21">
        <v>1.68259</v>
      </c>
      <c r="AZ364" s="21">
        <v>264.76400000000001</v>
      </c>
      <c r="BA364" s="21">
        <v>-2.9818700000000002E-3</v>
      </c>
      <c r="BB364" s="21">
        <v>354</v>
      </c>
      <c r="BC364" s="21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1">
        <v>1.23596E-2</v>
      </c>
      <c r="H365" s="21">
        <v>52.630299999999998</v>
      </c>
      <c r="I365" s="21">
        <v>-1.5893600000000001E-2</v>
      </c>
      <c r="J365" s="21">
        <v>355</v>
      </c>
      <c r="K365" s="21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1">
        <v>1.6876199999999999</v>
      </c>
      <c r="P365" s="21">
        <v>102.057</v>
      </c>
      <c r="Q365" s="21">
        <v>-2.7636700000000002E-3</v>
      </c>
      <c r="R365" s="21">
        <v>355</v>
      </c>
      <c r="S365" s="21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1">
        <v>1.23596E-2</v>
      </c>
      <c r="Z365" s="21">
        <v>131.51400000000001</v>
      </c>
      <c r="AA365" s="21">
        <v>-1.5838600000000001E-2</v>
      </c>
      <c r="AB365" s="21">
        <v>355</v>
      </c>
      <c r="AC365" s="21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1">
        <v>1.6876199999999999</v>
      </c>
      <c r="AH365" s="21">
        <v>180.98699999999999</v>
      </c>
      <c r="AI365" s="21">
        <v>-2.7258299999999998E-3</v>
      </c>
      <c r="AJ365" s="21">
        <v>355</v>
      </c>
      <c r="AK365" s="21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1">
        <v>1.23596E-2</v>
      </c>
      <c r="AR365" s="21">
        <v>230.434</v>
      </c>
      <c r="AS365" s="21">
        <v>-1.57501E-2</v>
      </c>
      <c r="AT365" s="21">
        <v>355</v>
      </c>
      <c r="AU365" s="21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1">
        <v>1.6876199999999999</v>
      </c>
      <c r="AZ365" s="21">
        <v>264.774</v>
      </c>
      <c r="BA365" s="21">
        <v>-2.5158699999999999E-3</v>
      </c>
      <c r="BB365" s="21">
        <v>355</v>
      </c>
      <c r="BC365" s="21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1">
        <v>7.3242200000000002E-3</v>
      </c>
      <c r="H366" s="21">
        <v>52.6404</v>
      </c>
      <c r="I366" s="21">
        <v>-1.5893600000000001E-2</v>
      </c>
      <c r="J366" s="21">
        <v>356</v>
      </c>
      <c r="K366" s="21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1">
        <v>1.6926600000000001</v>
      </c>
      <c r="P366" s="21">
        <v>102.06699999999999</v>
      </c>
      <c r="Q366" s="21">
        <v>-2.25464E-3</v>
      </c>
      <c r="R366" s="21">
        <v>356</v>
      </c>
      <c r="S366" s="21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1">
        <v>7.3242200000000002E-3</v>
      </c>
      <c r="Z366" s="21">
        <v>131.524</v>
      </c>
      <c r="AA366" s="21">
        <v>-1.58417E-2</v>
      </c>
      <c r="AB366" s="21">
        <v>356</v>
      </c>
      <c r="AC366" s="21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1">
        <v>1.6926600000000001</v>
      </c>
      <c r="AH366" s="21">
        <v>180.99700000000001</v>
      </c>
      <c r="AI366" s="21">
        <v>-2.21893E-3</v>
      </c>
      <c r="AJ366" s="21">
        <v>356</v>
      </c>
      <c r="AK366" s="21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1">
        <v>7.3242200000000002E-3</v>
      </c>
      <c r="AR366" s="21">
        <v>230.44399999999999</v>
      </c>
      <c r="AS366" s="21">
        <v>-1.5756200000000001E-2</v>
      </c>
      <c r="AT366" s="21">
        <v>356</v>
      </c>
      <c r="AU366" s="21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1">
        <v>1.6926600000000001</v>
      </c>
      <c r="AZ366" s="21">
        <v>264.78399999999999</v>
      </c>
      <c r="BA366" s="21">
        <v>-2.0199599999999999E-3</v>
      </c>
      <c r="BB366" s="21">
        <v>356</v>
      </c>
      <c r="BC366" s="21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1">
        <v>2.28882E-3</v>
      </c>
      <c r="H367" s="21">
        <v>52.650500000000001</v>
      </c>
      <c r="I367" s="21">
        <v>-1.5890499999999998E-2</v>
      </c>
      <c r="J367" s="21">
        <v>357</v>
      </c>
      <c r="K367" s="21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1">
        <v>1.6976899999999999</v>
      </c>
      <c r="P367" s="21">
        <v>102.077</v>
      </c>
      <c r="Q367" s="21">
        <v>-1.7379800000000001E-3</v>
      </c>
      <c r="R367" s="21">
        <v>357</v>
      </c>
      <c r="S367" s="21">
        <v>1.69678</v>
      </c>
      <c r="T367">
        <f t="shared" si="62"/>
        <v>1.7379800000000001</v>
      </c>
      <c r="U367">
        <f t="shared" si="63"/>
        <v>2.9505512662000002</v>
      </c>
      <c r="X367" s="9"/>
      <c r="Y367" s="21">
        <v>2.28882E-3</v>
      </c>
      <c r="Z367" s="21">
        <v>131.53399999999999</v>
      </c>
      <c r="AA367" s="21">
        <v>-1.5838600000000001E-2</v>
      </c>
      <c r="AB367" s="21">
        <v>357</v>
      </c>
      <c r="AC367" s="21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1">
        <v>1.6976899999999999</v>
      </c>
      <c r="AH367" s="21">
        <v>181.00700000000001</v>
      </c>
      <c r="AI367" s="21">
        <v>-1.6989100000000001E-3</v>
      </c>
      <c r="AJ367" s="21">
        <v>357</v>
      </c>
      <c r="AK367" s="21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1">
        <v>2.28882E-3</v>
      </c>
      <c r="AR367" s="21">
        <v>230.45400000000001</v>
      </c>
      <c r="AS367" s="21">
        <v>-1.5756200000000001E-2</v>
      </c>
      <c r="AT367" s="21">
        <v>357</v>
      </c>
      <c r="AU367" s="21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1">
        <v>1.6976899999999999</v>
      </c>
      <c r="AZ367" s="21">
        <v>264.79399999999998</v>
      </c>
      <c r="BA367" s="21">
        <v>-1.51428E-3</v>
      </c>
      <c r="BB367" s="21">
        <v>357</v>
      </c>
      <c r="BC367" s="21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1">
        <v>-2.7465800000000002E-3</v>
      </c>
      <c r="H368" s="21">
        <v>52.660600000000002</v>
      </c>
      <c r="I368" s="21">
        <v>-1.5890499999999998E-2</v>
      </c>
      <c r="J368" s="21">
        <v>358</v>
      </c>
      <c r="K368" s="21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1">
        <v>1.7027300000000001</v>
      </c>
      <c r="P368" s="21">
        <v>102.087</v>
      </c>
      <c r="Q368" s="21">
        <v>-1.19202E-3</v>
      </c>
      <c r="R368" s="21">
        <v>358</v>
      </c>
      <c r="S368" s="21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1">
        <v>-2.7465800000000002E-3</v>
      </c>
      <c r="Z368" s="21">
        <v>131.54400000000001</v>
      </c>
      <c r="AA368" s="21">
        <v>-1.58417E-2</v>
      </c>
      <c r="AB368" s="21">
        <v>358</v>
      </c>
      <c r="AC368" s="21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1">
        <v>1.7027300000000001</v>
      </c>
      <c r="AH368" s="21">
        <v>181.017</v>
      </c>
      <c r="AI368" s="21">
        <v>-1.14624E-3</v>
      </c>
      <c r="AJ368" s="21">
        <v>358</v>
      </c>
      <c r="AK368" s="21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1">
        <v>-2.7465800000000002E-3</v>
      </c>
      <c r="AR368" s="21">
        <v>230.464</v>
      </c>
      <c r="AS368" s="21">
        <v>-1.57593E-2</v>
      </c>
      <c r="AT368" s="21">
        <v>358</v>
      </c>
      <c r="AU368" s="21">
        <v>-2.98767E-3</v>
      </c>
      <c r="AV368">
        <f t="shared" si="68"/>
        <v>15.7593</v>
      </c>
      <c r="AW368">
        <f t="shared" si="69"/>
        <v>-4.3284178194000003E-2</v>
      </c>
      <c r="AX368" s="9"/>
      <c r="AY368" s="21">
        <v>1.7027300000000001</v>
      </c>
      <c r="AZ368" s="21">
        <v>264.80399999999997</v>
      </c>
      <c r="BA368" s="21">
        <v>-9.7686800000000009E-4</v>
      </c>
      <c r="BB368" s="21">
        <v>358</v>
      </c>
      <c r="BC368" s="21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1">
        <v>-7.78198E-3</v>
      </c>
      <c r="H369" s="21">
        <v>52.6706</v>
      </c>
      <c r="I369" s="21">
        <v>-1.5890499999999998E-2</v>
      </c>
      <c r="J369" s="21">
        <v>359</v>
      </c>
      <c r="K369" s="21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1">
        <v>1.7077599999999999</v>
      </c>
      <c r="P369" s="21">
        <v>102.09699999999999</v>
      </c>
      <c r="Q369" s="21">
        <v>-6.2072799999999997E-4</v>
      </c>
      <c r="R369" s="21">
        <v>359</v>
      </c>
      <c r="S369" s="21">
        <v>1.70807</v>
      </c>
      <c r="T369">
        <f t="shared" si="62"/>
        <v>0.62072799999999995</v>
      </c>
      <c r="U369">
        <f t="shared" si="63"/>
        <v>1.0600544492799999</v>
      </c>
      <c r="X369" s="9"/>
      <c r="Y369" s="21">
        <v>-7.78198E-3</v>
      </c>
      <c r="Z369" s="21">
        <v>131.554</v>
      </c>
      <c r="AA369" s="21">
        <v>-1.5847799999999999E-2</v>
      </c>
      <c r="AB369" s="21">
        <v>359</v>
      </c>
      <c r="AC369" s="21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1">
        <v>1.7077599999999999</v>
      </c>
      <c r="AH369" s="21">
        <v>181.02799999999999</v>
      </c>
      <c r="AI369" s="21">
        <v>-5.8105500000000003E-4</v>
      </c>
      <c r="AJ369" s="21">
        <v>359</v>
      </c>
      <c r="AK369" s="21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1">
        <v>-7.78198E-3</v>
      </c>
      <c r="AR369" s="21">
        <v>230.47399999999999</v>
      </c>
      <c r="AS369" s="21">
        <v>-1.57593E-2</v>
      </c>
      <c r="AT369" s="21">
        <v>359</v>
      </c>
      <c r="AU369" s="21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1">
        <v>1.7077599999999999</v>
      </c>
      <c r="AZ369" s="21">
        <v>264.81400000000002</v>
      </c>
      <c r="BA369" s="21">
        <v>-4.26575E-4</v>
      </c>
      <c r="BB369" s="21">
        <v>359</v>
      </c>
      <c r="BC369" s="21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1">
        <v>-1.28174E-2</v>
      </c>
      <c r="H370" s="21">
        <v>52.680700000000002</v>
      </c>
      <c r="I370" s="21">
        <v>-1.58966E-2</v>
      </c>
      <c r="J370" s="21">
        <v>360</v>
      </c>
      <c r="K370" s="21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1">
        <v>1.7128000000000001</v>
      </c>
      <c r="P370" s="21">
        <v>102.107</v>
      </c>
      <c r="Q370" s="24">
        <v>-4.0039100000000001E-5</v>
      </c>
      <c r="R370" s="21">
        <v>360</v>
      </c>
      <c r="S370" s="21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1">
        <v>-1.28174E-2</v>
      </c>
      <c r="Z370" s="21">
        <v>131.56399999999999</v>
      </c>
      <c r="AA370" s="21">
        <v>-1.5847799999999999E-2</v>
      </c>
      <c r="AB370" s="21">
        <v>360</v>
      </c>
      <c r="AC370" s="21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1">
        <v>1.7128000000000001</v>
      </c>
      <c r="AH370" s="21">
        <v>181.03800000000001</v>
      </c>
      <c r="AI370" s="24">
        <v>2.23694E-5</v>
      </c>
      <c r="AJ370" s="21">
        <v>360</v>
      </c>
      <c r="AK370" s="21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1">
        <v>-1.28174E-2</v>
      </c>
      <c r="AR370" s="21">
        <v>230.48400000000001</v>
      </c>
      <c r="AS370" s="21">
        <v>-1.5765399999999999E-2</v>
      </c>
      <c r="AT370" s="21">
        <v>360</v>
      </c>
      <c r="AU370" s="21">
        <v>-1.30676E-2</v>
      </c>
      <c r="AV370">
        <f t="shared" si="68"/>
        <v>15.7654</v>
      </c>
      <c r="AW370">
        <f t="shared" si="69"/>
        <v>-0.20207143795999999</v>
      </c>
      <c r="AX370" s="9"/>
      <c r="AY370" s="21">
        <v>1.7128000000000001</v>
      </c>
      <c r="AZ370" s="21">
        <v>264.82400000000001</v>
      </c>
      <c r="BA370" s="21">
        <v>1.68915E-4</v>
      </c>
      <c r="BB370" s="21">
        <v>360</v>
      </c>
      <c r="BC370" s="21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1">
        <v>-1.7852799999999999E-2</v>
      </c>
      <c r="H371" s="21">
        <v>52.690800000000003</v>
      </c>
      <c r="I371" s="21">
        <v>-1.5899699999999999E-2</v>
      </c>
      <c r="J371" s="21">
        <v>361</v>
      </c>
      <c r="K371" s="21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1">
        <v>1.71783</v>
      </c>
      <c r="P371" s="21">
        <v>102.117</v>
      </c>
      <c r="Q371" s="21">
        <v>5.6457499999999999E-4</v>
      </c>
      <c r="R371" s="21">
        <v>361</v>
      </c>
      <c r="S371" s="21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1">
        <v>-1.7852799999999999E-2</v>
      </c>
      <c r="Z371" s="21">
        <v>131.57400000000001</v>
      </c>
      <c r="AA371" s="21">
        <v>-1.5847799999999999E-2</v>
      </c>
      <c r="AB371" s="21">
        <v>361</v>
      </c>
      <c r="AC371" s="21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1">
        <v>1.71783</v>
      </c>
      <c r="AH371" s="21">
        <v>181.048</v>
      </c>
      <c r="AI371" s="21">
        <v>6.2652599999999997E-4</v>
      </c>
      <c r="AJ371" s="21">
        <v>361</v>
      </c>
      <c r="AK371" s="21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1">
        <v>-1.7852799999999999E-2</v>
      </c>
      <c r="AR371" s="21">
        <v>230.494</v>
      </c>
      <c r="AS371" s="21">
        <v>-1.5765399999999999E-2</v>
      </c>
      <c r="AT371" s="21">
        <v>361</v>
      </c>
      <c r="AU371" s="21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1">
        <v>1.71783</v>
      </c>
      <c r="AZ371" s="21">
        <v>264.834</v>
      </c>
      <c r="BA371" s="21">
        <v>7.6721199999999997E-4</v>
      </c>
      <c r="BB371" s="21">
        <v>361</v>
      </c>
      <c r="BC371" s="21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1">
        <v>-2.2888200000000001E-2</v>
      </c>
      <c r="H372" s="21">
        <v>52.700800000000001</v>
      </c>
      <c r="I372" s="21">
        <v>-1.5908800000000001E-2</v>
      </c>
      <c r="J372" s="21">
        <v>362</v>
      </c>
      <c r="K372" s="21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1">
        <v>1.7228699999999999</v>
      </c>
      <c r="P372" s="21">
        <v>102.127</v>
      </c>
      <c r="Q372" s="21">
        <v>1.21155E-3</v>
      </c>
      <c r="R372" s="21">
        <v>362</v>
      </c>
      <c r="S372" s="21">
        <v>1.7218</v>
      </c>
      <c r="T372">
        <f t="shared" si="62"/>
        <v>-1.2115500000000001</v>
      </c>
      <c r="U372">
        <f t="shared" si="63"/>
        <v>-2.0873431485</v>
      </c>
      <c r="X372" s="9"/>
      <c r="Y372" s="21">
        <v>-2.2888200000000001E-2</v>
      </c>
      <c r="Z372" s="21">
        <v>131.584</v>
      </c>
      <c r="AA372" s="21">
        <v>-1.5850800000000002E-2</v>
      </c>
      <c r="AB372" s="21">
        <v>362</v>
      </c>
      <c r="AC372" s="21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1">
        <v>1.7228699999999999</v>
      </c>
      <c r="AH372" s="21">
        <v>181.05799999999999</v>
      </c>
      <c r="AI372" s="21">
        <v>1.2625100000000001E-3</v>
      </c>
      <c r="AJ372" s="21">
        <v>362</v>
      </c>
      <c r="AK372" s="21">
        <v>1.72241</v>
      </c>
      <c r="AL372">
        <f t="shared" si="66"/>
        <v>-1.26251</v>
      </c>
      <c r="AM372">
        <f t="shared" si="67"/>
        <v>-2.1751406037000001</v>
      </c>
      <c r="AP372" s="9"/>
      <c r="AQ372" s="21">
        <v>-2.2888200000000001E-2</v>
      </c>
      <c r="AR372" s="21">
        <v>230.50399999999999</v>
      </c>
      <c r="AS372" s="21">
        <v>-1.57623E-2</v>
      </c>
      <c r="AT372" s="21">
        <v>362</v>
      </c>
      <c r="AU372" s="21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1">
        <v>1.7228699999999999</v>
      </c>
      <c r="AZ372" s="21">
        <v>264.84399999999999</v>
      </c>
      <c r="BA372" s="21">
        <v>1.37177E-3</v>
      </c>
      <c r="BB372" s="21">
        <v>362</v>
      </c>
      <c r="BC372" s="21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1">
        <v>-2.79236E-2</v>
      </c>
      <c r="H373" s="21">
        <v>52.710900000000002</v>
      </c>
      <c r="I373" s="21">
        <v>-1.59119E-2</v>
      </c>
      <c r="J373" s="21">
        <v>363</v>
      </c>
      <c r="K373" s="21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1">
        <v>1.7279100000000001</v>
      </c>
      <c r="P373" s="21">
        <v>102.137</v>
      </c>
      <c r="Q373" s="21">
        <v>1.8606600000000001E-3</v>
      </c>
      <c r="R373" s="21">
        <v>363</v>
      </c>
      <c r="S373" s="21">
        <v>1.72699</v>
      </c>
      <c r="T373">
        <f t="shared" si="62"/>
        <v>-1.8606600000000002</v>
      </c>
      <c r="U373">
        <f t="shared" si="63"/>
        <v>-3.2150530206000005</v>
      </c>
      <c r="X373" s="9"/>
      <c r="Y373" s="21">
        <v>-2.79236E-2</v>
      </c>
      <c r="Z373" s="21">
        <v>131.59399999999999</v>
      </c>
      <c r="AA373" s="21">
        <v>-1.58569E-2</v>
      </c>
      <c r="AB373" s="21">
        <v>363</v>
      </c>
      <c r="AC373" s="21">
        <v>-2.82379E-2</v>
      </c>
      <c r="AD373">
        <f t="shared" si="64"/>
        <v>15.8569</v>
      </c>
      <c r="AE373">
        <f t="shared" si="65"/>
        <v>-0.44278173284</v>
      </c>
      <c r="AF373" s="9"/>
      <c r="AG373" s="21">
        <v>1.7279100000000001</v>
      </c>
      <c r="AH373" s="21">
        <v>181.06800000000001</v>
      </c>
      <c r="AI373" s="21">
        <v>1.9238300000000001E-3</v>
      </c>
      <c r="AJ373" s="21">
        <v>363</v>
      </c>
      <c r="AK373" s="21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1">
        <v>-2.79236E-2</v>
      </c>
      <c r="AR373" s="21">
        <v>230.51400000000001</v>
      </c>
      <c r="AS373" s="21">
        <v>-1.57623E-2</v>
      </c>
      <c r="AT373" s="21">
        <v>363</v>
      </c>
      <c r="AU373" s="21">
        <v>-2.81982E-2</v>
      </c>
      <c r="AV373">
        <f t="shared" si="68"/>
        <v>15.7623</v>
      </c>
      <c r="AW373">
        <f t="shared" si="69"/>
        <v>-0.44014016027999997</v>
      </c>
      <c r="AX373" s="9"/>
      <c r="AY373" s="21">
        <v>1.7279100000000001</v>
      </c>
      <c r="AZ373" s="21">
        <v>264.85399999999998</v>
      </c>
      <c r="BA373" s="21">
        <v>1.9882200000000002E-3</v>
      </c>
      <c r="BB373" s="21">
        <v>363</v>
      </c>
      <c r="BC373" s="21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1">
        <v>-3.2959000000000002E-2</v>
      </c>
      <c r="H374" s="21">
        <v>52.720999999999997</v>
      </c>
      <c r="I374" s="21">
        <v>-1.5914899999999999E-2</v>
      </c>
      <c r="J374" s="21">
        <v>364</v>
      </c>
      <c r="K374" s="21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1">
        <v>1.7329399999999999</v>
      </c>
      <c r="P374" s="21">
        <v>102.14700000000001</v>
      </c>
      <c r="Q374" s="21">
        <v>2.5747700000000001E-3</v>
      </c>
      <c r="R374" s="21">
        <v>364</v>
      </c>
      <c r="S374" s="21">
        <v>1.73187</v>
      </c>
      <c r="T374">
        <f t="shared" si="62"/>
        <v>-2.57477</v>
      </c>
      <c r="U374">
        <f t="shared" si="63"/>
        <v>-4.4619219237999994</v>
      </c>
      <c r="X374" s="9"/>
      <c r="Y374" s="21">
        <v>-3.2959000000000002E-2</v>
      </c>
      <c r="Z374" s="21">
        <v>131.60400000000001</v>
      </c>
      <c r="AA374" s="21">
        <v>-1.58569E-2</v>
      </c>
      <c r="AB374" s="21">
        <v>364</v>
      </c>
      <c r="AC374" s="21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1">
        <v>1.7329399999999999</v>
      </c>
      <c r="AH374" s="21">
        <v>181.078</v>
      </c>
      <c r="AI374" s="21">
        <v>2.61444E-3</v>
      </c>
      <c r="AJ374" s="21">
        <v>364</v>
      </c>
      <c r="AK374" s="21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1">
        <v>-3.2959000000000002E-2</v>
      </c>
      <c r="AR374" s="21">
        <v>230.524</v>
      </c>
      <c r="AS374" s="21">
        <v>-1.57623E-2</v>
      </c>
      <c r="AT374" s="21">
        <v>364</v>
      </c>
      <c r="AU374" s="21">
        <v>-3.3255E-2</v>
      </c>
      <c r="AV374">
        <f t="shared" si="68"/>
        <v>15.7623</v>
      </c>
      <c r="AW374">
        <f t="shared" si="69"/>
        <v>-0.51950964570000002</v>
      </c>
      <c r="AX374" s="9"/>
      <c r="AY374" s="21">
        <v>1.7329399999999999</v>
      </c>
      <c r="AZ374" s="21">
        <v>264.86399999999998</v>
      </c>
      <c r="BA374" s="21">
        <v>2.6937900000000002E-3</v>
      </c>
      <c r="BB374" s="21">
        <v>364</v>
      </c>
      <c r="BC374" s="21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1">
        <v>-3.7994399999999998E-2</v>
      </c>
      <c r="H375" s="21">
        <v>52.731099999999998</v>
      </c>
      <c r="I375" s="21">
        <v>-1.5918000000000002E-2</v>
      </c>
      <c r="J375" s="21">
        <v>365</v>
      </c>
      <c r="K375" s="21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1">
        <v>1.7379800000000001</v>
      </c>
      <c r="P375" s="21">
        <v>102.157</v>
      </c>
      <c r="Q375" s="21">
        <v>3.2830799999999999E-3</v>
      </c>
      <c r="R375" s="21">
        <v>365</v>
      </c>
      <c r="S375" s="21">
        <v>1.7373700000000001</v>
      </c>
      <c r="T375">
        <f t="shared" si="62"/>
        <v>-3.28308</v>
      </c>
      <c r="U375">
        <f t="shared" si="63"/>
        <v>-5.7059273784000002</v>
      </c>
      <c r="X375" s="9"/>
      <c r="Y375" s="21">
        <v>-3.7994399999999998E-2</v>
      </c>
      <c r="Z375" s="21">
        <v>131.61500000000001</v>
      </c>
      <c r="AA375" s="21">
        <v>-1.5862999999999999E-2</v>
      </c>
      <c r="AB375" s="21">
        <v>365</v>
      </c>
      <c r="AC375" s="21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1">
        <v>1.7379800000000001</v>
      </c>
      <c r="AH375" s="21">
        <v>181.08799999999999</v>
      </c>
      <c r="AI375" s="21">
        <v>3.3261100000000002E-3</v>
      </c>
      <c r="AJ375" s="21">
        <v>365</v>
      </c>
      <c r="AK375" s="21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1">
        <v>-3.7994399999999998E-2</v>
      </c>
      <c r="AR375" s="21">
        <v>230.53399999999999</v>
      </c>
      <c r="AS375" s="21">
        <v>-1.57623E-2</v>
      </c>
      <c r="AT375" s="21">
        <v>365</v>
      </c>
      <c r="AU375" s="21">
        <v>-3.82843E-2</v>
      </c>
      <c r="AV375">
        <f t="shared" si="68"/>
        <v>15.7623</v>
      </c>
      <c r="AW375">
        <f t="shared" si="69"/>
        <v>-0.59887913111999991</v>
      </c>
      <c r="AX375" s="9"/>
      <c r="AY375" s="21">
        <v>1.7379800000000001</v>
      </c>
      <c r="AZ375" s="21">
        <v>264.875</v>
      </c>
      <c r="BA375" s="21">
        <v>3.39844E-3</v>
      </c>
      <c r="BB375" s="21">
        <v>365</v>
      </c>
      <c r="BC375" s="21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1">
        <v>-4.30298E-2</v>
      </c>
      <c r="H376" s="21">
        <v>52.741100000000003</v>
      </c>
      <c r="I376" s="21">
        <v>-1.5918000000000002E-2</v>
      </c>
      <c r="J376" s="21">
        <v>366</v>
      </c>
      <c r="K376" s="21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1">
        <v>1.7430099999999999</v>
      </c>
      <c r="P376" s="21">
        <v>102.16800000000001</v>
      </c>
      <c r="Q376" s="21">
        <v>4.0063499999999997E-3</v>
      </c>
      <c r="R376" s="21">
        <v>366</v>
      </c>
      <c r="S376" s="21">
        <v>1.74255</v>
      </c>
      <c r="T376">
        <f t="shared" si="62"/>
        <v>-4.0063499999999994</v>
      </c>
      <c r="U376">
        <f t="shared" si="63"/>
        <v>-6.9831081134999984</v>
      </c>
      <c r="X376" s="9"/>
      <c r="Y376" s="21">
        <v>-4.30298E-2</v>
      </c>
      <c r="Z376" s="21">
        <v>131.625</v>
      </c>
      <c r="AA376" s="21">
        <v>-1.5859999999999999E-2</v>
      </c>
      <c r="AB376" s="21">
        <v>366</v>
      </c>
      <c r="AC376" s="21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1">
        <v>1.7430099999999999</v>
      </c>
      <c r="AH376" s="21">
        <v>181.09800000000001</v>
      </c>
      <c r="AI376" s="21">
        <v>4.05945E-3</v>
      </c>
      <c r="AJ376" s="21">
        <v>366</v>
      </c>
      <c r="AK376" s="21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1">
        <v>-4.30298E-2</v>
      </c>
      <c r="AR376" s="21">
        <v>230.54400000000001</v>
      </c>
      <c r="AS376" s="21">
        <v>-1.5765399999999999E-2</v>
      </c>
      <c r="AT376" s="21">
        <v>366</v>
      </c>
      <c r="AU376" s="21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1">
        <v>1.7430099999999999</v>
      </c>
      <c r="AZ376" s="21">
        <v>264.88499999999999</v>
      </c>
      <c r="BA376" s="21">
        <v>4.1625999999999998E-3</v>
      </c>
      <c r="BB376" s="21">
        <v>366</v>
      </c>
      <c r="BC376" s="21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1">
        <v>-4.8065200000000002E-2</v>
      </c>
      <c r="H377" s="21">
        <v>52.751199999999997</v>
      </c>
      <c r="I377" s="21">
        <v>-1.5914899999999999E-2</v>
      </c>
      <c r="J377" s="21">
        <v>367</v>
      </c>
      <c r="K377" s="21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1">
        <v>1.7480500000000001</v>
      </c>
      <c r="P377" s="21">
        <v>102.178</v>
      </c>
      <c r="Q377" s="21">
        <v>4.7564699999999996E-3</v>
      </c>
      <c r="R377" s="21">
        <v>367</v>
      </c>
      <c r="S377" s="21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1">
        <v>-4.8065200000000002E-2</v>
      </c>
      <c r="Z377" s="21">
        <v>131.63499999999999</v>
      </c>
      <c r="AA377" s="21">
        <v>-1.5859999999999999E-2</v>
      </c>
      <c r="AB377" s="21">
        <v>367</v>
      </c>
      <c r="AC377" s="21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1">
        <v>1.7480500000000001</v>
      </c>
      <c r="AH377" s="21">
        <v>181.108</v>
      </c>
      <c r="AI377" s="21">
        <v>4.8147600000000004E-3</v>
      </c>
      <c r="AJ377" s="21">
        <v>367</v>
      </c>
      <c r="AK377" s="21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1">
        <v>-4.8065200000000002E-2</v>
      </c>
      <c r="AR377" s="21">
        <v>230.55500000000001</v>
      </c>
      <c r="AS377" s="21">
        <v>-1.5765399999999999E-2</v>
      </c>
      <c r="AT377" s="21">
        <v>367</v>
      </c>
      <c r="AU377" s="21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1">
        <v>1.7480500000000001</v>
      </c>
      <c r="AZ377" s="21">
        <v>264.89499999999998</v>
      </c>
      <c r="BA377" s="21">
        <v>4.9127199999999998E-3</v>
      </c>
      <c r="BB377" s="21">
        <v>367</v>
      </c>
      <c r="BC377" s="21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1">
        <v>-5.3100599999999998E-2</v>
      </c>
      <c r="H378" s="21">
        <v>52.761299999999999</v>
      </c>
      <c r="I378" s="21">
        <v>-1.59119E-2</v>
      </c>
      <c r="J378" s="21">
        <v>368</v>
      </c>
      <c r="K378" s="21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1">
        <v>1.75308</v>
      </c>
      <c r="P378" s="21">
        <v>102.188</v>
      </c>
      <c r="Q378" s="21">
        <v>5.5267299999999997E-3</v>
      </c>
      <c r="R378" s="21">
        <v>368</v>
      </c>
      <c r="S378" s="21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1">
        <v>-5.3100599999999998E-2</v>
      </c>
      <c r="Z378" s="21">
        <v>131.64500000000001</v>
      </c>
      <c r="AA378" s="21">
        <v>-1.5862999999999999E-2</v>
      </c>
      <c r="AB378" s="21">
        <v>368</v>
      </c>
      <c r="AC378" s="21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1">
        <v>1.75308</v>
      </c>
      <c r="AH378" s="21">
        <v>181.11799999999999</v>
      </c>
      <c r="AI378" s="21">
        <v>5.5908199999999998E-3</v>
      </c>
      <c r="AJ378" s="21">
        <v>368</v>
      </c>
      <c r="AK378" s="21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1">
        <v>-5.3100599999999998E-2</v>
      </c>
      <c r="AR378" s="21">
        <v>230.565</v>
      </c>
      <c r="AS378" s="21">
        <v>-1.5768399999999998E-2</v>
      </c>
      <c r="AT378" s="21">
        <v>368</v>
      </c>
      <c r="AU378" s="21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1">
        <v>1.75308</v>
      </c>
      <c r="AZ378" s="21">
        <v>264.90499999999997</v>
      </c>
      <c r="BA378" s="21">
        <v>5.6976300000000004E-3</v>
      </c>
      <c r="BB378" s="21">
        <v>368</v>
      </c>
      <c r="BC378" s="21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1">
        <v>-5.8136E-2</v>
      </c>
      <c r="H379" s="21">
        <v>52.771299999999997</v>
      </c>
      <c r="I379" s="21">
        <v>-1.59119E-2</v>
      </c>
      <c r="J379" s="21">
        <v>369</v>
      </c>
      <c r="K379" s="21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1">
        <v>1.7581199999999999</v>
      </c>
      <c r="P379" s="21">
        <v>102.19799999999999</v>
      </c>
      <c r="Q379" s="21">
        <v>6.32629E-3</v>
      </c>
      <c r="R379" s="21">
        <v>369</v>
      </c>
      <c r="S379" s="21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1">
        <v>-5.8136E-2</v>
      </c>
      <c r="Z379" s="21">
        <v>131.655</v>
      </c>
      <c r="AA379" s="21">
        <v>-1.5869100000000001E-2</v>
      </c>
      <c r="AB379" s="21">
        <v>369</v>
      </c>
      <c r="AC379" s="21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1">
        <v>1.7581199999999999</v>
      </c>
      <c r="AH379" s="21">
        <v>181.12799999999999</v>
      </c>
      <c r="AI379" s="21">
        <v>6.4086899999999999E-3</v>
      </c>
      <c r="AJ379" s="21">
        <v>369</v>
      </c>
      <c r="AK379" s="21">
        <v>1.7572000000000001</v>
      </c>
      <c r="AL379">
        <f t="shared" si="66"/>
        <v>-6.40869</v>
      </c>
      <c r="AM379">
        <f t="shared" si="67"/>
        <v>-11.2672460628</v>
      </c>
      <c r="AP379" s="9"/>
      <c r="AQ379" s="21">
        <v>-5.8136E-2</v>
      </c>
      <c r="AR379" s="21">
        <v>230.57499999999999</v>
      </c>
      <c r="AS379" s="21">
        <v>-1.5768399999999998E-2</v>
      </c>
      <c r="AT379" s="21">
        <v>369</v>
      </c>
      <c r="AU379" s="21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1">
        <v>1.7581199999999999</v>
      </c>
      <c r="AZ379" s="21">
        <v>264.91500000000002</v>
      </c>
      <c r="BA379" s="21">
        <v>6.50024E-3</v>
      </c>
      <c r="BB379" s="21">
        <v>369</v>
      </c>
      <c r="BC379" s="21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1">
        <v>-6.3171400000000003E-2</v>
      </c>
      <c r="H380" s="21">
        <v>52.781399999999998</v>
      </c>
      <c r="I380" s="21">
        <v>-1.5914899999999999E-2</v>
      </c>
      <c r="J380" s="21">
        <v>370</v>
      </c>
      <c r="K380" s="21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1">
        <v>1.76315</v>
      </c>
      <c r="P380" s="21">
        <v>102.208</v>
      </c>
      <c r="Q380" s="21">
        <v>7.1502700000000002E-3</v>
      </c>
      <c r="R380" s="21">
        <v>370</v>
      </c>
      <c r="S380" s="21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1">
        <v>-6.3171400000000003E-2</v>
      </c>
      <c r="Z380" s="21">
        <v>131.66499999999999</v>
      </c>
      <c r="AA380" s="21">
        <v>-1.58722E-2</v>
      </c>
      <c r="AB380" s="21">
        <v>370</v>
      </c>
      <c r="AC380" s="21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1">
        <v>1.76315</v>
      </c>
      <c r="AH380" s="21">
        <v>181.13800000000001</v>
      </c>
      <c r="AI380" s="21">
        <v>7.2387700000000003E-3</v>
      </c>
      <c r="AJ380" s="21">
        <v>370</v>
      </c>
      <c r="AK380" s="21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1">
        <v>-6.3171400000000003E-2</v>
      </c>
      <c r="AR380" s="21">
        <v>230.58500000000001</v>
      </c>
      <c r="AS380" s="21">
        <v>-1.5765399999999999E-2</v>
      </c>
      <c r="AT380" s="21">
        <v>370</v>
      </c>
      <c r="AU380" s="21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1">
        <v>1.76315</v>
      </c>
      <c r="AZ380" s="21">
        <v>264.92500000000001</v>
      </c>
      <c r="BA380" s="21">
        <v>7.3364299999999997E-3</v>
      </c>
      <c r="BB380" s="21">
        <v>370</v>
      </c>
      <c r="BC380" s="21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1">
        <v>-6.8206799999999998E-2</v>
      </c>
      <c r="H381" s="21">
        <v>52.791499999999999</v>
      </c>
      <c r="I381" s="21">
        <v>-1.59119E-2</v>
      </c>
      <c r="J381" s="21">
        <v>371</v>
      </c>
      <c r="K381" s="21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1">
        <v>1.7681899999999999</v>
      </c>
      <c r="P381" s="21">
        <v>102.218</v>
      </c>
      <c r="Q381" s="21">
        <v>8.0139200000000008E-3</v>
      </c>
      <c r="R381" s="21">
        <v>371</v>
      </c>
      <c r="S381" s="21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1">
        <v>-6.8206799999999998E-2</v>
      </c>
      <c r="Z381" s="21">
        <v>131.67500000000001</v>
      </c>
      <c r="AA381" s="21">
        <v>-1.58722E-2</v>
      </c>
      <c r="AB381" s="21">
        <v>371</v>
      </c>
      <c r="AC381" s="21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1">
        <v>1.7681899999999999</v>
      </c>
      <c r="AH381" s="21">
        <v>181.148</v>
      </c>
      <c r="AI381" s="21">
        <v>8.0871599999999995E-3</v>
      </c>
      <c r="AJ381" s="21">
        <v>371</v>
      </c>
      <c r="AK381" s="21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1">
        <v>-6.8206799999999998E-2</v>
      </c>
      <c r="AR381" s="21">
        <v>230.595</v>
      </c>
      <c r="AS381" s="21">
        <v>-1.5768399999999998E-2</v>
      </c>
      <c r="AT381" s="21">
        <v>371</v>
      </c>
      <c r="AU381" s="21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1">
        <v>1.7681899999999999</v>
      </c>
      <c r="AZ381" s="21">
        <v>264.935</v>
      </c>
      <c r="BA381" s="21">
        <v>8.1939700000000001E-3</v>
      </c>
      <c r="BB381" s="21">
        <v>371</v>
      </c>
      <c r="BC381" s="21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1">
        <v>-7.3242199999999993E-2</v>
      </c>
      <c r="H382" s="21">
        <v>52.801499999999997</v>
      </c>
      <c r="I382" s="21">
        <v>-1.5908800000000001E-2</v>
      </c>
      <c r="J382" s="21">
        <v>372</v>
      </c>
      <c r="K382" s="21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1">
        <v>1.77322</v>
      </c>
      <c r="P382" s="21">
        <v>102.22799999999999</v>
      </c>
      <c r="Q382" s="21">
        <v>8.8989299999999993E-3</v>
      </c>
      <c r="R382" s="21">
        <v>372</v>
      </c>
      <c r="S382" s="21">
        <v>1.7724599999999999</v>
      </c>
      <c r="T382">
        <f t="shared" si="62"/>
        <v>-8.89893</v>
      </c>
      <c r="U382">
        <f t="shared" si="63"/>
        <v>-15.7797606546</v>
      </c>
      <c r="X382" s="9"/>
      <c r="Y382" s="21">
        <v>-7.3242199999999993E-2</v>
      </c>
      <c r="Z382" s="21">
        <v>131.685</v>
      </c>
      <c r="AA382" s="21">
        <v>-1.5866100000000001E-2</v>
      </c>
      <c r="AB382" s="21">
        <v>372</v>
      </c>
      <c r="AC382" s="21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1">
        <v>1.77322</v>
      </c>
      <c r="AH382" s="21">
        <v>181.15799999999999</v>
      </c>
      <c r="AI382" s="21">
        <v>8.9965800000000005E-3</v>
      </c>
      <c r="AJ382" s="21">
        <v>372</v>
      </c>
      <c r="AK382" s="21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1">
        <v>-7.3242199999999993E-2</v>
      </c>
      <c r="AR382" s="21">
        <v>230.60499999999999</v>
      </c>
      <c r="AS382" s="21">
        <v>-1.57745E-2</v>
      </c>
      <c r="AT382" s="21">
        <v>372</v>
      </c>
      <c r="AU382" s="21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1">
        <v>1.77322</v>
      </c>
      <c r="AZ382" s="21">
        <v>264.94499999999999</v>
      </c>
      <c r="BA382" s="21">
        <v>9.0911900000000007E-3</v>
      </c>
      <c r="BB382" s="21">
        <v>372</v>
      </c>
      <c r="BC382" s="21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1">
        <v>-7.8277600000000003E-2</v>
      </c>
      <c r="H383" s="21">
        <v>52.811599999999999</v>
      </c>
      <c r="I383" s="21">
        <v>-1.59119E-2</v>
      </c>
      <c r="J383" s="21">
        <v>373</v>
      </c>
      <c r="K383" s="21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1">
        <v>1.77826</v>
      </c>
      <c r="P383" s="21">
        <v>102.238</v>
      </c>
      <c r="Q383" s="21">
        <v>9.7839399999999997E-3</v>
      </c>
      <c r="R383" s="21">
        <v>373</v>
      </c>
      <c r="S383" s="21">
        <v>1.77765</v>
      </c>
      <c r="T383">
        <f t="shared" si="62"/>
        <v>-9.7839399999999994</v>
      </c>
      <c r="U383">
        <f t="shared" si="63"/>
        <v>-17.398389144399999</v>
      </c>
      <c r="X383" s="9"/>
      <c r="Y383" s="21">
        <v>-7.8277600000000003E-2</v>
      </c>
      <c r="Z383" s="21">
        <v>131.69499999999999</v>
      </c>
      <c r="AA383" s="21">
        <v>-1.5866100000000001E-2</v>
      </c>
      <c r="AB383" s="21">
        <v>373</v>
      </c>
      <c r="AC383" s="21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1">
        <v>1.77826</v>
      </c>
      <c r="AH383" s="21">
        <v>181.16900000000001</v>
      </c>
      <c r="AI383" s="21">
        <v>9.9212599999999995E-3</v>
      </c>
      <c r="AJ383" s="21">
        <v>373</v>
      </c>
      <c r="AK383" s="21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1">
        <v>-7.8277600000000003E-2</v>
      </c>
      <c r="AR383" s="21">
        <v>230.61500000000001</v>
      </c>
      <c r="AS383" s="21">
        <v>-1.5777599999999999E-2</v>
      </c>
      <c r="AT383" s="21">
        <v>373</v>
      </c>
      <c r="AU383" s="21">
        <v>-7.87659E-2</v>
      </c>
      <c r="AV383">
        <f t="shared" si="68"/>
        <v>15.7776</v>
      </c>
      <c r="AW383">
        <f t="shared" si="69"/>
        <v>-1.23503266176</v>
      </c>
      <c r="AX383" s="9"/>
      <c r="AY383" s="21">
        <v>1.77826</v>
      </c>
      <c r="AZ383" s="21">
        <v>264.95499999999998</v>
      </c>
      <c r="BA383" s="21">
        <v>1.0015899999999999E-2</v>
      </c>
      <c r="BB383" s="21">
        <v>373</v>
      </c>
      <c r="BC383" s="21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1">
        <v>-8.3312999999999998E-2</v>
      </c>
      <c r="H384" s="21">
        <v>52.8217</v>
      </c>
      <c r="I384" s="21">
        <v>-1.5918000000000002E-2</v>
      </c>
      <c r="J384" s="21">
        <v>374</v>
      </c>
      <c r="K384" s="21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1">
        <v>1.78329</v>
      </c>
      <c r="P384" s="21">
        <v>102.248</v>
      </c>
      <c r="Q384" s="21">
        <v>1.07178E-2</v>
      </c>
      <c r="R384" s="21">
        <v>374</v>
      </c>
      <c r="S384" s="21">
        <v>1.7825299999999999</v>
      </c>
      <c r="T384">
        <f t="shared" si="62"/>
        <v>-10.7178</v>
      </c>
      <c r="U384">
        <f t="shared" si="63"/>
        <v>-19.112945562</v>
      </c>
      <c r="X384" s="9"/>
      <c r="Y384" s="21">
        <v>-8.3312999999999998E-2</v>
      </c>
      <c r="Z384" s="21">
        <v>131.70500000000001</v>
      </c>
      <c r="AA384" s="21">
        <v>-1.5866100000000001E-2</v>
      </c>
      <c r="AB384" s="21">
        <v>374</v>
      </c>
      <c r="AC384" s="21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1">
        <v>1.78329</v>
      </c>
      <c r="AH384" s="21">
        <v>181.179</v>
      </c>
      <c r="AI384" s="21">
        <v>1.0882599999999999E-2</v>
      </c>
      <c r="AJ384" s="21">
        <v>374</v>
      </c>
      <c r="AK384" s="21">
        <v>1.78223</v>
      </c>
      <c r="AL384">
        <f t="shared" si="66"/>
        <v>-10.8826</v>
      </c>
      <c r="AM384">
        <f t="shared" si="67"/>
        <v>-19.406831753999999</v>
      </c>
      <c r="AP384" s="9"/>
      <c r="AQ384" s="21">
        <v>-8.3312999999999998E-2</v>
      </c>
      <c r="AR384" s="21">
        <v>230.625</v>
      </c>
      <c r="AS384" s="21">
        <v>-1.5771500000000001E-2</v>
      </c>
      <c r="AT384" s="21">
        <v>374</v>
      </c>
      <c r="AU384" s="21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1">
        <v>1.78329</v>
      </c>
      <c r="AZ384" s="21">
        <v>264.96499999999997</v>
      </c>
      <c r="BA384" s="21">
        <v>1.1025999999999999E-2</v>
      </c>
      <c r="BB384" s="21">
        <v>374</v>
      </c>
      <c r="BC384" s="21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1">
        <v>-8.8348399999999994E-2</v>
      </c>
      <c r="H385" s="21">
        <v>52.831800000000001</v>
      </c>
      <c r="I385" s="21">
        <v>-1.5921000000000001E-2</v>
      </c>
      <c r="J385" s="21">
        <v>375</v>
      </c>
      <c r="K385" s="21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1">
        <v>1.78833</v>
      </c>
      <c r="P385" s="21">
        <v>102.258</v>
      </c>
      <c r="Q385" s="21">
        <v>1.1694299999999999E-2</v>
      </c>
      <c r="R385" s="21">
        <v>375</v>
      </c>
      <c r="S385" s="21">
        <v>1.78772</v>
      </c>
      <c r="T385">
        <f t="shared" si="62"/>
        <v>-11.6943</v>
      </c>
      <c r="U385">
        <f t="shared" si="63"/>
        <v>-20.913267519000001</v>
      </c>
      <c r="X385" s="9"/>
      <c r="Y385" s="21">
        <v>-8.8348399999999994E-2</v>
      </c>
      <c r="Z385" s="21">
        <v>131.715</v>
      </c>
      <c r="AA385" s="21">
        <v>-1.5866100000000001E-2</v>
      </c>
      <c r="AB385" s="21">
        <v>375</v>
      </c>
      <c r="AC385" s="21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1">
        <v>1.78833</v>
      </c>
      <c r="AH385" s="21">
        <v>181.18899999999999</v>
      </c>
      <c r="AI385" s="21">
        <v>1.18835E-2</v>
      </c>
      <c r="AJ385" s="21">
        <v>375</v>
      </c>
      <c r="AK385" s="21">
        <v>1.78833</v>
      </c>
      <c r="AL385">
        <f t="shared" si="66"/>
        <v>-11.8835</v>
      </c>
      <c r="AM385">
        <f t="shared" si="67"/>
        <v>-21.251619554999998</v>
      </c>
      <c r="AP385" s="9"/>
      <c r="AQ385" s="21">
        <v>-8.8348399999999994E-2</v>
      </c>
      <c r="AR385" s="21">
        <v>230.63499999999999</v>
      </c>
      <c r="AS385" s="21">
        <v>-1.5768399999999998E-2</v>
      </c>
      <c r="AT385" s="21">
        <v>375</v>
      </c>
      <c r="AU385" s="21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1">
        <v>1.78833</v>
      </c>
      <c r="AZ385" s="21">
        <v>264.97500000000002</v>
      </c>
      <c r="BA385" s="21">
        <v>1.2030000000000001E-2</v>
      </c>
      <c r="BB385" s="21">
        <v>375</v>
      </c>
      <c r="BC385" s="21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1">
        <v>-9.3383800000000003E-2</v>
      </c>
      <c r="H386" s="21">
        <v>52.841799999999999</v>
      </c>
      <c r="I386" s="21">
        <v>-1.59271E-2</v>
      </c>
      <c r="J386" s="21">
        <v>376</v>
      </c>
      <c r="K386" s="21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1">
        <v>1.7933699999999999</v>
      </c>
      <c r="P386" s="21">
        <v>102.268</v>
      </c>
      <c r="Q386" s="21">
        <v>1.26953E-2</v>
      </c>
      <c r="R386" s="21">
        <v>376</v>
      </c>
      <c r="S386" s="21">
        <v>1.79291</v>
      </c>
      <c r="T386">
        <f t="shared" si="62"/>
        <v>-12.6953</v>
      </c>
      <c r="U386">
        <f t="shared" si="63"/>
        <v>-22.767370160999999</v>
      </c>
      <c r="X386" s="9"/>
      <c r="Y386" s="21">
        <v>-9.3383800000000003E-2</v>
      </c>
      <c r="Z386" s="21">
        <v>131.72499999999999</v>
      </c>
      <c r="AA386" s="21">
        <v>-1.5866100000000001E-2</v>
      </c>
      <c r="AB386" s="21">
        <v>376</v>
      </c>
      <c r="AC386" s="21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1">
        <v>1.7933699999999999</v>
      </c>
      <c r="AH386" s="21">
        <v>181.19900000000001</v>
      </c>
      <c r="AI386" s="21">
        <v>1.2914999999999999E-2</v>
      </c>
      <c r="AJ386" s="21">
        <v>376</v>
      </c>
      <c r="AK386" s="21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1">
        <v>-9.3383800000000003E-2</v>
      </c>
      <c r="AR386" s="21">
        <v>230.64500000000001</v>
      </c>
      <c r="AS386" s="21">
        <v>-1.5765399999999999E-2</v>
      </c>
      <c r="AT386" s="21">
        <v>376</v>
      </c>
      <c r="AU386" s="21">
        <v>-9.38721E-2</v>
      </c>
      <c r="AV386">
        <f t="shared" si="68"/>
        <v>15.7654</v>
      </c>
      <c r="AW386">
        <f t="shared" si="69"/>
        <v>-1.47223296052</v>
      </c>
      <c r="AX386" s="9"/>
      <c r="AY386" s="21">
        <v>1.7933699999999999</v>
      </c>
      <c r="AZ386" s="21">
        <v>264.98500000000001</v>
      </c>
      <c r="BA386" s="21">
        <v>1.30341E-2</v>
      </c>
      <c r="BB386" s="21">
        <v>376</v>
      </c>
      <c r="BC386" s="21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1">
        <v>-9.8419199999999998E-2</v>
      </c>
      <c r="H387" s="21">
        <v>52.851900000000001</v>
      </c>
      <c r="I387" s="21">
        <v>-1.5930199999999999E-2</v>
      </c>
      <c r="J387" s="21">
        <v>377</v>
      </c>
      <c r="K387" s="21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1">
        <v>1.7984</v>
      </c>
      <c r="P387" s="21">
        <v>102.27800000000001</v>
      </c>
      <c r="Q387" s="21">
        <v>1.37482E-2</v>
      </c>
      <c r="R387" s="21">
        <v>377</v>
      </c>
      <c r="S387" s="21">
        <v>1.79749</v>
      </c>
      <c r="T387">
        <f t="shared" si="62"/>
        <v>-13.748200000000001</v>
      </c>
      <c r="U387">
        <f t="shared" si="63"/>
        <v>-24.72476288</v>
      </c>
      <c r="X387" s="9"/>
      <c r="Y387" s="21">
        <v>-9.8419199999999998E-2</v>
      </c>
      <c r="Z387" s="21">
        <v>131.73500000000001</v>
      </c>
      <c r="AA387" s="21">
        <v>-1.5866100000000001E-2</v>
      </c>
      <c r="AB387" s="21">
        <v>377</v>
      </c>
      <c r="AC387" s="21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1">
        <v>1.7984</v>
      </c>
      <c r="AH387" s="21">
        <v>181.209</v>
      </c>
      <c r="AI387" s="21">
        <v>1.3974E-2</v>
      </c>
      <c r="AJ387" s="21">
        <v>377</v>
      </c>
      <c r="AK387" s="21">
        <v>1.79749</v>
      </c>
      <c r="AL387">
        <f t="shared" si="66"/>
        <v>-13.974</v>
      </c>
      <c r="AM387">
        <f t="shared" si="67"/>
        <v>-25.1308416</v>
      </c>
      <c r="AP387" s="9"/>
      <c r="AQ387" s="21">
        <v>-9.8419199999999998E-2</v>
      </c>
      <c r="AR387" s="21">
        <v>230.655</v>
      </c>
      <c r="AS387" s="21">
        <v>-1.5765399999999999E-2</v>
      </c>
      <c r="AT387" s="21">
        <v>377</v>
      </c>
      <c r="AU387" s="21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1">
        <v>1.7984</v>
      </c>
      <c r="AZ387" s="21">
        <v>264.995</v>
      </c>
      <c r="BA387" s="21">
        <v>1.41022E-2</v>
      </c>
      <c r="BB387" s="21">
        <v>377</v>
      </c>
      <c r="BC387" s="21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1">
        <v>-0.10345500000000001</v>
      </c>
      <c r="H388" s="21">
        <v>52.862000000000002</v>
      </c>
      <c r="I388" s="21">
        <v>-1.5933200000000002E-2</v>
      </c>
      <c r="J388" s="21">
        <v>378</v>
      </c>
      <c r="K388" s="21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1">
        <v>1.8034399999999999</v>
      </c>
      <c r="P388" s="21">
        <v>102.288</v>
      </c>
      <c r="Q388" s="21">
        <v>1.4798E-2</v>
      </c>
      <c r="R388" s="21">
        <v>378</v>
      </c>
      <c r="S388" s="21">
        <v>1.80267</v>
      </c>
      <c r="T388">
        <f t="shared" si="62"/>
        <v>-14.798</v>
      </c>
      <c r="U388">
        <f t="shared" si="63"/>
        <v>-26.687305119999998</v>
      </c>
      <c r="X388" s="9"/>
      <c r="Y388" s="21">
        <v>-0.10345500000000001</v>
      </c>
      <c r="Z388" s="21">
        <v>131.745</v>
      </c>
      <c r="AA388" s="21">
        <v>-1.5866100000000001E-2</v>
      </c>
      <c r="AB388" s="21">
        <v>378</v>
      </c>
      <c r="AC388" s="21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1">
        <v>1.8034399999999999</v>
      </c>
      <c r="AH388" s="21">
        <v>181.21899999999999</v>
      </c>
      <c r="AI388" s="21">
        <v>1.50879E-2</v>
      </c>
      <c r="AJ388" s="21">
        <v>378</v>
      </c>
      <c r="AK388" s="21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1">
        <v>-0.10345500000000001</v>
      </c>
      <c r="AR388" s="21">
        <v>230.66499999999999</v>
      </c>
      <c r="AS388" s="21">
        <v>-1.5771500000000001E-2</v>
      </c>
      <c r="AT388" s="21">
        <v>378</v>
      </c>
      <c r="AU388" s="21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1">
        <v>1.8034399999999999</v>
      </c>
      <c r="AZ388" s="21">
        <v>265.005</v>
      </c>
      <c r="BA388" s="21">
        <v>1.52161E-2</v>
      </c>
      <c r="BB388" s="21">
        <v>378</v>
      </c>
      <c r="BC388" s="21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74"/>
  <sheetViews>
    <sheetView topLeftCell="BL1" workbookViewId="0">
      <selection activeCell="BT36" sqref="BT36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26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26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26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26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26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26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26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26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25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25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25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25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25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25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25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25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1.6908775154085709</v>
      </c>
      <c r="J6" s="25"/>
      <c r="K6" s="2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27">
        <f>(Q3-Q4)/(S3-S4)*(-S4)+Q4</f>
        <v>1.6777875818053951</v>
      </c>
      <c r="R6" s="27"/>
      <c r="S6" s="2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25">
        <f>(AA3-AA4)/(AC3-AC4)*(-AC4)+AA4</f>
        <v>1.6905640048849524</v>
      </c>
      <c r="AB6" s="25"/>
      <c r="AC6" s="2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27">
        <f>(AI3-AI4)/(AK3-AK4)*(-AK4)+AI4</f>
        <v>1.6693979476950482</v>
      </c>
      <c r="AJ6" s="27"/>
      <c r="AK6" s="2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25">
        <f>(AS3-AS4)/(AU3-AU4)*(-AU4)+AS4</f>
        <v>1.6914343099892819</v>
      </c>
      <c r="AT6" s="25"/>
      <c r="AU6" s="2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27">
        <f>(BA3-BA4)/(BC3-BC4)*(-BC4)+BA4</f>
        <v>1.6697078178106617</v>
      </c>
      <c r="BB6" s="27"/>
      <c r="BC6" s="2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25">
        <f>(BK3-BK4)/(BM3-BM4)*(-BM4)+BK4</f>
        <v>1.6920137075291439</v>
      </c>
      <c r="BL6" s="25"/>
      <c r="BM6" s="2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27">
        <f>(BS3-BS4)/(BU3-BU4)*(-BU4)+BS4</f>
        <v>1.6693739288134013</v>
      </c>
      <c r="BT6" s="27"/>
      <c r="BU6" s="2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2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2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2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2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2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2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2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3.8071491871964245</v>
      </c>
      <c r="J9" s="2"/>
      <c r="K9" s="2"/>
      <c r="L9" s="3">
        <f>(L6-L7)/(K6-K7)*(-K7)+L7</f>
        <v>16.024415554379249</v>
      </c>
      <c r="M9" s="15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5">
        <f>MAX(U11:U1056)</f>
        <v>17.244327557999998</v>
      </c>
      <c r="X9" s="9"/>
      <c r="Y9" s="2"/>
      <c r="Z9" s="2"/>
      <c r="AA9" s="14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5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5">
        <f>MAX(AM11:AM1056)</f>
        <v>17.097182000000004</v>
      </c>
      <c r="AP9" s="9"/>
      <c r="AQ9" s="2"/>
      <c r="AR9" s="2"/>
      <c r="AS9" s="14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5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5">
        <f>MAX(BE11:BE1056)</f>
        <v>16.965651950000002</v>
      </c>
      <c r="BH9" s="9"/>
      <c r="BI9" s="2"/>
      <c r="BJ9" s="2"/>
      <c r="BK9" s="14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5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5">
        <f>MAX(BW11:BW1056)</f>
        <v>17.070916296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1.6908775154085709</v>
      </c>
      <c r="B11" s="18">
        <f>IFERROR(L9,0)</f>
        <v>16.024415554379249</v>
      </c>
      <c r="C11" s="19">
        <f>IFERROR(L4,0)</f>
        <v>0.66162075410065513</v>
      </c>
      <c r="D11" s="20">
        <f>IFERROR(L2,0)</f>
        <v>17.926828669999999</v>
      </c>
      <c r="E11" s="20">
        <f>IFERROR(I9,0)</f>
        <v>3.8071491871964245</v>
      </c>
      <c r="F11" s="9"/>
      <c r="G11" s="21">
        <v>1.7250099999999999</v>
      </c>
      <c r="H11" s="21">
        <v>46.974200000000003</v>
      </c>
      <c r="I11" s="21">
        <v>1.75476E-3</v>
      </c>
      <c r="J11" s="21">
        <v>1</v>
      </c>
      <c r="K11" s="21">
        <v>1.72394</v>
      </c>
      <c r="L11">
        <f>-I11/$F$2*1000</f>
        <v>-1.7547599999999999</v>
      </c>
      <c r="M11">
        <f>L11*G11</f>
        <v>-3.0269785475999997</v>
      </c>
      <c r="N11" s="9"/>
      <c r="O11" s="21">
        <v>-9.49097E-2</v>
      </c>
      <c r="P11" s="21">
        <v>96.3566</v>
      </c>
      <c r="Q11" s="21">
        <v>-1.6076699999999999E-2</v>
      </c>
      <c r="R11" s="21">
        <v>1</v>
      </c>
      <c r="S11" s="21">
        <v>-9.5459000000000002E-2</v>
      </c>
      <c r="T11">
        <f>-Q11/$F$2*1000</f>
        <v>16.076699999999999</v>
      </c>
      <c r="U11">
        <f>T11*O11</f>
        <v>-1.5258347739899998</v>
      </c>
      <c r="V11" s="22"/>
      <c r="W11" s="23"/>
      <c r="X11" s="9"/>
      <c r="Y11" s="21">
        <v>1.7250099999999999</v>
      </c>
      <c r="Z11" s="21">
        <v>49.058199999999999</v>
      </c>
      <c r="AA11" s="21">
        <v>3.1030300000000001E-3</v>
      </c>
      <c r="AB11" s="21">
        <v>1</v>
      </c>
      <c r="AC11" s="21">
        <v>1.72424</v>
      </c>
      <c r="AD11">
        <f>-AA11/$F$2*1000</f>
        <v>-3.10303</v>
      </c>
      <c r="AE11">
        <f>AD11*Y11</f>
        <v>-5.3527577802999993</v>
      </c>
      <c r="AF11" s="9"/>
      <c r="AG11" s="21">
        <v>-9.49097E-2</v>
      </c>
      <c r="AH11" s="21">
        <v>74.043199999999999</v>
      </c>
      <c r="AI11" s="21">
        <v>-1.6030900000000001E-2</v>
      </c>
      <c r="AJ11" s="21">
        <v>1</v>
      </c>
      <c r="AK11" s="21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1">
        <v>1.7250099999999999</v>
      </c>
      <c r="AR11" s="21">
        <v>123.444</v>
      </c>
      <c r="AS11" s="21">
        <v>3.1027199999999998E-3</v>
      </c>
      <c r="AT11" s="21">
        <v>1</v>
      </c>
      <c r="AU11" s="21">
        <v>1.72424</v>
      </c>
      <c r="AV11">
        <f>-AS11/$F$2*1000</f>
        <v>-3.1027199999999997</v>
      </c>
      <c r="AW11">
        <f>AV11*AQ11</f>
        <v>-5.3522230271999991</v>
      </c>
      <c r="AX11" s="9"/>
      <c r="AY11" s="21">
        <v>-9.49097E-2</v>
      </c>
      <c r="AZ11" s="21">
        <v>172.73</v>
      </c>
      <c r="BA11" s="21">
        <v>-1.6024799999999999E-2</v>
      </c>
      <c r="BB11" s="21">
        <v>1</v>
      </c>
      <c r="BC11" s="21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1">
        <v>1.7250099999999999</v>
      </c>
      <c r="BJ11" s="21">
        <v>222.08</v>
      </c>
      <c r="BK11" s="21">
        <v>3.2052600000000001E-3</v>
      </c>
      <c r="BL11" s="21">
        <v>1</v>
      </c>
      <c r="BM11" s="21">
        <v>1.72394</v>
      </c>
      <c r="BN11">
        <f>-BK11/$F$2*1000</f>
        <v>-3.20526</v>
      </c>
      <c r="BO11">
        <f>BN11*BI11</f>
        <v>-5.5291055525999999</v>
      </c>
      <c r="BP11" s="9"/>
      <c r="BQ11" s="21">
        <v>-9.49097E-2</v>
      </c>
      <c r="BR11" s="21">
        <v>271.286</v>
      </c>
      <c r="BS11" s="21">
        <v>-1.6030900000000001E-2</v>
      </c>
      <c r="BT11" s="21">
        <v>1</v>
      </c>
      <c r="BU11" s="21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1.6777875818053951</v>
      </c>
      <c r="B12" s="18">
        <f>IFERROR(T9,0)</f>
        <v>16.048265998581503</v>
      </c>
      <c r="C12" s="19">
        <f>IFERROR(T4,0)</f>
        <v>0.64044401866709799</v>
      </c>
      <c r="D12" s="20">
        <f>IFERROR(T2,0)</f>
        <v>17.244327557999998</v>
      </c>
      <c r="E12" s="20"/>
      <c r="F12" s="9"/>
      <c r="G12" s="21">
        <v>1.71997</v>
      </c>
      <c r="H12" s="21">
        <v>46.984200000000001</v>
      </c>
      <c r="I12" s="21">
        <v>1.4822399999999999E-3</v>
      </c>
      <c r="J12" s="21">
        <v>2</v>
      </c>
      <c r="K12" s="21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1">
        <v>-8.9874300000000004E-2</v>
      </c>
      <c r="P12" s="21">
        <v>96.366699999999994</v>
      </c>
      <c r="Q12" s="21">
        <v>-1.60736E-2</v>
      </c>
      <c r="R12" s="21">
        <v>2</v>
      </c>
      <c r="S12" s="21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2"/>
      <c r="W12" s="23"/>
      <c r="X12" s="9"/>
      <c r="Y12" s="21">
        <v>1.71997</v>
      </c>
      <c r="Z12" s="21">
        <v>49.068300000000001</v>
      </c>
      <c r="AA12" s="21">
        <v>2.59064E-3</v>
      </c>
      <c r="AB12" s="21">
        <v>2</v>
      </c>
      <c r="AC12" s="21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1">
        <v>-8.9874300000000004E-2</v>
      </c>
      <c r="AH12" s="21">
        <v>74.053299999999993</v>
      </c>
      <c r="AI12" s="21">
        <v>-1.6024799999999999E-2</v>
      </c>
      <c r="AJ12" s="21">
        <v>2</v>
      </c>
      <c r="AK12" s="21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1">
        <v>1.71997</v>
      </c>
      <c r="AR12" s="21">
        <v>123.45399999999999</v>
      </c>
      <c r="AS12" s="21">
        <v>2.5662200000000001E-3</v>
      </c>
      <c r="AT12" s="21">
        <v>2</v>
      </c>
      <c r="AU12" s="21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1">
        <v>-8.9874300000000004E-2</v>
      </c>
      <c r="AZ12" s="21">
        <v>172.74</v>
      </c>
      <c r="BA12" s="21">
        <v>-1.60187E-2</v>
      </c>
      <c r="BB12" s="21">
        <v>2</v>
      </c>
      <c r="BC12" s="21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1">
        <v>1.71997</v>
      </c>
      <c r="BJ12" s="21">
        <v>222.09100000000001</v>
      </c>
      <c r="BK12" s="21">
        <v>2.6361100000000001E-3</v>
      </c>
      <c r="BL12" s="21">
        <v>2</v>
      </c>
      <c r="BM12" s="21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1">
        <v>-8.9874300000000004E-2</v>
      </c>
      <c r="BR12" s="21">
        <v>271.29599999999999</v>
      </c>
      <c r="BS12" s="21">
        <v>-1.60187E-2</v>
      </c>
      <c r="BT12" s="21">
        <v>2</v>
      </c>
      <c r="BU12" s="21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1.6905640048849524</v>
      </c>
      <c r="B13" s="18">
        <f>IFERROR(AD9,0)</f>
        <v>15.986747601044705</v>
      </c>
      <c r="C13" s="19">
        <f>IFERROR(AD4,0)</f>
        <v>0.66764971135667861</v>
      </c>
      <c r="D13" s="20">
        <f>IFERROR(AD2,0)</f>
        <v>18.044315075</v>
      </c>
      <c r="E13" s="20">
        <f>IFERROR(AA9,0)</f>
        <v>5.2489278260953691</v>
      </c>
      <c r="F13" s="9"/>
      <c r="G13" s="21">
        <v>1.7149399999999999</v>
      </c>
      <c r="H13" s="21">
        <v>46.994300000000003</v>
      </c>
      <c r="I13" s="21">
        <v>1.21857E-3</v>
      </c>
      <c r="J13" s="21">
        <v>3</v>
      </c>
      <c r="K13" s="21">
        <v>1.71417</v>
      </c>
      <c r="L13">
        <f t="shared" si="0"/>
        <v>-1.2185699999999999</v>
      </c>
      <c r="M13">
        <f t="shared" si="1"/>
        <v>-2.0897744357999999</v>
      </c>
      <c r="N13" s="9"/>
      <c r="O13" s="21">
        <v>-8.4838899999999995E-2</v>
      </c>
      <c r="P13" s="21">
        <v>96.3767</v>
      </c>
      <c r="Q13" s="21">
        <v>-1.60736E-2</v>
      </c>
      <c r="R13" s="21">
        <v>3</v>
      </c>
      <c r="S13" s="21">
        <v>-8.54187E-2</v>
      </c>
      <c r="T13">
        <f t="shared" si="2"/>
        <v>16.073599999999999</v>
      </c>
      <c r="U13">
        <f t="shared" si="3"/>
        <v>-1.3636665430399999</v>
      </c>
      <c r="V13" s="22"/>
      <c r="W13" s="23"/>
      <c r="X13" s="9"/>
      <c r="Y13" s="21">
        <v>1.7149399999999999</v>
      </c>
      <c r="Z13" s="21">
        <v>49.078299999999999</v>
      </c>
      <c r="AA13" s="21">
        <v>2.1072399999999998E-3</v>
      </c>
      <c r="AB13" s="21">
        <v>3</v>
      </c>
      <c r="AC13" s="21">
        <v>1.71417</v>
      </c>
      <c r="AD13">
        <f t="shared" si="4"/>
        <v>-2.10724</v>
      </c>
      <c r="AE13">
        <f t="shared" si="5"/>
        <v>-3.6137901655999998</v>
      </c>
      <c r="AF13" s="9"/>
      <c r="AG13" s="21">
        <v>-8.4838899999999995E-2</v>
      </c>
      <c r="AH13" s="21">
        <v>74.063299999999998</v>
      </c>
      <c r="AI13" s="21">
        <v>-1.60187E-2</v>
      </c>
      <c r="AJ13" s="21">
        <v>3</v>
      </c>
      <c r="AK13" s="21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1">
        <v>1.7149399999999999</v>
      </c>
      <c r="AR13" s="21">
        <v>123.464</v>
      </c>
      <c r="AS13" s="21">
        <v>2.0730599999999998E-3</v>
      </c>
      <c r="AT13" s="21">
        <v>3</v>
      </c>
      <c r="AU13" s="21">
        <v>1.71387</v>
      </c>
      <c r="AV13">
        <f t="shared" si="8"/>
        <v>-2.0730599999999999</v>
      </c>
      <c r="AW13">
        <f t="shared" si="9"/>
        <v>-3.5551735163999996</v>
      </c>
      <c r="AX13" s="9"/>
      <c r="AY13" s="21">
        <v>-8.4838899999999995E-2</v>
      </c>
      <c r="AZ13" s="21">
        <v>172.75</v>
      </c>
      <c r="BA13" s="21">
        <v>-1.6009499999999999E-2</v>
      </c>
      <c r="BB13" s="21">
        <v>3</v>
      </c>
      <c r="BC13" s="21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1">
        <v>1.7149399999999999</v>
      </c>
      <c r="BJ13" s="21">
        <v>222.101</v>
      </c>
      <c r="BK13" s="21">
        <v>2.1102899999999999E-3</v>
      </c>
      <c r="BL13" s="21">
        <v>3</v>
      </c>
      <c r="BM13" s="21">
        <v>1.71387</v>
      </c>
      <c r="BN13">
        <f t="shared" si="12"/>
        <v>-2.11029</v>
      </c>
      <c r="BO13">
        <f t="shared" si="13"/>
        <v>-3.6190207325999997</v>
      </c>
      <c r="BP13" s="9"/>
      <c r="BQ13" s="21">
        <v>-8.4838899999999995E-2</v>
      </c>
      <c r="BR13" s="21">
        <v>271.30599999999998</v>
      </c>
      <c r="BS13" s="21">
        <v>-1.60187E-2</v>
      </c>
      <c r="BT13" s="21">
        <v>3</v>
      </c>
      <c r="BU13" s="21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1.6693979476950482</v>
      </c>
      <c r="B14" s="18">
        <f>IFERROR(AL9,0)</f>
        <v>15.970113640361976</v>
      </c>
      <c r="C14" s="19">
        <f>IFERROR(AL4,0)</f>
        <v>0.64129322681797385</v>
      </c>
      <c r="D14" s="20">
        <f>IFERROR(AL2,0)</f>
        <v>17.097182000000004</v>
      </c>
      <c r="E14" s="20"/>
      <c r="F14" s="9"/>
      <c r="G14" s="21">
        <v>1.7099</v>
      </c>
      <c r="H14" s="21">
        <v>47.004399999999997</v>
      </c>
      <c r="I14" s="21">
        <v>9.4970700000000005E-4</v>
      </c>
      <c r="J14" s="21">
        <v>4</v>
      </c>
      <c r="K14" s="21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1">
        <v>-7.9803499999999999E-2</v>
      </c>
      <c r="P14" s="21">
        <v>96.386799999999994</v>
      </c>
      <c r="Q14" s="21">
        <v>-1.6076699999999999E-2</v>
      </c>
      <c r="R14" s="21">
        <v>4</v>
      </c>
      <c r="S14" s="21">
        <v>-8.0322299999999999E-2</v>
      </c>
      <c r="T14">
        <f t="shared" si="2"/>
        <v>16.076699999999999</v>
      </c>
      <c r="U14">
        <f t="shared" si="3"/>
        <v>-1.2829769284499999</v>
      </c>
      <c r="V14" s="22"/>
      <c r="W14" s="23"/>
      <c r="X14" s="9"/>
      <c r="Y14" s="21">
        <v>1.7099</v>
      </c>
      <c r="Z14" s="21">
        <v>49.0884</v>
      </c>
      <c r="AA14" s="21">
        <v>1.64825E-3</v>
      </c>
      <c r="AB14" s="21">
        <v>4</v>
      </c>
      <c r="AC14" s="21">
        <v>1.70868</v>
      </c>
      <c r="AD14">
        <f t="shared" si="4"/>
        <v>-1.64825</v>
      </c>
      <c r="AE14">
        <f t="shared" si="5"/>
        <v>-2.8183426749999998</v>
      </c>
      <c r="AF14" s="9"/>
      <c r="AG14" s="21">
        <v>-7.9803499999999999E-2</v>
      </c>
      <c r="AH14" s="21">
        <v>74.073400000000007</v>
      </c>
      <c r="AI14" s="21">
        <v>-1.6012599999999998E-2</v>
      </c>
      <c r="AJ14" s="21">
        <v>4</v>
      </c>
      <c r="AK14" s="21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1">
        <v>1.7099</v>
      </c>
      <c r="AR14" s="21">
        <v>123.474</v>
      </c>
      <c r="AS14" s="21">
        <v>1.59515E-3</v>
      </c>
      <c r="AT14" s="21">
        <v>4</v>
      </c>
      <c r="AU14" s="21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1">
        <v>-7.9803499999999999E-2</v>
      </c>
      <c r="AZ14" s="21">
        <v>172.76</v>
      </c>
      <c r="BA14" s="21">
        <v>-1.6003400000000001E-2</v>
      </c>
      <c r="BB14" s="21">
        <v>4</v>
      </c>
      <c r="BC14" s="21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1">
        <v>1.7099</v>
      </c>
      <c r="BJ14" s="21">
        <v>222.11099999999999</v>
      </c>
      <c r="BK14" s="21">
        <v>1.60187E-3</v>
      </c>
      <c r="BL14" s="21">
        <v>4</v>
      </c>
      <c r="BM14" s="21">
        <v>1.70929</v>
      </c>
      <c r="BN14">
        <f t="shared" si="12"/>
        <v>-1.6018700000000001</v>
      </c>
      <c r="BO14">
        <f t="shared" si="13"/>
        <v>-2.739037513</v>
      </c>
      <c r="BP14" s="9"/>
      <c r="BQ14" s="21">
        <v>-7.9803499999999999E-2</v>
      </c>
      <c r="BR14" s="21">
        <v>271.31599999999997</v>
      </c>
      <c r="BS14" s="21">
        <v>-1.6015600000000001E-2</v>
      </c>
      <c r="BT14" s="21">
        <v>4</v>
      </c>
      <c r="BU14" s="21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1.6914343099892819</v>
      </c>
      <c r="B15" s="18">
        <f>IFERROR(AV9,0)</f>
        <v>15.985370800830806</v>
      </c>
      <c r="C15" s="19">
        <f>IFERROR(AV4,0)</f>
        <v>0.66405067693716424</v>
      </c>
      <c r="D15" s="20">
        <f>IFERROR(AV2,0)</f>
        <v>17.954738087999999</v>
      </c>
      <c r="E15" s="20">
        <f>IFERROR(AS9,0)</f>
        <v>5.5087750829462143</v>
      </c>
      <c r="F15" s="9"/>
      <c r="G15" s="21">
        <v>1.70486</v>
      </c>
      <c r="H15" s="21">
        <v>47.014400000000002</v>
      </c>
      <c r="I15" s="21">
        <v>6.9152799999999996E-4</v>
      </c>
      <c r="J15" s="21">
        <v>5</v>
      </c>
      <c r="K15" s="21">
        <v>1.70441</v>
      </c>
      <c r="L15">
        <f t="shared" si="0"/>
        <v>-0.69152799999999992</v>
      </c>
      <c r="M15">
        <f t="shared" si="1"/>
        <v>-1.1789584260799999</v>
      </c>
      <c r="N15" s="9"/>
      <c r="O15" s="21">
        <v>-7.4768100000000004E-2</v>
      </c>
      <c r="P15" s="21">
        <v>96.396900000000002</v>
      </c>
      <c r="Q15" s="21">
        <v>-1.6076699999999999E-2</v>
      </c>
      <c r="R15" s="21">
        <v>5</v>
      </c>
      <c r="S15" s="21">
        <v>-7.5256299999999998E-2</v>
      </c>
      <c r="T15">
        <f t="shared" si="2"/>
        <v>16.076699999999999</v>
      </c>
      <c r="U15">
        <f t="shared" si="3"/>
        <v>-1.2020243132699999</v>
      </c>
      <c r="V15" s="22"/>
      <c r="W15" s="23"/>
      <c r="X15" s="9"/>
      <c r="Y15" s="21">
        <v>1.70486</v>
      </c>
      <c r="Z15" s="21">
        <v>49.098500000000001</v>
      </c>
      <c r="AA15" s="21">
        <v>1.1987300000000001E-3</v>
      </c>
      <c r="AB15" s="21">
        <v>5</v>
      </c>
      <c r="AC15" s="21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1">
        <v>-7.4768100000000004E-2</v>
      </c>
      <c r="AH15" s="21">
        <v>74.083500000000001</v>
      </c>
      <c r="AI15" s="21">
        <v>-1.6009499999999999E-2</v>
      </c>
      <c r="AJ15" s="21">
        <v>5</v>
      </c>
      <c r="AK15" s="21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1">
        <v>1.70486</v>
      </c>
      <c r="AR15" s="21">
        <v>123.48399999999999</v>
      </c>
      <c r="AS15" s="21">
        <v>1.1346399999999999E-3</v>
      </c>
      <c r="AT15" s="21">
        <v>5</v>
      </c>
      <c r="AU15" s="21">
        <v>1.7038</v>
      </c>
      <c r="AV15">
        <f t="shared" si="8"/>
        <v>-1.1346399999999999</v>
      </c>
      <c r="AW15">
        <f t="shared" si="9"/>
        <v>-1.9344023503999999</v>
      </c>
      <c r="AX15" s="9"/>
      <c r="AY15" s="21">
        <v>-7.4768100000000004E-2</v>
      </c>
      <c r="AZ15" s="21">
        <v>172.77</v>
      </c>
      <c r="BA15" s="21">
        <v>-1.6003400000000001E-2</v>
      </c>
      <c r="BB15" s="21">
        <v>5</v>
      </c>
      <c r="BC15" s="21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1">
        <v>1.70486</v>
      </c>
      <c r="BJ15" s="21">
        <v>222.12100000000001</v>
      </c>
      <c r="BK15" s="21">
        <v>1.11115E-3</v>
      </c>
      <c r="BL15" s="21">
        <v>5</v>
      </c>
      <c r="BM15" s="21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1">
        <v>-7.4768100000000004E-2</v>
      </c>
      <c r="BR15" s="21">
        <v>271.32600000000002</v>
      </c>
      <c r="BS15" s="21">
        <v>-1.6015600000000001E-2</v>
      </c>
      <c r="BT15" s="21">
        <v>5</v>
      </c>
      <c r="BU15" s="21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1.6697078178106617</v>
      </c>
      <c r="B16" s="18">
        <f>IFERROR(BD9,0)</f>
        <v>15.982248916999538</v>
      </c>
      <c r="C16" s="19">
        <f>IFERROR(BD4,0)</f>
        <v>0.63575851014585927</v>
      </c>
      <c r="D16" s="20">
        <f>IFERROR(BD2,0)</f>
        <v>16.965651950000002</v>
      </c>
      <c r="E16" s="20"/>
      <c r="F16" s="9"/>
      <c r="G16" s="21">
        <v>1.69983</v>
      </c>
      <c r="H16" s="21">
        <v>47.024500000000003</v>
      </c>
      <c r="I16" s="21">
        <v>4.2538500000000002E-4</v>
      </c>
      <c r="J16" s="21">
        <v>6</v>
      </c>
      <c r="K16" s="21">
        <v>1.69861</v>
      </c>
      <c r="L16">
        <f t="shared" si="0"/>
        <v>-0.42538500000000001</v>
      </c>
      <c r="M16">
        <f t="shared" si="1"/>
        <v>-0.72308218454999995</v>
      </c>
      <c r="N16" s="9"/>
      <c r="O16" s="21">
        <v>-6.9732699999999995E-2</v>
      </c>
      <c r="P16" s="21">
        <v>96.406899999999993</v>
      </c>
      <c r="Q16" s="21">
        <v>-1.6079699999999999E-2</v>
      </c>
      <c r="R16" s="21">
        <v>6</v>
      </c>
      <c r="S16" s="21">
        <v>-7.0404099999999997E-2</v>
      </c>
      <c r="T16">
        <f t="shared" si="2"/>
        <v>16.079699999999999</v>
      </c>
      <c r="U16">
        <f t="shared" si="3"/>
        <v>-1.1212808961899998</v>
      </c>
      <c r="V16" s="22"/>
      <c r="W16" s="23"/>
      <c r="X16" s="9"/>
      <c r="Y16" s="21">
        <v>1.69983</v>
      </c>
      <c r="Z16" s="21">
        <v>49.108600000000003</v>
      </c>
      <c r="AA16" s="21">
        <v>7.5714100000000002E-4</v>
      </c>
      <c r="AB16" s="21">
        <v>6</v>
      </c>
      <c r="AC16" s="21">
        <v>1.69861</v>
      </c>
      <c r="AD16">
        <f t="shared" si="4"/>
        <v>-0.75714100000000006</v>
      </c>
      <c r="AE16">
        <f t="shared" si="5"/>
        <v>-1.2870109860300001</v>
      </c>
      <c r="AF16" s="9"/>
      <c r="AG16" s="21">
        <v>-6.9732699999999995E-2</v>
      </c>
      <c r="AH16" s="21">
        <v>74.093500000000006</v>
      </c>
      <c r="AI16" s="21">
        <v>-1.6003400000000001E-2</v>
      </c>
      <c r="AJ16" s="21">
        <v>6</v>
      </c>
      <c r="AK16" s="21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1">
        <v>1.69983</v>
      </c>
      <c r="AR16" s="21">
        <v>123.494</v>
      </c>
      <c r="AS16" s="21">
        <v>6.7535399999999997E-4</v>
      </c>
      <c r="AT16" s="21">
        <v>6</v>
      </c>
      <c r="AU16" s="21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1">
        <v>-6.9732699999999995E-2</v>
      </c>
      <c r="AZ16" s="21">
        <v>172.78</v>
      </c>
      <c r="BA16" s="21">
        <v>-1.5997299999999999E-2</v>
      </c>
      <c r="BB16" s="21">
        <v>6</v>
      </c>
      <c r="BC16" s="21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1">
        <v>1.69983</v>
      </c>
      <c r="BJ16" s="21">
        <v>222.131</v>
      </c>
      <c r="BK16" s="21">
        <v>6.2560999999999997E-4</v>
      </c>
      <c r="BL16" s="21">
        <v>6</v>
      </c>
      <c r="BM16" s="21">
        <v>1.6989099999999999</v>
      </c>
      <c r="BN16">
        <f t="shared" si="12"/>
        <v>-0.62561</v>
      </c>
      <c r="BO16">
        <f t="shared" si="13"/>
        <v>-1.0634306463000001</v>
      </c>
      <c r="BP16" s="9"/>
      <c r="BQ16" s="21">
        <v>-6.9732699999999995E-2</v>
      </c>
      <c r="BR16" s="21">
        <v>271.33600000000001</v>
      </c>
      <c r="BS16" s="21">
        <v>-1.6009499999999999E-2</v>
      </c>
      <c r="BT16" s="21">
        <v>6</v>
      </c>
      <c r="BU16" s="21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1.6920137075291439</v>
      </c>
      <c r="B17" s="18">
        <f>IFERROR(BN9,0)</f>
        <v>15.944518573236016</v>
      </c>
      <c r="C17" s="19">
        <f>IFERROR(BN4,0)</f>
        <v>0.66536985759403022</v>
      </c>
      <c r="D17" s="20">
        <f>IFERROR(BN2,0)</f>
        <v>17.950576895999998</v>
      </c>
      <c r="E17" s="20">
        <f>IFERROR(BK9,0)</f>
        <v>0</v>
      </c>
      <c r="F17" s="9"/>
      <c r="G17" s="21">
        <v>1.69479</v>
      </c>
      <c r="H17" s="21">
        <v>47.034599999999998</v>
      </c>
      <c r="I17" s="21">
        <v>1.5365600000000001E-4</v>
      </c>
      <c r="J17" s="21">
        <v>7</v>
      </c>
      <c r="K17" s="21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1">
        <v>-6.4697299999999999E-2</v>
      </c>
      <c r="P17" s="21">
        <v>96.417000000000002</v>
      </c>
      <c r="Q17" s="21">
        <v>-1.6079699999999999E-2</v>
      </c>
      <c r="R17" s="21">
        <v>7</v>
      </c>
      <c r="S17" s="21">
        <v>-6.5307599999999993E-2</v>
      </c>
      <c r="T17">
        <f t="shared" si="2"/>
        <v>16.079699999999999</v>
      </c>
      <c r="U17">
        <f t="shared" si="3"/>
        <v>-1.0403131748099999</v>
      </c>
      <c r="V17" s="22"/>
      <c r="W17" s="23"/>
      <c r="X17" s="9"/>
      <c r="Y17" s="21">
        <v>1.69479</v>
      </c>
      <c r="Z17" s="21">
        <v>49.118600000000001</v>
      </c>
      <c r="AA17" s="21">
        <v>3.1872600000000002E-4</v>
      </c>
      <c r="AB17" s="21">
        <v>7</v>
      </c>
      <c r="AC17" s="21">
        <v>1.69434</v>
      </c>
      <c r="AD17">
        <f t="shared" si="4"/>
        <v>-0.31872600000000001</v>
      </c>
      <c r="AE17">
        <f t="shared" si="5"/>
        <v>-0.54017363754000003</v>
      </c>
      <c r="AF17" s="9"/>
      <c r="AG17" s="21">
        <v>-6.4697299999999999E-2</v>
      </c>
      <c r="AH17" s="21">
        <v>74.1036</v>
      </c>
      <c r="AI17" s="21">
        <v>-1.6003400000000001E-2</v>
      </c>
      <c r="AJ17" s="21">
        <v>7</v>
      </c>
      <c r="AK17" s="21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1">
        <v>1.69479</v>
      </c>
      <c r="AR17" s="21">
        <v>123.504</v>
      </c>
      <c r="AS17" s="21">
        <v>2.27753E-4</v>
      </c>
      <c r="AT17" s="21">
        <v>7</v>
      </c>
      <c r="AU17" s="21">
        <v>1.69373</v>
      </c>
      <c r="AV17">
        <f t="shared" si="8"/>
        <v>-0.22775300000000001</v>
      </c>
      <c r="AW17">
        <f t="shared" si="9"/>
        <v>-0.38599350687</v>
      </c>
      <c r="AX17" s="9"/>
      <c r="AY17" s="21">
        <v>-6.4697299999999999E-2</v>
      </c>
      <c r="AZ17" s="21">
        <v>172.79</v>
      </c>
      <c r="BA17" s="21">
        <v>-1.5994299999999999E-2</v>
      </c>
      <c r="BB17" s="21">
        <v>7</v>
      </c>
      <c r="BC17" s="21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1">
        <v>1.69479</v>
      </c>
      <c r="BJ17" s="21">
        <v>222.14099999999999</v>
      </c>
      <c r="BK17" s="21">
        <v>1.6348299999999999E-4</v>
      </c>
      <c r="BL17" s="21">
        <v>7</v>
      </c>
      <c r="BM17" s="21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1">
        <v>-6.4697299999999999E-2</v>
      </c>
      <c r="BR17" s="21">
        <v>271.346</v>
      </c>
      <c r="BS17" s="21">
        <v>-1.6009499999999999E-2</v>
      </c>
      <c r="BT17" s="21">
        <v>7</v>
      </c>
      <c r="BU17" s="21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1.6693739288134013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1.6897599999999999</v>
      </c>
      <c r="H18" s="21">
        <v>47.044699999999999</v>
      </c>
      <c r="I18" s="21">
        <v>-1.2313800000000001E-4</v>
      </c>
      <c r="J18" s="21">
        <v>8</v>
      </c>
      <c r="K18" s="21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1">
        <v>-5.9661899999999997E-2</v>
      </c>
      <c r="P18" s="21">
        <v>96.427099999999996</v>
      </c>
      <c r="Q18" s="21">
        <v>-1.6085800000000001E-2</v>
      </c>
      <c r="R18" s="21">
        <v>8</v>
      </c>
      <c r="S18" s="21">
        <v>-6.0150099999999998E-2</v>
      </c>
      <c r="T18">
        <f t="shared" si="2"/>
        <v>16.085800000000003</v>
      </c>
      <c r="U18">
        <f t="shared" si="3"/>
        <v>-0.95970939102000008</v>
      </c>
      <c r="V18" s="22"/>
      <c r="W18" s="23"/>
      <c r="X18" s="9"/>
      <c r="Y18" s="21">
        <v>1.6897599999999999</v>
      </c>
      <c r="Z18" s="21">
        <v>49.128700000000002</v>
      </c>
      <c r="AA18" s="21">
        <v>-1.19354E-4</v>
      </c>
      <c r="AB18" s="21">
        <v>8</v>
      </c>
      <c r="AC18" s="21">
        <v>1.6891499999999999</v>
      </c>
      <c r="AD18">
        <f t="shared" si="4"/>
        <v>0.119354</v>
      </c>
      <c r="AE18">
        <f t="shared" si="5"/>
        <v>0.20167961503999998</v>
      </c>
      <c r="AF18" s="9"/>
      <c r="AG18" s="21">
        <v>-5.9661899999999997E-2</v>
      </c>
      <c r="AH18" s="21">
        <v>74.113699999999994</v>
      </c>
      <c r="AI18" s="21">
        <v>-1.60065E-2</v>
      </c>
      <c r="AJ18" s="21">
        <v>8</v>
      </c>
      <c r="AK18" s="21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1">
        <v>1.6897599999999999</v>
      </c>
      <c r="AR18" s="21">
        <v>123.514</v>
      </c>
      <c r="AS18" s="21">
        <v>-2.26624E-4</v>
      </c>
      <c r="AT18" s="21">
        <v>8</v>
      </c>
      <c r="AU18" s="21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1">
        <v>-5.9661899999999997E-2</v>
      </c>
      <c r="AZ18" s="21">
        <v>172.80099999999999</v>
      </c>
      <c r="BA18" s="21">
        <v>-1.5997299999999999E-2</v>
      </c>
      <c r="BB18" s="21">
        <v>8</v>
      </c>
      <c r="BC18" s="21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1">
        <v>1.6897599999999999</v>
      </c>
      <c r="BJ18" s="21">
        <v>222.15100000000001</v>
      </c>
      <c r="BK18" s="21">
        <v>-3.0230699999999998E-4</v>
      </c>
      <c r="BL18" s="21">
        <v>8</v>
      </c>
      <c r="BM18" s="21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1">
        <v>-5.9661899999999997E-2</v>
      </c>
      <c r="BR18" s="21">
        <v>271.35599999999999</v>
      </c>
      <c r="BS18" s="21">
        <v>-1.6009499999999999E-2</v>
      </c>
      <c r="BT18" s="21">
        <v>8</v>
      </c>
      <c r="BU18" s="21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0.66536985759403022</v>
      </c>
      <c r="D19" s="20">
        <f>IFERROR(CF2,0)</f>
        <v>0</v>
      </c>
      <c r="E19" s="20">
        <f>IFERROR(CC9,0)</f>
        <v>0</v>
      </c>
      <c r="F19" s="9"/>
      <c r="G19" s="21">
        <v>1.68472</v>
      </c>
      <c r="H19" s="21">
        <v>47.054699999999997</v>
      </c>
      <c r="I19" s="21">
        <v>-4.0222199999999999E-4</v>
      </c>
      <c r="J19" s="21">
        <v>9</v>
      </c>
      <c r="K19" s="21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1">
        <v>-5.4626500000000001E-2</v>
      </c>
      <c r="P19" s="21">
        <v>96.437200000000004</v>
      </c>
      <c r="Q19" s="21">
        <v>-1.60889E-2</v>
      </c>
      <c r="R19" s="21">
        <v>9</v>
      </c>
      <c r="S19" s="21">
        <v>-5.5267299999999998E-2</v>
      </c>
      <c r="T19">
        <f t="shared" si="2"/>
        <v>16.088899999999999</v>
      </c>
      <c r="U19">
        <f t="shared" si="3"/>
        <v>-0.87888029584999994</v>
      </c>
      <c r="V19" s="22"/>
      <c r="W19" s="23"/>
      <c r="X19" s="9"/>
      <c r="Y19" s="21">
        <v>1.68472</v>
      </c>
      <c r="Z19" s="21">
        <v>49.138800000000003</v>
      </c>
      <c r="AA19" s="21">
        <v>-5.4687500000000005E-4</v>
      </c>
      <c r="AB19" s="21">
        <v>9</v>
      </c>
      <c r="AC19" s="21">
        <v>1.6836500000000001</v>
      </c>
      <c r="AD19">
        <f t="shared" si="4"/>
        <v>0.546875</v>
      </c>
      <c r="AE19">
        <f t="shared" si="5"/>
        <v>0.92133125000000005</v>
      </c>
      <c r="AF19" s="9"/>
      <c r="AG19" s="21">
        <v>-5.4626500000000001E-2</v>
      </c>
      <c r="AH19" s="21">
        <v>74.123699999999999</v>
      </c>
      <c r="AI19" s="21">
        <v>-1.60065E-2</v>
      </c>
      <c r="AJ19" s="21">
        <v>9</v>
      </c>
      <c r="AK19" s="21">
        <v>-5.52063E-2</v>
      </c>
      <c r="AL19">
        <f t="shared" si="6"/>
        <v>16.006499999999999</v>
      </c>
      <c r="AM19">
        <f t="shared" si="7"/>
        <v>-0.87437907225</v>
      </c>
      <c r="AP19" s="9"/>
      <c r="AQ19" s="21">
        <v>1.68472</v>
      </c>
      <c r="AR19" s="21">
        <v>123.524</v>
      </c>
      <c r="AS19" s="21">
        <v>-6.6680899999999998E-4</v>
      </c>
      <c r="AT19" s="21">
        <v>9</v>
      </c>
      <c r="AU19" s="21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1">
        <v>-5.4626500000000001E-2</v>
      </c>
      <c r="AZ19" s="21">
        <v>172.81100000000001</v>
      </c>
      <c r="BA19" s="21">
        <v>-1.5997299999999999E-2</v>
      </c>
      <c r="BB19" s="21">
        <v>9</v>
      </c>
      <c r="BC19" s="21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1">
        <v>1.68472</v>
      </c>
      <c r="BJ19" s="21">
        <v>222.161</v>
      </c>
      <c r="BK19" s="21">
        <v>-7.5134300000000002E-4</v>
      </c>
      <c r="BL19" s="21">
        <v>9</v>
      </c>
      <c r="BM19" s="21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1">
        <v>-5.4626500000000001E-2</v>
      </c>
      <c r="BR19" s="21">
        <v>271.36599999999999</v>
      </c>
      <c r="BS19" s="21">
        <v>-1.6012599999999998E-2</v>
      </c>
      <c r="BT19" s="21">
        <v>9</v>
      </c>
      <c r="BU19" s="21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1.6796899999999999</v>
      </c>
      <c r="H20" s="21">
        <v>47.064799999999998</v>
      </c>
      <c r="I20" s="21">
        <v>-6.8542500000000003E-4</v>
      </c>
      <c r="J20" s="21">
        <v>10</v>
      </c>
      <c r="K20" s="21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1">
        <v>-4.9591099999999999E-2</v>
      </c>
      <c r="P20" s="21">
        <v>96.447199999999995</v>
      </c>
      <c r="Q20" s="21">
        <v>-1.60889E-2</v>
      </c>
      <c r="R20" s="21">
        <v>10</v>
      </c>
      <c r="S20" s="21">
        <v>-5.02014E-2</v>
      </c>
      <c r="T20">
        <f t="shared" si="2"/>
        <v>16.088899999999999</v>
      </c>
      <c r="U20">
        <f t="shared" si="3"/>
        <v>-0.7978662487899999</v>
      </c>
      <c r="V20" s="22"/>
      <c r="W20" s="23"/>
      <c r="X20" s="9"/>
      <c r="Y20" s="21">
        <v>1.6796899999999999</v>
      </c>
      <c r="Z20" s="21">
        <v>49.148800000000001</v>
      </c>
      <c r="AA20" s="21">
        <v>-9.6618699999999997E-4</v>
      </c>
      <c r="AB20" s="21">
        <v>10</v>
      </c>
      <c r="AC20" s="21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1">
        <v>-4.9591099999999999E-2</v>
      </c>
      <c r="AH20" s="21">
        <v>74.133799999999994</v>
      </c>
      <c r="AI20" s="21">
        <v>-1.6003400000000001E-2</v>
      </c>
      <c r="AJ20" s="21">
        <v>10</v>
      </c>
      <c r="AK20" s="21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1">
        <v>1.6796899999999999</v>
      </c>
      <c r="AR20" s="21">
        <v>123.53400000000001</v>
      </c>
      <c r="AS20" s="21">
        <v>-1.1013799999999999E-3</v>
      </c>
      <c r="AT20" s="21">
        <v>10</v>
      </c>
      <c r="AU20" s="21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1">
        <v>-4.9591099999999999E-2</v>
      </c>
      <c r="AZ20" s="21">
        <v>172.821</v>
      </c>
      <c r="BA20" s="21">
        <v>-1.5997299999999999E-2</v>
      </c>
      <c r="BB20" s="21">
        <v>10</v>
      </c>
      <c r="BC20" s="21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1">
        <v>1.6796899999999999</v>
      </c>
      <c r="BJ20" s="21">
        <v>222.17099999999999</v>
      </c>
      <c r="BK20" s="21">
        <v>-1.20758E-3</v>
      </c>
      <c r="BL20" s="21">
        <v>10</v>
      </c>
      <c r="BM20" s="21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1">
        <v>-4.9591099999999999E-2</v>
      </c>
      <c r="BR20" s="21">
        <v>271.37700000000001</v>
      </c>
      <c r="BS20" s="21">
        <v>-1.6015600000000001E-2</v>
      </c>
      <c r="BT20" s="21">
        <v>10</v>
      </c>
      <c r="BU20" s="21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1.67465</v>
      </c>
      <c r="H21" s="21">
        <v>47.0749</v>
      </c>
      <c r="I21" s="21">
        <v>-9.7259500000000004E-4</v>
      </c>
      <c r="J21" s="21">
        <v>11</v>
      </c>
      <c r="K21" s="21">
        <v>1.6732800000000001</v>
      </c>
      <c r="L21">
        <f t="shared" si="0"/>
        <v>0.97259499999999999</v>
      </c>
      <c r="M21">
        <f t="shared" si="1"/>
        <v>1.62875621675</v>
      </c>
      <c r="N21" s="9"/>
      <c r="O21" s="21">
        <v>-4.4555699999999997E-2</v>
      </c>
      <c r="P21" s="21">
        <v>96.457300000000004</v>
      </c>
      <c r="Q21" s="21">
        <v>-1.6091899999999999E-2</v>
      </c>
      <c r="R21" s="21">
        <v>11</v>
      </c>
      <c r="S21" s="21">
        <v>-4.49127E-2</v>
      </c>
      <c r="T21">
        <f t="shared" si="2"/>
        <v>16.091899999999999</v>
      </c>
      <c r="U21">
        <f t="shared" si="3"/>
        <v>-0.71698586882999993</v>
      </c>
      <c r="V21" s="22"/>
      <c r="W21" s="23"/>
      <c r="X21" s="9"/>
      <c r="Y21" s="21">
        <v>1.67465</v>
      </c>
      <c r="Z21" s="21">
        <v>49.158900000000003</v>
      </c>
      <c r="AA21" s="21">
        <v>-1.3974E-3</v>
      </c>
      <c r="AB21" s="21">
        <v>11</v>
      </c>
      <c r="AC21" s="21">
        <v>1.6729700000000001</v>
      </c>
      <c r="AD21">
        <f t="shared" si="4"/>
        <v>1.3974</v>
      </c>
      <c r="AE21">
        <f t="shared" si="5"/>
        <v>2.34015591</v>
      </c>
      <c r="AF21" s="9"/>
      <c r="AG21" s="21">
        <v>-4.4555699999999997E-2</v>
      </c>
      <c r="AH21" s="21">
        <v>74.143900000000002</v>
      </c>
      <c r="AI21" s="21">
        <v>-1.6000400000000001E-2</v>
      </c>
      <c r="AJ21" s="21">
        <v>11</v>
      </c>
      <c r="AK21" s="21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1">
        <v>1.67465</v>
      </c>
      <c r="AR21" s="21">
        <v>123.544</v>
      </c>
      <c r="AS21" s="21">
        <v>-1.53137E-3</v>
      </c>
      <c r="AT21" s="21">
        <v>11</v>
      </c>
      <c r="AU21" s="21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1">
        <v>-4.4555699999999997E-2</v>
      </c>
      <c r="AZ21" s="21">
        <v>172.83099999999999</v>
      </c>
      <c r="BA21" s="21">
        <v>-1.5997299999999999E-2</v>
      </c>
      <c r="BB21" s="21">
        <v>11</v>
      </c>
      <c r="BC21" s="21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1">
        <v>1.67465</v>
      </c>
      <c r="BJ21" s="21">
        <v>222.18100000000001</v>
      </c>
      <c r="BK21" s="21">
        <v>-1.6409300000000001E-3</v>
      </c>
      <c r="BL21" s="21">
        <v>11</v>
      </c>
      <c r="BM21" s="21">
        <v>1.6741900000000001</v>
      </c>
      <c r="BN21">
        <f t="shared" si="12"/>
        <v>1.64093</v>
      </c>
      <c r="BO21">
        <f t="shared" si="13"/>
        <v>2.7479834245000001</v>
      </c>
      <c r="BP21" s="9"/>
      <c r="BQ21" s="21">
        <v>-4.4555699999999997E-2</v>
      </c>
      <c r="BR21" s="21">
        <v>271.387</v>
      </c>
      <c r="BS21" s="21">
        <v>-1.60065E-2</v>
      </c>
      <c r="BT21" s="21">
        <v>11</v>
      </c>
      <c r="BU21" s="21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1.6696200000000001</v>
      </c>
      <c r="H22" s="21">
        <v>47.084899999999998</v>
      </c>
      <c r="I22" s="21">
        <v>-1.2673999999999999E-3</v>
      </c>
      <c r="J22" s="21">
        <v>12</v>
      </c>
      <c r="K22" s="21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1">
        <v>-3.9520300000000001E-2</v>
      </c>
      <c r="P22" s="21">
        <v>96.467399999999998</v>
      </c>
      <c r="Q22" s="21">
        <v>-1.6085800000000001E-2</v>
      </c>
      <c r="R22" s="21">
        <v>12</v>
      </c>
      <c r="S22" s="21">
        <v>-3.9926099999999999E-2</v>
      </c>
      <c r="T22">
        <f t="shared" si="2"/>
        <v>16.085800000000003</v>
      </c>
      <c r="U22">
        <f t="shared" si="3"/>
        <v>-0.63571564174000017</v>
      </c>
      <c r="V22" s="22"/>
      <c r="W22" s="23"/>
      <c r="X22" s="9"/>
      <c r="Y22" s="21">
        <v>1.6696200000000001</v>
      </c>
      <c r="Z22" s="21">
        <v>49.168999999999997</v>
      </c>
      <c r="AA22" s="21">
        <v>-1.8136599999999999E-3</v>
      </c>
      <c r="AB22" s="21">
        <v>12</v>
      </c>
      <c r="AC22" s="21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1">
        <v>-3.9520300000000001E-2</v>
      </c>
      <c r="AH22" s="21">
        <v>74.153999999999996</v>
      </c>
      <c r="AI22" s="21">
        <v>-1.6000400000000001E-2</v>
      </c>
      <c r="AJ22" s="21">
        <v>12</v>
      </c>
      <c r="AK22" s="21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1">
        <v>1.6696200000000001</v>
      </c>
      <c r="AR22" s="21">
        <v>123.554</v>
      </c>
      <c r="AS22" s="21">
        <v>-1.9610600000000001E-3</v>
      </c>
      <c r="AT22" s="21">
        <v>12</v>
      </c>
      <c r="AU22" s="21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1">
        <v>-3.9520300000000001E-2</v>
      </c>
      <c r="AZ22" s="21">
        <v>172.84100000000001</v>
      </c>
      <c r="BA22" s="21">
        <v>-1.5997299999999999E-2</v>
      </c>
      <c r="BB22" s="21">
        <v>12</v>
      </c>
      <c r="BC22" s="21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1">
        <v>1.6696200000000001</v>
      </c>
      <c r="BJ22" s="21">
        <v>222.191</v>
      </c>
      <c r="BK22" s="21">
        <v>-2.0703100000000001E-3</v>
      </c>
      <c r="BL22" s="21">
        <v>12</v>
      </c>
      <c r="BM22" s="21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1">
        <v>-3.9520300000000001E-2</v>
      </c>
      <c r="BR22" s="21">
        <v>271.39699999999999</v>
      </c>
      <c r="BS22" s="21">
        <v>-1.6003400000000001E-2</v>
      </c>
      <c r="BT22" s="21">
        <v>12</v>
      </c>
      <c r="BU22" s="21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1.6645799999999999</v>
      </c>
      <c r="H23" s="21">
        <v>47.094999999999999</v>
      </c>
      <c r="I23" s="21">
        <v>-1.5530400000000001E-3</v>
      </c>
      <c r="J23" s="21">
        <v>13</v>
      </c>
      <c r="K23" s="21">
        <v>1.66351</v>
      </c>
      <c r="L23">
        <f t="shared" si="0"/>
        <v>1.5530400000000002</v>
      </c>
      <c r="M23">
        <f t="shared" si="1"/>
        <v>2.5851593232000001</v>
      </c>
      <c r="N23" s="9"/>
      <c r="O23" s="21">
        <v>-3.4484899999999999E-2</v>
      </c>
      <c r="P23" s="21">
        <v>96.477400000000003</v>
      </c>
      <c r="Q23" s="21">
        <v>-1.6082800000000001E-2</v>
      </c>
      <c r="R23" s="21">
        <v>13</v>
      </c>
      <c r="S23" s="21">
        <v>-3.4814499999999998E-2</v>
      </c>
      <c r="T23">
        <f t="shared" si="2"/>
        <v>16.082800000000002</v>
      </c>
      <c r="U23">
        <f t="shared" si="3"/>
        <v>-0.5546137497200001</v>
      </c>
      <c r="V23" s="22"/>
      <c r="W23" s="23"/>
      <c r="X23" s="9"/>
      <c r="Y23" s="21">
        <v>1.6645799999999999</v>
      </c>
      <c r="Z23" s="21">
        <v>49.179099999999998</v>
      </c>
      <c r="AA23" s="21">
        <v>-2.2244299999999999E-3</v>
      </c>
      <c r="AB23" s="21">
        <v>13</v>
      </c>
      <c r="AC23" s="21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1">
        <v>-3.4484899999999999E-2</v>
      </c>
      <c r="AH23" s="21">
        <v>74.164000000000001</v>
      </c>
      <c r="AI23" s="21">
        <v>-1.5997299999999999E-2</v>
      </c>
      <c r="AJ23" s="21">
        <v>13</v>
      </c>
      <c r="AK23" s="21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1">
        <v>1.6645799999999999</v>
      </c>
      <c r="AR23" s="21">
        <v>123.56399999999999</v>
      </c>
      <c r="AS23" s="21">
        <v>-2.37732E-3</v>
      </c>
      <c r="AT23" s="21">
        <v>13</v>
      </c>
      <c r="AU23" s="21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1">
        <v>-3.4484899999999999E-2</v>
      </c>
      <c r="AZ23" s="21">
        <v>172.851</v>
      </c>
      <c r="BA23" s="21">
        <v>-1.6000400000000001E-2</v>
      </c>
      <c r="BB23" s="21">
        <v>13</v>
      </c>
      <c r="BC23" s="21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1">
        <v>1.6645799999999999</v>
      </c>
      <c r="BJ23" s="21">
        <v>222.20099999999999</v>
      </c>
      <c r="BK23" s="21">
        <v>-2.4850499999999999E-3</v>
      </c>
      <c r="BL23" s="21">
        <v>13</v>
      </c>
      <c r="BM23" s="21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1">
        <v>-3.4484899999999999E-2</v>
      </c>
      <c r="BR23" s="21">
        <v>271.40699999999998</v>
      </c>
      <c r="BS23" s="21">
        <v>-1.5997299999999999E-2</v>
      </c>
      <c r="BT23" s="21">
        <v>13</v>
      </c>
      <c r="BU23" s="21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1.6595500000000001</v>
      </c>
      <c r="H24" s="21">
        <v>47.1051</v>
      </c>
      <c r="I24" s="21">
        <v>-1.8548600000000001E-3</v>
      </c>
      <c r="J24" s="21">
        <v>14</v>
      </c>
      <c r="K24" s="21">
        <v>1.6583300000000001</v>
      </c>
      <c r="L24">
        <f t="shared" si="0"/>
        <v>1.85486</v>
      </c>
      <c r="M24">
        <f t="shared" si="1"/>
        <v>3.0782329129999999</v>
      </c>
      <c r="N24" s="9"/>
      <c r="O24" s="21">
        <v>-2.94495E-2</v>
      </c>
      <c r="P24" s="21">
        <v>96.487499999999997</v>
      </c>
      <c r="Q24" s="21">
        <v>-1.6076699999999999E-2</v>
      </c>
      <c r="R24" s="21">
        <v>14</v>
      </c>
      <c r="S24" s="21">
        <v>-2.9711899999999999E-2</v>
      </c>
      <c r="T24">
        <f t="shared" si="2"/>
        <v>16.076699999999999</v>
      </c>
      <c r="U24">
        <f t="shared" si="3"/>
        <v>-0.47345077664999996</v>
      </c>
      <c r="V24" s="22"/>
      <c r="W24" s="23"/>
      <c r="X24" s="9"/>
      <c r="Y24" s="21">
        <v>1.6595500000000001</v>
      </c>
      <c r="Z24" s="21">
        <v>49.189100000000003</v>
      </c>
      <c r="AA24" s="21">
        <v>-2.6180999999999999E-3</v>
      </c>
      <c r="AB24" s="21">
        <v>14</v>
      </c>
      <c r="AC24" s="21">
        <v>1.65863</v>
      </c>
      <c r="AD24">
        <f t="shared" si="4"/>
        <v>2.6181000000000001</v>
      </c>
      <c r="AE24">
        <f t="shared" si="5"/>
        <v>4.3448678550000004</v>
      </c>
      <c r="AF24" s="9"/>
      <c r="AG24" s="21">
        <v>-2.94495E-2</v>
      </c>
      <c r="AH24" s="21">
        <v>74.174099999999996</v>
      </c>
      <c r="AI24" s="21">
        <v>-1.5991200000000001E-2</v>
      </c>
      <c r="AJ24" s="21">
        <v>14</v>
      </c>
      <c r="AK24" s="21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1">
        <v>1.6595500000000001</v>
      </c>
      <c r="AR24" s="21">
        <v>123.575</v>
      </c>
      <c r="AS24" s="21">
        <v>-2.7902199999999999E-3</v>
      </c>
      <c r="AT24" s="21">
        <v>14</v>
      </c>
      <c r="AU24" s="21">
        <v>1.65863</v>
      </c>
      <c r="AV24">
        <f t="shared" si="8"/>
        <v>2.7902200000000001</v>
      </c>
      <c r="AW24">
        <f t="shared" si="9"/>
        <v>4.6305096010000009</v>
      </c>
      <c r="AX24" s="9"/>
      <c r="AY24" s="21">
        <v>-2.94495E-2</v>
      </c>
      <c r="AZ24" s="21">
        <v>172.86099999999999</v>
      </c>
      <c r="BA24" s="21">
        <v>-1.5994299999999999E-2</v>
      </c>
      <c r="BB24" s="21">
        <v>14</v>
      </c>
      <c r="BC24" s="21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1">
        <v>1.6595500000000001</v>
      </c>
      <c r="BJ24" s="21">
        <v>222.21100000000001</v>
      </c>
      <c r="BK24" s="21">
        <v>-2.89734E-3</v>
      </c>
      <c r="BL24" s="21">
        <v>14</v>
      </c>
      <c r="BM24" s="21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1">
        <v>-2.94495E-2</v>
      </c>
      <c r="BR24" s="21">
        <v>271.41699999999997</v>
      </c>
      <c r="BS24" s="21">
        <v>-1.6000400000000001E-2</v>
      </c>
      <c r="BT24" s="21">
        <v>14</v>
      </c>
      <c r="BU24" s="21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1.6545099999999999</v>
      </c>
      <c r="H25" s="21">
        <v>47.115200000000002</v>
      </c>
      <c r="I25" s="21">
        <v>-2.14233E-3</v>
      </c>
      <c r="J25" s="21">
        <v>15</v>
      </c>
      <c r="K25" s="21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1">
        <v>-2.4414100000000001E-2</v>
      </c>
      <c r="P25" s="21">
        <v>96.497600000000006</v>
      </c>
      <c r="Q25" s="21">
        <v>-1.6070600000000001E-2</v>
      </c>
      <c r="R25" s="21">
        <v>15</v>
      </c>
      <c r="S25" s="21">
        <v>-2.4771100000000001E-2</v>
      </c>
      <c r="T25">
        <f t="shared" si="2"/>
        <v>16.070600000000002</v>
      </c>
      <c r="U25">
        <f t="shared" si="3"/>
        <v>-0.39234923546000006</v>
      </c>
      <c r="V25" s="22"/>
      <c r="W25" s="23"/>
      <c r="X25" s="9"/>
      <c r="Y25" s="21">
        <v>1.6545099999999999</v>
      </c>
      <c r="Z25" s="21">
        <v>49.199199999999998</v>
      </c>
      <c r="AA25" s="21">
        <v>-3.0084199999999999E-3</v>
      </c>
      <c r="AB25" s="21">
        <v>15</v>
      </c>
      <c r="AC25" s="21">
        <v>1.65344</v>
      </c>
      <c r="AD25">
        <f t="shared" si="4"/>
        <v>3.0084200000000001</v>
      </c>
      <c r="AE25">
        <f t="shared" si="5"/>
        <v>4.9774609741999996</v>
      </c>
      <c r="AF25" s="9"/>
      <c r="AG25" s="21">
        <v>-2.4414100000000001E-2</v>
      </c>
      <c r="AH25" s="21">
        <v>74.184200000000004</v>
      </c>
      <c r="AI25" s="21">
        <v>-1.5982099999999999E-2</v>
      </c>
      <c r="AJ25" s="21">
        <v>15</v>
      </c>
      <c r="AK25" s="21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1">
        <v>1.6545099999999999</v>
      </c>
      <c r="AR25" s="21">
        <v>123.58499999999999</v>
      </c>
      <c r="AS25" s="21">
        <v>-3.1863400000000002E-3</v>
      </c>
      <c r="AT25" s="21">
        <v>15</v>
      </c>
      <c r="AU25" s="21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1">
        <v>-2.4414100000000001E-2</v>
      </c>
      <c r="AZ25" s="21">
        <v>172.87100000000001</v>
      </c>
      <c r="BA25" s="21">
        <v>-1.5991200000000001E-2</v>
      </c>
      <c r="BB25" s="21">
        <v>15</v>
      </c>
      <c r="BC25" s="21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1">
        <v>1.6545099999999999</v>
      </c>
      <c r="BJ25" s="21">
        <v>222.221</v>
      </c>
      <c r="BK25" s="21">
        <v>-3.2919300000000002E-3</v>
      </c>
      <c r="BL25" s="21">
        <v>15</v>
      </c>
      <c r="BM25" s="21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1">
        <v>-2.4414100000000001E-2</v>
      </c>
      <c r="BR25" s="21">
        <v>271.42700000000002</v>
      </c>
      <c r="BS25" s="21">
        <v>-1.5997299999999999E-2</v>
      </c>
      <c r="BT25" s="21">
        <v>15</v>
      </c>
      <c r="BU25" s="21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1.6494800000000001</v>
      </c>
      <c r="H26" s="21">
        <v>47.1252</v>
      </c>
      <c r="I26" s="21">
        <v>-2.44904E-3</v>
      </c>
      <c r="J26" s="21">
        <v>16</v>
      </c>
      <c r="K26" s="21">
        <v>1.64856</v>
      </c>
      <c r="L26">
        <f t="shared" si="0"/>
        <v>2.4490400000000001</v>
      </c>
      <c r="M26">
        <f t="shared" si="1"/>
        <v>4.0396424992000002</v>
      </c>
      <c r="N26" s="9"/>
      <c r="O26" s="21">
        <v>-1.9378699999999999E-2</v>
      </c>
      <c r="P26" s="21">
        <v>96.5077</v>
      </c>
      <c r="Q26" s="21">
        <v>-1.6064499999999999E-2</v>
      </c>
      <c r="R26" s="21">
        <v>16</v>
      </c>
      <c r="S26" s="21">
        <v>-1.9711300000000001E-2</v>
      </c>
      <c r="T26">
        <f t="shared" si="2"/>
        <v>16.064499999999999</v>
      </c>
      <c r="U26">
        <f t="shared" si="3"/>
        <v>-0.31130912614999995</v>
      </c>
      <c r="V26" s="22"/>
      <c r="W26" s="23"/>
      <c r="X26" s="9"/>
      <c r="Y26" s="21">
        <v>1.6494800000000001</v>
      </c>
      <c r="Z26" s="21">
        <v>49.209299999999999</v>
      </c>
      <c r="AA26" s="21">
        <v>-3.3975199999999998E-3</v>
      </c>
      <c r="AB26" s="21">
        <v>16</v>
      </c>
      <c r="AC26" s="21">
        <v>1.64856</v>
      </c>
      <c r="AD26">
        <f t="shared" si="4"/>
        <v>3.3975199999999997</v>
      </c>
      <c r="AE26">
        <f t="shared" si="5"/>
        <v>5.6041412895999994</v>
      </c>
      <c r="AF26" s="9"/>
      <c r="AG26" s="21">
        <v>-1.9378699999999999E-2</v>
      </c>
      <c r="AH26" s="21">
        <v>74.194199999999995</v>
      </c>
      <c r="AI26" s="21">
        <v>-1.5979E-2</v>
      </c>
      <c r="AJ26" s="21">
        <v>16</v>
      </c>
      <c r="AK26" s="21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1">
        <v>1.6494800000000001</v>
      </c>
      <c r="AR26" s="21">
        <v>123.595</v>
      </c>
      <c r="AS26" s="21">
        <v>-3.5797099999999998E-3</v>
      </c>
      <c r="AT26" s="21">
        <v>16</v>
      </c>
      <c r="AU26" s="21">
        <v>1.64825</v>
      </c>
      <c r="AV26">
        <f t="shared" si="8"/>
        <v>3.5797099999999999</v>
      </c>
      <c r="AW26">
        <f t="shared" si="9"/>
        <v>5.9046600508000004</v>
      </c>
      <c r="AX26" s="9"/>
      <c r="AY26" s="21">
        <v>-1.9378699999999999E-2</v>
      </c>
      <c r="AZ26" s="21">
        <v>172.881</v>
      </c>
      <c r="BA26" s="21">
        <v>-1.5991200000000001E-2</v>
      </c>
      <c r="BB26" s="21">
        <v>16</v>
      </c>
      <c r="BC26" s="21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1">
        <v>1.6494800000000001</v>
      </c>
      <c r="BJ26" s="21">
        <v>222.232</v>
      </c>
      <c r="BK26" s="21">
        <v>-3.6929300000000001E-3</v>
      </c>
      <c r="BL26" s="21">
        <v>16</v>
      </c>
      <c r="BM26" s="21">
        <v>1.64825</v>
      </c>
      <c r="BN26">
        <f t="shared" si="12"/>
        <v>3.69293</v>
      </c>
      <c r="BO26">
        <f t="shared" si="13"/>
        <v>6.0914141764000007</v>
      </c>
      <c r="BP26" s="9"/>
      <c r="BQ26" s="21">
        <v>-1.9378699999999999E-2</v>
      </c>
      <c r="BR26" s="21">
        <v>271.43700000000001</v>
      </c>
      <c r="BS26" s="21">
        <v>-1.5985099999999999E-2</v>
      </c>
      <c r="BT26" s="21">
        <v>16</v>
      </c>
      <c r="BU26" s="21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1.6444399999999999</v>
      </c>
      <c r="H27" s="21">
        <v>47.135300000000001</v>
      </c>
      <c r="I27" s="21">
        <v>-2.74231E-3</v>
      </c>
      <c r="J27" s="21">
        <v>17</v>
      </c>
      <c r="K27" s="21">
        <v>1.64398</v>
      </c>
      <c r="L27">
        <f t="shared" si="0"/>
        <v>2.7423099999999998</v>
      </c>
      <c r="M27">
        <f t="shared" si="1"/>
        <v>4.5095642563999991</v>
      </c>
      <c r="N27" s="9"/>
      <c r="O27" s="21">
        <v>-1.43433E-2</v>
      </c>
      <c r="P27" s="21">
        <v>96.517700000000005</v>
      </c>
      <c r="Q27" s="21">
        <v>-1.6058300000000001E-2</v>
      </c>
      <c r="R27" s="21">
        <v>17</v>
      </c>
      <c r="S27" s="21">
        <v>-1.46851E-2</v>
      </c>
      <c r="T27">
        <f t="shared" si="2"/>
        <v>16.058300000000003</v>
      </c>
      <c r="U27">
        <f t="shared" si="3"/>
        <v>-0.23032901439000003</v>
      </c>
      <c r="X27" s="9"/>
      <c r="Y27" s="21">
        <v>1.6444399999999999</v>
      </c>
      <c r="Z27" s="21">
        <v>49.219299999999997</v>
      </c>
      <c r="AA27" s="21">
        <v>-3.7701399999999999E-3</v>
      </c>
      <c r="AB27" s="21">
        <v>17</v>
      </c>
      <c r="AC27" s="21">
        <v>1.64307</v>
      </c>
      <c r="AD27">
        <f t="shared" si="4"/>
        <v>3.77014</v>
      </c>
      <c r="AE27">
        <f t="shared" si="5"/>
        <v>6.1997690215999999</v>
      </c>
      <c r="AF27" s="9"/>
      <c r="AG27" s="21">
        <v>-1.43433E-2</v>
      </c>
      <c r="AH27" s="21">
        <v>74.204300000000003</v>
      </c>
      <c r="AI27" s="21">
        <v>-1.5979E-2</v>
      </c>
      <c r="AJ27" s="21">
        <v>17</v>
      </c>
      <c r="AK27" s="21">
        <v>-1.46576E-2</v>
      </c>
      <c r="AL27">
        <f t="shared" si="6"/>
        <v>15.979000000000001</v>
      </c>
      <c r="AM27">
        <f t="shared" si="7"/>
        <v>-0.2291915907</v>
      </c>
      <c r="AP27" s="9"/>
      <c r="AQ27" s="21">
        <v>1.6444399999999999</v>
      </c>
      <c r="AR27" s="21">
        <v>123.605</v>
      </c>
      <c r="AS27" s="21">
        <v>-3.9446999999999998E-3</v>
      </c>
      <c r="AT27" s="21">
        <v>17</v>
      </c>
      <c r="AU27" s="21">
        <v>1.64337</v>
      </c>
      <c r="AV27">
        <f t="shared" si="8"/>
        <v>3.9446999999999997</v>
      </c>
      <c r="AW27">
        <f t="shared" si="9"/>
        <v>6.4868224679999988</v>
      </c>
      <c r="AX27" s="9"/>
      <c r="AY27" s="21">
        <v>-1.43433E-2</v>
      </c>
      <c r="AZ27" s="21">
        <v>172.89099999999999</v>
      </c>
      <c r="BA27" s="21">
        <v>-1.5988200000000001E-2</v>
      </c>
      <c r="BB27" s="21">
        <v>17</v>
      </c>
      <c r="BC27" s="21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1">
        <v>1.6444399999999999</v>
      </c>
      <c r="BJ27" s="21">
        <v>222.24199999999999</v>
      </c>
      <c r="BK27" s="21">
        <v>-4.0701299999999999E-3</v>
      </c>
      <c r="BL27" s="21">
        <v>17</v>
      </c>
      <c r="BM27" s="21">
        <v>1.64368</v>
      </c>
      <c r="BN27">
        <f t="shared" si="12"/>
        <v>4.0701299999999998</v>
      </c>
      <c r="BO27">
        <f t="shared" si="13"/>
        <v>6.6930845771999996</v>
      </c>
      <c r="BP27" s="9"/>
      <c r="BQ27" s="21">
        <v>-1.43433E-2</v>
      </c>
      <c r="BR27" s="21">
        <v>271.447</v>
      </c>
      <c r="BS27" s="21">
        <v>-1.5979E-2</v>
      </c>
      <c r="BT27" s="21">
        <v>17</v>
      </c>
      <c r="BU27" s="21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1.6394</v>
      </c>
      <c r="H28" s="21">
        <v>47.145400000000002</v>
      </c>
      <c r="I28" s="21">
        <v>-3.0453500000000001E-3</v>
      </c>
      <c r="J28" s="21">
        <v>18</v>
      </c>
      <c r="K28" s="21">
        <v>1.63818</v>
      </c>
      <c r="L28">
        <f t="shared" si="0"/>
        <v>3.04535</v>
      </c>
      <c r="M28">
        <f t="shared" si="1"/>
        <v>4.9925467899999996</v>
      </c>
      <c r="N28" s="9"/>
      <c r="O28" s="21">
        <v>-9.3078599999999994E-3</v>
      </c>
      <c r="P28" s="21">
        <v>96.527799999999999</v>
      </c>
      <c r="Q28" s="21">
        <v>-1.6055300000000002E-2</v>
      </c>
      <c r="R28" s="21">
        <v>18</v>
      </c>
      <c r="S28" s="21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1">
        <v>1.6394</v>
      </c>
      <c r="Z28" s="21">
        <v>49.229399999999998</v>
      </c>
      <c r="AA28" s="21">
        <v>-4.1336100000000002E-3</v>
      </c>
      <c r="AB28" s="21">
        <v>18</v>
      </c>
      <c r="AC28" s="21">
        <v>1.63818</v>
      </c>
      <c r="AD28">
        <f t="shared" si="4"/>
        <v>4.13361</v>
      </c>
      <c r="AE28">
        <f t="shared" si="5"/>
        <v>6.7766402340000003</v>
      </c>
      <c r="AF28" s="9"/>
      <c r="AG28" s="21">
        <v>-9.3078599999999994E-3</v>
      </c>
      <c r="AH28" s="21">
        <v>74.214399999999998</v>
      </c>
      <c r="AI28" s="21">
        <v>-1.5976000000000001E-2</v>
      </c>
      <c r="AJ28" s="21">
        <v>18</v>
      </c>
      <c r="AK28" s="21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1">
        <v>1.6394</v>
      </c>
      <c r="AR28" s="21">
        <v>123.61499999999999</v>
      </c>
      <c r="AS28" s="21">
        <v>-4.3142700000000003E-3</v>
      </c>
      <c r="AT28" s="21">
        <v>18</v>
      </c>
      <c r="AU28" s="21">
        <v>1.63879</v>
      </c>
      <c r="AV28">
        <f t="shared" si="8"/>
        <v>4.3142700000000005</v>
      </c>
      <c r="AW28">
        <f t="shared" si="9"/>
        <v>7.0728142380000003</v>
      </c>
      <c r="AX28" s="9"/>
      <c r="AY28" s="21">
        <v>-9.3078599999999994E-3</v>
      </c>
      <c r="AZ28" s="21">
        <v>172.90100000000001</v>
      </c>
      <c r="BA28" s="21">
        <v>-1.5985099999999999E-2</v>
      </c>
      <c r="BB28" s="21">
        <v>18</v>
      </c>
      <c r="BC28" s="21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1">
        <v>1.6394</v>
      </c>
      <c r="BJ28" s="21">
        <v>222.25200000000001</v>
      </c>
      <c r="BK28" s="21">
        <v>-4.4454999999999998E-3</v>
      </c>
      <c r="BL28" s="21">
        <v>18</v>
      </c>
      <c r="BM28" s="21">
        <v>1.63788</v>
      </c>
      <c r="BN28">
        <f t="shared" si="12"/>
        <v>4.4455</v>
      </c>
      <c r="BO28">
        <f t="shared" si="13"/>
        <v>7.2879527</v>
      </c>
      <c r="BP28" s="9"/>
      <c r="BQ28" s="21">
        <v>-9.3078599999999994E-3</v>
      </c>
      <c r="BR28" s="21">
        <v>271.45699999999999</v>
      </c>
      <c r="BS28" s="21">
        <v>-1.5972900000000002E-2</v>
      </c>
      <c r="BT28" s="21">
        <v>18</v>
      </c>
      <c r="BU28" s="21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1.6343700000000001</v>
      </c>
      <c r="H29" s="21">
        <v>47.1554</v>
      </c>
      <c r="I29" s="21">
        <v>-3.3395400000000002E-3</v>
      </c>
      <c r="J29" s="21">
        <v>19</v>
      </c>
      <c r="K29" s="21">
        <v>1.6333</v>
      </c>
      <c r="L29">
        <f t="shared" si="0"/>
        <v>3.3395400000000004</v>
      </c>
      <c r="M29">
        <f t="shared" si="1"/>
        <v>5.4580439898000011</v>
      </c>
      <c r="N29" s="9"/>
      <c r="O29" s="21">
        <v>-4.2724599999999996E-3</v>
      </c>
      <c r="P29" s="21">
        <v>96.537899999999993</v>
      </c>
      <c r="Q29" s="21">
        <v>-1.60492E-2</v>
      </c>
      <c r="R29" s="21">
        <v>19</v>
      </c>
      <c r="S29" s="21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1">
        <v>1.6343700000000001</v>
      </c>
      <c r="Z29" s="21">
        <v>49.2395</v>
      </c>
      <c r="AA29" s="21">
        <v>-4.4882200000000002E-3</v>
      </c>
      <c r="AB29" s="21">
        <v>19</v>
      </c>
      <c r="AC29" s="21">
        <v>1.63361</v>
      </c>
      <c r="AD29">
        <f t="shared" si="4"/>
        <v>4.4882200000000001</v>
      </c>
      <c r="AE29">
        <f t="shared" si="5"/>
        <v>7.335412121400001</v>
      </c>
      <c r="AF29" s="9"/>
      <c r="AG29" s="21">
        <v>-4.2724599999999996E-3</v>
      </c>
      <c r="AH29" s="21">
        <v>74.224500000000006</v>
      </c>
      <c r="AI29" s="21">
        <v>-1.5976000000000001E-2</v>
      </c>
      <c r="AJ29" s="21">
        <v>19</v>
      </c>
      <c r="AK29" s="21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1">
        <v>1.6343700000000001</v>
      </c>
      <c r="AR29" s="21">
        <v>123.625</v>
      </c>
      <c r="AS29" s="21">
        <v>-4.6698E-3</v>
      </c>
      <c r="AT29" s="21">
        <v>19</v>
      </c>
      <c r="AU29" s="21">
        <v>1.6333</v>
      </c>
      <c r="AV29">
        <f t="shared" si="8"/>
        <v>4.6698000000000004</v>
      </c>
      <c r="AW29">
        <f t="shared" si="9"/>
        <v>7.6321810260000014</v>
      </c>
      <c r="AX29" s="9"/>
      <c r="AY29" s="21">
        <v>-4.2724599999999996E-3</v>
      </c>
      <c r="AZ29" s="21">
        <v>172.911</v>
      </c>
      <c r="BA29" s="21">
        <v>-1.5985099999999999E-2</v>
      </c>
      <c r="BB29" s="21">
        <v>19</v>
      </c>
      <c r="BC29" s="21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1">
        <v>1.6343700000000001</v>
      </c>
      <c r="BJ29" s="21">
        <v>222.262</v>
      </c>
      <c r="BK29" s="21">
        <v>-4.7940099999999996E-3</v>
      </c>
      <c r="BL29" s="21">
        <v>19</v>
      </c>
      <c r="BM29" s="21">
        <v>1.633</v>
      </c>
      <c r="BN29">
        <f t="shared" si="12"/>
        <v>4.7940099999999992</v>
      </c>
      <c r="BO29">
        <f t="shared" si="13"/>
        <v>7.8351861236999989</v>
      </c>
      <c r="BP29" s="9"/>
      <c r="BQ29" s="21">
        <v>-4.2724599999999996E-3</v>
      </c>
      <c r="BR29" s="21">
        <v>271.46699999999998</v>
      </c>
      <c r="BS29" s="21">
        <v>-1.5972900000000002E-2</v>
      </c>
      <c r="BT29" s="21">
        <v>19</v>
      </c>
      <c r="BU29" s="21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1.6293299999999999</v>
      </c>
      <c r="H30" s="21">
        <v>47.165500000000002</v>
      </c>
      <c r="I30" s="21">
        <v>-3.6392199999999999E-3</v>
      </c>
      <c r="J30" s="21">
        <v>20</v>
      </c>
      <c r="K30" s="21">
        <v>1.62842</v>
      </c>
      <c r="L30">
        <f t="shared" si="0"/>
        <v>3.6392199999999999</v>
      </c>
      <c r="M30">
        <f t="shared" si="1"/>
        <v>5.9294903225999995</v>
      </c>
      <c r="N30" s="9"/>
      <c r="O30" s="21">
        <v>7.6293900000000002E-4</v>
      </c>
      <c r="P30" s="21">
        <v>96.547899999999998</v>
      </c>
      <c r="Q30" s="21">
        <v>-1.60492E-2</v>
      </c>
      <c r="R30" s="21">
        <v>20</v>
      </c>
      <c r="S30" s="21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1">
        <v>1.6293299999999999</v>
      </c>
      <c r="Z30" s="21">
        <v>49.249600000000001</v>
      </c>
      <c r="AA30" s="21">
        <v>-4.8239099999999998E-3</v>
      </c>
      <c r="AB30" s="21">
        <v>20</v>
      </c>
      <c r="AC30" s="21">
        <v>1.62842</v>
      </c>
      <c r="AD30">
        <f t="shared" si="4"/>
        <v>4.8239099999999997</v>
      </c>
      <c r="AE30">
        <f t="shared" si="5"/>
        <v>7.8597412802999989</v>
      </c>
      <c r="AF30" s="9"/>
      <c r="AG30" s="21">
        <v>7.6293900000000002E-4</v>
      </c>
      <c r="AH30" s="21">
        <v>74.234499999999997</v>
      </c>
      <c r="AI30" s="21">
        <v>-1.5969799999999999E-2</v>
      </c>
      <c r="AJ30" s="21">
        <v>20</v>
      </c>
      <c r="AK30" s="21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1">
        <v>1.6293299999999999</v>
      </c>
      <c r="AR30" s="21">
        <v>123.63500000000001</v>
      </c>
      <c r="AS30" s="21">
        <v>-5.0109899999999999E-3</v>
      </c>
      <c r="AT30" s="21">
        <v>20</v>
      </c>
      <c r="AU30" s="21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1">
        <v>7.6293900000000002E-4</v>
      </c>
      <c r="AZ30" s="21">
        <v>172.92099999999999</v>
      </c>
      <c r="BA30" s="21">
        <v>-1.5982099999999999E-2</v>
      </c>
      <c r="BB30" s="21">
        <v>20</v>
      </c>
      <c r="BC30" s="21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1">
        <v>1.6293299999999999</v>
      </c>
      <c r="BJ30" s="21">
        <v>222.27199999999999</v>
      </c>
      <c r="BK30" s="21">
        <v>-5.1422100000000004E-3</v>
      </c>
      <c r="BL30" s="21">
        <v>20</v>
      </c>
      <c r="BM30" s="21">
        <v>1.62842</v>
      </c>
      <c r="BN30">
        <f t="shared" si="12"/>
        <v>5.1422100000000004</v>
      </c>
      <c r="BO30">
        <f t="shared" si="13"/>
        <v>8.378357019300001</v>
      </c>
      <c r="BP30" s="9"/>
      <c r="BQ30" s="21">
        <v>7.6293900000000002E-4</v>
      </c>
      <c r="BR30" s="21">
        <v>271.47699999999998</v>
      </c>
      <c r="BS30" s="21">
        <v>-1.5972900000000002E-2</v>
      </c>
      <c r="BT30" s="21">
        <v>20</v>
      </c>
      <c r="BU30" s="21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1.6243000000000001</v>
      </c>
      <c r="H31" s="21">
        <v>47.175600000000003</v>
      </c>
      <c r="I31" s="21">
        <v>-3.93341E-3</v>
      </c>
      <c r="J31" s="21">
        <v>21</v>
      </c>
      <c r="K31" s="21">
        <v>1.62384</v>
      </c>
      <c r="L31">
        <f t="shared" si="0"/>
        <v>3.9334099999999999</v>
      </c>
      <c r="M31">
        <f t="shared" si="1"/>
        <v>6.3890378630000004</v>
      </c>
      <c r="N31" s="9"/>
      <c r="O31" s="21">
        <v>5.7983399999999999E-3</v>
      </c>
      <c r="P31" s="21">
        <v>96.558000000000007</v>
      </c>
      <c r="Q31" s="21">
        <v>-1.60492E-2</v>
      </c>
      <c r="R31" s="21">
        <v>21</v>
      </c>
      <c r="S31" s="21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1">
        <v>1.6243000000000001</v>
      </c>
      <c r="Z31" s="21">
        <v>49.259599999999999</v>
      </c>
      <c r="AA31" s="21">
        <v>-5.1574699999999999E-3</v>
      </c>
      <c r="AB31" s="21">
        <v>21</v>
      </c>
      <c r="AC31" s="21">
        <v>1.62323</v>
      </c>
      <c r="AD31">
        <f t="shared" si="4"/>
        <v>5.15747</v>
      </c>
      <c r="AE31">
        <f t="shared" si="5"/>
        <v>8.3772785210000009</v>
      </c>
      <c r="AF31" s="9"/>
      <c r="AG31" s="21">
        <v>5.7983399999999999E-3</v>
      </c>
      <c r="AH31" s="21">
        <v>74.244600000000005</v>
      </c>
      <c r="AI31" s="21">
        <v>-1.59668E-2</v>
      </c>
      <c r="AJ31" s="21">
        <v>21</v>
      </c>
      <c r="AK31" s="21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1">
        <v>1.6243000000000001</v>
      </c>
      <c r="AR31" s="21">
        <v>123.645</v>
      </c>
      <c r="AS31" s="21">
        <v>-5.33447E-3</v>
      </c>
      <c r="AT31" s="21">
        <v>21</v>
      </c>
      <c r="AU31" s="21">
        <v>1.62354</v>
      </c>
      <c r="AV31">
        <f t="shared" si="8"/>
        <v>5.3344699999999996</v>
      </c>
      <c r="AW31">
        <f t="shared" si="9"/>
        <v>8.6647796209999992</v>
      </c>
      <c r="AX31" s="9"/>
      <c r="AY31" s="21">
        <v>5.7983399999999999E-3</v>
      </c>
      <c r="AZ31" s="21">
        <v>172.93100000000001</v>
      </c>
      <c r="BA31" s="21">
        <v>-1.5979E-2</v>
      </c>
      <c r="BB31" s="21">
        <v>21</v>
      </c>
      <c r="BC31" s="21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1">
        <v>1.6243000000000001</v>
      </c>
      <c r="BJ31" s="21">
        <v>222.28200000000001</v>
      </c>
      <c r="BK31" s="21">
        <v>-5.4687499999999997E-3</v>
      </c>
      <c r="BL31" s="21">
        <v>21</v>
      </c>
      <c r="BM31" s="21">
        <v>1.62323</v>
      </c>
      <c r="BN31">
        <f t="shared" si="12"/>
        <v>5.46875</v>
      </c>
      <c r="BO31">
        <f t="shared" si="13"/>
        <v>8.8828906249999999</v>
      </c>
      <c r="BP31" s="9"/>
      <c r="BQ31" s="21">
        <v>5.7983399999999999E-3</v>
      </c>
      <c r="BR31" s="21">
        <v>271.48700000000002</v>
      </c>
      <c r="BS31" s="21">
        <v>-1.5969799999999999E-2</v>
      </c>
      <c r="BT31" s="21">
        <v>21</v>
      </c>
      <c r="BU31" s="21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1.6192599999999999</v>
      </c>
      <c r="H32" s="21">
        <v>47.185699999999997</v>
      </c>
      <c r="I32" s="21">
        <v>-4.2285200000000004E-3</v>
      </c>
      <c r="J32" s="21">
        <v>22</v>
      </c>
      <c r="K32" s="21">
        <v>1.61835</v>
      </c>
      <c r="L32">
        <f t="shared" si="0"/>
        <v>4.2285200000000005</v>
      </c>
      <c r="M32">
        <f t="shared" si="1"/>
        <v>6.8470732952000004</v>
      </c>
      <c r="N32" s="9"/>
      <c r="O32" s="21">
        <v>1.08337E-2</v>
      </c>
      <c r="P32" s="21">
        <v>96.568100000000001</v>
      </c>
      <c r="Q32" s="21">
        <v>-1.6046100000000001E-2</v>
      </c>
      <c r="R32" s="21">
        <v>22</v>
      </c>
      <c r="S32" s="21">
        <v>1.05804E-2</v>
      </c>
      <c r="T32">
        <f t="shared" si="2"/>
        <v>16.046099999999999</v>
      </c>
      <c r="U32">
        <f t="shared" si="3"/>
        <v>0.17383863356999998</v>
      </c>
      <c r="X32" s="9"/>
      <c r="Y32" s="21">
        <v>1.6192599999999999</v>
      </c>
      <c r="Z32" s="21">
        <v>49.2697</v>
      </c>
      <c r="AA32" s="21">
        <v>-5.48096E-3</v>
      </c>
      <c r="AB32" s="21">
        <v>22</v>
      </c>
      <c r="AC32" s="21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1">
        <v>1.08337E-2</v>
      </c>
      <c r="AH32" s="21">
        <v>74.2547</v>
      </c>
      <c r="AI32" s="21">
        <v>-1.5960700000000001E-2</v>
      </c>
      <c r="AJ32" s="21">
        <v>22</v>
      </c>
      <c r="AK32" s="21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1">
        <v>1.6192599999999999</v>
      </c>
      <c r="AR32" s="21">
        <v>123.655</v>
      </c>
      <c r="AS32" s="21">
        <v>-5.6518599999999999E-3</v>
      </c>
      <c r="AT32" s="21">
        <v>22</v>
      </c>
      <c r="AU32" s="21">
        <v>1.61774</v>
      </c>
      <c r="AV32">
        <f t="shared" si="8"/>
        <v>5.6518600000000001</v>
      </c>
      <c r="AW32">
        <f t="shared" si="9"/>
        <v>9.1518308235999992</v>
      </c>
      <c r="AX32" s="9"/>
      <c r="AY32" s="21">
        <v>1.08337E-2</v>
      </c>
      <c r="AZ32" s="21">
        <v>172.94200000000001</v>
      </c>
      <c r="BA32" s="21">
        <v>-1.5976000000000001E-2</v>
      </c>
      <c r="BB32" s="21">
        <v>22</v>
      </c>
      <c r="BC32" s="21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1">
        <v>1.6192599999999999</v>
      </c>
      <c r="BJ32" s="21">
        <v>222.292</v>
      </c>
      <c r="BK32" s="21">
        <v>-5.7922399999999997E-3</v>
      </c>
      <c r="BL32" s="21">
        <v>22</v>
      </c>
      <c r="BM32" s="21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1">
        <v>1.08337E-2</v>
      </c>
      <c r="BR32" s="21">
        <v>271.49700000000001</v>
      </c>
      <c r="BS32" s="21">
        <v>-1.5969799999999999E-2</v>
      </c>
      <c r="BT32" s="21">
        <v>22</v>
      </c>
      <c r="BU32" s="21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1.6142300000000001</v>
      </c>
      <c r="H33" s="21">
        <v>47.195700000000002</v>
      </c>
      <c r="I33" s="21">
        <v>-4.5159900000000001E-3</v>
      </c>
      <c r="J33" s="21">
        <v>23</v>
      </c>
      <c r="K33" s="21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1">
        <v>1.5869100000000001E-2</v>
      </c>
      <c r="P33" s="21">
        <v>96.578199999999995</v>
      </c>
      <c r="Q33" s="21">
        <v>-1.6046100000000001E-2</v>
      </c>
      <c r="R33" s="21">
        <v>23</v>
      </c>
      <c r="S33" s="21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1">
        <v>1.6142300000000001</v>
      </c>
      <c r="Z33" s="21">
        <v>49.279800000000002</v>
      </c>
      <c r="AA33" s="21">
        <v>-5.7891799999999997E-3</v>
      </c>
      <c r="AB33" s="21">
        <v>23</v>
      </c>
      <c r="AC33" s="21">
        <v>1.6131599999999999</v>
      </c>
      <c r="AD33">
        <f t="shared" si="4"/>
        <v>5.78918</v>
      </c>
      <c r="AE33">
        <f t="shared" si="5"/>
        <v>9.3450680314000003</v>
      </c>
      <c r="AF33" s="9"/>
      <c r="AG33" s="21">
        <v>1.5869100000000001E-2</v>
      </c>
      <c r="AH33" s="21">
        <v>74.264700000000005</v>
      </c>
      <c r="AI33" s="21">
        <v>-1.5960700000000001E-2</v>
      </c>
      <c r="AJ33" s="21">
        <v>23</v>
      </c>
      <c r="AK33" s="21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1">
        <v>1.6142300000000001</v>
      </c>
      <c r="AR33" s="21">
        <v>123.66500000000001</v>
      </c>
      <c r="AS33" s="21">
        <v>-5.9539800000000002E-3</v>
      </c>
      <c r="AT33" s="21">
        <v>23</v>
      </c>
      <c r="AU33" s="21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1">
        <v>1.5869100000000001E-2</v>
      </c>
      <c r="AZ33" s="21">
        <v>172.952</v>
      </c>
      <c r="BA33" s="21">
        <v>-1.5969799999999999E-2</v>
      </c>
      <c r="BB33" s="21">
        <v>23</v>
      </c>
      <c r="BC33" s="21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1">
        <v>1.6142300000000001</v>
      </c>
      <c r="BJ33" s="21">
        <v>222.30199999999999</v>
      </c>
      <c r="BK33" s="21">
        <v>-6.1035200000000003E-3</v>
      </c>
      <c r="BL33" s="21">
        <v>23</v>
      </c>
      <c r="BM33" s="21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1">
        <v>1.5869100000000001E-2</v>
      </c>
      <c r="BR33" s="21">
        <v>271.50700000000001</v>
      </c>
      <c r="BS33" s="21">
        <v>-1.59668E-2</v>
      </c>
      <c r="BT33" s="21">
        <v>23</v>
      </c>
      <c r="BU33" s="21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1.6091899999999999</v>
      </c>
      <c r="H34" s="21">
        <v>47.205800000000004</v>
      </c>
      <c r="I34" s="21">
        <v>-4.8104899999999997E-3</v>
      </c>
      <c r="J34" s="21">
        <v>24</v>
      </c>
      <c r="K34" s="21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1">
        <v>2.0904499999999999E-2</v>
      </c>
      <c r="P34" s="21">
        <v>96.588200000000001</v>
      </c>
      <c r="Q34" s="21">
        <v>-1.6046100000000001E-2</v>
      </c>
      <c r="R34" s="21">
        <v>24</v>
      </c>
      <c r="S34" s="21">
        <v>2.06818E-2</v>
      </c>
      <c r="T34">
        <f t="shared" si="2"/>
        <v>16.046099999999999</v>
      </c>
      <c r="U34">
        <f t="shared" si="3"/>
        <v>0.33543569744999996</v>
      </c>
      <c r="X34" s="9"/>
      <c r="Y34" s="21">
        <v>1.6091899999999999</v>
      </c>
      <c r="Z34" s="21">
        <v>49.2898</v>
      </c>
      <c r="AA34" s="21">
        <v>-6.0943600000000001E-3</v>
      </c>
      <c r="AB34" s="21">
        <v>24</v>
      </c>
      <c r="AC34" s="21">
        <v>1.6076699999999999</v>
      </c>
      <c r="AD34">
        <f t="shared" si="4"/>
        <v>6.09436</v>
      </c>
      <c r="AE34">
        <f t="shared" si="5"/>
        <v>9.8069831683999986</v>
      </c>
      <c r="AF34" s="9"/>
      <c r="AG34" s="21">
        <v>2.0904499999999999E-2</v>
      </c>
      <c r="AH34" s="21">
        <v>74.274799999999999</v>
      </c>
      <c r="AI34" s="21">
        <v>-1.5963700000000001E-2</v>
      </c>
      <c r="AJ34" s="21">
        <v>24</v>
      </c>
      <c r="AK34" s="21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1">
        <v>1.6091899999999999</v>
      </c>
      <c r="AR34" s="21">
        <v>123.675</v>
      </c>
      <c r="AS34" s="21">
        <v>-6.2560999999999997E-3</v>
      </c>
      <c r="AT34" s="21">
        <v>24</v>
      </c>
      <c r="AU34" s="21">
        <v>1.6082799999999999</v>
      </c>
      <c r="AV34">
        <f t="shared" si="8"/>
        <v>6.2561</v>
      </c>
      <c r="AW34">
        <f t="shared" si="9"/>
        <v>10.067253558999999</v>
      </c>
      <c r="AX34" s="9"/>
      <c r="AY34" s="21">
        <v>2.0904499999999999E-2</v>
      </c>
      <c r="AZ34" s="21">
        <v>172.96199999999999</v>
      </c>
      <c r="BA34" s="21">
        <v>-1.5963700000000001E-2</v>
      </c>
      <c r="BB34" s="21">
        <v>24</v>
      </c>
      <c r="BC34" s="21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1">
        <v>1.6091899999999999</v>
      </c>
      <c r="BJ34" s="21">
        <v>222.31200000000001</v>
      </c>
      <c r="BK34" s="21">
        <v>-6.4147900000000001E-3</v>
      </c>
      <c r="BL34" s="21">
        <v>24</v>
      </c>
      <c r="BM34" s="21">
        <v>1.6082799999999999</v>
      </c>
      <c r="BN34">
        <f t="shared" si="12"/>
        <v>6.41479</v>
      </c>
      <c r="BO34">
        <f t="shared" si="13"/>
        <v>10.322615920099999</v>
      </c>
      <c r="BP34" s="9"/>
      <c r="BQ34" s="21">
        <v>2.0904499999999999E-2</v>
      </c>
      <c r="BR34" s="21">
        <v>271.51799999999997</v>
      </c>
      <c r="BS34" s="21">
        <v>-1.59668E-2</v>
      </c>
      <c r="BT34" s="21">
        <v>24</v>
      </c>
      <c r="BU34" s="21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1.60416</v>
      </c>
      <c r="H35" s="21">
        <v>47.215899999999998</v>
      </c>
      <c r="I35" s="21">
        <v>-5.0872799999999996E-3</v>
      </c>
      <c r="J35" s="21">
        <v>25</v>
      </c>
      <c r="K35" s="21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1">
        <v>2.5939899999999998E-2</v>
      </c>
      <c r="P35" s="21">
        <v>96.598299999999995</v>
      </c>
      <c r="Q35" s="21">
        <v>-1.6046100000000001E-2</v>
      </c>
      <c r="R35" s="21">
        <v>25</v>
      </c>
      <c r="S35" s="21">
        <v>2.57843E-2</v>
      </c>
      <c r="T35">
        <f t="shared" si="2"/>
        <v>16.046099999999999</v>
      </c>
      <c r="U35">
        <f t="shared" si="3"/>
        <v>0.41623422938999993</v>
      </c>
      <c r="X35" s="9"/>
      <c r="Y35" s="21">
        <v>1.60416</v>
      </c>
      <c r="Z35" s="21">
        <v>49.299900000000001</v>
      </c>
      <c r="AA35" s="21">
        <v>-6.38428E-3</v>
      </c>
      <c r="AB35" s="21">
        <v>25</v>
      </c>
      <c r="AC35" s="21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1">
        <v>2.5939899999999998E-2</v>
      </c>
      <c r="AH35" s="21">
        <v>74.284899999999993</v>
      </c>
      <c r="AI35" s="21">
        <v>-1.5960700000000001E-2</v>
      </c>
      <c r="AJ35" s="21">
        <v>25</v>
      </c>
      <c r="AK35" s="21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1">
        <v>1.60416</v>
      </c>
      <c r="AR35" s="21">
        <v>123.685</v>
      </c>
      <c r="AS35" s="21">
        <v>-6.5399200000000003E-3</v>
      </c>
      <c r="AT35" s="21">
        <v>25</v>
      </c>
      <c r="AU35" s="21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1">
        <v>2.5939899999999998E-2</v>
      </c>
      <c r="AZ35" s="21">
        <v>172.97200000000001</v>
      </c>
      <c r="BA35" s="21">
        <v>-1.5960700000000001E-2</v>
      </c>
      <c r="BB35" s="21">
        <v>25</v>
      </c>
      <c r="BC35" s="21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1">
        <v>1.60416</v>
      </c>
      <c r="BJ35" s="21">
        <v>222.322</v>
      </c>
      <c r="BK35" s="21">
        <v>-6.6955599999999997E-3</v>
      </c>
      <c r="BL35" s="21">
        <v>25</v>
      </c>
      <c r="BM35" s="21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1">
        <v>2.5939899999999998E-2</v>
      </c>
      <c r="BR35" s="21">
        <v>271.52800000000002</v>
      </c>
      <c r="BS35" s="21">
        <v>-1.5963700000000001E-2</v>
      </c>
      <c r="BT35" s="21">
        <v>25</v>
      </c>
      <c r="BU35" s="21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1.5991200000000001</v>
      </c>
      <c r="H36" s="21">
        <v>47.225900000000003</v>
      </c>
      <c r="I36" s="21">
        <v>-5.3710900000000002E-3</v>
      </c>
      <c r="J36" s="21">
        <v>26</v>
      </c>
      <c r="K36" s="21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1">
        <v>3.0975300000000001E-2</v>
      </c>
      <c r="P36" s="21">
        <v>96.608400000000003</v>
      </c>
      <c r="Q36" s="21">
        <v>-1.60492E-2</v>
      </c>
      <c r="R36" s="21">
        <v>26</v>
      </c>
      <c r="S36" s="21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1">
        <v>1.5991200000000001</v>
      </c>
      <c r="Z36" s="21">
        <v>49.31</v>
      </c>
      <c r="AA36" s="21">
        <v>-6.6680899999999998E-3</v>
      </c>
      <c r="AB36" s="21">
        <v>26</v>
      </c>
      <c r="AC36" s="21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1">
        <v>3.0975300000000001E-2</v>
      </c>
      <c r="AH36" s="21">
        <v>74.295000000000002</v>
      </c>
      <c r="AI36" s="21">
        <v>-1.5960700000000001E-2</v>
      </c>
      <c r="AJ36" s="21">
        <v>26</v>
      </c>
      <c r="AK36" s="21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1">
        <v>1.5991200000000001</v>
      </c>
      <c r="AR36" s="21">
        <v>123.69499999999999</v>
      </c>
      <c r="AS36" s="21">
        <v>-6.8237300000000001E-3</v>
      </c>
      <c r="AT36" s="21">
        <v>26</v>
      </c>
      <c r="AU36" s="21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1">
        <v>3.0975300000000001E-2</v>
      </c>
      <c r="AZ36" s="21">
        <v>172.982</v>
      </c>
      <c r="BA36" s="21">
        <v>-1.59515E-2</v>
      </c>
      <c r="BB36" s="21">
        <v>26</v>
      </c>
      <c r="BC36" s="21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1">
        <v>1.5991200000000001</v>
      </c>
      <c r="BJ36" s="21">
        <v>222.33199999999999</v>
      </c>
      <c r="BK36" s="21">
        <v>-6.9763200000000003E-3</v>
      </c>
      <c r="BL36" s="21">
        <v>26</v>
      </c>
      <c r="BM36" s="21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1">
        <v>3.0975300000000001E-2</v>
      </c>
      <c r="BR36" s="21">
        <v>271.53800000000001</v>
      </c>
      <c r="BS36" s="21">
        <v>-1.59668E-2</v>
      </c>
      <c r="BT36" s="21">
        <v>26</v>
      </c>
      <c r="BU36" s="21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1.59409</v>
      </c>
      <c r="H37" s="21">
        <v>47.235999999999997</v>
      </c>
      <c r="I37" s="21">
        <v>-5.6335400000000002E-3</v>
      </c>
      <c r="J37" s="21">
        <v>27</v>
      </c>
      <c r="K37" s="21">
        <v>1.5930200000000001</v>
      </c>
      <c r="L37">
        <f t="shared" si="0"/>
        <v>5.63354</v>
      </c>
      <c r="M37">
        <f t="shared" si="1"/>
        <v>8.9803697786000001</v>
      </c>
      <c r="N37" s="9"/>
      <c r="O37" s="21">
        <v>3.60107E-2</v>
      </c>
      <c r="P37" s="21">
        <v>96.618399999999994</v>
      </c>
      <c r="Q37" s="21">
        <v>-1.6043100000000001E-2</v>
      </c>
      <c r="R37" s="21">
        <v>27</v>
      </c>
      <c r="S37" s="21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1">
        <v>1.59409</v>
      </c>
      <c r="Z37" s="21">
        <v>49.320099999999996</v>
      </c>
      <c r="AA37" s="21">
        <v>-6.9427500000000001E-3</v>
      </c>
      <c r="AB37" s="21">
        <v>27</v>
      </c>
      <c r="AC37" s="21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1">
        <v>3.60107E-2</v>
      </c>
      <c r="AH37" s="21">
        <v>74.305000000000007</v>
      </c>
      <c r="AI37" s="21">
        <v>-1.5954599999999999E-2</v>
      </c>
      <c r="AJ37" s="21">
        <v>27</v>
      </c>
      <c r="AK37" s="21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1">
        <v>1.59409</v>
      </c>
      <c r="AR37" s="21">
        <v>123.705</v>
      </c>
      <c r="AS37" s="21">
        <v>-7.0922900000000002E-3</v>
      </c>
      <c r="AT37" s="21">
        <v>27</v>
      </c>
      <c r="AU37" s="21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1">
        <v>3.60107E-2</v>
      </c>
      <c r="AZ37" s="21">
        <v>172.99199999999999</v>
      </c>
      <c r="BA37" s="21">
        <v>-1.5948500000000001E-2</v>
      </c>
      <c r="BB37" s="21">
        <v>27</v>
      </c>
      <c r="BC37" s="21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1">
        <v>1.59409</v>
      </c>
      <c r="BJ37" s="21">
        <v>222.34200000000001</v>
      </c>
      <c r="BK37" s="21">
        <v>-7.2387700000000003E-3</v>
      </c>
      <c r="BL37" s="21">
        <v>27</v>
      </c>
      <c r="BM37" s="21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1">
        <v>3.60107E-2</v>
      </c>
      <c r="BR37" s="21">
        <v>271.548</v>
      </c>
      <c r="BS37" s="21">
        <v>-1.5963700000000001E-2</v>
      </c>
      <c r="BT37" s="21">
        <v>27</v>
      </c>
      <c r="BU37" s="21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1.5890500000000001</v>
      </c>
      <c r="H38" s="21">
        <v>47.246099999999998</v>
      </c>
      <c r="I38" s="21">
        <v>-5.9021000000000004E-3</v>
      </c>
      <c r="J38" s="21">
        <v>28</v>
      </c>
      <c r="K38" s="21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1">
        <v>4.1046100000000002E-2</v>
      </c>
      <c r="P38" s="21">
        <v>96.628500000000003</v>
      </c>
      <c r="Q38" s="21">
        <v>-1.6039999999999999E-2</v>
      </c>
      <c r="R38" s="21">
        <v>28</v>
      </c>
      <c r="S38" s="21">
        <v>4.0862999999999997E-2</v>
      </c>
      <c r="T38">
        <f t="shared" si="2"/>
        <v>16.04</v>
      </c>
      <c r="U38">
        <f t="shared" si="3"/>
        <v>0.65837944400000004</v>
      </c>
      <c r="X38" s="9"/>
      <c r="Y38" s="21">
        <v>1.5890500000000001</v>
      </c>
      <c r="Z38" s="21">
        <v>49.330100000000002</v>
      </c>
      <c r="AA38" s="21">
        <v>-7.2052000000000001E-3</v>
      </c>
      <c r="AB38" s="21">
        <v>28</v>
      </c>
      <c r="AC38" s="21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1">
        <v>4.1046100000000002E-2</v>
      </c>
      <c r="AH38" s="21">
        <v>74.315100000000001</v>
      </c>
      <c r="AI38" s="21">
        <v>-1.59515E-2</v>
      </c>
      <c r="AJ38" s="21">
        <v>28</v>
      </c>
      <c r="AK38" s="21">
        <v>4.086E-2</v>
      </c>
      <c r="AL38">
        <f t="shared" si="6"/>
        <v>15.951500000000001</v>
      </c>
      <c r="AM38">
        <f t="shared" si="7"/>
        <v>0.65474686415000005</v>
      </c>
      <c r="AP38" s="9"/>
      <c r="AQ38" s="21">
        <v>1.5890500000000001</v>
      </c>
      <c r="AR38" s="21">
        <v>123.71599999999999</v>
      </c>
      <c r="AS38" s="21">
        <v>-7.3577900000000003E-3</v>
      </c>
      <c r="AT38" s="21">
        <v>28</v>
      </c>
      <c r="AU38" s="21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1">
        <v>4.1046100000000002E-2</v>
      </c>
      <c r="AZ38" s="21">
        <v>173.00200000000001</v>
      </c>
      <c r="BA38" s="21">
        <v>-1.5948500000000001E-2</v>
      </c>
      <c r="BB38" s="21">
        <v>28</v>
      </c>
      <c r="BC38" s="21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1">
        <v>1.5890500000000001</v>
      </c>
      <c r="BJ38" s="21">
        <v>222.352</v>
      </c>
      <c r="BK38" s="21">
        <v>-7.5012200000000003E-3</v>
      </c>
      <c r="BL38" s="21">
        <v>28</v>
      </c>
      <c r="BM38" s="21">
        <v>1.5878300000000001</v>
      </c>
      <c r="BN38">
        <f t="shared" si="12"/>
        <v>7.50122</v>
      </c>
      <c r="BO38">
        <f t="shared" si="13"/>
        <v>11.919813641000001</v>
      </c>
      <c r="BP38" s="9"/>
      <c r="BQ38" s="21">
        <v>4.1046100000000002E-2</v>
      </c>
      <c r="BR38" s="21">
        <v>271.55799999999999</v>
      </c>
      <c r="BS38" s="21">
        <v>-1.5960700000000001E-2</v>
      </c>
      <c r="BT38" s="21">
        <v>28</v>
      </c>
      <c r="BU38" s="21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1.5840099999999999</v>
      </c>
      <c r="H39" s="21">
        <v>47.2562</v>
      </c>
      <c r="I39" s="21">
        <v>-6.1645500000000004E-3</v>
      </c>
      <c r="J39" s="21">
        <v>29</v>
      </c>
      <c r="K39" s="21">
        <v>1.58325</v>
      </c>
      <c r="L39">
        <f t="shared" si="0"/>
        <v>6.1645500000000002</v>
      </c>
      <c r="M39">
        <f t="shared" si="1"/>
        <v>9.7647088454999995</v>
      </c>
      <c r="N39" s="9"/>
      <c r="O39" s="21">
        <v>4.6081499999999997E-2</v>
      </c>
      <c r="P39" s="21">
        <v>96.638599999999997</v>
      </c>
      <c r="Q39" s="21">
        <v>-1.60339E-2</v>
      </c>
      <c r="R39" s="21">
        <v>29</v>
      </c>
      <c r="S39" s="21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1">
        <v>1.5840099999999999</v>
      </c>
      <c r="Z39" s="21">
        <v>49.340200000000003</v>
      </c>
      <c r="AA39" s="21">
        <v>-7.4646000000000001E-3</v>
      </c>
      <c r="AB39" s="21">
        <v>29</v>
      </c>
      <c r="AC39" s="21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1">
        <v>4.6081499999999997E-2</v>
      </c>
      <c r="AH39" s="21">
        <v>74.325199999999995</v>
      </c>
      <c r="AI39" s="21">
        <v>-1.5954599999999999E-2</v>
      </c>
      <c r="AJ39" s="21">
        <v>29</v>
      </c>
      <c r="AK39" s="21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1">
        <v>1.5840099999999999</v>
      </c>
      <c r="AR39" s="21">
        <v>123.726</v>
      </c>
      <c r="AS39" s="21">
        <v>-7.5988799999999997E-3</v>
      </c>
      <c r="AT39" s="21">
        <v>29</v>
      </c>
      <c r="AU39" s="21">
        <v>1.58264</v>
      </c>
      <c r="AV39">
        <f t="shared" si="8"/>
        <v>7.5988799999999994</v>
      </c>
      <c r="AW39">
        <f t="shared" si="9"/>
        <v>12.036701908799998</v>
      </c>
      <c r="AX39" s="9"/>
      <c r="AY39" s="21">
        <v>4.6081499999999997E-2</v>
      </c>
      <c r="AZ39" s="21">
        <v>173.012</v>
      </c>
      <c r="BA39" s="21">
        <v>-1.5948500000000001E-2</v>
      </c>
      <c r="BB39" s="21">
        <v>29</v>
      </c>
      <c r="BC39" s="21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1">
        <v>1.5840099999999999</v>
      </c>
      <c r="BJ39" s="21">
        <v>222.36199999999999</v>
      </c>
      <c r="BK39" s="21">
        <v>-7.7484099999999998E-3</v>
      </c>
      <c r="BL39" s="21">
        <v>29</v>
      </c>
      <c r="BM39" s="21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1">
        <v>4.6081499999999997E-2</v>
      </c>
      <c r="BR39" s="21">
        <v>271.56799999999998</v>
      </c>
      <c r="BS39" s="21">
        <v>-1.5960700000000001E-2</v>
      </c>
      <c r="BT39" s="21">
        <v>29</v>
      </c>
      <c r="BU39" s="21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1.5789800000000001</v>
      </c>
      <c r="H40" s="21">
        <v>47.266199999999998</v>
      </c>
      <c r="I40" s="21">
        <v>-6.4209000000000002E-3</v>
      </c>
      <c r="J40" s="21">
        <v>30</v>
      </c>
      <c r="K40" s="21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1">
        <v>5.11169E-2</v>
      </c>
      <c r="P40" s="21">
        <v>96.648700000000005</v>
      </c>
      <c r="Q40" s="21">
        <v>-1.6030900000000001E-2</v>
      </c>
      <c r="R40" s="21">
        <v>30</v>
      </c>
      <c r="S40" s="21">
        <v>5.08698E-2</v>
      </c>
      <c r="T40">
        <f t="shared" si="2"/>
        <v>16.030899999999999</v>
      </c>
      <c r="U40">
        <f t="shared" si="3"/>
        <v>0.81944991220999996</v>
      </c>
      <c r="X40" s="9"/>
      <c r="Y40" s="21">
        <v>1.5789800000000001</v>
      </c>
      <c r="Z40" s="21">
        <v>49.350299999999997</v>
      </c>
      <c r="AA40" s="21">
        <v>-7.7148399999999997E-3</v>
      </c>
      <c r="AB40" s="21">
        <v>30</v>
      </c>
      <c r="AC40" s="21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1">
        <v>5.11169E-2</v>
      </c>
      <c r="AH40" s="21">
        <v>74.3352</v>
      </c>
      <c r="AI40" s="21">
        <v>-1.5957599999999999E-2</v>
      </c>
      <c r="AJ40" s="21">
        <v>30</v>
      </c>
      <c r="AK40" s="21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1">
        <v>1.5789800000000001</v>
      </c>
      <c r="AR40" s="21">
        <v>123.736</v>
      </c>
      <c r="AS40" s="21">
        <v>-7.8430199999999992E-3</v>
      </c>
      <c r="AT40" s="21">
        <v>30</v>
      </c>
      <c r="AU40" s="21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1">
        <v>5.11169E-2</v>
      </c>
      <c r="AZ40" s="21">
        <v>173.02199999999999</v>
      </c>
      <c r="BA40" s="21">
        <v>-1.5945399999999998E-2</v>
      </c>
      <c r="BB40" s="21">
        <v>30</v>
      </c>
      <c r="BC40" s="21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1">
        <v>1.5789800000000001</v>
      </c>
      <c r="BJ40" s="21">
        <v>222.37299999999999</v>
      </c>
      <c r="BK40" s="21">
        <v>-7.9895000000000001E-3</v>
      </c>
      <c r="BL40" s="21">
        <v>30</v>
      </c>
      <c r="BM40" s="21">
        <v>1.57867</v>
      </c>
      <c r="BN40">
        <f t="shared" si="12"/>
        <v>7.9895000000000005</v>
      </c>
      <c r="BO40">
        <f t="shared" si="13"/>
        <v>12.615260710000001</v>
      </c>
      <c r="BP40" s="9"/>
      <c r="BQ40" s="21">
        <v>5.11169E-2</v>
      </c>
      <c r="BR40" s="21">
        <v>271.57799999999997</v>
      </c>
      <c r="BS40" s="21">
        <v>-1.5954599999999999E-2</v>
      </c>
      <c r="BT40" s="21">
        <v>30</v>
      </c>
      <c r="BU40" s="21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1.5739399999999999</v>
      </c>
      <c r="H41" s="21">
        <v>47.276299999999999</v>
      </c>
      <c r="I41" s="21">
        <v>-6.67419E-3</v>
      </c>
      <c r="J41" s="21">
        <v>31</v>
      </c>
      <c r="K41" s="21">
        <v>1.57318</v>
      </c>
      <c r="L41">
        <f t="shared" si="0"/>
        <v>6.6741900000000003</v>
      </c>
      <c r="M41">
        <f t="shared" si="1"/>
        <v>10.5047746086</v>
      </c>
      <c r="N41" s="9"/>
      <c r="O41" s="21">
        <v>5.6152300000000002E-2</v>
      </c>
      <c r="P41" s="21">
        <v>96.658699999999996</v>
      </c>
      <c r="Q41" s="21">
        <v>-1.6027799999999998E-2</v>
      </c>
      <c r="R41" s="21">
        <v>31</v>
      </c>
      <c r="S41" s="21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1">
        <v>1.5739399999999999</v>
      </c>
      <c r="Z41" s="21">
        <v>49.360300000000002</v>
      </c>
      <c r="AA41" s="21">
        <v>-7.9650899999999993E-3</v>
      </c>
      <c r="AB41" s="21">
        <v>31</v>
      </c>
      <c r="AC41" s="21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1">
        <v>5.6152300000000002E-2</v>
      </c>
      <c r="AH41" s="21">
        <v>74.345299999999995</v>
      </c>
      <c r="AI41" s="21">
        <v>-1.5957599999999999E-2</v>
      </c>
      <c r="AJ41" s="21">
        <v>31</v>
      </c>
      <c r="AK41" s="21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1">
        <v>1.5739399999999999</v>
      </c>
      <c r="AR41" s="21">
        <v>123.746</v>
      </c>
      <c r="AS41" s="21">
        <v>-8.0718999999999999E-3</v>
      </c>
      <c r="AT41" s="21">
        <v>31</v>
      </c>
      <c r="AU41" s="21">
        <v>1.57318</v>
      </c>
      <c r="AV41">
        <f t="shared" si="8"/>
        <v>8.0718999999999994</v>
      </c>
      <c r="AW41">
        <f t="shared" si="9"/>
        <v>12.704686285999998</v>
      </c>
      <c r="AX41" s="9"/>
      <c r="AY41" s="21">
        <v>5.6152300000000002E-2</v>
      </c>
      <c r="AZ41" s="21">
        <v>173.03200000000001</v>
      </c>
      <c r="BA41" s="21">
        <v>-1.5942399999999999E-2</v>
      </c>
      <c r="BB41" s="21">
        <v>31</v>
      </c>
      <c r="BC41" s="21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1">
        <v>1.5739399999999999</v>
      </c>
      <c r="BJ41" s="21">
        <v>222.38300000000001</v>
      </c>
      <c r="BK41" s="21">
        <v>-8.2122800000000006E-3</v>
      </c>
      <c r="BL41" s="21">
        <v>31</v>
      </c>
      <c r="BM41" s="21">
        <v>1.57318</v>
      </c>
      <c r="BN41">
        <f t="shared" si="12"/>
        <v>8.2122799999999998</v>
      </c>
      <c r="BO41">
        <f t="shared" si="13"/>
        <v>12.925635983199999</v>
      </c>
      <c r="BP41" s="9"/>
      <c r="BQ41" s="21">
        <v>5.6152300000000002E-2</v>
      </c>
      <c r="BR41" s="21">
        <v>271.58800000000002</v>
      </c>
      <c r="BS41" s="21">
        <v>-1.5948500000000001E-2</v>
      </c>
      <c r="BT41" s="21">
        <v>31</v>
      </c>
      <c r="BU41" s="21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1.56891</v>
      </c>
      <c r="H42" s="21">
        <v>47.2864</v>
      </c>
      <c r="I42" s="21">
        <v>-6.9213900000000004E-3</v>
      </c>
      <c r="J42" s="21">
        <v>32</v>
      </c>
      <c r="K42" s="21">
        <v>1.5683</v>
      </c>
      <c r="L42">
        <f t="shared" si="0"/>
        <v>6.9213900000000006</v>
      </c>
      <c r="M42">
        <f t="shared" si="1"/>
        <v>10.8590379849</v>
      </c>
      <c r="N42" s="9"/>
      <c r="O42" s="21">
        <v>6.1187699999999998E-2</v>
      </c>
      <c r="P42" s="21">
        <v>96.668800000000005</v>
      </c>
      <c r="Q42" s="21">
        <v>-1.60187E-2</v>
      </c>
      <c r="R42" s="21">
        <v>32</v>
      </c>
      <c r="S42" s="21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1">
        <v>1.56891</v>
      </c>
      <c r="Z42" s="21">
        <v>49.370399999999997</v>
      </c>
      <c r="AA42" s="21">
        <v>-8.1939700000000001E-3</v>
      </c>
      <c r="AB42" s="21">
        <v>32</v>
      </c>
      <c r="AC42" s="21">
        <v>1.56799</v>
      </c>
      <c r="AD42">
        <f t="shared" si="4"/>
        <v>8.1939700000000002</v>
      </c>
      <c r="AE42">
        <f t="shared" si="5"/>
        <v>12.8556014727</v>
      </c>
      <c r="AF42" s="9"/>
      <c r="AG42" s="21">
        <v>6.1187699999999998E-2</v>
      </c>
      <c r="AH42" s="21">
        <v>74.355400000000003</v>
      </c>
      <c r="AI42" s="21">
        <v>-1.5948500000000001E-2</v>
      </c>
      <c r="AJ42" s="21">
        <v>32</v>
      </c>
      <c r="AK42" s="21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1">
        <v>1.56891</v>
      </c>
      <c r="AR42" s="21">
        <v>123.756</v>
      </c>
      <c r="AS42" s="21">
        <v>-8.2977299999999997E-3</v>
      </c>
      <c r="AT42" s="21">
        <v>32</v>
      </c>
      <c r="AU42" s="21">
        <v>1.56799</v>
      </c>
      <c r="AV42">
        <f t="shared" si="8"/>
        <v>8.2977299999999996</v>
      </c>
      <c r="AW42">
        <f t="shared" si="9"/>
        <v>13.018391574299999</v>
      </c>
      <c r="AX42" s="9"/>
      <c r="AY42" s="21">
        <v>6.1187699999999998E-2</v>
      </c>
      <c r="AZ42" s="21">
        <v>173.042</v>
      </c>
      <c r="BA42" s="21">
        <v>-1.5942399999999999E-2</v>
      </c>
      <c r="BB42" s="21">
        <v>32</v>
      </c>
      <c r="BC42" s="21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1">
        <v>1.56891</v>
      </c>
      <c r="BJ42" s="21">
        <v>222.393</v>
      </c>
      <c r="BK42" s="21">
        <v>-8.4320100000000002E-3</v>
      </c>
      <c r="BL42" s="21">
        <v>32</v>
      </c>
      <c r="BM42" s="21">
        <v>1.56769</v>
      </c>
      <c r="BN42">
        <f t="shared" si="12"/>
        <v>8.43201</v>
      </c>
      <c r="BO42">
        <f t="shared" si="13"/>
        <v>13.2290648091</v>
      </c>
      <c r="BP42" s="9"/>
      <c r="BQ42" s="21">
        <v>6.1187699999999998E-2</v>
      </c>
      <c r="BR42" s="21">
        <v>271.59800000000001</v>
      </c>
      <c r="BS42" s="21">
        <v>-1.5945399999999998E-2</v>
      </c>
      <c r="BT42" s="21">
        <v>32</v>
      </c>
      <c r="BU42" s="21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1.5638700000000001</v>
      </c>
      <c r="H43" s="21">
        <v>47.296399999999998</v>
      </c>
      <c r="I43" s="21">
        <v>-7.1533200000000003E-3</v>
      </c>
      <c r="J43" s="21">
        <v>33</v>
      </c>
      <c r="K43" s="21">
        <v>1.56311</v>
      </c>
      <c r="L43">
        <f t="shared" si="0"/>
        <v>7.1533199999999999</v>
      </c>
      <c r="M43">
        <f t="shared" si="1"/>
        <v>11.186862548400001</v>
      </c>
      <c r="N43" s="9"/>
      <c r="O43" s="21">
        <v>6.6223099999999993E-2</v>
      </c>
      <c r="P43" s="21">
        <v>96.678899999999999</v>
      </c>
      <c r="Q43" s="21">
        <v>-1.60187E-2</v>
      </c>
      <c r="R43" s="21">
        <v>33</v>
      </c>
      <c r="S43" s="21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1">
        <v>1.5638700000000001</v>
      </c>
      <c r="Z43" s="21">
        <v>49.380499999999998</v>
      </c>
      <c r="AA43" s="21">
        <v>-8.4167500000000006E-3</v>
      </c>
      <c r="AB43" s="21">
        <v>33</v>
      </c>
      <c r="AC43" s="21">
        <v>1.5625</v>
      </c>
      <c r="AD43">
        <f t="shared" si="4"/>
        <v>8.4167500000000004</v>
      </c>
      <c r="AE43">
        <f t="shared" si="5"/>
        <v>13.162702822500002</v>
      </c>
      <c r="AF43" s="9"/>
      <c r="AG43" s="21">
        <v>6.6223099999999993E-2</v>
      </c>
      <c r="AH43" s="21">
        <v>74.365499999999997</v>
      </c>
      <c r="AI43" s="21">
        <v>-1.5948500000000001E-2</v>
      </c>
      <c r="AJ43" s="21">
        <v>33</v>
      </c>
      <c r="AK43" s="21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1">
        <v>1.5638700000000001</v>
      </c>
      <c r="AR43" s="21">
        <v>123.76600000000001</v>
      </c>
      <c r="AS43" s="21">
        <v>-8.5144000000000001E-3</v>
      </c>
      <c r="AT43" s="21">
        <v>33</v>
      </c>
      <c r="AU43" s="21">
        <v>1.56281</v>
      </c>
      <c r="AV43">
        <f t="shared" si="8"/>
        <v>8.5144000000000002</v>
      </c>
      <c r="AW43">
        <f t="shared" si="9"/>
        <v>13.315414728</v>
      </c>
      <c r="AX43" s="9"/>
      <c r="AY43" s="21">
        <v>6.6223099999999993E-2</v>
      </c>
      <c r="AZ43" s="21">
        <v>173.05199999999999</v>
      </c>
      <c r="BA43" s="21">
        <v>-1.59363E-2</v>
      </c>
      <c r="BB43" s="21">
        <v>33</v>
      </c>
      <c r="BC43" s="21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1">
        <v>1.5638700000000001</v>
      </c>
      <c r="BJ43" s="21">
        <v>222.40299999999999</v>
      </c>
      <c r="BK43" s="21">
        <v>-8.6364700000000003E-3</v>
      </c>
      <c r="BL43" s="21">
        <v>33</v>
      </c>
      <c r="BM43" s="21">
        <v>1.56311</v>
      </c>
      <c r="BN43">
        <f t="shared" si="12"/>
        <v>8.636470000000001</v>
      </c>
      <c r="BO43">
        <f t="shared" si="13"/>
        <v>13.506316338900003</v>
      </c>
      <c r="BP43" s="9"/>
      <c r="BQ43" s="21">
        <v>6.6223099999999993E-2</v>
      </c>
      <c r="BR43" s="21">
        <v>271.608</v>
      </c>
      <c r="BS43" s="21">
        <v>-1.5942399999999999E-2</v>
      </c>
      <c r="BT43" s="21">
        <v>33</v>
      </c>
      <c r="BU43" s="21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1.55884</v>
      </c>
      <c r="H44" s="21">
        <v>47.3065</v>
      </c>
      <c r="I44" s="21">
        <v>-7.3913599999999996E-3</v>
      </c>
      <c r="J44" s="21">
        <v>34</v>
      </c>
      <c r="K44" s="21">
        <v>1.55762</v>
      </c>
      <c r="L44">
        <f t="shared" si="0"/>
        <v>7.3913599999999997</v>
      </c>
      <c r="M44">
        <f t="shared" si="1"/>
        <v>11.521947622399999</v>
      </c>
      <c r="N44" s="9"/>
      <c r="O44" s="21">
        <v>7.1258500000000002E-2</v>
      </c>
      <c r="P44" s="21">
        <v>96.688900000000004</v>
      </c>
      <c r="Q44" s="21">
        <v>-1.60187E-2</v>
      </c>
      <c r="R44" s="21">
        <v>34</v>
      </c>
      <c r="S44" s="21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1">
        <v>1.55884</v>
      </c>
      <c r="Z44" s="21">
        <v>49.390500000000003</v>
      </c>
      <c r="AA44" s="21">
        <v>-8.6242699999999999E-3</v>
      </c>
      <c r="AB44" s="21">
        <v>34</v>
      </c>
      <c r="AC44" s="21">
        <v>1.55792</v>
      </c>
      <c r="AD44">
        <f t="shared" si="4"/>
        <v>8.6242699999999992</v>
      </c>
      <c r="AE44">
        <f t="shared" si="5"/>
        <v>13.443857046799998</v>
      </c>
      <c r="AF44" s="9"/>
      <c r="AG44" s="21">
        <v>7.1258500000000002E-2</v>
      </c>
      <c r="AH44" s="21">
        <v>74.375500000000002</v>
      </c>
      <c r="AI44" s="21">
        <v>-1.5945399999999998E-2</v>
      </c>
      <c r="AJ44" s="21">
        <v>34</v>
      </c>
      <c r="AK44" s="21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1">
        <v>1.55884</v>
      </c>
      <c r="AR44" s="21">
        <v>123.776</v>
      </c>
      <c r="AS44" s="21">
        <v>-8.7280299999999995E-3</v>
      </c>
      <c r="AT44" s="21">
        <v>34</v>
      </c>
      <c r="AU44" s="21">
        <v>1.55792</v>
      </c>
      <c r="AV44">
        <f t="shared" si="8"/>
        <v>8.7280299999999986</v>
      </c>
      <c r="AW44">
        <f t="shared" si="9"/>
        <v>13.605602285199998</v>
      </c>
      <c r="AX44" s="9"/>
      <c r="AY44" s="21">
        <v>7.1258500000000002E-2</v>
      </c>
      <c r="AZ44" s="21">
        <v>173.06200000000001</v>
      </c>
      <c r="BA44" s="21">
        <v>-1.5933200000000002E-2</v>
      </c>
      <c r="BB44" s="21">
        <v>34</v>
      </c>
      <c r="BC44" s="21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1">
        <v>1.55884</v>
      </c>
      <c r="BJ44" s="21">
        <v>222.41300000000001</v>
      </c>
      <c r="BK44" s="21">
        <v>-8.8378899999999993E-3</v>
      </c>
      <c r="BL44" s="21">
        <v>34</v>
      </c>
      <c r="BM44" s="21">
        <v>1.55792</v>
      </c>
      <c r="BN44">
        <f t="shared" si="12"/>
        <v>8.8378899999999998</v>
      </c>
      <c r="BO44">
        <f t="shared" si="13"/>
        <v>13.7768564476</v>
      </c>
      <c r="BP44" s="9"/>
      <c r="BQ44" s="21">
        <v>7.1258500000000002E-2</v>
      </c>
      <c r="BR44" s="21">
        <v>271.61799999999999</v>
      </c>
      <c r="BS44" s="21">
        <v>-1.5945399999999998E-2</v>
      </c>
      <c r="BT44" s="21">
        <v>34</v>
      </c>
      <c r="BU44" s="21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1.5538000000000001</v>
      </c>
      <c r="H45" s="21">
        <v>47.316600000000001</v>
      </c>
      <c r="I45" s="21">
        <v>-7.6202400000000003E-3</v>
      </c>
      <c r="J45" s="21">
        <v>35</v>
      </c>
      <c r="K45" s="21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1">
        <v>7.6293899999999998E-2</v>
      </c>
      <c r="P45" s="21">
        <v>96.698999999999998</v>
      </c>
      <c r="Q45" s="21">
        <v>-1.6024799999999999E-2</v>
      </c>
      <c r="R45" s="21">
        <v>35</v>
      </c>
      <c r="S45" s="21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1">
        <v>1.5538000000000001</v>
      </c>
      <c r="Z45" s="21">
        <v>49.400599999999997</v>
      </c>
      <c r="AA45" s="21">
        <v>-8.8378899999999993E-3</v>
      </c>
      <c r="AB45" s="21">
        <v>35</v>
      </c>
      <c r="AC45" s="21">
        <v>1.55243</v>
      </c>
      <c r="AD45">
        <f t="shared" si="4"/>
        <v>8.8378899999999998</v>
      </c>
      <c r="AE45">
        <f t="shared" si="5"/>
        <v>13.732313482</v>
      </c>
      <c r="AF45" s="9"/>
      <c r="AG45" s="21">
        <v>7.6293899999999998E-2</v>
      </c>
      <c r="AH45" s="21">
        <v>74.385599999999997</v>
      </c>
      <c r="AI45" s="21">
        <v>-1.5942399999999999E-2</v>
      </c>
      <c r="AJ45" s="21">
        <v>35</v>
      </c>
      <c r="AK45" s="21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1">
        <v>1.5538000000000001</v>
      </c>
      <c r="AR45" s="21">
        <v>123.786</v>
      </c>
      <c r="AS45" s="21">
        <v>-8.9263899999999993E-3</v>
      </c>
      <c r="AT45" s="21">
        <v>35</v>
      </c>
      <c r="AU45" s="21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1">
        <v>7.6293899999999998E-2</v>
      </c>
      <c r="AZ45" s="21">
        <v>173.072</v>
      </c>
      <c r="BA45" s="21">
        <v>-1.5930199999999999E-2</v>
      </c>
      <c r="BB45" s="21">
        <v>35</v>
      </c>
      <c r="BC45" s="21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1">
        <v>1.5538000000000001</v>
      </c>
      <c r="BJ45" s="21">
        <v>222.423</v>
      </c>
      <c r="BK45" s="21">
        <v>-9.0270999999999997E-3</v>
      </c>
      <c r="BL45" s="21">
        <v>35</v>
      </c>
      <c r="BM45" s="21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1">
        <v>7.6293899999999998E-2</v>
      </c>
      <c r="BR45" s="21">
        <v>271.62799999999999</v>
      </c>
      <c r="BS45" s="21">
        <v>-1.59363E-2</v>
      </c>
      <c r="BT45" s="21">
        <v>35</v>
      </c>
      <c r="BU45" s="21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1.54877</v>
      </c>
      <c r="H46" s="21">
        <v>47.326700000000002</v>
      </c>
      <c r="I46" s="21">
        <v>-7.8521700000000003E-3</v>
      </c>
      <c r="J46" s="21">
        <v>36</v>
      </c>
      <c r="K46" s="21">
        <v>1.54816</v>
      </c>
      <c r="L46">
        <f t="shared" si="0"/>
        <v>7.8521700000000001</v>
      </c>
      <c r="M46">
        <f t="shared" si="1"/>
        <v>12.1612053309</v>
      </c>
      <c r="N46" s="9"/>
      <c r="O46" s="21">
        <v>8.1329299999999993E-2</v>
      </c>
      <c r="P46" s="21">
        <v>96.709100000000007</v>
      </c>
      <c r="Q46" s="21">
        <v>-1.60187E-2</v>
      </c>
      <c r="R46" s="21">
        <v>36</v>
      </c>
      <c r="S46" s="21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1">
        <v>1.54877</v>
      </c>
      <c r="Z46" s="21">
        <v>49.410699999999999</v>
      </c>
      <c r="AA46" s="21">
        <v>-9.0393100000000001E-3</v>
      </c>
      <c r="AB46" s="21">
        <v>36</v>
      </c>
      <c r="AC46" s="21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1">
        <v>8.1329299999999993E-2</v>
      </c>
      <c r="AH46" s="21">
        <v>74.395700000000005</v>
      </c>
      <c r="AI46" s="21">
        <v>-1.5945399999999998E-2</v>
      </c>
      <c r="AJ46" s="21">
        <v>36</v>
      </c>
      <c r="AK46" s="21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1">
        <v>1.54877</v>
      </c>
      <c r="AR46" s="21">
        <v>123.79600000000001</v>
      </c>
      <c r="AS46" s="21">
        <v>-9.1186500000000007E-3</v>
      </c>
      <c r="AT46" s="21">
        <v>36</v>
      </c>
      <c r="AU46" s="21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1">
        <v>8.1329299999999993E-2</v>
      </c>
      <c r="AZ46" s="21">
        <v>173.083</v>
      </c>
      <c r="BA46" s="21">
        <v>-1.5930199999999999E-2</v>
      </c>
      <c r="BB46" s="21">
        <v>36</v>
      </c>
      <c r="BC46" s="21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1">
        <v>1.54877</v>
      </c>
      <c r="BJ46" s="21">
        <v>222.43299999999999</v>
      </c>
      <c r="BK46" s="21">
        <v>-9.2163100000000001E-3</v>
      </c>
      <c r="BL46" s="21">
        <v>36</v>
      </c>
      <c r="BM46" s="21">
        <v>1.54816</v>
      </c>
      <c r="BN46">
        <f t="shared" si="12"/>
        <v>9.21631</v>
      </c>
      <c r="BO46">
        <f t="shared" si="13"/>
        <v>14.273944438699999</v>
      </c>
      <c r="BP46" s="9"/>
      <c r="BQ46" s="21">
        <v>8.1329299999999993E-2</v>
      </c>
      <c r="BR46" s="21">
        <v>271.63799999999998</v>
      </c>
      <c r="BS46" s="21">
        <v>-1.59363E-2</v>
      </c>
      <c r="BT46" s="21">
        <v>36</v>
      </c>
      <c r="BU46" s="21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1.54373</v>
      </c>
      <c r="H47" s="21">
        <v>47.3367</v>
      </c>
      <c r="I47" s="21">
        <v>-8.0718999999999999E-3</v>
      </c>
      <c r="J47" s="21">
        <v>37</v>
      </c>
      <c r="K47" s="21">
        <v>1.54297</v>
      </c>
      <c r="L47">
        <f t="shared" si="0"/>
        <v>8.0718999999999994</v>
      </c>
      <c r="M47">
        <f t="shared" si="1"/>
        <v>12.460834187</v>
      </c>
      <c r="N47" s="9"/>
      <c r="O47" s="21">
        <v>8.6364700000000003E-2</v>
      </c>
      <c r="P47" s="21">
        <v>96.719099999999997</v>
      </c>
      <c r="Q47" s="21">
        <v>-1.6012599999999998E-2</v>
      </c>
      <c r="R47" s="21">
        <v>37</v>
      </c>
      <c r="S47" s="21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1">
        <v>1.54373</v>
      </c>
      <c r="Z47" s="21">
        <v>49.4208</v>
      </c>
      <c r="AA47" s="21">
        <v>-9.2407199999999991E-3</v>
      </c>
      <c r="AB47" s="21">
        <v>37</v>
      </c>
      <c r="AC47" s="21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1">
        <v>8.6364700000000003E-2</v>
      </c>
      <c r="AH47" s="21">
        <v>74.405699999999996</v>
      </c>
      <c r="AI47" s="21">
        <v>-1.5945399999999998E-2</v>
      </c>
      <c r="AJ47" s="21">
        <v>37</v>
      </c>
      <c r="AK47" s="21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1">
        <v>1.54373</v>
      </c>
      <c r="AR47" s="21">
        <v>123.806</v>
      </c>
      <c r="AS47" s="21">
        <v>-9.29871E-3</v>
      </c>
      <c r="AT47" s="21">
        <v>37</v>
      </c>
      <c r="AU47" s="21">
        <v>1.54297</v>
      </c>
      <c r="AV47">
        <f t="shared" si="8"/>
        <v>9.2987099999999998</v>
      </c>
      <c r="AW47">
        <f t="shared" si="9"/>
        <v>14.354697588300001</v>
      </c>
      <c r="AX47" s="9"/>
      <c r="AY47" s="21">
        <v>8.6364700000000003E-2</v>
      </c>
      <c r="AZ47" s="21">
        <v>173.09299999999999</v>
      </c>
      <c r="BA47" s="21">
        <v>-1.59271E-2</v>
      </c>
      <c r="BB47" s="21">
        <v>37</v>
      </c>
      <c r="BC47" s="21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1">
        <v>1.54373</v>
      </c>
      <c r="BJ47" s="21">
        <v>222.44300000000001</v>
      </c>
      <c r="BK47" s="21">
        <v>-9.3933100000000002E-3</v>
      </c>
      <c r="BL47" s="21">
        <v>37</v>
      </c>
      <c r="BM47" s="21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1">
        <v>8.6364700000000003E-2</v>
      </c>
      <c r="BR47" s="21">
        <v>271.64800000000002</v>
      </c>
      <c r="BS47" s="21">
        <v>-1.59363E-2</v>
      </c>
      <c r="BT47" s="21">
        <v>37</v>
      </c>
      <c r="BU47" s="21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1.5387</v>
      </c>
      <c r="H48" s="21">
        <v>47.346800000000002</v>
      </c>
      <c r="I48" s="21">
        <v>-8.2916299999999995E-3</v>
      </c>
      <c r="J48" s="21">
        <v>38</v>
      </c>
      <c r="K48" s="21">
        <v>1.53748</v>
      </c>
      <c r="L48">
        <f t="shared" si="0"/>
        <v>8.2916299999999996</v>
      </c>
      <c r="M48">
        <f t="shared" si="1"/>
        <v>12.758331081</v>
      </c>
      <c r="N48" s="9"/>
      <c r="O48" s="21">
        <v>9.1400099999999998E-2</v>
      </c>
      <c r="P48" s="21">
        <v>96.729200000000006</v>
      </c>
      <c r="Q48" s="21">
        <v>-1.6015600000000001E-2</v>
      </c>
      <c r="R48" s="21">
        <v>38</v>
      </c>
      <c r="S48" s="21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1">
        <v>1.5387</v>
      </c>
      <c r="Z48" s="21">
        <v>49.430799999999998</v>
      </c>
      <c r="AA48" s="21">
        <v>-9.4268800000000003E-3</v>
      </c>
      <c r="AB48" s="21">
        <v>38</v>
      </c>
      <c r="AC48" s="21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1">
        <v>9.1400099999999998E-2</v>
      </c>
      <c r="AH48" s="21">
        <v>74.415800000000004</v>
      </c>
      <c r="AI48" s="21">
        <v>-1.5948500000000001E-2</v>
      </c>
      <c r="AJ48" s="21">
        <v>38</v>
      </c>
      <c r="AK48" s="21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1">
        <v>1.5387</v>
      </c>
      <c r="AR48" s="21">
        <v>123.816</v>
      </c>
      <c r="AS48" s="21">
        <v>-9.4909699999999996E-3</v>
      </c>
      <c r="AT48" s="21">
        <v>38</v>
      </c>
      <c r="AU48" s="21">
        <v>1.53748</v>
      </c>
      <c r="AV48">
        <f t="shared" si="8"/>
        <v>9.490969999999999</v>
      </c>
      <c r="AW48">
        <f t="shared" si="9"/>
        <v>14.603755538999998</v>
      </c>
      <c r="AX48" s="9"/>
      <c r="AY48" s="21">
        <v>9.1400099999999998E-2</v>
      </c>
      <c r="AZ48" s="21">
        <v>173.10300000000001</v>
      </c>
      <c r="BA48" s="21">
        <v>-1.5921000000000001E-2</v>
      </c>
      <c r="BB48" s="21">
        <v>38</v>
      </c>
      <c r="BC48" s="21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1">
        <v>1.5387</v>
      </c>
      <c r="BJ48" s="21">
        <v>222.453</v>
      </c>
      <c r="BK48" s="21">
        <v>-9.5672599999999993E-3</v>
      </c>
      <c r="BL48" s="21">
        <v>38</v>
      </c>
      <c r="BM48" s="21">
        <v>1.53748</v>
      </c>
      <c r="BN48">
        <f t="shared" si="12"/>
        <v>9.5672599999999992</v>
      </c>
      <c r="BO48">
        <f t="shared" si="13"/>
        <v>14.721142961999998</v>
      </c>
      <c r="BP48" s="9"/>
      <c r="BQ48" s="21">
        <v>9.1400099999999998E-2</v>
      </c>
      <c r="BR48" s="21">
        <v>271.65899999999999</v>
      </c>
      <c r="BS48" s="21">
        <v>-1.59363E-2</v>
      </c>
      <c r="BT48" s="21">
        <v>38</v>
      </c>
      <c r="BU48" s="21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1.53366</v>
      </c>
      <c r="H49" s="21">
        <v>47.356900000000003</v>
      </c>
      <c r="I49" s="21">
        <v>-8.5021999999999997E-3</v>
      </c>
      <c r="J49" s="21">
        <v>39</v>
      </c>
      <c r="K49" s="21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1">
        <v>9.6435499999999993E-2</v>
      </c>
      <c r="P49" s="21">
        <v>96.7393</v>
      </c>
      <c r="Q49" s="21">
        <v>-1.60187E-2</v>
      </c>
      <c r="R49" s="21">
        <v>39</v>
      </c>
      <c r="S49" s="21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1">
        <v>1.53366</v>
      </c>
      <c r="Z49" s="21">
        <v>49.440899999999999</v>
      </c>
      <c r="AA49" s="21">
        <v>-9.6160900000000007E-3</v>
      </c>
      <c r="AB49" s="21">
        <v>39</v>
      </c>
      <c r="AC49" s="21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1">
        <v>9.6435499999999993E-2</v>
      </c>
      <c r="AH49" s="21">
        <v>74.425899999999999</v>
      </c>
      <c r="AI49" s="21">
        <v>-1.5948500000000001E-2</v>
      </c>
      <c r="AJ49" s="21">
        <v>39</v>
      </c>
      <c r="AK49" s="21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1">
        <v>1.53366</v>
      </c>
      <c r="AR49" s="21">
        <v>123.82599999999999</v>
      </c>
      <c r="AS49" s="21">
        <v>-9.6649200000000005E-3</v>
      </c>
      <c r="AT49" s="21">
        <v>39</v>
      </c>
      <c r="AU49" s="21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1">
        <v>9.6435499999999993E-2</v>
      </c>
      <c r="AZ49" s="21">
        <v>173.113</v>
      </c>
      <c r="BA49" s="21">
        <v>-1.5914899999999999E-2</v>
      </c>
      <c r="BB49" s="21">
        <v>39</v>
      </c>
      <c r="BC49" s="21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1">
        <v>1.53366</v>
      </c>
      <c r="BJ49" s="21">
        <v>222.46299999999999</v>
      </c>
      <c r="BK49" s="21">
        <v>-9.7381599999999992E-3</v>
      </c>
      <c r="BL49" s="21">
        <v>39</v>
      </c>
      <c r="BM49" s="21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1">
        <v>9.6435499999999993E-2</v>
      </c>
      <c r="BR49" s="21">
        <v>271.66899999999998</v>
      </c>
      <c r="BS49" s="21">
        <v>-1.5930199999999999E-2</v>
      </c>
      <c r="BT49" s="21">
        <v>39</v>
      </c>
      <c r="BU49" s="21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1.5286299999999999</v>
      </c>
      <c r="H50" s="21">
        <v>47.366900000000001</v>
      </c>
      <c r="I50" s="21">
        <v>-8.7066699999999997E-3</v>
      </c>
      <c r="J50" s="21">
        <v>40</v>
      </c>
      <c r="K50" s="21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1">
        <v>0.10147100000000001</v>
      </c>
      <c r="P50" s="21">
        <v>96.749399999999994</v>
      </c>
      <c r="Q50" s="21">
        <v>-1.60217E-2</v>
      </c>
      <c r="R50" s="21">
        <v>40</v>
      </c>
      <c r="S50" s="21">
        <v>0.100739</v>
      </c>
      <c r="T50">
        <f t="shared" si="2"/>
        <v>16.021699999999999</v>
      </c>
      <c r="U50">
        <f t="shared" si="3"/>
        <v>1.6257379207</v>
      </c>
      <c r="X50" s="9"/>
      <c r="Y50" s="21">
        <v>1.5286299999999999</v>
      </c>
      <c r="Z50" s="21">
        <v>49.451000000000001</v>
      </c>
      <c r="AA50" s="21">
        <v>-9.7900399999999999E-3</v>
      </c>
      <c r="AB50" s="21">
        <v>40</v>
      </c>
      <c r="AC50" s="21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1">
        <v>0.10147100000000001</v>
      </c>
      <c r="AH50" s="21">
        <v>74.435900000000004</v>
      </c>
      <c r="AI50" s="21">
        <v>-1.5945399999999998E-2</v>
      </c>
      <c r="AJ50" s="21">
        <v>40</v>
      </c>
      <c r="AK50" s="21">
        <v>0.100769</v>
      </c>
      <c r="AL50">
        <f t="shared" si="6"/>
        <v>15.945399999999999</v>
      </c>
      <c r="AM50">
        <f t="shared" si="7"/>
        <v>1.6179956834</v>
      </c>
      <c r="AP50" s="9"/>
      <c r="AQ50" s="21">
        <v>1.5286299999999999</v>
      </c>
      <c r="AR50" s="21">
        <v>123.836</v>
      </c>
      <c r="AS50" s="21">
        <v>-9.8419200000000005E-3</v>
      </c>
      <c r="AT50" s="21">
        <v>40</v>
      </c>
      <c r="AU50" s="21">
        <v>1.5267900000000001</v>
      </c>
      <c r="AV50">
        <f t="shared" si="8"/>
        <v>9.84192</v>
      </c>
      <c r="AW50">
        <f t="shared" si="9"/>
        <v>15.044654169599999</v>
      </c>
      <c r="AX50" s="9"/>
      <c r="AY50" s="21">
        <v>0.10147100000000001</v>
      </c>
      <c r="AZ50" s="21">
        <v>173.12299999999999</v>
      </c>
      <c r="BA50" s="21">
        <v>-1.5908800000000001E-2</v>
      </c>
      <c r="BB50" s="21">
        <v>40</v>
      </c>
      <c r="BC50" s="21">
        <v>0.1008</v>
      </c>
      <c r="BD50">
        <f t="shared" si="10"/>
        <v>15.908800000000001</v>
      </c>
      <c r="BE50">
        <f t="shared" si="11"/>
        <v>1.6142818448000003</v>
      </c>
      <c r="BH50" s="9"/>
      <c r="BI50" s="21">
        <v>1.5286299999999999</v>
      </c>
      <c r="BJ50" s="21">
        <v>222.47300000000001</v>
      </c>
      <c r="BK50" s="21">
        <v>-9.9090600000000008E-3</v>
      </c>
      <c r="BL50" s="21">
        <v>40</v>
      </c>
      <c r="BM50" s="21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1">
        <v>0.10147100000000001</v>
      </c>
      <c r="BR50" s="21">
        <v>271.67899999999997</v>
      </c>
      <c r="BS50" s="21">
        <v>-1.59271E-2</v>
      </c>
      <c r="BT50" s="21">
        <v>40</v>
      </c>
      <c r="BU50" s="21">
        <v>0.100677</v>
      </c>
      <c r="BV50">
        <f t="shared" si="14"/>
        <v>15.927099999999999</v>
      </c>
      <c r="BW50">
        <f t="shared" si="15"/>
        <v>1.6161387641</v>
      </c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1.52359</v>
      </c>
      <c r="H51" s="21">
        <v>47.377000000000002</v>
      </c>
      <c r="I51" s="21">
        <v>-8.9080800000000005E-3</v>
      </c>
      <c r="J51" s="21">
        <v>41</v>
      </c>
      <c r="K51" s="21">
        <v>1.5225200000000001</v>
      </c>
      <c r="L51">
        <f t="shared" si="0"/>
        <v>8.90808</v>
      </c>
      <c r="M51">
        <f t="shared" si="1"/>
        <v>13.5722616072</v>
      </c>
      <c r="N51" s="9"/>
      <c r="O51" s="21">
        <v>0.106506</v>
      </c>
      <c r="P51" s="21">
        <v>96.759399999999999</v>
      </c>
      <c r="Q51" s="21">
        <v>-1.60217E-2</v>
      </c>
      <c r="R51" s="21">
        <v>41</v>
      </c>
      <c r="S51" s="21">
        <v>0.105804</v>
      </c>
      <c r="T51">
        <f t="shared" si="2"/>
        <v>16.021699999999999</v>
      </c>
      <c r="U51">
        <f t="shared" si="3"/>
        <v>1.7064071802</v>
      </c>
      <c r="X51" s="9"/>
      <c r="Y51" s="21">
        <v>1.52359</v>
      </c>
      <c r="Z51" s="21">
        <v>49.460999999999999</v>
      </c>
      <c r="AA51" s="21">
        <v>-9.9578900000000005E-3</v>
      </c>
      <c r="AB51" s="21">
        <v>41</v>
      </c>
      <c r="AC51" s="21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1">
        <v>0.106506</v>
      </c>
      <c r="AH51" s="21">
        <v>74.445999999999998</v>
      </c>
      <c r="AI51" s="21">
        <v>-1.5945399999999998E-2</v>
      </c>
      <c r="AJ51" s="21">
        <v>41</v>
      </c>
      <c r="AK51" s="21">
        <v>0.105865</v>
      </c>
      <c r="AL51">
        <f t="shared" si="6"/>
        <v>15.945399999999999</v>
      </c>
      <c r="AM51">
        <f t="shared" si="7"/>
        <v>1.6982807724</v>
      </c>
      <c r="AP51" s="9"/>
      <c r="AQ51" s="21">
        <v>1.52359</v>
      </c>
      <c r="AR51" s="21">
        <v>123.846</v>
      </c>
      <c r="AS51" s="21">
        <v>-1.0003700000000001E-2</v>
      </c>
      <c r="AT51" s="21">
        <v>41</v>
      </c>
      <c r="AU51" s="21">
        <v>1.5222199999999999</v>
      </c>
      <c r="AV51">
        <f t="shared" si="8"/>
        <v>10.0037</v>
      </c>
      <c r="AW51">
        <f t="shared" si="9"/>
        <v>15.241537283</v>
      </c>
      <c r="AX51" s="9"/>
      <c r="AY51" s="21">
        <v>0.106506</v>
      </c>
      <c r="AZ51" s="21">
        <v>173.13300000000001</v>
      </c>
      <c r="BA51" s="21">
        <v>-1.5908800000000001E-2</v>
      </c>
      <c r="BB51" s="21">
        <v>41</v>
      </c>
      <c r="BC51" s="21">
        <v>0.105743</v>
      </c>
      <c r="BD51">
        <f t="shared" si="10"/>
        <v>15.908800000000001</v>
      </c>
      <c r="BE51">
        <f t="shared" si="11"/>
        <v>1.6943826528000001</v>
      </c>
      <c r="BH51" s="9"/>
      <c r="BI51" s="21">
        <v>1.52359</v>
      </c>
      <c r="BJ51" s="21">
        <v>222.483</v>
      </c>
      <c r="BK51" s="21">
        <v>-1.0067700000000001E-2</v>
      </c>
      <c r="BL51" s="21">
        <v>41</v>
      </c>
      <c r="BM51" s="21">
        <v>1.5228299999999999</v>
      </c>
      <c r="BN51">
        <f t="shared" si="12"/>
        <v>10.0677</v>
      </c>
      <c r="BO51">
        <f t="shared" si="13"/>
        <v>15.339047043000001</v>
      </c>
      <c r="BP51" s="9"/>
      <c r="BQ51" s="21">
        <v>0.106506</v>
      </c>
      <c r="BR51" s="21">
        <v>271.68900000000002</v>
      </c>
      <c r="BS51" s="21">
        <v>-1.59241E-2</v>
      </c>
      <c r="BT51" s="21">
        <v>41</v>
      </c>
      <c r="BU51" s="21">
        <v>0.105896</v>
      </c>
      <c r="BV51">
        <f t="shared" si="14"/>
        <v>15.924099999999999</v>
      </c>
      <c r="BW51">
        <f t="shared" si="15"/>
        <v>1.6960121946</v>
      </c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1.5185500000000001</v>
      </c>
      <c r="H52" s="21">
        <v>47.387099999999997</v>
      </c>
      <c r="I52" s="21">
        <v>-9.1003400000000002E-3</v>
      </c>
      <c r="J52" s="21">
        <v>42</v>
      </c>
      <c r="K52" s="21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1">
        <v>0.111542</v>
      </c>
      <c r="P52" s="21">
        <v>96.769499999999994</v>
      </c>
      <c r="Q52" s="21">
        <v>-1.60217E-2</v>
      </c>
      <c r="R52" s="21">
        <v>42</v>
      </c>
      <c r="S52" s="21">
        <v>0.110901</v>
      </c>
      <c r="T52">
        <f t="shared" si="2"/>
        <v>16.021699999999999</v>
      </c>
      <c r="U52">
        <f t="shared" si="3"/>
        <v>1.7870924613999999</v>
      </c>
      <c r="X52" s="9"/>
      <c r="Y52" s="21">
        <v>1.5185500000000001</v>
      </c>
      <c r="Z52" s="21">
        <v>49.4711</v>
      </c>
      <c r="AA52" s="21">
        <v>-1.01166E-2</v>
      </c>
      <c r="AB52" s="21">
        <v>42</v>
      </c>
      <c r="AC52" s="21">
        <v>1.5176400000000001</v>
      </c>
      <c r="AD52">
        <f t="shared" si="4"/>
        <v>10.1166</v>
      </c>
      <c r="AE52">
        <f t="shared" si="5"/>
        <v>15.362562930000001</v>
      </c>
      <c r="AF52" s="9"/>
      <c r="AG52" s="21">
        <v>0.111542</v>
      </c>
      <c r="AH52" s="21">
        <v>74.456100000000006</v>
      </c>
      <c r="AI52" s="21">
        <v>-1.5945399999999998E-2</v>
      </c>
      <c r="AJ52" s="21">
        <v>42</v>
      </c>
      <c r="AK52" s="21">
        <v>0.110748</v>
      </c>
      <c r="AL52">
        <f t="shared" si="6"/>
        <v>15.945399999999999</v>
      </c>
      <c r="AM52">
        <f t="shared" si="7"/>
        <v>1.7785818067999999</v>
      </c>
      <c r="AP52" s="9"/>
      <c r="AQ52" s="21">
        <v>1.5185500000000001</v>
      </c>
      <c r="AR52" s="21">
        <v>123.857</v>
      </c>
      <c r="AS52" s="21">
        <v>-1.01624E-2</v>
      </c>
      <c r="AT52" s="21">
        <v>42</v>
      </c>
      <c r="AU52" s="21">
        <v>1.5176400000000001</v>
      </c>
      <c r="AV52">
        <f t="shared" si="8"/>
        <v>10.1624</v>
      </c>
      <c r="AW52">
        <f t="shared" si="9"/>
        <v>15.43211252</v>
      </c>
      <c r="AX52" s="9"/>
      <c r="AY52" s="21">
        <v>0.111542</v>
      </c>
      <c r="AZ52" s="21">
        <v>173.143</v>
      </c>
      <c r="BA52" s="21">
        <v>-1.5908800000000001E-2</v>
      </c>
      <c r="BB52" s="21">
        <v>42</v>
      </c>
      <c r="BC52" s="21">
        <v>0.11087</v>
      </c>
      <c r="BD52">
        <f t="shared" si="10"/>
        <v>15.908800000000001</v>
      </c>
      <c r="BE52">
        <f t="shared" si="11"/>
        <v>1.7744993696000002</v>
      </c>
      <c r="BH52" s="9"/>
      <c r="BI52" s="21">
        <v>1.5185500000000001</v>
      </c>
      <c r="BJ52" s="21">
        <v>222.49299999999999</v>
      </c>
      <c r="BK52" s="21">
        <v>-1.0223400000000001E-2</v>
      </c>
      <c r="BL52" s="21">
        <v>42</v>
      </c>
      <c r="BM52" s="21">
        <v>1.5176400000000001</v>
      </c>
      <c r="BN52">
        <f t="shared" si="12"/>
        <v>10.2234</v>
      </c>
      <c r="BO52">
        <f t="shared" si="13"/>
        <v>15.524744070000001</v>
      </c>
      <c r="BP52" s="9"/>
      <c r="BQ52" s="21">
        <v>0.111542</v>
      </c>
      <c r="BR52" s="21">
        <v>271.69900000000001</v>
      </c>
      <c r="BS52" s="21">
        <v>-1.5914899999999999E-2</v>
      </c>
      <c r="BT52" s="21">
        <v>42</v>
      </c>
      <c r="BU52" s="21">
        <v>0.110809</v>
      </c>
      <c r="BV52">
        <f t="shared" si="14"/>
        <v>15.914899999999999</v>
      </c>
      <c r="BW52">
        <f t="shared" si="15"/>
        <v>1.7751797757999999</v>
      </c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1.51352</v>
      </c>
      <c r="H53" s="21">
        <v>47.397100000000002</v>
      </c>
      <c r="I53" s="21">
        <v>-9.2864999999999996E-3</v>
      </c>
      <c r="J53" s="21">
        <v>43</v>
      </c>
      <c r="K53" s="21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1">
        <v>0.116577</v>
      </c>
      <c r="P53" s="21">
        <v>96.779600000000002</v>
      </c>
      <c r="Q53" s="21">
        <v>-1.60187E-2</v>
      </c>
      <c r="R53" s="21">
        <v>43</v>
      </c>
      <c r="S53" s="21">
        <v>0.115997</v>
      </c>
      <c r="T53">
        <f t="shared" si="2"/>
        <v>16.018699999999999</v>
      </c>
      <c r="U53">
        <f t="shared" si="3"/>
        <v>1.8674119898999999</v>
      </c>
      <c r="X53" s="9"/>
      <c r="Y53" s="21">
        <v>1.51352</v>
      </c>
      <c r="Z53" s="21">
        <v>49.481200000000001</v>
      </c>
      <c r="AA53" s="21">
        <v>-1.0278300000000001E-2</v>
      </c>
      <c r="AB53" s="21">
        <v>43</v>
      </c>
      <c r="AC53" s="21">
        <v>1.5121500000000001</v>
      </c>
      <c r="AD53">
        <f t="shared" si="4"/>
        <v>10.2783</v>
      </c>
      <c r="AE53">
        <f t="shared" si="5"/>
        <v>15.556412615999999</v>
      </c>
      <c r="AF53" s="9"/>
      <c r="AG53" s="21">
        <v>0.116577</v>
      </c>
      <c r="AH53" s="21">
        <v>74.466200000000001</v>
      </c>
      <c r="AI53" s="21">
        <v>-1.5948500000000001E-2</v>
      </c>
      <c r="AJ53" s="21">
        <v>43</v>
      </c>
      <c r="AK53" s="21">
        <v>0.115967</v>
      </c>
      <c r="AL53">
        <f t="shared" si="6"/>
        <v>15.948500000000001</v>
      </c>
      <c r="AM53">
        <f t="shared" si="7"/>
        <v>1.8592282845000001</v>
      </c>
      <c r="AP53" s="9"/>
      <c r="AQ53" s="21">
        <v>1.51352</v>
      </c>
      <c r="AR53" s="21">
        <v>123.867</v>
      </c>
      <c r="AS53" s="21">
        <v>-1.03027E-2</v>
      </c>
      <c r="AT53" s="21">
        <v>43</v>
      </c>
      <c r="AU53" s="21">
        <v>1.5127600000000001</v>
      </c>
      <c r="AV53">
        <f t="shared" si="8"/>
        <v>10.3027</v>
      </c>
      <c r="AW53">
        <f t="shared" si="9"/>
        <v>15.593342503999999</v>
      </c>
      <c r="AX53" s="9"/>
      <c r="AY53" s="21">
        <v>0.116577</v>
      </c>
      <c r="AZ53" s="21">
        <v>173.15299999999999</v>
      </c>
      <c r="BA53" s="21">
        <v>-1.59119E-2</v>
      </c>
      <c r="BB53" s="21">
        <v>43</v>
      </c>
      <c r="BC53" s="21">
        <v>0.115845</v>
      </c>
      <c r="BD53">
        <f t="shared" si="10"/>
        <v>15.911899999999999</v>
      </c>
      <c r="BE53">
        <f t="shared" si="11"/>
        <v>1.8549615662999999</v>
      </c>
      <c r="BH53" s="9"/>
      <c r="BI53" s="21">
        <v>1.51352</v>
      </c>
      <c r="BJ53" s="21">
        <v>222.50299999999999</v>
      </c>
      <c r="BK53" s="21">
        <v>-1.03699E-2</v>
      </c>
      <c r="BL53" s="21">
        <v>43</v>
      </c>
      <c r="BM53" s="21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1">
        <v>0.116577</v>
      </c>
      <c r="BR53" s="21">
        <v>271.709</v>
      </c>
      <c r="BS53" s="21">
        <v>-1.5914899999999999E-2</v>
      </c>
      <c r="BT53" s="21">
        <v>43</v>
      </c>
      <c r="BU53" s="21">
        <v>0.115936</v>
      </c>
      <c r="BV53">
        <f t="shared" si="14"/>
        <v>15.914899999999999</v>
      </c>
      <c r="BW53">
        <f t="shared" si="15"/>
        <v>1.8553112972999999</v>
      </c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1.50848</v>
      </c>
      <c r="H54" s="21">
        <v>47.407200000000003</v>
      </c>
      <c r="I54" s="21">
        <v>-9.47571E-3</v>
      </c>
      <c r="J54" s="21">
        <v>44</v>
      </c>
      <c r="K54" s="21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1">
        <v>0.121613</v>
      </c>
      <c r="P54" s="21">
        <v>96.789599999999993</v>
      </c>
      <c r="Q54" s="21">
        <v>-1.6009499999999999E-2</v>
      </c>
      <c r="R54" s="21">
        <v>44</v>
      </c>
      <c r="S54" s="21">
        <v>0.12085</v>
      </c>
      <c r="T54">
        <f t="shared" si="2"/>
        <v>16.009499999999999</v>
      </c>
      <c r="U54">
        <f t="shared" si="3"/>
        <v>1.9469633234999999</v>
      </c>
      <c r="X54" s="9"/>
      <c r="Y54" s="21">
        <v>1.50848</v>
      </c>
      <c r="Z54" s="21">
        <v>49.491300000000003</v>
      </c>
      <c r="AA54" s="21">
        <v>-1.04218E-2</v>
      </c>
      <c r="AB54" s="21">
        <v>44</v>
      </c>
      <c r="AC54" s="21">
        <v>1.50726</v>
      </c>
      <c r="AD54">
        <f t="shared" si="4"/>
        <v>10.421799999999999</v>
      </c>
      <c r="AE54">
        <f t="shared" si="5"/>
        <v>15.721076863999999</v>
      </c>
      <c r="AF54" s="9"/>
      <c r="AG54" s="21">
        <v>0.121613</v>
      </c>
      <c r="AH54" s="21">
        <v>74.476200000000006</v>
      </c>
      <c r="AI54" s="21">
        <v>-1.5945399999999998E-2</v>
      </c>
      <c r="AJ54" s="21">
        <v>44</v>
      </c>
      <c r="AK54" s="21">
        <v>0.121002</v>
      </c>
      <c r="AL54">
        <f t="shared" si="6"/>
        <v>15.945399999999999</v>
      </c>
      <c r="AM54">
        <f t="shared" si="7"/>
        <v>1.9391679302</v>
      </c>
      <c r="AP54" s="9"/>
      <c r="AQ54" s="21">
        <v>1.50848</v>
      </c>
      <c r="AR54" s="21">
        <v>123.877</v>
      </c>
      <c r="AS54" s="21">
        <v>-1.0446199999999999E-2</v>
      </c>
      <c r="AT54" s="21">
        <v>44</v>
      </c>
      <c r="AU54" s="21">
        <v>1.50787</v>
      </c>
      <c r="AV54">
        <f t="shared" si="8"/>
        <v>10.446199999999999</v>
      </c>
      <c r="AW54">
        <f t="shared" si="9"/>
        <v>15.757883776</v>
      </c>
      <c r="AX54" s="9"/>
      <c r="AY54" s="21">
        <v>0.121613</v>
      </c>
      <c r="AZ54" s="21">
        <v>173.16300000000001</v>
      </c>
      <c r="BA54" s="21">
        <v>-1.59119E-2</v>
      </c>
      <c r="BB54" s="21">
        <v>44</v>
      </c>
      <c r="BC54" s="21">
        <v>0.121002</v>
      </c>
      <c r="BD54">
        <f t="shared" si="10"/>
        <v>15.911899999999999</v>
      </c>
      <c r="BE54">
        <f t="shared" si="11"/>
        <v>1.9350938946999998</v>
      </c>
      <c r="BH54" s="9"/>
      <c r="BI54" s="21">
        <v>1.50848</v>
      </c>
      <c r="BJ54" s="21">
        <v>222.51400000000001</v>
      </c>
      <c r="BK54" s="21">
        <v>-1.05194E-2</v>
      </c>
      <c r="BL54" s="21">
        <v>44</v>
      </c>
      <c r="BM54" s="21">
        <v>1.50726</v>
      </c>
      <c r="BN54">
        <f t="shared" si="12"/>
        <v>10.519399999999999</v>
      </c>
      <c r="BO54">
        <f t="shared" si="13"/>
        <v>15.868304512</v>
      </c>
      <c r="BP54" s="9"/>
      <c r="BQ54" s="21">
        <v>0.121613</v>
      </c>
      <c r="BR54" s="21">
        <v>271.71899999999999</v>
      </c>
      <c r="BS54" s="21">
        <v>-1.5914899999999999E-2</v>
      </c>
      <c r="BT54" s="21">
        <v>44</v>
      </c>
      <c r="BU54" s="21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1.50345</v>
      </c>
      <c r="H55" s="21">
        <v>47.417299999999997</v>
      </c>
      <c r="I55" s="21">
        <v>-9.6557599999999993E-3</v>
      </c>
      <c r="J55" s="21">
        <v>45</v>
      </c>
      <c r="K55" s="21">
        <v>1.50238</v>
      </c>
      <c r="L55">
        <f t="shared" si="0"/>
        <v>9.655759999999999</v>
      </c>
      <c r="M55">
        <f t="shared" si="1"/>
        <v>14.516952371999999</v>
      </c>
      <c r="N55" s="9"/>
      <c r="O55" s="21">
        <v>0.12664800000000001</v>
      </c>
      <c r="P55" s="21">
        <v>96.799700000000001</v>
      </c>
      <c r="Q55" s="21">
        <v>-1.6003400000000001E-2</v>
      </c>
      <c r="R55" s="21">
        <v>45</v>
      </c>
      <c r="S55" s="21">
        <v>0.12600700000000001</v>
      </c>
      <c r="T55">
        <f t="shared" si="2"/>
        <v>16.003399999999999</v>
      </c>
      <c r="U55">
        <f t="shared" si="3"/>
        <v>2.0267986032</v>
      </c>
      <c r="X55" s="9"/>
      <c r="Y55" s="21">
        <v>1.50345</v>
      </c>
      <c r="Z55" s="21">
        <v>49.501300000000001</v>
      </c>
      <c r="AA55" s="21">
        <v>-1.05713E-2</v>
      </c>
      <c r="AB55" s="21">
        <v>45</v>
      </c>
      <c r="AC55" s="21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1">
        <v>0.12664800000000001</v>
      </c>
      <c r="AH55" s="21">
        <v>74.4863</v>
      </c>
      <c r="AI55" s="21">
        <v>-1.59393E-2</v>
      </c>
      <c r="AJ55" s="21">
        <v>45</v>
      </c>
      <c r="AK55" s="21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1">
        <v>1.50345</v>
      </c>
      <c r="AR55" s="21">
        <v>123.887</v>
      </c>
      <c r="AS55" s="21">
        <v>-1.05927E-2</v>
      </c>
      <c r="AT55" s="21">
        <v>45</v>
      </c>
      <c r="AU55" s="21">
        <v>1.50238</v>
      </c>
      <c r="AV55">
        <f t="shared" si="8"/>
        <v>10.592700000000001</v>
      </c>
      <c r="AW55">
        <f t="shared" si="9"/>
        <v>15.925594815</v>
      </c>
      <c r="AX55" s="9"/>
      <c r="AY55" s="21">
        <v>0.12664800000000001</v>
      </c>
      <c r="AZ55" s="21">
        <v>173.173</v>
      </c>
      <c r="BA55" s="21">
        <v>-1.5908800000000001E-2</v>
      </c>
      <c r="BB55" s="21">
        <v>45</v>
      </c>
      <c r="BC55" s="21">
        <v>0.125916</v>
      </c>
      <c r="BD55">
        <f t="shared" si="10"/>
        <v>15.908800000000001</v>
      </c>
      <c r="BE55">
        <f t="shared" si="11"/>
        <v>2.0148177024000002</v>
      </c>
      <c r="BH55" s="9"/>
      <c r="BI55" s="21">
        <v>1.50345</v>
      </c>
      <c r="BJ55" s="21">
        <v>222.524</v>
      </c>
      <c r="BK55" s="21">
        <v>-1.06476E-2</v>
      </c>
      <c r="BL55" s="21">
        <v>45</v>
      </c>
      <c r="BM55" s="21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1">
        <v>0.12664800000000001</v>
      </c>
      <c r="BR55" s="21">
        <v>271.72899999999998</v>
      </c>
      <c r="BS55" s="21">
        <v>-1.59119E-2</v>
      </c>
      <c r="BT55" s="21">
        <v>45</v>
      </c>
      <c r="BU55" s="21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1.49841</v>
      </c>
      <c r="H56" s="21">
        <v>47.427399999999999</v>
      </c>
      <c r="I56" s="21">
        <v>-9.8327599999999994E-3</v>
      </c>
      <c r="J56" s="21">
        <v>46</v>
      </c>
      <c r="K56" s="21">
        <v>1.49719</v>
      </c>
      <c r="L56">
        <f t="shared" si="0"/>
        <v>9.8327599999999986</v>
      </c>
      <c r="M56">
        <f t="shared" si="1"/>
        <v>14.733505911599998</v>
      </c>
      <c r="N56" s="9"/>
      <c r="O56" s="21">
        <v>0.13168299999999999</v>
      </c>
      <c r="P56" s="21">
        <v>96.809799999999996</v>
      </c>
      <c r="Q56" s="21">
        <v>-1.5994299999999999E-2</v>
      </c>
      <c r="R56" s="21">
        <v>46</v>
      </c>
      <c r="S56" s="21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1">
        <v>1.49841</v>
      </c>
      <c r="Z56" s="21">
        <v>49.511400000000002</v>
      </c>
      <c r="AA56" s="21">
        <v>-1.0699500000000001E-2</v>
      </c>
      <c r="AB56" s="21">
        <v>46</v>
      </c>
      <c r="AC56" s="21">
        <v>1.4975000000000001</v>
      </c>
      <c r="AD56">
        <f t="shared" si="4"/>
        <v>10.6995</v>
      </c>
      <c r="AE56">
        <f t="shared" si="5"/>
        <v>16.032237795</v>
      </c>
      <c r="AF56" s="9"/>
      <c r="AG56" s="21">
        <v>0.13168299999999999</v>
      </c>
      <c r="AH56" s="21">
        <v>74.496399999999994</v>
      </c>
      <c r="AI56" s="21">
        <v>-1.5933200000000002E-2</v>
      </c>
      <c r="AJ56" s="21">
        <v>46</v>
      </c>
      <c r="AK56" s="21">
        <v>0.131134</v>
      </c>
      <c r="AL56">
        <f t="shared" si="6"/>
        <v>15.933200000000001</v>
      </c>
      <c r="AM56">
        <f t="shared" si="7"/>
        <v>2.0981315756000001</v>
      </c>
      <c r="AP56" s="9"/>
      <c r="AQ56" s="21">
        <v>1.49841</v>
      </c>
      <c r="AR56" s="21">
        <v>123.89700000000001</v>
      </c>
      <c r="AS56" s="21">
        <v>-1.07361E-2</v>
      </c>
      <c r="AT56" s="21">
        <v>46</v>
      </c>
      <c r="AU56" s="21">
        <v>1.4975000000000001</v>
      </c>
      <c r="AV56">
        <f t="shared" si="8"/>
        <v>10.7361</v>
      </c>
      <c r="AW56">
        <f t="shared" si="9"/>
        <v>16.087079600999999</v>
      </c>
      <c r="AX56" s="9"/>
      <c r="AY56" s="21">
        <v>0.13168299999999999</v>
      </c>
      <c r="AZ56" s="21">
        <v>173.18299999999999</v>
      </c>
      <c r="BA56" s="21">
        <v>-1.5908800000000001E-2</v>
      </c>
      <c r="BB56" s="21">
        <v>46</v>
      </c>
      <c r="BC56" s="21">
        <v>0.131073</v>
      </c>
      <c r="BD56">
        <f t="shared" si="10"/>
        <v>15.908800000000001</v>
      </c>
      <c r="BE56">
        <f t="shared" si="11"/>
        <v>2.0949185103999999</v>
      </c>
      <c r="BH56" s="9"/>
      <c r="BI56" s="21">
        <v>1.49841</v>
      </c>
      <c r="BJ56" s="21">
        <v>222.53399999999999</v>
      </c>
      <c r="BK56" s="21">
        <v>-1.07697E-2</v>
      </c>
      <c r="BL56" s="21">
        <v>46</v>
      </c>
      <c r="BM56" s="21">
        <v>1.4978</v>
      </c>
      <c r="BN56">
        <f t="shared" si="12"/>
        <v>10.7697</v>
      </c>
      <c r="BO56">
        <f t="shared" si="13"/>
        <v>16.137426177000002</v>
      </c>
      <c r="BP56" s="9"/>
      <c r="BQ56" s="21">
        <v>0.13168299999999999</v>
      </c>
      <c r="BR56" s="21">
        <v>271.73899999999998</v>
      </c>
      <c r="BS56" s="21">
        <v>-1.5905800000000001E-2</v>
      </c>
      <c r="BT56" s="21">
        <v>46</v>
      </c>
      <c r="BU56" s="21">
        <v>0.131073</v>
      </c>
      <c r="BV56">
        <f t="shared" si="14"/>
        <v>15.905800000000001</v>
      </c>
      <c r="BW56">
        <f t="shared" si="15"/>
        <v>2.0945234614000001</v>
      </c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1.4933799999999999</v>
      </c>
      <c r="H57" s="21">
        <v>47.437399999999997</v>
      </c>
      <c r="I57" s="21">
        <v>-1.00067E-2</v>
      </c>
      <c r="J57" s="21">
        <v>47</v>
      </c>
      <c r="K57" s="21">
        <v>1.49231</v>
      </c>
      <c r="L57">
        <f t="shared" si="0"/>
        <v>10.0067</v>
      </c>
      <c r="M57">
        <f t="shared" si="1"/>
        <v>14.943805645999999</v>
      </c>
      <c r="N57" s="9"/>
      <c r="O57" s="21">
        <v>0.13671900000000001</v>
      </c>
      <c r="P57" s="21">
        <v>96.819900000000004</v>
      </c>
      <c r="Q57" s="21">
        <v>-1.5988200000000001E-2</v>
      </c>
      <c r="R57" s="21">
        <v>47</v>
      </c>
      <c r="S57" s="21">
        <v>0.136078</v>
      </c>
      <c r="T57">
        <f t="shared" si="2"/>
        <v>15.988200000000001</v>
      </c>
      <c r="U57">
        <f t="shared" si="3"/>
        <v>2.1858907158000003</v>
      </c>
      <c r="X57" s="9"/>
      <c r="Y57" s="21">
        <v>1.4933799999999999</v>
      </c>
      <c r="Z57" s="21">
        <v>49.521500000000003</v>
      </c>
      <c r="AA57" s="21">
        <v>-1.0836800000000001E-2</v>
      </c>
      <c r="AB57" s="21">
        <v>47</v>
      </c>
      <c r="AC57" s="21">
        <v>1.4917</v>
      </c>
      <c r="AD57">
        <f t="shared" si="4"/>
        <v>10.8368</v>
      </c>
      <c r="AE57">
        <f t="shared" si="5"/>
        <v>16.183460384</v>
      </c>
      <c r="AF57" s="9"/>
      <c r="AG57" s="21">
        <v>0.13671900000000001</v>
      </c>
      <c r="AH57" s="21">
        <v>74.506399999999999</v>
      </c>
      <c r="AI57" s="21">
        <v>-1.5933200000000002E-2</v>
      </c>
      <c r="AJ57" s="21">
        <v>47</v>
      </c>
      <c r="AK57" s="21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1">
        <v>1.4933799999999999</v>
      </c>
      <c r="AR57" s="21">
        <v>123.907</v>
      </c>
      <c r="AS57" s="21">
        <v>-1.08673E-2</v>
      </c>
      <c r="AT57" s="21">
        <v>47</v>
      </c>
      <c r="AU57" s="21">
        <v>1.492</v>
      </c>
      <c r="AV57">
        <f t="shared" si="8"/>
        <v>10.8673</v>
      </c>
      <c r="AW57">
        <f t="shared" si="9"/>
        <v>16.229008474</v>
      </c>
      <c r="AX57" s="9"/>
      <c r="AY57" s="21">
        <v>0.13671900000000001</v>
      </c>
      <c r="AZ57" s="21">
        <v>173.19300000000001</v>
      </c>
      <c r="BA57" s="21">
        <v>-1.5908800000000001E-2</v>
      </c>
      <c r="BB57" s="21">
        <v>47</v>
      </c>
      <c r="BC57" s="21">
        <v>0.135986</v>
      </c>
      <c r="BD57">
        <f t="shared" si="10"/>
        <v>15.908800000000001</v>
      </c>
      <c r="BE57">
        <f t="shared" si="11"/>
        <v>2.1750352272000004</v>
      </c>
      <c r="BH57" s="9"/>
      <c r="BI57" s="21">
        <v>1.4933799999999999</v>
      </c>
      <c r="BJ57" s="21">
        <v>222.54400000000001</v>
      </c>
      <c r="BK57" s="21">
        <v>-1.0891700000000001E-2</v>
      </c>
      <c r="BL57" s="21">
        <v>47</v>
      </c>
      <c r="BM57" s="21">
        <v>1.49261</v>
      </c>
      <c r="BN57">
        <f t="shared" si="12"/>
        <v>10.8917</v>
      </c>
      <c r="BO57">
        <f t="shared" si="13"/>
        <v>16.265446946000001</v>
      </c>
      <c r="BP57" s="9"/>
      <c r="BQ57" s="21">
        <v>0.13671900000000001</v>
      </c>
      <c r="BR57" s="21">
        <v>271.74900000000002</v>
      </c>
      <c r="BS57" s="21">
        <v>-1.5899699999999999E-2</v>
      </c>
      <c r="BT57" s="21">
        <v>47</v>
      </c>
      <c r="BU57" s="21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1.48834</v>
      </c>
      <c r="H58" s="21">
        <v>47.447499999999998</v>
      </c>
      <c r="I58" s="21">
        <v>-1.01685E-2</v>
      </c>
      <c r="J58" s="21">
        <v>48</v>
      </c>
      <c r="K58" s="21">
        <v>1.48712</v>
      </c>
      <c r="L58">
        <f t="shared" si="0"/>
        <v>10.1685</v>
      </c>
      <c r="M58">
        <f t="shared" si="1"/>
        <v>15.13418529</v>
      </c>
      <c r="N58" s="9"/>
      <c r="O58" s="21">
        <v>0.14175399999999999</v>
      </c>
      <c r="P58" s="21">
        <v>96.829899999999995</v>
      </c>
      <c r="Q58" s="21">
        <v>-1.5985099999999999E-2</v>
      </c>
      <c r="R58" s="21">
        <v>48</v>
      </c>
      <c r="S58" s="21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1">
        <v>1.48834</v>
      </c>
      <c r="Z58" s="21">
        <v>49.531500000000001</v>
      </c>
      <c r="AA58" s="21">
        <v>-1.0974100000000001E-2</v>
      </c>
      <c r="AB58" s="21">
        <v>48</v>
      </c>
      <c r="AC58" s="21">
        <v>1.48773</v>
      </c>
      <c r="AD58">
        <f t="shared" si="4"/>
        <v>10.9741</v>
      </c>
      <c r="AE58">
        <f t="shared" si="5"/>
        <v>16.333191994</v>
      </c>
      <c r="AF58" s="9"/>
      <c r="AG58" s="21">
        <v>0.14175399999999999</v>
      </c>
      <c r="AH58" s="21">
        <v>74.516499999999994</v>
      </c>
      <c r="AI58" s="21">
        <v>-1.59271E-2</v>
      </c>
      <c r="AJ58" s="21">
        <v>48</v>
      </c>
      <c r="AK58" s="21">
        <v>0.141205</v>
      </c>
      <c r="AL58">
        <f t="shared" si="6"/>
        <v>15.927099999999999</v>
      </c>
      <c r="AM58">
        <f t="shared" si="7"/>
        <v>2.2577301333999999</v>
      </c>
      <c r="AP58" s="9"/>
      <c r="AQ58" s="21">
        <v>1.48834</v>
      </c>
      <c r="AR58" s="21">
        <v>123.917</v>
      </c>
      <c r="AS58" s="21">
        <v>-1.09955E-2</v>
      </c>
      <c r="AT58" s="21">
        <v>48</v>
      </c>
      <c r="AU58" s="21">
        <v>1.48773</v>
      </c>
      <c r="AV58">
        <f t="shared" si="8"/>
        <v>10.9955</v>
      </c>
      <c r="AW58">
        <f t="shared" si="9"/>
        <v>16.365042469999999</v>
      </c>
      <c r="AX58" s="9"/>
      <c r="AY58" s="21">
        <v>0.14175399999999999</v>
      </c>
      <c r="AZ58" s="21">
        <v>173.203</v>
      </c>
      <c r="BA58" s="21">
        <v>-1.59119E-2</v>
      </c>
      <c r="BB58" s="21">
        <v>48</v>
      </c>
      <c r="BC58" s="21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1">
        <v>1.48834</v>
      </c>
      <c r="BJ58" s="21">
        <v>222.554</v>
      </c>
      <c r="BK58" s="21">
        <v>-1.10168E-2</v>
      </c>
      <c r="BL58" s="21">
        <v>48</v>
      </c>
      <c r="BM58" s="21">
        <v>1.48804</v>
      </c>
      <c r="BN58">
        <f t="shared" si="12"/>
        <v>11.0168</v>
      </c>
      <c r="BO58">
        <f t="shared" si="13"/>
        <v>16.396744112</v>
      </c>
      <c r="BP58" s="9"/>
      <c r="BQ58" s="21">
        <v>0.14175399999999999</v>
      </c>
      <c r="BR58" s="21">
        <v>271.75900000000001</v>
      </c>
      <c r="BS58" s="21">
        <v>-1.58966E-2</v>
      </c>
      <c r="BT58" s="21">
        <v>48</v>
      </c>
      <c r="BU58" s="21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1.4833099999999999</v>
      </c>
      <c r="H59" s="21">
        <v>47.457599999999999</v>
      </c>
      <c r="I59" s="21">
        <v>-1.0321E-2</v>
      </c>
      <c r="J59" s="21">
        <v>49</v>
      </c>
      <c r="K59" s="21">
        <v>1.48193</v>
      </c>
      <c r="L59">
        <f t="shared" si="0"/>
        <v>10.321</v>
      </c>
      <c r="M59">
        <f t="shared" si="1"/>
        <v>15.309242509999999</v>
      </c>
      <c r="N59" s="9"/>
      <c r="O59" s="21">
        <v>0.14679</v>
      </c>
      <c r="P59" s="21">
        <v>96.84</v>
      </c>
      <c r="Q59" s="21">
        <v>-1.5982099999999999E-2</v>
      </c>
      <c r="R59" s="21">
        <v>49</v>
      </c>
      <c r="S59" s="21">
        <v>0.146149</v>
      </c>
      <c r="T59">
        <f t="shared" si="2"/>
        <v>15.982099999999999</v>
      </c>
      <c r="U59">
        <f t="shared" si="3"/>
        <v>2.3460124589999998</v>
      </c>
      <c r="X59" s="9"/>
      <c r="Y59" s="21">
        <v>1.4833099999999999</v>
      </c>
      <c r="Z59" s="21">
        <v>49.541600000000003</v>
      </c>
      <c r="AA59" s="21">
        <v>-1.11176E-2</v>
      </c>
      <c r="AB59" s="21">
        <v>49</v>
      </c>
      <c r="AC59" s="21">
        <v>1.48285</v>
      </c>
      <c r="AD59">
        <f t="shared" si="4"/>
        <v>11.117599999999999</v>
      </c>
      <c r="AE59">
        <f t="shared" si="5"/>
        <v>16.490847255999999</v>
      </c>
      <c r="AF59" s="9"/>
      <c r="AG59" s="21">
        <v>0.14679</v>
      </c>
      <c r="AH59" s="21">
        <v>74.526600000000002</v>
      </c>
      <c r="AI59" s="21">
        <v>-1.5921000000000001E-2</v>
      </c>
      <c r="AJ59" s="21">
        <v>49</v>
      </c>
      <c r="AK59" s="21">
        <v>0.146149</v>
      </c>
      <c r="AL59">
        <f t="shared" si="6"/>
        <v>15.921000000000001</v>
      </c>
      <c r="AM59">
        <f t="shared" si="7"/>
        <v>2.3370435900000004</v>
      </c>
      <c r="AP59" s="9"/>
      <c r="AQ59" s="21">
        <v>1.4833099999999999</v>
      </c>
      <c r="AR59" s="21">
        <v>123.92700000000001</v>
      </c>
      <c r="AS59" s="21">
        <v>-1.11115E-2</v>
      </c>
      <c r="AT59" s="21">
        <v>49</v>
      </c>
      <c r="AU59" s="21">
        <v>1.48193</v>
      </c>
      <c r="AV59">
        <f t="shared" si="8"/>
        <v>11.111499999999999</v>
      </c>
      <c r="AW59">
        <f t="shared" si="9"/>
        <v>16.481799064999997</v>
      </c>
      <c r="AX59" s="9"/>
      <c r="AY59" s="21">
        <v>0.14679</v>
      </c>
      <c r="AZ59" s="21">
        <v>173.21299999999999</v>
      </c>
      <c r="BA59" s="21">
        <v>-1.5905800000000001E-2</v>
      </c>
      <c r="BB59" s="21">
        <v>49</v>
      </c>
      <c r="BC59" s="21">
        <v>0.146179</v>
      </c>
      <c r="BD59">
        <f t="shared" si="10"/>
        <v>15.905800000000001</v>
      </c>
      <c r="BE59">
        <f t="shared" si="11"/>
        <v>2.3348123820000004</v>
      </c>
      <c r="BH59" s="9"/>
      <c r="BI59" s="21">
        <v>1.4833099999999999</v>
      </c>
      <c r="BJ59" s="21">
        <v>222.56399999999999</v>
      </c>
      <c r="BK59" s="21">
        <v>-1.11328E-2</v>
      </c>
      <c r="BL59" s="21">
        <v>49</v>
      </c>
      <c r="BM59" s="21">
        <v>1.48315</v>
      </c>
      <c r="BN59">
        <f t="shared" si="12"/>
        <v>11.1328</v>
      </c>
      <c r="BO59">
        <f t="shared" si="13"/>
        <v>16.513393567999998</v>
      </c>
      <c r="BP59" s="9"/>
      <c r="BQ59" s="21">
        <v>0.14679</v>
      </c>
      <c r="BR59" s="21">
        <v>271.76900000000001</v>
      </c>
      <c r="BS59" s="21">
        <v>-1.5887499999999999E-2</v>
      </c>
      <c r="BT59" s="21">
        <v>49</v>
      </c>
      <c r="BU59" s="21">
        <v>0.146179</v>
      </c>
      <c r="BV59">
        <f t="shared" si="14"/>
        <v>15.887499999999999</v>
      </c>
      <c r="BW59">
        <f t="shared" si="15"/>
        <v>2.3321261249999998</v>
      </c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1.47827</v>
      </c>
      <c r="H60" s="21">
        <v>47.467599999999997</v>
      </c>
      <c r="I60" s="21">
        <v>-1.04797E-2</v>
      </c>
      <c r="J60" s="21">
        <v>50</v>
      </c>
      <c r="K60" s="21">
        <v>1.47705</v>
      </c>
      <c r="L60">
        <f t="shared" si="0"/>
        <v>10.479699999999999</v>
      </c>
      <c r="M60">
        <f t="shared" si="1"/>
        <v>15.491826118999999</v>
      </c>
      <c r="N60" s="9"/>
      <c r="O60" s="21">
        <v>0.15182499999999999</v>
      </c>
      <c r="P60" s="21">
        <v>96.850099999999998</v>
      </c>
      <c r="Q60" s="21">
        <v>-1.5972900000000002E-2</v>
      </c>
      <c r="R60" s="21">
        <v>50</v>
      </c>
      <c r="S60" s="21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1">
        <v>1.47827</v>
      </c>
      <c r="Z60" s="21">
        <v>49.551699999999997</v>
      </c>
      <c r="AA60" s="21">
        <v>-1.12549E-2</v>
      </c>
      <c r="AB60" s="21">
        <v>50</v>
      </c>
      <c r="AC60" s="21">
        <v>1.47797</v>
      </c>
      <c r="AD60">
        <f t="shared" si="4"/>
        <v>11.254899999999999</v>
      </c>
      <c r="AE60">
        <f t="shared" si="5"/>
        <v>16.637781022999999</v>
      </c>
      <c r="AF60" s="9"/>
      <c r="AG60" s="21">
        <v>0.15182499999999999</v>
      </c>
      <c r="AH60" s="21">
        <v>74.536699999999996</v>
      </c>
      <c r="AI60" s="21">
        <v>-1.5914899999999999E-2</v>
      </c>
      <c r="AJ60" s="21">
        <v>50</v>
      </c>
      <c r="AK60" s="21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1">
        <v>1.47827</v>
      </c>
      <c r="AR60" s="21">
        <v>123.937</v>
      </c>
      <c r="AS60" s="21">
        <v>-1.1230499999999999E-2</v>
      </c>
      <c r="AT60" s="21">
        <v>50</v>
      </c>
      <c r="AU60" s="21">
        <v>1.47766</v>
      </c>
      <c r="AV60">
        <f t="shared" si="8"/>
        <v>11.230499999999999</v>
      </c>
      <c r="AW60">
        <f t="shared" si="9"/>
        <v>16.601711235</v>
      </c>
      <c r="AX60" s="9"/>
      <c r="AY60" s="21">
        <v>0.15182499999999999</v>
      </c>
      <c r="AZ60" s="21">
        <v>173.22399999999999</v>
      </c>
      <c r="BA60" s="21">
        <v>-1.5899699999999999E-2</v>
      </c>
      <c r="BB60" s="21">
        <v>50</v>
      </c>
      <c r="BC60" s="21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1">
        <v>1.47827</v>
      </c>
      <c r="BJ60" s="21">
        <v>222.57400000000001</v>
      </c>
      <c r="BK60" s="21">
        <v>-1.12579E-2</v>
      </c>
      <c r="BL60" s="21">
        <v>50</v>
      </c>
      <c r="BM60" s="21">
        <v>1.47705</v>
      </c>
      <c r="BN60">
        <f t="shared" si="12"/>
        <v>11.257899999999999</v>
      </c>
      <c r="BO60">
        <f t="shared" si="13"/>
        <v>16.642215832999998</v>
      </c>
      <c r="BP60" s="9"/>
      <c r="BQ60" s="21">
        <v>0.15182499999999999</v>
      </c>
      <c r="BR60" s="21">
        <v>271.779</v>
      </c>
      <c r="BS60" s="21">
        <v>-1.5893600000000001E-2</v>
      </c>
      <c r="BT60" s="21">
        <v>50</v>
      </c>
      <c r="BU60" s="21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1.4732400000000001</v>
      </c>
      <c r="H61" s="21">
        <v>47.477699999999999</v>
      </c>
      <c r="I61" s="21">
        <v>-1.06354E-2</v>
      </c>
      <c r="J61" s="21">
        <v>51</v>
      </c>
      <c r="K61" s="21">
        <v>1.4724699999999999</v>
      </c>
      <c r="L61">
        <f t="shared" si="0"/>
        <v>10.635399999999999</v>
      </c>
      <c r="M61">
        <f t="shared" si="1"/>
        <v>15.668496696</v>
      </c>
      <c r="N61" s="9"/>
      <c r="O61" s="21">
        <v>0.15686</v>
      </c>
      <c r="P61" s="21">
        <v>96.860100000000003</v>
      </c>
      <c r="Q61" s="21">
        <v>-1.5963700000000001E-2</v>
      </c>
      <c r="R61" s="21">
        <v>51</v>
      </c>
      <c r="S61" s="21">
        <v>0.156219</v>
      </c>
      <c r="T61">
        <f t="shared" si="2"/>
        <v>15.963700000000001</v>
      </c>
      <c r="U61">
        <f t="shared" si="3"/>
        <v>2.5040659820000002</v>
      </c>
      <c r="X61" s="9"/>
      <c r="Y61" s="21">
        <v>1.4732400000000001</v>
      </c>
      <c r="Z61" s="21">
        <v>49.561799999999998</v>
      </c>
      <c r="AA61" s="21">
        <v>-1.13831E-2</v>
      </c>
      <c r="AB61" s="21">
        <v>51</v>
      </c>
      <c r="AC61" s="21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1">
        <v>0.15686</v>
      </c>
      <c r="AH61" s="21">
        <v>74.546700000000001</v>
      </c>
      <c r="AI61" s="21">
        <v>-1.59119E-2</v>
      </c>
      <c r="AJ61" s="21">
        <v>51</v>
      </c>
      <c r="AK61" s="21">
        <v>0.156219</v>
      </c>
      <c r="AL61">
        <f t="shared" si="6"/>
        <v>15.911899999999999</v>
      </c>
      <c r="AM61">
        <f t="shared" si="7"/>
        <v>2.4959406339999997</v>
      </c>
      <c r="AP61" s="9"/>
      <c r="AQ61" s="21">
        <v>1.4732400000000001</v>
      </c>
      <c r="AR61" s="21">
        <v>123.947</v>
      </c>
      <c r="AS61" s="21">
        <v>-1.13464E-2</v>
      </c>
      <c r="AT61" s="21">
        <v>51</v>
      </c>
      <c r="AU61" s="21">
        <v>1.47217</v>
      </c>
      <c r="AV61">
        <f t="shared" si="8"/>
        <v>11.346399999999999</v>
      </c>
      <c r="AW61">
        <f t="shared" si="9"/>
        <v>16.715970336000002</v>
      </c>
      <c r="AX61" s="9"/>
      <c r="AY61" s="21">
        <v>0.15686</v>
      </c>
      <c r="AZ61" s="21">
        <v>173.23400000000001</v>
      </c>
      <c r="BA61" s="21">
        <v>-1.5893600000000001E-2</v>
      </c>
      <c r="BB61" s="21">
        <v>51</v>
      </c>
      <c r="BC61" s="21">
        <v>0.156219</v>
      </c>
      <c r="BD61">
        <f t="shared" si="10"/>
        <v>15.893600000000001</v>
      </c>
      <c r="BE61">
        <f t="shared" si="11"/>
        <v>2.4930700960000003</v>
      </c>
      <c r="BH61" s="9"/>
      <c r="BI61" s="21">
        <v>1.4732400000000001</v>
      </c>
      <c r="BJ61" s="21">
        <v>222.584</v>
      </c>
      <c r="BK61" s="21">
        <v>-1.1379999999999999E-2</v>
      </c>
      <c r="BL61" s="21">
        <v>51</v>
      </c>
      <c r="BM61" s="21">
        <v>1.47278</v>
      </c>
      <c r="BN61">
        <f t="shared" si="12"/>
        <v>11.379999999999999</v>
      </c>
      <c r="BO61">
        <f t="shared" si="13"/>
        <v>16.7654712</v>
      </c>
      <c r="BP61" s="9"/>
      <c r="BQ61" s="21">
        <v>0.15686</v>
      </c>
      <c r="BR61" s="21">
        <v>271.78899999999999</v>
      </c>
      <c r="BS61" s="21">
        <v>-1.5890499999999998E-2</v>
      </c>
      <c r="BT61" s="21">
        <v>51</v>
      </c>
      <c r="BU61" s="21">
        <v>0.15625</v>
      </c>
      <c r="BV61">
        <f t="shared" si="14"/>
        <v>15.890499999999998</v>
      </c>
      <c r="BW61">
        <f t="shared" si="15"/>
        <v>2.4925838299999996</v>
      </c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1.4681999999999999</v>
      </c>
      <c r="H62" s="21">
        <v>47.4878</v>
      </c>
      <c r="I62" s="21">
        <v>-1.07849E-2</v>
      </c>
      <c r="J62" s="21">
        <v>52</v>
      </c>
      <c r="K62" s="21">
        <v>1.46729</v>
      </c>
      <c r="L62">
        <f t="shared" si="0"/>
        <v>10.7849</v>
      </c>
      <c r="M62">
        <f t="shared" si="1"/>
        <v>15.83439018</v>
      </c>
      <c r="N62" s="9"/>
      <c r="O62" s="21">
        <v>0.16189600000000001</v>
      </c>
      <c r="P62" s="21">
        <v>96.870199999999997</v>
      </c>
      <c r="Q62" s="21">
        <v>-1.59668E-2</v>
      </c>
      <c r="R62" s="21">
        <v>52</v>
      </c>
      <c r="S62" s="21">
        <v>0.161194</v>
      </c>
      <c r="T62">
        <f t="shared" si="2"/>
        <v>15.966799999999999</v>
      </c>
      <c r="U62">
        <f t="shared" si="3"/>
        <v>2.5849610528000002</v>
      </c>
      <c r="X62" s="9"/>
      <c r="Y62" s="21">
        <v>1.4681999999999999</v>
      </c>
      <c r="Z62" s="21">
        <v>49.571800000000003</v>
      </c>
      <c r="AA62" s="21">
        <v>-1.1502099999999999E-2</v>
      </c>
      <c r="AB62" s="21">
        <v>52</v>
      </c>
      <c r="AC62" s="21">
        <v>1.46729</v>
      </c>
      <c r="AD62">
        <f t="shared" si="4"/>
        <v>11.502099999999999</v>
      </c>
      <c r="AE62">
        <f t="shared" si="5"/>
        <v>16.887383219999997</v>
      </c>
      <c r="AF62" s="9"/>
      <c r="AG62" s="21">
        <v>0.16189600000000001</v>
      </c>
      <c r="AH62" s="21">
        <v>74.556799999999996</v>
      </c>
      <c r="AI62" s="21">
        <v>-1.5908800000000001E-2</v>
      </c>
      <c r="AJ62" s="21">
        <v>52</v>
      </c>
      <c r="AK62" s="21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1">
        <v>1.4681999999999999</v>
      </c>
      <c r="AR62" s="21">
        <v>123.95699999999999</v>
      </c>
      <c r="AS62" s="21">
        <v>-1.1462399999999999E-2</v>
      </c>
      <c r="AT62" s="21">
        <v>52</v>
      </c>
      <c r="AU62" s="21">
        <v>1.46729</v>
      </c>
      <c r="AV62">
        <f t="shared" si="8"/>
        <v>11.462399999999999</v>
      </c>
      <c r="AW62">
        <f t="shared" si="9"/>
        <v>16.829095679999998</v>
      </c>
      <c r="AX62" s="9"/>
      <c r="AY62" s="21">
        <v>0.16189600000000001</v>
      </c>
      <c r="AZ62" s="21">
        <v>173.244</v>
      </c>
      <c r="BA62" s="21">
        <v>-1.5887499999999999E-2</v>
      </c>
      <c r="BB62" s="21">
        <v>52</v>
      </c>
      <c r="BC62" s="21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1">
        <v>1.4681999999999999</v>
      </c>
      <c r="BJ62" s="21">
        <v>222.59399999999999</v>
      </c>
      <c r="BK62" s="21">
        <v>-1.1499000000000001E-2</v>
      </c>
      <c r="BL62" s="21">
        <v>52</v>
      </c>
      <c r="BM62" s="21">
        <v>1.46729</v>
      </c>
      <c r="BN62">
        <f t="shared" si="12"/>
        <v>11.499000000000001</v>
      </c>
      <c r="BO62">
        <f t="shared" si="13"/>
        <v>16.882831800000002</v>
      </c>
      <c r="BP62" s="9"/>
      <c r="BQ62" s="21">
        <v>0.16189600000000001</v>
      </c>
      <c r="BR62" s="21">
        <v>271.8</v>
      </c>
      <c r="BS62" s="21">
        <v>-1.5887499999999999E-2</v>
      </c>
      <c r="BT62" s="21">
        <v>52</v>
      </c>
      <c r="BU62" s="21">
        <v>0.161102</v>
      </c>
      <c r="BV62">
        <f t="shared" si="14"/>
        <v>15.887499999999999</v>
      </c>
      <c r="BW62">
        <f t="shared" si="15"/>
        <v>2.5721227</v>
      </c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1.4631700000000001</v>
      </c>
      <c r="H63" s="21">
        <v>47.497900000000001</v>
      </c>
      <c r="I63" s="21">
        <v>-1.09283E-2</v>
      </c>
      <c r="J63" s="21">
        <v>53</v>
      </c>
      <c r="K63" s="21">
        <v>1.4623999999999999</v>
      </c>
      <c r="L63">
        <f t="shared" si="0"/>
        <v>10.9283</v>
      </c>
      <c r="M63">
        <f t="shared" si="1"/>
        <v>15.989960711000002</v>
      </c>
      <c r="N63" s="9"/>
      <c r="O63" s="21">
        <v>0.166931</v>
      </c>
      <c r="P63" s="21">
        <v>96.880300000000005</v>
      </c>
      <c r="Q63" s="21">
        <v>-1.5963700000000001E-2</v>
      </c>
      <c r="R63" s="21">
        <v>53</v>
      </c>
      <c r="S63" s="21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1">
        <v>1.4631700000000001</v>
      </c>
      <c r="Z63" s="21">
        <v>49.581899999999997</v>
      </c>
      <c r="AA63" s="21">
        <v>-1.1618E-2</v>
      </c>
      <c r="AB63" s="21">
        <v>53</v>
      </c>
      <c r="AC63" s="21">
        <v>1.4623999999999999</v>
      </c>
      <c r="AD63">
        <f t="shared" si="4"/>
        <v>11.618</v>
      </c>
      <c r="AE63">
        <f t="shared" si="5"/>
        <v>16.999109060000002</v>
      </c>
      <c r="AF63" s="9"/>
      <c r="AG63" s="21">
        <v>0.166931</v>
      </c>
      <c r="AH63" s="21">
        <v>74.566900000000004</v>
      </c>
      <c r="AI63" s="21">
        <v>-1.5908800000000001E-2</v>
      </c>
      <c r="AJ63" s="21">
        <v>53</v>
      </c>
      <c r="AK63" s="21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1">
        <v>1.4631700000000001</v>
      </c>
      <c r="AR63" s="21">
        <v>123.967</v>
      </c>
      <c r="AS63" s="21">
        <v>-1.15814E-2</v>
      </c>
      <c r="AT63" s="21">
        <v>53</v>
      </c>
      <c r="AU63" s="21">
        <v>1.4617899999999999</v>
      </c>
      <c r="AV63">
        <f t="shared" si="8"/>
        <v>11.5814</v>
      </c>
      <c r="AW63">
        <f t="shared" si="9"/>
        <v>16.945557038</v>
      </c>
      <c r="AX63" s="9"/>
      <c r="AY63" s="21">
        <v>0.166931</v>
      </c>
      <c r="AZ63" s="21">
        <v>173.25399999999999</v>
      </c>
      <c r="BA63" s="21">
        <v>-1.5890499999999998E-2</v>
      </c>
      <c r="BB63" s="21">
        <v>53</v>
      </c>
      <c r="BC63" s="21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1">
        <v>1.4631700000000001</v>
      </c>
      <c r="BJ63" s="21">
        <v>222.60400000000001</v>
      </c>
      <c r="BK63" s="21">
        <v>-1.1615E-2</v>
      </c>
      <c r="BL63" s="21">
        <v>53</v>
      </c>
      <c r="BM63" s="21">
        <v>1.46271</v>
      </c>
      <c r="BN63">
        <f t="shared" si="12"/>
        <v>11.615</v>
      </c>
      <c r="BO63">
        <f t="shared" si="13"/>
        <v>16.994719550000003</v>
      </c>
      <c r="BP63" s="9"/>
      <c r="BQ63" s="21">
        <v>0.166931</v>
      </c>
      <c r="BR63" s="21">
        <v>271.81</v>
      </c>
      <c r="BS63" s="21">
        <v>-1.5887499999999999E-2</v>
      </c>
      <c r="BT63" s="21">
        <v>53</v>
      </c>
      <c r="BU63" s="21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1.4581299999999999</v>
      </c>
      <c r="H64" s="21">
        <v>47.507899999999999</v>
      </c>
      <c r="I64" s="21">
        <v>-1.1062600000000001E-2</v>
      </c>
      <c r="J64" s="21">
        <v>54</v>
      </c>
      <c r="K64" s="21">
        <v>1.4581299999999999</v>
      </c>
      <c r="L64">
        <f t="shared" si="0"/>
        <v>11.0626</v>
      </c>
      <c r="M64">
        <f t="shared" si="1"/>
        <v>16.130708937999998</v>
      </c>
      <c r="N64" s="9"/>
      <c r="O64" s="21">
        <v>0.17196700000000001</v>
      </c>
      <c r="P64" s="21">
        <v>96.8904</v>
      </c>
      <c r="Q64" s="21">
        <v>-1.5963700000000001E-2</v>
      </c>
      <c r="R64" s="21">
        <v>54</v>
      </c>
      <c r="S64" s="21">
        <v>0.171265</v>
      </c>
      <c r="T64">
        <f t="shared" si="2"/>
        <v>15.963700000000001</v>
      </c>
      <c r="U64">
        <f t="shared" si="3"/>
        <v>2.7452295979000003</v>
      </c>
      <c r="X64" s="9"/>
      <c r="Y64" s="21">
        <v>1.4581299999999999</v>
      </c>
      <c r="Z64" s="21">
        <v>49.591999999999999</v>
      </c>
      <c r="AA64" s="21">
        <v>-1.17249E-2</v>
      </c>
      <c r="AB64" s="21">
        <v>54</v>
      </c>
      <c r="AC64" s="21">
        <v>1.4572099999999999</v>
      </c>
      <c r="AD64">
        <f t="shared" si="4"/>
        <v>11.7249</v>
      </c>
      <c r="AE64">
        <f t="shared" si="5"/>
        <v>17.096428437</v>
      </c>
      <c r="AF64" s="9"/>
      <c r="AG64" s="21">
        <v>0.17196700000000001</v>
      </c>
      <c r="AH64" s="21">
        <v>74.576899999999995</v>
      </c>
      <c r="AI64" s="21">
        <v>-1.5908800000000001E-2</v>
      </c>
      <c r="AJ64" s="21">
        <v>54</v>
      </c>
      <c r="AK64" s="21">
        <v>0.171265</v>
      </c>
      <c r="AL64">
        <f t="shared" si="6"/>
        <v>15.908800000000001</v>
      </c>
      <c r="AM64">
        <f t="shared" si="7"/>
        <v>2.7357886096000001</v>
      </c>
      <c r="AP64" s="9"/>
      <c r="AQ64" s="21">
        <v>1.4581299999999999</v>
      </c>
      <c r="AR64" s="21">
        <v>123.977</v>
      </c>
      <c r="AS64" s="21">
        <v>-1.16913E-2</v>
      </c>
      <c r="AT64" s="21">
        <v>54</v>
      </c>
      <c r="AU64" s="21">
        <v>1.4569099999999999</v>
      </c>
      <c r="AV64">
        <f t="shared" si="8"/>
        <v>11.6913</v>
      </c>
      <c r="AW64">
        <f t="shared" si="9"/>
        <v>17.047435268999998</v>
      </c>
      <c r="AX64" s="9"/>
      <c r="AY64" s="21">
        <v>0.17196700000000001</v>
      </c>
      <c r="AZ64" s="21">
        <v>173.26400000000001</v>
      </c>
      <c r="BA64" s="21">
        <v>-1.58844E-2</v>
      </c>
      <c r="BB64" s="21">
        <v>54</v>
      </c>
      <c r="BC64" s="21">
        <v>0.171265</v>
      </c>
      <c r="BD64">
        <f t="shared" si="10"/>
        <v>15.884399999999999</v>
      </c>
      <c r="BE64">
        <f t="shared" si="11"/>
        <v>2.7315926147999998</v>
      </c>
      <c r="BH64" s="9"/>
      <c r="BI64" s="21">
        <v>1.4581299999999999</v>
      </c>
      <c r="BJ64" s="21">
        <v>222.614</v>
      </c>
      <c r="BK64" s="21">
        <v>-1.17188E-2</v>
      </c>
      <c r="BL64" s="21">
        <v>54</v>
      </c>
      <c r="BM64" s="21">
        <v>1.4572099999999999</v>
      </c>
      <c r="BN64">
        <f t="shared" si="12"/>
        <v>11.7188</v>
      </c>
      <c r="BO64">
        <f t="shared" si="13"/>
        <v>17.087533843999999</v>
      </c>
      <c r="BP64" s="9"/>
      <c r="BQ64" s="21">
        <v>0.17196700000000001</v>
      </c>
      <c r="BR64" s="21">
        <v>271.82</v>
      </c>
      <c r="BS64" s="21">
        <v>-1.5887499999999999E-2</v>
      </c>
      <c r="BT64" s="21">
        <v>54</v>
      </c>
      <c r="BU64" s="21">
        <v>0.171234</v>
      </c>
      <c r="BV64">
        <f t="shared" si="14"/>
        <v>15.887499999999999</v>
      </c>
      <c r="BW64">
        <f t="shared" si="15"/>
        <v>2.7321257124999998</v>
      </c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1.45309</v>
      </c>
      <c r="H65" s="21">
        <v>47.518000000000001</v>
      </c>
      <c r="I65" s="21">
        <v>-1.11938E-2</v>
      </c>
      <c r="J65" s="21">
        <v>55</v>
      </c>
      <c r="K65" s="21">
        <v>1.4520299999999999</v>
      </c>
      <c r="L65">
        <f t="shared" si="0"/>
        <v>11.1938</v>
      </c>
      <c r="M65">
        <f t="shared" si="1"/>
        <v>16.265598841999999</v>
      </c>
      <c r="N65" s="9"/>
      <c r="O65" s="21">
        <v>0.17700199999999999</v>
      </c>
      <c r="P65" s="21">
        <v>96.900400000000005</v>
      </c>
      <c r="Q65" s="21">
        <v>-1.59668E-2</v>
      </c>
      <c r="R65" s="21">
        <v>55</v>
      </c>
      <c r="S65" s="21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1">
        <v>1.45309</v>
      </c>
      <c r="Z65" s="21">
        <v>49.601999999999997</v>
      </c>
      <c r="AA65" s="21">
        <v>-1.1831700000000001E-2</v>
      </c>
      <c r="AB65" s="21">
        <v>55</v>
      </c>
      <c r="AC65" s="21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1">
        <v>0.17700199999999999</v>
      </c>
      <c r="AH65" s="21">
        <v>74.587000000000003</v>
      </c>
      <c r="AI65" s="21">
        <v>-1.59119E-2</v>
      </c>
      <c r="AJ65" s="21">
        <v>55</v>
      </c>
      <c r="AK65" s="21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1">
        <v>1.45309</v>
      </c>
      <c r="AR65" s="21">
        <v>123.98699999999999</v>
      </c>
      <c r="AS65" s="21">
        <v>-1.1795E-2</v>
      </c>
      <c r="AT65" s="21">
        <v>55</v>
      </c>
      <c r="AU65" s="21">
        <v>1.4520299999999999</v>
      </c>
      <c r="AV65">
        <f t="shared" si="8"/>
        <v>11.795</v>
      </c>
      <c r="AW65">
        <f t="shared" si="9"/>
        <v>17.139196550000001</v>
      </c>
      <c r="AX65" s="9"/>
      <c r="AY65" s="21">
        <v>0.17700199999999999</v>
      </c>
      <c r="AZ65" s="21">
        <v>173.274</v>
      </c>
      <c r="BA65" s="21">
        <v>-1.5878300000000001E-2</v>
      </c>
      <c r="BB65" s="21">
        <v>55</v>
      </c>
      <c r="BC65" s="21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1">
        <v>1.45309</v>
      </c>
      <c r="BJ65" s="21">
        <v>222.624</v>
      </c>
      <c r="BK65" s="21">
        <v>-1.1816399999999999E-2</v>
      </c>
      <c r="BL65" s="21">
        <v>55</v>
      </c>
      <c r="BM65" s="21">
        <v>1.4520299999999999</v>
      </c>
      <c r="BN65">
        <f t="shared" si="12"/>
        <v>11.8164</v>
      </c>
      <c r="BO65">
        <f t="shared" si="13"/>
        <v>17.170292675999999</v>
      </c>
      <c r="BP65" s="9"/>
      <c r="BQ65" s="21">
        <v>0.17700199999999999</v>
      </c>
      <c r="BR65" s="21">
        <v>271.83</v>
      </c>
      <c r="BS65" s="21">
        <v>-1.5887499999999999E-2</v>
      </c>
      <c r="BT65" s="21">
        <v>55</v>
      </c>
      <c r="BU65" s="21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1.4480599999999999</v>
      </c>
      <c r="H66" s="21">
        <v>47.528100000000002</v>
      </c>
      <c r="I66" s="21">
        <v>-1.1312900000000001E-2</v>
      </c>
      <c r="J66" s="21">
        <v>56</v>
      </c>
      <c r="K66" s="21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1">
        <v>0.182037</v>
      </c>
      <c r="P66" s="21">
        <v>96.910499999999999</v>
      </c>
      <c r="Q66" s="21">
        <v>-1.5960700000000001E-2</v>
      </c>
      <c r="R66" s="21">
        <v>56</v>
      </c>
      <c r="S66" s="21">
        <v>0.181335</v>
      </c>
      <c r="T66">
        <f t="shared" si="2"/>
        <v>15.960700000000001</v>
      </c>
      <c r="U66">
        <f t="shared" si="3"/>
        <v>2.9054379459000002</v>
      </c>
      <c r="X66" s="9"/>
      <c r="Y66" s="21">
        <v>1.4480599999999999</v>
      </c>
      <c r="Z66" s="21">
        <v>49.612099999999998</v>
      </c>
      <c r="AA66" s="21">
        <v>-1.19293E-2</v>
      </c>
      <c r="AB66" s="21">
        <v>56</v>
      </c>
      <c r="AC66" s="21">
        <v>1.4477500000000001</v>
      </c>
      <c r="AD66">
        <f t="shared" si="4"/>
        <v>11.9293</v>
      </c>
      <c r="AE66">
        <f t="shared" si="5"/>
        <v>17.274342158</v>
      </c>
      <c r="AF66" s="9"/>
      <c r="AG66" s="21">
        <v>0.182037</v>
      </c>
      <c r="AH66" s="21">
        <v>74.597099999999998</v>
      </c>
      <c r="AI66" s="21">
        <v>-1.59119E-2</v>
      </c>
      <c r="AJ66" s="21">
        <v>56</v>
      </c>
      <c r="AK66" s="21">
        <v>0.181335</v>
      </c>
      <c r="AL66">
        <f t="shared" si="6"/>
        <v>15.911899999999999</v>
      </c>
      <c r="AM66">
        <f t="shared" si="7"/>
        <v>2.8965545402999999</v>
      </c>
      <c r="AP66" s="9"/>
      <c r="AQ66" s="21">
        <v>1.4480599999999999</v>
      </c>
      <c r="AR66" s="21">
        <v>123.997</v>
      </c>
      <c r="AS66" s="21">
        <v>-1.18896E-2</v>
      </c>
      <c r="AT66" s="21">
        <v>56</v>
      </c>
      <c r="AU66" s="21">
        <v>1.4471400000000001</v>
      </c>
      <c r="AV66">
        <f t="shared" si="8"/>
        <v>11.8896</v>
      </c>
      <c r="AW66">
        <f t="shared" si="9"/>
        <v>17.216854175999998</v>
      </c>
      <c r="AX66" s="9"/>
      <c r="AY66" s="21">
        <v>0.182037</v>
      </c>
      <c r="AZ66" s="21">
        <v>173.28399999999999</v>
      </c>
      <c r="BA66" s="21">
        <v>-1.5878300000000001E-2</v>
      </c>
      <c r="BB66" s="21">
        <v>56</v>
      </c>
      <c r="BC66" s="21">
        <v>0.181335</v>
      </c>
      <c r="BD66">
        <f t="shared" si="10"/>
        <v>15.878300000000001</v>
      </c>
      <c r="BE66">
        <f t="shared" si="11"/>
        <v>2.8904380971000001</v>
      </c>
      <c r="BH66" s="9"/>
      <c r="BI66" s="21">
        <v>1.4480599999999999</v>
      </c>
      <c r="BJ66" s="21">
        <v>222.63399999999999</v>
      </c>
      <c r="BK66" s="21">
        <v>-1.1911E-2</v>
      </c>
      <c r="BL66" s="21">
        <v>56</v>
      </c>
      <c r="BM66" s="21">
        <v>1.4465300000000001</v>
      </c>
      <c r="BN66">
        <f t="shared" si="12"/>
        <v>11.911</v>
      </c>
      <c r="BO66">
        <f t="shared" si="13"/>
        <v>17.24784266</v>
      </c>
      <c r="BP66" s="9"/>
      <c r="BQ66" s="21">
        <v>0.182037</v>
      </c>
      <c r="BR66" s="21">
        <v>271.83999999999997</v>
      </c>
      <c r="BS66" s="21">
        <v>-1.5881300000000001E-2</v>
      </c>
      <c r="BT66" s="21">
        <v>56</v>
      </c>
      <c r="BU66" s="21">
        <v>0.181366</v>
      </c>
      <c r="BV66">
        <f t="shared" si="14"/>
        <v>15.881300000000001</v>
      </c>
      <c r="BW66">
        <f t="shared" si="15"/>
        <v>2.8909842081000003</v>
      </c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1.44302</v>
      </c>
      <c r="H67" s="21">
        <v>47.5381</v>
      </c>
      <c r="I67" s="21">
        <v>-1.1441E-2</v>
      </c>
      <c r="J67" s="21">
        <v>57</v>
      </c>
      <c r="K67" s="21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1">
        <v>0.18707299999999999</v>
      </c>
      <c r="P67" s="21">
        <v>96.920599999999993</v>
      </c>
      <c r="Q67" s="21">
        <v>-1.5957599999999999E-2</v>
      </c>
      <c r="R67" s="21">
        <v>57</v>
      </c>
      <c r="S67" s="21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1">
        <v>1.44302</v>
      </c>
      <c r="Z67" s="21">
        <v>49.622199999999999</v>
      </c>
      <c r="AA67" s="21">
        <v>-1.2026999999999999E-2</v>
      </c>
      <c r="AB67" s="21">
        <v>57</v>
      </c>
      <c r="AC67" s="21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1">
        <v>0.18707299999999999</v>
      </c>
      <c r="AH67" s="21">
        <v>74.607200000000006</v>
      </c>
      <c r="AI67" s="21">
        <v>-1.59119E-2</v>
      </c>
      <c r="AJ67" s="21">
        <v>57</v>
      </c>
      <c r="AK67" s="21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1">
        <v>1.44302</v>
      </c>
      <c r="AR67" s="21">
        <v>124.008</v>
      </c>
      <c r="AS67" s="21">
        <v>-1.1987299999999999E-2</v>
      </c>
      <c r="AT67" s="21">
        <v>57</v>
      </c>
      <c r="AU67" s="21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1">
        <v>0.18707299999999999</v>
      </c>
      <c r="AZ67" s="21">
        <v>173.29400000000001</v>
      </c>
      <c r="BA67" s="21">
        <v>-1.5881300000000001E-2</v>
      </c>
      <c r="BB67" s="21">
        <v>57</v>
      </c>
      <c r="BC67" s="21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1">
        <v>1.44302</v>
      </c>
      <c r="BJ67" s="21">
        <v>222.64400000000001</v>
      </c>
      <c r="BK67" s="21">
        <v>-1.2008700000000001E-2</v>
      </c>
      <c r="BL67" s="21">
        <v>57</v>
      </c>
      <c r="BM67" s="21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1">
        <v>0.18707299999999999</v>
      </c>
      <c r="BR67" s="21">
        <v>271.85000000000002</v>
      </c>
      <c r="BS67" s="21">
        <v>-1.5878300000000001E-2</v>
      </c>
      <c r="BT67" s="21">
        <v>57</v>
      </c>
      <c r="BU67" s="21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1.4379900000000001</v>
      </c>
      <c r="H68" s="21">
        <v>47.548200000000001</v>
      </c>
      <c r="I68" s="21">
        <v>-1.15601E-2</v>
      </c>
      <c r="J68" s="21">
        <v>58</v>
      </c>
      <c r="K68" s="21">
        <v>1.4364600000000001</v>
      </c>
      <c r="L68">
        <f t="shared" si="0"/>
        <v>11.5601</v>
      </c>
      <c r="M68">
        <f t="shared" si="1"/>
        <v>16.623308199</v>
      </c>
      <c r="N68" s="9"/>
      <c r="O68" s="21">
        <v>0.192108</v>
      </c>
      <c r="P68" s="21">
        <v>96.930599999999998</v>
      </c>
      <c r="Q68" s="21">
        <v>-1.59515E-2</v>
      </c>
      <c r="R68" s="21">
        <v>58</v>
      </c>
      <c r="S68" s="21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1">
        <v>1.4379900000000001</v>
      </c>
      <c r="Z68" s="21">
        <v>49.632300000000001</v>
      </c>
      <c r="AA68" s="21">
        <v>-1.2118500000000001E-2</v>
      </c>
      <c r="AB68" s="21">
        <v>58</v>
      </c>
      <c r="AC68" s="21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1">
        <v>0.192108</v>
      </c>
      <c r="AH68" s="21">
        <v>74.617199999999997</v>
      </c>
      <c r="AI68" s="21">
        <v>-1.5905800000000001E-2</v>
      </c>
      <c r="AJ68" s="21">
        <v>58</v>
      </c>
      <c r="AK68" s="21">
        <v>0.191437</v>
      </c>
      <c r="AL68">
        <f t="shared" si="6"/>
        <v>15.905800000000001</v>
      </c>
      <c r="AM68">
        <f t="shared" si="7"/>
        <v>3.0556314264000002</v>
      </c>
      <c r="AP68" s="9"/>
      <c r="AQ68" s="21">
        <v>1.4379900000000001</v>
      </c>
      <c r="AR68" s="21">
        <v>124.018</v>
      </c>
      <c r="AS68" s="21">
        <v>-1.2075799999999999E-2</v>
      </c>
      <c r="AT68" s="21">
        <v>58</v>
      </c>
      <c r="AU68" s="21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1">
        <v>0.192108</v>
      </c>
      <c r="AZ68" s="21">
        <v>173.304</v>
      </c>
      <c r="BA68" s="21">
        <v>-1.5881300000000001E-2</v>
      </c>
      <c r="BB68" s="21">
        <v>58</v>
      </c>
      <c r="BC68" s="21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1">
        <v>1.4379900000000001</v>
      </c>
      <c r="BJ68" s="21">
        <v>222.655</v>
      </c>
      <c r="BK68" s="21">
        <v>-1.2103300000000001E-2</v>
      </c>
      <c r="BL68" s="21">
        <v>58</v>
      </c>
      <c r="BM68" s="21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1">
        <v>0.192108</v>
      </c>
      <c r="BR68" s="21">
        <v>271.86</v>
      </c>
      <c r="BS68" s="21">
        <v>-1.5875199999999999E-2</v>
      </c>
      <c r="BT68" s="21">
        <v>58</v>
      </c>
      <c r="BU68" s="21">
        <v>0.19140599999999999</v>
      </c>
      <c r="BV68">
        <f t="shared" si="14"/>
        <v>15.8752</v>
      </c>
      <c r="BW68">
        <f t="shared" si="15"/>
        <v>3.0497529216000001</v>
      </c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1.4329499999999999</v>
      </c>
      <c r="H69" s="21">
        <v>47.558300000000003</v>
      </c>
      <c r="I69" s="21">
        <v>-1.1672999999999999E-2</v>
      </c>
      <c r="J69" s="21">
        <v>59</v>
      </c>
      <c r="K69" s="21">
        <v>1.4325000000000001</v>
      </c>
      <c r="L69">
        <f t="shared" si="0"/>
        <v>11.673</v>
      </c>
      <c r="M69">
        <f t="shared" si="1"/>
        <v>16.726825349999999</v>
      </c>
      <c r="N69" s="9"/>
      <c r="O69" s="21">
        <v>0.19714400000000001</v>
      </c>
      <c r="P69" s="21">
        <v>96.940700000000007</v>
      </c>
      <c r="Q69" s="21">
        <v>-1.5948500000000001E-2</v>
      </c>
      <c r="R69" s="21">
        <v>59</v>
      </c>
      <c r="S69" s="21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1">
        <v>1.4329499999999999</v>
      </c>
      <c r="Z69" s="21">
        <v>49.642299999999999</v>
      </c>
      <c r="AA69" s="21">
        <v>-1.2213099999999999E-2</v>
      </c>
      <c r="AB69" s="21">
        <v>59</v>
      </c>
      <c r="AC69" s="21">
        <v>1.43188</v>
      </c>
      <c r="AD69">
        <f t="shared" si="4"/>
        <v>12.213099999999999</v>
      </c>
      <c r="AE69">
        <f t="shared" si="5"/>
        <v>17.500761644999997</v>
      </c>
      <c r="AF69" s="9"/>
      <c r="AG69" s="21">
        <v>0.19714400000000001</v>
      </c>
      <c r="AH69" s="21">
        <v>74.627300000000005</v>
      </c>
      <c r="AI69" s="21">
        <v>-1.5899699999999999E-2</v>
      </c>
      <c r="AJ69" s="21">
        <v>59</v>
      </c>
      <c r="AK69" s="21">
        <v>0.196411</v>
      </c>
      <c r="AL69">
        <f t="shared" si="6"/>
        <v>15.899699999999999</v>
      </c>
      <c r="AM69">
        <f t="shared" si="7"/>
        <v>3.1345304567999999</v>
      </c>
      <c r="AP69" s="9"/>
      <c r="AQ69" s="21">
        <v>1.4329499999999999</v>
      </c>
      <c r="AR69" s="21">
        <v>124.02800000000001</v>
      </c>
      <c r="AS69" s="21">
        <v>-1.21613E-2</v>
      </c>
      <c r="AT69" s="21">
        <v>59</v>
      </c>
      <c r="AU69" s="21">
        <v>1.43127</v>
      </c>
      <c r="AV69">
        <f t="shared" si="8"/>
        <v>12.161300000000001</v>
      </c>
      <c r="AW69">
        <f t="shared" si="9"/>
        <v>17.426534835000002</v>
      </c>
      <c r="AX69" s="9"/>
      <c r="AY69" s="21">
        <v>0.19714400000000001</v>
      </c>
      <c r="AZ69" s="21">
        <v>173.31399999999999</v>
      </c>
      <c r="BA69" s="21">
        <v>-1.5875199999999999E-2</v>
      </c>
      <c r="BB69" s="21">
        <v>59</v>
      </c>
      <c r="BC69" s="21">
        <v>0.19647200000000001</v>
      </c>
      <c r="BD69">
        <f t="shared" si="10"/>
        <v>15.8752</v>
      </c>
      <c r="BE69">
        <f t="shared" si="11"/>
        <v>3.1297004288000001</v>
      </c>
      <c r="BH69" s="9"/>
      <c r="BI69" s="21">
        <v>1.4329499999999999</v>
      </c>
      <c r="BJ69" s="21">
        <v>222.66499999999999</v>
      </c>
      <c r="BK69" s="21">
        <v>-1.2185700000000001E-2</v>
      </c>
      <c r="BL69" s="21">
        <v>59</v>
      </c>
      <c r="BM69" s="21">
        <v>1.43188</v>
      </c>
      <c r="BN69">
        <f t="shared" si="12"/>
        <v>12.185700000000001</v>
      </c>
      <c r="BO69">
        <f t="shared" si="13"/>
        <v>17.461498814999999</v>
      </c>
      <c r="BP69" s="9"/>
      <c r="BQ69" s="21">
        <v>0.19714400000000001</v>
      </c>
      <c r="BR69" s="21">
        <v>271.87</v>
      </c>
      <c r="BS69" s="21">
        <v>-1.5875199999999999E-2</v>
      </c>
      <c r="BT69" s="21">
        <v>59</v>
      </c>
      <c r="BU69" s="21">
        <v>0.196381</v>
      </c>
      <c r="BV69">
        <f t="shared" si="14"/>
        <v>15.8752</v>
      </c>
      <c r="BW69">
        <f t="shared" si="15"/>
        <v>3.1297004288000001</v>
      </c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1.4279200000000001</v>
      </c>
      <c r="H70" s="21">
        <v>47.568399999999997</v>
      </c>
      <c r="I70" s="21">
        <v>-1.1795E-2</v>
      </c>
      <c r="J70" s="21">
        <v>60</v>
      </c>
      <c r="K70" s="21">
        <v>1.4260900000000001</v>
      </c>
      <c r="L70">
        <f t="shared" si="0"/>
        <v>11.795</v>
      </c>
      <c r="M70">
        <f t="shared" si="1"/>
        <v>16.842316400000001</v>
      </c>
      <c r="N70" s="9"/>
      <c r="O70" s="21">
        <v>0.202179</v>
      </c>
      <c r="P70" s="21">
        <v>96.950800000000001</v>
      </c>
      <c r="Q70" s="21">
        <v>-1.5948500000000001E-2</v>
      </c>
      <c r="R70" s="21">
        <v>60</v>
      </c>
      <c r="S70" s="21">
        <v>0.20147699999999999</v>
      </c>
      <c r="T70">
        <f t="shared" si="2"/>
        <v>15.948500000000001</v>
      </c>
      <c r="U70">
        <f t="shared" si="3"/>
        <v>3.2244517815</v>
      </c>
      <c r="X70" s="9"/>
      <c r="Y70" s="21">
        <v>1.4279200000000001</v>
      </c>
      <c r="Z70" s="21">
        <v>49.6524</v>
      </c>
      <c r="AA70" s="21">
        <v>-1.23077E-2</v>
      </c>
      <c r="AB70" s="21">
        <v>60</v>
      </c>
      <c r="AC70" s="21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1">
        <v>0.202179</v>
      </c>
      <c r="AH70" s="21">
        <v>74.6374</v>
      </c>
      <c r="AI70" s="21">
        <v>-1.58966E-2</v>
      </c>
      <c r="AJ70" s="21">
        <v>60</v>
      </c>
      <c r="AK70" s="21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1">
        <v>1.4279200000000001</v>
      </c>
      <c r="AR70" s="21">
        <v>124.038</v>
      </c>
      <c r="AS70" s="21">
        <v>-1.22437E-2</v>
      </c>
      <c r="AT70" s="21">
        <v>60</v>
      </c>
      <c r="AU70" s="21">
        <v>1.4273100000000001</v>
      </c>
      <c r="AV70">
        <f t="shared" si="8"/>
        <v>12.2437</v>
      </c>
      <c r="AW70">
        <f t="shared" si="9"/>
        <v>17.483024104000002</v>
      </c>
      <c r="AX70" s="9"/>
      <c r="AY70" s="21">
        <v>0.202179</v>
      </c>
      <c r="AZ70" s="21">
        <v>173.32400000000001</v>
      </c>
      <c r="BA70" s="21">
        <v>-1.5869100000000001E-2</v>
      </c>
      <c r="BB70" s="21">
        <v>60</v>
      </c>
      <c r="BC70" s="21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1">
        <v>1.4279200000000001</v>
      </c>
      <c r="BJ70" s="21">
        <v>222.67500000000001</v>
      </c>
      <c r="BK70" s="21">
        <v>-1.22711E-2</v>
      </c>
      <c r="BL70" s="21">
        <v>60</v>
      </c>
      <c r="BM70" s="21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1">
        <v>0.202179</v>
      </c>
      <c r="BR70" s="21">
        <v>271.88</v>
      </c>
      <c r="BS70" s="21">
        <v>-1.58722E-2</v>
      </c>
      <c r="BT70" s="21">
        <v>60</v>
      </c>
      <c r="BU70" s="21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1.4228799999999999</v>
      </c>
      <c r="H71" s="21">
        <v>47.578400000000002</v>
      </c>
      <c r="I71" s="21">
        <v>-1.1911E-2</v>
      </c>
      <c r="J71" s="21">
        <v>61</v>
      </c>
      <c r="K71" s="21">
        <v>1.42181</v>
      </c>
      <c r="L71">
        <f t="shared" si="0"/>
        <v>11.911</v>
      </c>
      <c r="M71">
        <f t="shared" si="1"/>
        <v>16.947923679999999</v>
      </c>
      <c r="N71" s="9"/>
      <c r="O71" s="21">
        <v>0.20721400000000001</v>
      </c>
      <c r="P71" s="21">
        <v>96.960899999999995</v>
      </c>
      <c r="Q71" s="21">
        <v>-1.5945399999999998E-2</v>
      </c>
      <c r="R71" s="21">
        <v>61</v>
      </c>
      <c r="S71" s="21">
        <v>0.206451</v>
      </c>
      <c r="T71">
        <f t="shared" si="2"/>
        <v>15.945399999999999</v>
      </c>
      <c r="U71">
        <f t="shared" si="3"/>
        <v>3.3041101155999999</v>
      </c>
      <c r="X71" s="9"/>
      <c r="Y71" s="21">
        <v>1.4228799999999999</v>
      </c>
      <c r="Z71" s="21">
        <v>49.662500000000001</v>
      </c>
      <c r="AA71" s="21">
        <v>-1.23993E-2</v>
      </c>
      <c r="AB71" s="21">
        <v>61</v>
      </c>
      <c r="AC71" s="21">
        <v>1.42181</v>
      </c>
      <c r="AD71">
        <f t="shared" si="4"/>
        <v>12.3993</v>
      </c>
      <c r="AE71">
        <f t="shared" si="5"/>
        <v>17.642715983999999</v>
      </c>
      <c r="AF71" s="9"/>
      <c r="AG71" s="21">
        <v>0.20721400000000001</v>
      </c>
      <c r="AH71" s="21">
        <v>74.647400000000005</v>
      </c>
      <c r="AI71" s="21">
        <v>-1.5893600000000001E-2</v>
      </c>
      <c r="AJ71" s="21">
        <v>61</v>
      </c>
      <c r="AK71" s="21">
        <v>0.206451</v>
      </c>
      <c r="AL71">
        <f t="shared" si="6"/>
        <v>15.893600000000001</v>
      </c>
      <c r="AM71">
        <f t="shared" si="7"/>
        <v>3.2933764304000004</v>
      </c>
      <c r="AP71" s="9"/>
      <c r="AQ71" s="21">
        <v>1.4228799999999999</v>
      </c>
      <c r="AR71" s="21">
        <v>124.048</v>
      </c>
      <c r="AS71" s="21">
        <v>-1.2326E-2</v>
      </c>
      <c r="AT71" s="21">
        <v>61</v>
      </c>
      <c r="AU71" s="21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1">
        <v>0.20721400000000001</v>
      </c>
      <c r="AZ71" s="21">
        <v>173.334</v>
      </c>
      <c r="BA71" s="21">
        <v>-1.58569E-2</v>
      </c>
      <c r="BB71" s="21">
        <v>61</v>
      </c>
      <c r="BC71" s="21">
        <v>0.206512</v>
      </c>
      <c r="BD71">
        <f t="shared" si="10"/>
        <v>15.8569</v>
      </c>
      <c r="BE71">
        <f t="shared" si="11"/>
        <v>3.2857716766</v>
      </c>
      <c r="BH71" s="9"/>
      <c r="BI71" s="21">
        <v>1.4228799999999999</v>
      </c>
      <c r="BJ71" s="21">
        <v>222.685</v>
      </c>
      <c r="BK71" s="21">
        <v>-1.23596E-2</v>
      </c>
      <c r="BL71" s="21">
        <v>61</v>
      </c>
      <c r="BM71" s="21">
        <v>1.4221200000000001</v>
      </c>
      <c r="BN71">
        <f t="shared" si="12"/>
        <v>12.3596</v>
      </c>
      <c r="BO71">
        <f t="shared" si="13"/>
        <v>17.586227648000001</v>
      </c>
      <c r="BP71" s="9"/>
      <c r="BQ71" s="21">
        <v>0.20721400000000001</v>
      </c>
      <c r="BR71" s="21">
        <v>271.89</v>
      </c>
      <c r="BS71" s="21">
        <v>-1.5869100000000001E-2</v>
      </c>
      <c r="BT71" s="21">
        <v>61</v>
      </c>
      <c r="BU71" s="21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1.4178500000000001</v>
      </c>
      <c r="H72" s="21">
        <v>47.588500000000003</v>
      </c>
      <c r="I72" s="21">
        <v>-1.2023900000000001E-2</v>
      </c>
      <c r="J72" s="21">
        <v>62</v>
      </c>
      <c r="K72" s="21">
        <v>1.41693</v>
      </c>
      <c r="L72">
        <f t="shared" si="0"/>
        <v>12.023900000000001</v>
      </c>
      <c r="M72">
        <f t="shared" si="1"/>
        <v>17.048086615000003</v>
      </c>
      <c r="N72" s="9"/>
      <c r="O72" s="21">
        <v>0.21224999999999999</v>
      </c>
      <c r="P72" s="21">
        <v>96.9709</v>
      </c>
      <c r="Q72" s="21">
        <v>-1.5948500000000001E-2</v>
      </c>
      <c r="R72" s="21">
        <v>62</v>
      </c>
      <c r="S72" s="21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1">
        <v>1.4178500000000001</v>
      </c>
      <c r="Z72" s="21">
        <v>49.672499999999999</v>
      </c>
      <c r="AA72" s="21">
        <v>-1.24847E-2</v>
      </c>
      <c r="AB72" s="21">
        <v>62</v>
      </c>
      <c r="AC72" s="21">
        <v>1.41693</v>
      </c>
      <c r="AD72">
        <f t="shared" si="4"/>
        <v>12.4847</v>
      </c>
      <c r="AE72">
        <f t="shared" si="5"/>
        <v>17.701431895000002</v>
      </c>
      <c r="AF72" s="9"/>
      <c r="AG72" s="21">
        <v>0.21224999999999999</v>
      </c>
      <c r="AH72" s="21">
        <v>74.657499999999999</v>
      </c>
      <c r="AI72" s="21">
        <v>-1.5890499999999998E-2</v>
      </c>
      <c r="AJ72" s="21">
        <v>62</v>
      </c>
      <c r="AK72" s="21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1">
        <v>1.4178500000000001</v>
      </c>
      <c r="AR72" s="21">
        <v>124.05800000000001</v>
      </c>
      <c r="AS72" s="21">
        <v>-1.24023E-2</v>
      </c>
      <c r="AT72" s="21">
        <v>62</v>
      </c>
      <c r="AU72" s="21">
        <v>1.4166300000000001</v>
      </c>
      <c r="AV72">
        <f t="shared" si="8"/>
        <v>12.4023</v>
      </c>
      <c r="AW72">
        <f t="shared" si="9"/>
        <v>17.584601055</v>
      </c>
      <c r="AX72" s="9"/>
      <c r="AY72" s="21">
        <v>0.21224999999999999</v>
      </c>
      <c r="AZ72" s="21">
        <v>173.34399999999999</v>
      </c>
      <c r="BA72" s="21">
        <v>-1.5850800000000002E-2</v>
      </c>
      <c r="BB72" s="21">
        <v>62</v>
      </c>
      <c r="BC72" s="21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1">
        <v>1.4178500000000001</v>
      </c>
      <c r="BJ72" s="21">
        <v>222.69499999999999</v>
      </c>
      <c r="BK72" s="21">
        <v>-1.2445100000000001E-2</v>
      </c>
      <c r="BL72" s="21">
        <v>62</v>
      </c>
      <c r="BM72" s="21">
        <v>1.41693</v>
      </c>
      <c r="BN72">
        <f t="shared" si="12"/>
        <v>12.4451</v>
      </c>
      <c r="BO72">
        <f t="shared" si="13"/>
        <v>17.645285035000001</v>
      </c>
      <c r="BP72" s="9"/>
      <c r="BQ72" s="21">
        <v>0.21224999999999999</v>
      </c>
      <c r="BR72" s="21">
        <v>271.89999999999998</v>
      </c>
      <c r="BS72" s="21">
        <v>-1.5869100000000001E-2</v>
      </c>
      <c r="BT72" s="21">
        <v>62</v>
      </c>
      <c r="BU72" s="21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1.4128099999999999</v>
      </c>
      <c r="H73" s="21">
        <v>47.598599999999998</v>
      </c>
      <c r="I73" s="21">
        <v>-1.2130699999999999E-2</v>
      </c>
      <c r="J73" s="21">
        <v>63</v>
      </c>
      <c r="K73" s="21">
        <v>1.41174</v>
      </c>
      <c r="L73">
        <f t="shared" si="0"/>
        <v>12.130699999999999</v>
      </c>
      <c r="M73">
        <f t="shared" si="1"/>
        <v>17.138374266999996</v>
      </c>
      <c r="N73" s="9"/>
      <c r="O73" s="21">
        <v>0.21728500000000001</v>
      </c>
      <c r="P73" s="21">
        <v>96.980999999999995</v>
      </c>
      <c r="Q73" s="21">
        <v>-1.5948500000000001E-2</v>
      </c>
      <c r="R73" s="21">
        <v>63</v>
      </c>
      <c r="S73" s="21">
        <v>0.216583</v>
      </c>
      <c r="T73">
        <f t="shared" si="2"/>
        <v>15.948500000000001</v>
      </c>
      <c r="U73">
        <f t="shared" si="3"/>
        <v>3.4653698225000005</v>
      </c>
      <c r="X73" s="9"/>
      <c r="Y73" s="21">
        <v>1.4128099999999999</v>
      </c>
      <c r="Z73" s="21">
        <v>49.682600000000001</v>
      </c>
      <c r="AA73" s="21">
        <v>-1.25641E-2</v>
      </c>
      <c r="AB73" s="21">
        <v>63</v>
      </c>
      <c r="AC73" s="21">
        <v>1.41174</v>
      </c>
      <c r="AD73">
        <f t="shared" si="4"/>
        <v>12.5641</v>
      </c>
      <c r="AE73">
        <f t="shared" si="5"/>
        <v>17.750686120999998</v>
      </c>
      <c r="AF73" s="9"/>
      <c r="AG73" s="21">
        <v>0.21728500000000001</v>
      </c>
      <c r="AH73" s="21">
        <v>74.667599999999993</v>
      </c>
      <c r="AI73" s="21">
        <v>-1.5887499999999999E-2</v>
      </c>
      <c r="AJ73" s="21">
        <v>63</v>
      </c>
      <c r="AK73" s="21">
        <v>0.216583</v>
      </c>
      <c r="AL73">
        <f t="shared" si="6"/>
        <v>15.887499999999999</v>
      </c>
      <c r="AM73">
        <f t="shared" si="7"/>
        <v>3.4521154374999998</v>
      </c>
      <c r="AP73" s="9"/>
      <c r="AQ73" s="21">
        <v>1.4128099999999999</v>
      </c>
      <c r="AR73" s="21">
        <v>124.068</v>
      </c>
      <c r="AS73" s="21">
        <v>-1.2478599999999999E-2</v>
      </c>
      <c r="AT73" s="21">
        <v>63</v>
      </c>
      <c r="AU73" s="21">
        <v>1.41205</v>
      </c>
      <c r="AV73">
        <f t="shared" si="8"/>
        <v>12.4786</v>
      </c>
      <c r="AW73">
        <f t="shared" si="9"/>
        <v>17.629890866</v>
      </c>
      <c r="AX73" s="9"/>
      <c r="AY73" s="21">
        <v>0.21728500000000001</v>
      </c>
      <c r="AZ73" s="21">
        <v>173.35400000000001</v>
      </c>
      <c r="BA73" s="21">
        <v>-1.5847799999999999E-2</v>
      </c>
      <c r="BB73" s="21">
        <v>63</v>
      </c>
      <c r="BC73" s="21">
        <v>0.216614</v>
      </c>
      <c r="BD73">
        <f t="shared" si="10"/>
        <v>15.847799999999999</v>
      </c>
      <c r="BE73">
        <f t="shared" si="11"/>
        <v>3.4434892229999998</v>
      </c>
      <c r="BH73" s="9"/>
      <c r="BI73" s="21">
        <v>1.4128099999999999</v>
      </c>
      <c r="BJ73" s="21">
        <v>222.70500000000001</v>
      </c>
      <c r="BK73" s="21">
        <v>-1.25244E-2</v>
      </c>
      <c r="BL73" s="21">
        <v>63</v>
      </c>
      <c r="BM73" s="21">
        <v>1.41174</v>
      </c>
      <c r="BN73">
        <f t="shared" si="12"/>
        <v>12.5244</v>
      </c>
      <c r="BO73">
        <f t="shared" si="13"/>
        <v>17.694597563999999</v>
      </c>
      <c r="BP73" s="9"/>
      <c r="BQ73" s="21">
        <v>0.21728500000000001</v>
      </c>
      <c r="BR73" s="21">
        <v>271.91000000000003</v>
      </c>
      <c r="BS73" s="21">
        <v>-1.5859999999999999E-2</v>
      </c>
      <c r="BT73" s="21">
        <v>63</v>
      </c>
      <c r="BU73" s="21">
        <v>0.216553</v>
      </c>
      <c r="BV73">
        <f t="shared" si="14"/>
        <v>15.86</v>
      </c>
      <c r="BW73">
        <f t="shared" si="15"/>
        <v>3.4461401</v>
      </c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1.40778</v>
      </c>
      <c r="H74" s="21">
        <v>47.608600000000003</v>
      </c>
      <c r="I74" s="21">
        <v>-1.22375E-2</v>
      </c>
      <c r="J74" s="21">
        <v>64</v>
      </c>
      <c r="K74" s="21">
        <v>1.40717</v>
      </c>
      <c r="L74">
        <f t="shared" si="0"/>
        <v>12.237500000000001</v>
      </c>
      <c r="M74">
        <f t="shared" si="1"/>
        <v>17.22770775</v>
      </c>
      <c r="N74" s="9"/>
      <c r="O74" s="21">
        <v>0.22232099999999999</v>
      </c>
      <c r="P74" s="21">
        <v>96.991100000000003</v>
      </c>
      <c r="Q74" s="21">
        <v>-1.5945399999999998E-2</v>
      </c>
      <c r="R74" s="21">
        <v>64</v>
      </c>
      <c r="S74" s="21">
        <v>0.221558</v>
      </c>
      <c r="T74">
        <f t="shared" si="2"/>
        <v>15.945399999999999</v>
      </c>
      <c r="U74">
        <f t="shared" si="3"/>
        <v>3.5449972733999999</v>
      </c>
      <c r="X74" s="9"/>
      <c r="Y74" s="21">
        <v>1.40778</v>
      </c>
      <c r="Z74" s="21">
        <v>49.692700000000002</v>
      </c>
      <c r="AA74" s="21">
        <v>-1.2628199999999999E-2</v>
      </c>
      <c r="AB74" s="21">
        <v>64</v>
      </c>
      <c r="AC74" s="21">
        <v>1.40747</v>
      </c>
      <c r="AD74">
        <f t="shared" si="4"/>
        <v>12.6282</v>
      </c>
      <c r="AE74">
        <f t="shared" si="5"/>
        <v>17.777727396</v>
      </c>
      <c r="AF74" s="9"/>
      <c r="AG74" s="21">
        <v>0.22232099999999999</v>
      </c>
      <c r="AH74" s="21">
        <v>74.677700000000002</v>
      </c>
      <c r="AI74" s="21">
        <v>-1.58844E-2</v>
      </c>
      <c r="AJ74" s="21">
        <v>64</v>
      </c>
      <c r="AK74" s="21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1">
        <v>1.40778</v>
      </c>
      <c r="AR74" s="21">
        <v>124.078</v>
      </c>
      <c r="AS74" s="21">
        <v>-1.2554900000000001E-2</v>
      </c>
      <c r="AT74" s="21">
        <v>64</v>
      </c>
      <c r="AU74" s="21">
        <v>1.40717</v>
      </c>
      <c r="AV74">
        <f t="shared" si="8"/>
        <v>12.5549</v>
      </c>
      <c r="AW74">
        <f t="shared" si="9"/>
        <v>17.674537122</v>
      </c>
      <c r="AX74" s="9"/>
      <c r="AY74" s="21">
        <v>0.22232099999999999</v>
      </c>
      <c r="AZ74" s="21">
        <v>173.36500000000001</v>
      </c>
      <c r="BA74" s="21">
        <v>-1.58447E-2</v>
      </c>
      <c r="BB74" s="21">
        <v>64</v>
      </c>
      <c r="BC74" s="21">
        <v>0.22170999999999999</v>
      </c>
      <c r="BD74">
        <f t="shared" si="10"/>
        <v>15.8447</v>
      </c>
      <c r="BE74">
        <f t="shared" si="11"/>
        <v>3.5226095486999998</v>
      </c>
      <c r="BH74" s="9"/>
      <c r="BI74" s="21">
        <v>1.40778</v>
      </c>
      <c r="BJ74" s="21">
        <v>222.715</v>
      </c>
      <c r="BK74" s="21">
        <v>-1.25854E-2</v>
      </c>
      <c r="BL74" s="21">
        <v>64</v>
      </c>
      <c r="BM74" s="21">
        <v>1.40686</v>
      </c>
      <c r="BN74">
        <f t="shared" si="12"/>
        <v>12.5854</v>
      </c>
      <c r="BO74">
        <f t="shared" si="13"/>
        <v>17.717474412000001</v>
      </c>
      <c r="BP74" s="9"/>
      <c r="BQ74" s="21">
        <v>0.22232099999999999</v>
      </c>
      <c r="BR74" s="21">
        <v>271.92</v>
      </c>
      <c r="BS74" s="21">
        <v>-1.58569E-2</v>
      </c>
      <c r="BT74" s="21">
        <v>64</v>
      </c>
      <c r="BU74" s="21">
        <v>0.22164900000000001</v>
      </c>
      <c r="BV74">
        <f t="shared" si="14"/>
        <v>15.8569</v>
      </c>
      <c r="BW74">
        <f t="shared" si="15"/>
        <v>3.5253218648999995</v>
      </c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1.4027400000000001</v>
      </c>
      <c r="H75" s="21">
        <v>47.618699999999997</v>
      </c>
      <c r="I75" s="21">
        <v>-1.2341299999999999E-2</v>
      </c>
      <c r="J75" s="21">
        <v>65</v>
      </c>
      <c r="K75" s="21">
        <v>1.40167</v>
      </c>
      <c r="L75">
        <f t="shared" si="0"/>
        <v>12.3413</v>
      </c>
      <c r="M75">
        <f t="shared" si="1"/>
        <v>17.311635162000002</v>
      </c>
      <c r="N75" s="9"/>
      <c r="O75" s="21">
        <v>0.227356</v>
      </c>
      <c r="P75" s="21">
        <v>97.001099999999994</v>
      </c>
      <c r="Q75" s="21">
        <v>-1.59363E-2</v>
      </c>
      <c r="R75" s="21">
        <v>65</v>
      </c>
      <c r="S75" s="21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1">
        <v>1.4027400000000001</v>
      </c>
      <c r="Z75" s="21">
        <v>49.7027</v>
      </c>
      <c r="AA75" s="21">
        <v>-1.27014E-2</v>
      </c>
      <c r="AB75" s="21">
        <v>65</v>
      </c>
      <c r="AC75" s="21">
        <v>1.40167</v>
      </c>
      <c r="AD75">
        <f t="shared" si="4"/>
        <v>12.7014</v>
      </c>
      <c r="AE75">
        <f t="shared" si="5"/>
        <v>17.816761836000001</v>
      </c>
      <c r="AF75" s="9"/>
      <c r="AG75" s="21">
        <v>0.227356</v>
      </c>
      <c r="AH75" s="21">
        <v>74.687700000000007</v>
      </c>
      <c r="AI75" s="21">
        <v>-1.5875199999999999E-2</v>
      </c>
      <c r="AJ75" s="21">
        <v>65</v>
      </c>
      <c r="AK75" s="21">
        <v>0.22656299999999999</v>
      </c>
      <c r="AL75">
        <f t="shared" si="6"/>
        <v>15.8752</v>
      </c>
      <c r="AM75">
        <f t="shared" si="7"/>
        <v>3.6093219712</v>
      </c>
      <c r="AP75" s="9"/>
      <c r="AQ75" s="21">
        <v>1.4027400000000001</v>
      </c>
      <c r="AR75" s="21">
        <v>124.08799999999999</v>
      </c>
      <c r="AS75" s="21">
        <v>-1.26404E-2</v>
      </c>
      <c r="AT75" s="21">
        <v>65</v>
      </c>
      <c r="AU75" s="21">
        <v>1.40228</v>
      </c>
      <c r="AV75">
        <f t="shared" si="8"/>
        <v>12.6404</v>
      </c>
      <c r="AW75">
        <f t="shared" si="9"/>
        <v>17.731194695999999</v>
      </c>
      <c r="AX75" s="9"/>
      <c r="AY75" s="21">
        <v>0.227356</v>
      </c>
      <c r="AZ75" s="21">
        <v>173.375</v>
      </c>
      <c r="BA75" s="21">
        <v>-1.58417E-2</v>
      </c>
      <c r="BB75" s="21">
        <v>65</v>
      </c>
      <c r="BC75" s="21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1">
        <v>1.4027400000000001</v>
      </c>
      <c r="BJ75" s="21">
        <v>222.72499999999999</v>
      </c>
      <c r="BK75" s="21">
        <v>-1.26526E-2</v>
      </c>
      <c r="BL75" s="21">
        <v>65</v>
      </c>
      <c r="BM75" s="21">
        <v>1.40167</v>
      </c>
      <c r="BN75">
        <f t="shared" si="12"/>
        <v>12.6526</v>
      </c>
      <c r="BO75">
        <f t="shared" si="13"/>
        <v>17.748308124000001</v>
      </c>
      <c r="BP75" s="9"/>
      <c r="BQ75" s="21">
        <v>0.227356</v>
      </c>
      <c r="BR75" s="21">
        <v>271.93</v>
      </c>
      <c r="BS75" s="21">
        <v>-1.5859999999999999E-2</v>
      </c>
      <c r="BT75" s="21">
        <v>65</v>
      </c>
      <c r="BU75" s="21">
        <v>0.22662399999999999</v>
      </c>
      <c r="BV75">
        <f t="shared" si="14"/>
        <v>15.86</v>
      </c>
      <c r="BW75">
        <f t="shared" si="15"/>
        <v>3.6058661599999997</v>
      </c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1.39771</v>
      </c>
      <c r="H76" s="21">
        <v>47.628799999999998</v>
      </c>
      <c r="I76" s="21">
        <v>-1.24359E-2</v>
      </c>
      <c r="J76" s="21">
        <v>66</v>
      </c>
      <c r="K76" s="21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1">
        <v>0.23239099999999999</v>
      </c>
      <c r="P76" s="21">
        <v>97.011200000000002</v>
      </c>
      <c r="Q76" s="21">
        <v>-1.59363E-2</v>
      </c>
      <c r="R76" s="21">
        <v>66</v>
      </c>
      <c r="S76" s="21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1">
        <v>1.39771</v>
      </c>
      <c r="Z76" s="21">
        <v>49.712800000000001</v>
      </c>
      <c r="AA76" s="21">
        <v>-1.2771599999999999E-2</v>
      </c>
      <c r="AB76" s="21">
        <v>66</v>
      </c>
      <c r="AC76" s="21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1">
        <v>0.23239099999999999</v>
      </c>
      <c r="AH76" s="21">
        <v>74.697800000000001</v>
      </c>
      <c r="AI76" s="21">
        <v>-1.58722E-2</v>
      </c>
      <c r="AJ76" s="21">
        <v>66</v>
      </c>
      <c r="AK76" s="21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1">
        <v>1.39771</v>
      </c>
      <c r="AR76" s="21">
        <v>124.098</v>
      </c>
      <c r="AS76" s="21">
        <v>-1.27075E-2</v>
      </c>
      <c r="AT76" s="21">
        <v>66</v>
      </c>
      <c r="AU76" s="21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1">
        <v>0.23239099999999999</v>
      </c>
      <c r="AZ76" s="21">
        <v>173.38499999999999</v>
      </c>
      <c r="BA76" s="21">
        <v>-1.58417E-2</v>
      </c>
      <c r="BB76" s="21">
        <v>66</v>
      </c>
      <c r="BC76" s="21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1">
        <v>1.39771</v>
      </c>
      <c r="BJ76" s="21">
        <v>222.73500000000001</v>
      </c>
      <c r="BK76" s="21">
        <v>-1.27136E-2</v>
      </c>
      <c r="BL76" s="21">
        <v>66</v>
      </c>
      <c r="BM76" s="21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1">
        <v>0.23239099999999999</v>
      </c>
      <c r="BR76" s="21">
        <v>271.94099999999997</v>
      </c>
      <c r="BS76" s="21">
        <v>-1.5859999999999999E-2</v>
      </c>
      <c r="BT76" s="21">
        <v>66</v>
      </c>
      <c r="BU76" s="21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1.3926700000000001</v>
      </c>
      <c r="H77" s="21">
        <v>47.6389</v>
      </c>
      <c r="I77" s="21">
        <v>-1.25244E-2</v>
      </c>
      <c r="J77" s="21">
        <v>67</v>
      </c>
      <c r="K77" s="21">
        <v>1.3915999999999999</v>
      </c>
      <c r="L77">
        <f t="shared" si="16"/>
        <v>12.5244</v>
      </c>
      <c r="M77">
        <f t="shared" si="17"/>
        <v>17.442356148000002</v>
      </c>
      <c r="N77" s="9"/>
      <c r="O77" s="21">
        <v>0.237427</v>
      </c>
      <c r="P77" s="21">
        <v>97.021299999999997</v>
      </c>
      <c r="Q77" s="21">
        <v>-1.5933200000000002E-2</v>
      </c>
      <c r="R77" s="21">
        <v>67</v>
      </c>
      <c r="S77" s="21">
        <v>0.236786</v>
      </c>
      <c r="T77">
        <f t="shared" si="18"/>
        <v>15.933200000000001</v>
      </c>
      <c r="U77">
        <f t="shared" si="19"/>
        <v>3.7829718764000004</v>
      </c>
      <c r="X77" s="9"/>
      <c r="Y77" s="21">
        <v>1.3926700000000001</v>
      </c>
      <c r="Z77" s="21">
        <v>49.722900000000003</v>
      </c>
      <c r="AA77" s="21">
        <v>-1.2847900000000001E-2</v>
      </c>
      <c r="AB77" s="21">
        <v>67</v>
      </c>
      <c r="AC77" s="21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1">
        <v>0.237427</v>
      </c>
      <c r="AH77" s="21">
        <v>74.707899999999995</v>
      </c>
      <c r="AI77" s="21">
        <v>-1.5869100000000001E-2</v>
      </c>
      <c r="AJ77" s="21">
        <v>67</v>
      </c>
      <c r="AK77" s="21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1">
        <v>1.3926700000000001</v>
      </c>
      <c r="AR77" s="21">
        <v>124.108</v>
      </c>
      <c r="AS77" s="21">
        <v>-1.27747E-2</v>
      </c>
      <c r="AT77" s="21">
        <v>67</v>
      </c>
      <c r="AU77" s="21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1">
        <v>0.237427</v>
      </c>
      <c r="AZ77" s="21">
        <v>173.39500000000001</v>
      </c>
      <c r="BA77" s="21">
        <v>-1.5835599999999998E-2</v>
      </c>
      <c r="BB77" s="21">
        <v>67</v>
      </c>
      <c r="BC77" s="21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1">
        <v>1.3926700000000001</v>
      </c>
      <c r="BJ77" s="21">
        <v>222.745</v>
      </c>
      <c r="BK77" s="21">
        <v>-1.27808E-2</v>
      </c>
      <c r="BL77" s="21">
        <v>67</v>
      </c>
      <c r="BM77" s="21">
        <v>1.39191</v>
      </c>
      <c r="BN77">
        <f t="shared" si="28"/>
        <v>12.780799999999999</v>
      </c>
      <c r="BO77">
        <f t="shared" si="29"/>
        <v>17.799436736000001</v>
      </c>
      <c r="BP77" s="9"/>
      <c r="BQ77" s="21">
        <v>0.237427</v>
      </c>
      <c r="BR77" s="21">
        <v>271.95100000000002</v>
      </c>
      <c r="BS77" s="21">
        <v>-1.58569E-2</v>
      </c>
      <c r="BT77" s="21">
        <v>67</v>
      </c>
      <c r="BU77" s="21">
        <v>0.23672499999999999</v>
      </c>
      <c r="BV77">
        <f t="shared" si="30"/>
        <v>15.8569</v>
      </c>
      <c r="BW77">
        <f t="shared" si="31"/>
        <v>3.7648561962999998</v>
      </c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1.3876299999999999</v>
      </c>
      <c r="H78" s="21">
        <v>47.648899999999998</v>
      </c>
      <c r="I78" s="21">
        <v>-1.26099E-2</v>
      </c>
      <c r="J78" s="21">
        <v>68</v>
      </c>
      <c r="K78" s="21">
        <v>1.3864099999999999</v>
      </c>
      <c r="L78">
        <f t="shared" si="16"/>
        <v>12.6099</v>
      </c>
      <c r="M78">
        <f t="shared" si="17"/>
        <v>17.497875536999999</v>
      </c>
      <c r="N78" s="9"/>
      <c r="O78" s="21">
        <v>0.24246200000000001</v>
      </c>
      <c r="P78" s="21">
        <v>97.031400000000005</v>
      </c>
      <c r="Q78" s="21">
        <v>-1.5930199999999999E-2</v>
      </c>
      <c r="R78" s="21">
        <v>68</v>
      </c>
      <c r="S78" s="21">
        <v>0.241699</v>
      </c>
      <c r="T78">
        <f t="shared" si="18"/>
        <v>15.930199999999999</v>
      </c>
      <c r="U78">
        <f t="shared" si="19"/>
        <v>3.8624681524</v>
      </c>
      <c r="X78" s="9"/>
      <c r="Y78" s="21">
        <v>1.3876299999999999</v>
      </c>
      <c r="Z78" s="21">
        <v>49.732999999999997</v>
      </c>
      <c r="AA78" s="21">
        <v>-1.2912E-2</v>
      </c>
      <c r="AB78" s="21">
        <v>68</v>
      </c>
      <c r="AC78" s="21">
        <v>1.38672</v>
      </c>
      <c r="AD78">
        <f t="shared" si="20"/>
        <v>12.911999999999999</v>
      </c>
      <c r="AE78">
        <f t="shared" si="21"/>
        <v>17.917078559999997</v>
      </c>
      <c r="AF78" s="9"/>
      <c r="AG78" s="21">
        <v>0.24246200000000001</v>
      </c>
      <c r="AH78" s="21">
        <v>74.7179</v>
      </c>
      <c r="AI78" s="21">
        <v>-1.5866100000000001E-2</v>
      </c>
      <c r="AJ78" s="21">
        <v>68</v>
      </c>
      <c r="AK78" s="21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1">
        <v>1.3876299999999999</v>
      </c>
      <c r="AR78" s="21">
        <v>124.11799999999999</v>
      </c>
      <c r="AS78" s="21">
        <v>-1.28387E-2</v>
      </c>
      <c r="AT78" s="21">
        <v>68</v>
      </c>
      <c r="AU78" s="21">
        <v>1.38611</v>
      </c>
      <c r="AV78">
        <f t="shared" si="24"/>
        <v>12.838699999999999</v>
      </c>
      <c r="AW78">
        <f t="shared" si="25"/>
        <v>17.815365280999998</v>
      </c>
      <c r="AX78" s="9"/>
      <c r="AY78" s="21">
        <v>0.24246200000000001</v>
      </c>
      <c r="AZ78" s="21">
        <v>173.405</v>
      </c>
      <c r="BA78" s="21">
        <v>-1.5838600000000001E-2</v>
      </c>
      <c r="BB78" s="21">
        <v>68</v>
      </c>
      <c r="BC78" s="21">
        <v>0.24176</v>
      </c>
      <c r="BD78">
        <f t="shared" si="26"/>
        <v>15.838600000000001</v>
      </c>
      <c r="BE78">
        <f t="shared" si="27"/>
        <v>3.8402586332000004</v>
      </c>
      <c r="BH78" s="9"/>
      <c r="BI78" s="21">
        <v>1.3876299999999999</v>
      </c>
      <c r="BJ78" s="21">
        <v>222.755</v>
      </c>
      <c r="BK78" s="21">
        <v>-1.28418E-2</v>
      </c>
      <c r="BL78" s="21">
        <v>68</v>
      </c>
      <c r="BM78" s="21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1">
        <v>0.24246200000000001</v>
      </c>
      <c r="BR78" s="21">
        <v>271.96100000000001</v>
      </c>
      <c r="BS78" s="21">
        <v>-1.5850800000000002E-2</v>
      </c>
      <c r="BT78" s="21">
        <v>68</v>
      </c>
      <c r="BU78" s="21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1.3826000000000001</v>
      </c>
      <c r="H79" s="21">
        <v>47.658999999999999</v>
      </c>
      <c r="I79" s="21">
        <v>-1.26923E-2</v>
      </c>
      <c r="J79" s="21">
        <v>69</v>
      </c>
      <c r="K79" s="21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1">
        <v>0.247498</v>
      </c>
      <c r="P79" s="21">
        <v>97.041399999999996</v>
      </c>
      <c r="Q79" s="21">
        <v>-1.5930199999999999E-2</v>
      </c>
      <c r="R79" s="21">
        <v>69</v>
      </c>
      <c r="S79" s="21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1">
        <v>1.3826000000000001</v>
      </c>
      <c r="Z79" s="21">
        <v>49.743000000000002</v>
      </c>
      <c r="AA79" s="21">
        <v>-1.2970000000000001E-2</v>
      </c>
      <c r="AB79" s="21">
        <v>69</v>
      </c>
      <c r="AC79" s="21">
        <v>1.38184</v>
      </c>
      <c r="AD79">
        <f t="shared" si="20"/>
        <v>12.97</v>
      </c>
      <c r="AE79">
        <f t="shared" si="21"/>
        <v>17.932322000000003</v>
      </c>
      <c r="AF79" s="9"/>
      <c r="AG79" s="21">
        <v>0.247498</v>
      </c>
      <c r="AH79" s="21">
        <v>74.727999999999994</v>
      </c>
      <c r="AI79" s="21">
        <v>-1.5862999999999999E-2</v>
      </c>
      <c r="AJ79" s="21">
        <v>69</v>
      </c>
      <c r="AK79" s="21">
        <v>0.246948</v>
      </c>
      <c r="AL79">
        <f t="shared" si="22"/>
        <v>15.862999999999998</v>
      </c>
      <c r="AM79">
        <f t="shared" si="23"/>
        <v>3.9260607739999993</v>
      </c>
      <c r="AP79" s="9"/>
      <c r="AQ79" s="21">
        <v>1.3826000000000001</v>
      </c>
      <c r="AR79" s="21">
        <v>124.128</v>
      </c>
      <c r="AS79" s="21">
        <v>-1.2908899999999999E-2</v>
      </c>
      <c r="AT79" s="21">
        <v>69</v>
      </c>
      <c r="AU79" s="21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1">
        <v>0.247498</v>
      </c>
      <c r="AZ79" s="21">
        <v>173.41499999999999</v>
      </c>
      <c r="BA79" s="21">
        <v>-1.5835599999999998E-2</v>
      </c>
      <c r="BB79" s="21">
        <v>69</v>
      </c>
      <c r="BC79" s="21">
        <v>0.246674</v>
      </c>
      <c r="BD79">
        <f t="shared" si="26"/>
        <v>15.835599999999998</v>
      </c>
      <c r="BE79">
        <f t="shared" si="27"/>
        <v>3.9192793287999992</v>
      </c>
      <c r="BH79" s="9"/>
      <c r="BI79" s="21">
        <v>1.3826000000000001</v>
      </c>
      <c r="BJ79" s="21">
        <v>222.76499999999999</v>
      </c>
      <c r="BK79" s="21">
        <v>-1.2902800000000001E-2</v>
      </c>
      <c r="BL79" s="21">
        <v>69</v>
      </c>
      <c r="BM79" s="21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1">
        <v>0.247498</v>
      </c>
      <c r="BR79" s="21">
        <v>271.971</v>
      </c>
      <c r="BS79" s="21">
        <v>-1.5847799999999999E-2</v>
      </c>
      <c r="BT79" s="21">
        <v>69</v>
      </c>
      <c r="BU79" s="21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1.3775599999999999</v>
      </c>
      <c r="H80" s="21">
        <v>47.6691</v>
      </c>
      <c r="I80" s="21">
        <v>-1.27747E-2</v>
      </c>
      <c r="J80" s="21">
        <v>70</v>
      </c>
      <c r="K80" s="21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1">
        <v>0.25253300000000001</v>
      </c>
      <c r="P80" s="21">
        <v>97.051500000000004</v>
      </c>
      <c r="Q80" s="21">
        <v>-1.59271E-2</v>
      </c>
      <c r="R80" s="21">
        <v>70</v>
      </c>
      <c r="S80" s="21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1">
        <v>1.3775599999999999</v>
      </c>
      <c r="Z80" s="21">
        <v>49.753100000000003</v>
      </c>
      <c r="AA80" s="21">
        <v>-1.3021899999999999E-2</v>
      </c>
      <c r="AB80" s="21">
        <v>70</v>
      </c>
      <c r="AC80" s="21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1">
        <v>0.25253300000000001</v>
      </c>
      <c r="AH80" s="21">
        <v>74.738100000000003</v>
      </c>
      <c r="AI80" s="21">
        <v>-1.5862999999999999E-2</v>
      </c>
      <c r="AJ80" s="21">
        <v>70</v>
      </c>
      <c r="AK80" s="21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1">
        <v>1.3775599999999999</v>
      </c>
      <c r="AR80" s="21">
        <v>124.13800000000001</v>
      </c>
      <c r="AS80" s="21">
        <v>-1.2970000000000001E-2</v>
      </c>
      <c r="AT80" s="21">
        <v>70</v>
      </c>
      <c r="AU80" s="21">
        <v>1.3772599999999999</v>
      </c>
      <c r="AV80">
        <f t="shared" si="24"/>
        <v>12.97</v>
      </c>
      <c r="AW80">
        <f t="shared" si="25"/>
        <v>17.866953200000001</v>
      </c>
      <c r="AX80" s="9"/>
      <c r="AY80" s="21">
        <v>0.25253300000000001</v>
      </c>
      <c r="AZ80" s="21">
        <v>173.42500000000001</v>
      </c>
      <c r="BA80" s="21">
        <v>-1.5832499999999999E-2</v>
      </c>
      <c r="BB80" s="21">
        <v>70</v>
      </c>
      <c r="BC80" s="21">
        <v>0.25176999999999999</v>
      </c>
      <c r="BD80">
        <f t="shared" si="26"/>
        <v>15.8325</v>
      </c>
      <c r="BE80">
        <f t="shared" si="27"/>
        <v>3.9982287224999999</v>
      </c>
      <c r="BH80" s="9"/>
      <c r="BI80" s="21">
        <v>1.3775599999999999</v>
      </c>
      <c r="BJ80" s="21">
        <v>222.77500000000001</v>
      </c>
      <c r="BK80" s="21">
        <v>-1.29608E-2</v>
      </c>
      <c r="BL80" s="21">
        <v>70</v>
      </c>
      <c r="BM80" s="21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1">
        <v>0.25253300000000001</v>
      </c>
      <c r="BR80" s="21">
        <v>271.98099999999999</v>
      </c>
      <c r="BS80" s="21">
        <v>-1.5847799999999999E-2</v>
      </c>
      <c r="BT80" s="21">
        <v>70</v>
      </c>
      <c r="BU80" s="21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1.37253</v>
      </c>
      <c r="H81" s="21">
        <v>47.679099999999998</v>
      </c>
      <c r="I81" s="21">
        <v>-1.2854000000000001E-2</v>
      </c>
      <c r="J81" s="21">
        <v>71</v>
      </c>
      <c r="K81" s="21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1">
        <v>0.25756800000000002</v>
      </c>
      <c r="P81" s="21">
        <v>97.061599999999999</v>
      </c>
      <c r="Q81" s="21">
        <v>-1.59363E-2</v>
      </c>
      <c r="R81" s="21">
        <v>71</v>
      </c>
      <c r="S81" s="21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1">
        <v>1.37253</v>
      </c>
      <c r="Z81" s="21">
        <v>49.763199999999998</v>
      </c>
      <c r="AA81" s="21">
        <v>-1.30768E-2</v>
      </c>
      <c r="AB81" s="21">
        <v>71</v>
      </c>
      <c r="AC81" s="21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1">
        <v>0.25756800000000002</v>
      </c>
      <c r="AH81" s="21">
        <v>74.748099999999994</v>
      </c>
      <c r="AI81" s="21">
        <v>-1.5859999999999999E-2</v>
      </c>
      <c r="AJ81" s="21">
        <v>71</v>
      </c>
      <c r="AK81" s="21">
        <v>0.25683600000000001</v>
      </c>
      <c r="AL81">
        <f t="shared" si="22"/>
        <v>15.86</v>
      </c>
      <c r="AM81">
        <f t="shared" si="23"/>
        <v>4.0850284800000001</v>
      </c>
      <c r="AP81" s="9"/>
      <c r="AQ81" s="21">
        <v>1.37253</v>
      </c>
      <c r="AR81" s="21">
        <v>124.149</v>
      </c>
      <c r="AS81" s="21">
        <v>-1.30341E-2</v>
      </c>
      <c r="AT81" s="21">
        <v>71</v>
      </c>
      <c r="AU81" s="21">
        <v>1.3714599999999999</v>
      </c>
      <c r="AV81">
        <f t="shared" si="24"/>
        <v>13.0341</v>
      </c>
      <c r="AW81">
        <f t="shared" si="25"/>
        <v>17.889693273000002</v>
      </c>
      <c r="AX81" s="9"/>
      <c r="AY81" s="21">
        <v>0.25756800000000002</v>
      </c>
      <c r="AZ81" s="21">
        <v>173.435</v>
      </c>
      <c r="BA81" s="21">
        <v>-1.58295E-2</v>
      </c>
      <c r="BB81" s="21">
        <v>71</v>
      </c>
      <c r="BC81" s="21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1">
        <v>1.37253</v>
      </c>
      <c r="BJ81" s="21">
        <v>222.785</v>
      </c>
      <c r="BK81" s="21">
        <v>-1.3018800000000001E-2</v>
      </c>
      <c r="BL81" s="21">
        <v>71</v>
      </c>
      <c r="BM81" s="21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1">
        <v>0.25756800000000002</v>
      </c>
      <c r="BR81" s="21">
        <v>271.99099999999999</v>
      </c>
      <c r="BS81" s="21">
        <v>-1.5838600000000001E-2</v>
      </c>
      <c r="BT81" s="21">
        <v>71</v>
      </c>
      <c r="BU81" s="21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1.3674900000000001</v>
      </c>
      <c r="H82" s="21">
        <v>47.6892</v>
      </c>
      <c r="I82" s="21">
        <v>-1.29303E-2</v>
      </c>
      <c r="J82" s="21">
        <v>72</v>
      </c>
      <c r="K82" s="21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1">
        <v>0.262604</v>
      </c>
      <c r="P82" s="21">
        <v>97.071600000000004</v>
      </c>
      <c r="Q82" s="21">
        <v>-1.59363E-2</v>
      </c>
      <c r="R82" s="21">
        <v>72</v>
      </c>
      <c r="S82" s="21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1">
        <v>1.3674900000000001</v>
      </c>
      <c r="Z82" s="21">
        <v>49.773200000000003</v>
      </c>
      <c r="AA82" s="21">
        <v>-1.31287E-2</v>
      </c>
      <c r="AB82" s="21">
        <v>72</v>
      </c>
      <c r="AC82" s="21">
        <v>1.3665799999999999</v>
      </c>
      <c r="AD82">
        <f t="shared" si="20"/>
        <v>13.1287</v>
      </c>
      <c r="AE82">
        <f t="shared" si="21"/>
        <v>17.953365963000003</v>
      </c>
      <c r="AF82" s="9"/>
      <c r="AG82" s="21">
        <v>0.262604</v>
      </c>
      <c r="AH82" s="21">
        <v>74.758200000000002</v>
      </c>
      <c r="AI82" s="21">
        <v>-1.5853900000000001E-2</v>
      </c>
      <c r="AJ82" s="21">
        <v>72</v>
      </c>
      <c r="AK82" s="21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1">
        <v>1.3674900000000001</v>
      </c>
      <c r="AR82" s="21">
        <v>124.15900000000001</v>
      </c>
      <c r="AS82" s="21">
        <v>-1.3091999999999999E-2</v>
      </c>
      <c r="AT82" s="21">
        <v>72</v>
      </c>
      <c r="AU82" s="21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1">
        <v>0.262604</v>
      </c>
      <c r="AZ82" s="21">
        <v>173.44499999999999</v>
      </c>
      <c r="BA82" s="21">
        <v>-1.5823400000000001E-2</v>
      </c>
      <c r="BB82" s="21">
        <v>72</v>
      </c>
      <c r="BC82" s="21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1">
        <v>1.3674900000000001</v>
      </c>
      <c r="BJ82" s="21">
        <v>222.79599999999999</v>
      </c>
      <c r="BK82" s="21">
        <v>-1.3070699999999999E-2</v>
      </c>
      <c r="BL82" s="21">
        <v>72</v>
      </c>
      <c r="BM82" s="21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1">
        <v>0.262604</v>
      </c>
      <c r="BR82" s="21">
        <v>272.00099999999998</v>
      </c>
      <c r="BS82" s="21">
        <v>-1.5838600000000001E-2</v>
      </c>
      <c r="BT82" s="21">
        <v>72</v>
      </c>
      <c r="BU82" s="21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1.36246</v>
      </c>
      <c r="H83" s="21">
        <v>47.699300000000001</v>
      </c>
      <c r="I83" s="21">
        <v>-1.3003499999999999E-2</v>
      </c>
      <c r="J83" s="21">
        <v>73</v>
      </c>
      <c r="K83" s="21">
        <v>1.3613900000000001</v>
      </c>
      <c r="L83">
        <f t="shared" si="16"/>
        <v>13.003499999999999</v>
      </c>
      <c r="M83">
        <f t="shared" si="17"/>
        <v>17.71674861</v>
      </c>
      <c r="N83" s="9"/>
      <c r="O83" s="21">
        <v>0.26763900000000002</v>
      </c>
      <c r="P83" s="21">
        <v>97.081699999999998</v>
      </c>
      <c r="Q83" s="21">
        <v>-1.5933200000000002E-2</v>
      </c>
      <c r="R83" s="21">
        <v>73</v>
      </c>
      <c r="S83" s="21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1">
        <v>1.36246</v>
      </c>
      <c r="Z83" s="21">
        <v>49.783299999999997</v>
      </c>
      <c r="AA83" s="21">
        <v>-1.31805E-2</v>
      </c>
      <c r="AB83" s="21">
        <v>73</v>
      </c>
      <c r="AC83" s="21">
        <v>1.3613900000000001</v>
      </c>
      <c r="AD83">
        <f t="shared" si="20"/>
        <v>13.1805</v>
      </c>
      <c r="AE83">
        <f t="shared" si="21"/>
        <v>17.957904030000002</v>
      </c>
      <c r="AF83" s="9"/>
      <c r="AG83" s="21">
        <v>0.26763900000000002</v>
      </c>
      <c r="AH83" s="21">
        <v>74.768299999999996</v>
      </c>
      <c r="AI83" s="21">
        <v>-1.5850800000000002E-2</v>
      </c>
      <c r="AJ83" s="21">
        <v>73</v>
      </c>
      <c r="AK83" s="21">
        <v>0.266876</v>
      </c>
      <c r="AL83">
        <f t="shared" si="22"/>
        <v>15.850800000000001</v>
      </c>
      <c r="AM83">
        <f t="shared" si="23"/>
        <v>4.2422922612000002</v>
      </c>
      <c r="AP83" s="9"/>
      <c r="AQ83" s="21">
        <v>1.36246</v>
      </c>
      <c r="AR83" s="21">
        <v>124.169</v>
      </c>
      <c r="AS83" s="21">
        <v>-1.31561E-2</v>
      </c>
      <c r="AT83" s="21">
        <v>73</v>
      </c>
      <c r="AU83" s="21">
        <v>1.3610800000000001</v>
      </c>
      <c r="AV83">
        <f t="shared" si="24"/>
        <v>13.1561</v>
      </c>
      <c r="AW83">
        <f t="shared" si="25"/>
        <v>17.924660006</v>
      </c>
      <c r="AX83" s="9"/>
      <c r="AY83" s="21">
        <v>0.26763900000000002</v>
      </c>
      <c r="AZ83" s="21">
        <v>173.45500000000001</v>
      </c>
      <c r="BA83" s="21">
        <v>-1.5823400000000001E-2</v>
      </c>
      <c r="BB83" s="21">
        <v>73</v>
      </c>
      <c r="BC83" s="21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1">
        <v>1.36246</v>
      </c>
      <c r="BJ83" s="21">
        <v>222.80600000000001</v>
      </c>
      <c r="BK83" s="21">
        <v>-1.3125599999999999E-2</v>
      </c>
      <c r="BL83" s="21">
        <v>73</v>
      </c>
      <c r="BM83" s="21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1">
        <v>0.26763900000000002</v>
      </c>
      <c r="BR83" s="21">
        <v>272.01100000000002</v>
      </c>
      <c r="BS83" s="21">
        <v>-1.5835599999999998E-2</v>
      </c>
      <c r="BT83" s="21">
        <v>73</v>
      </c>
      <c r="BU83" s="21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1.3574200000000001</v>
      </c>
      <c r="H84" s="21">
        <v>47.709299999999999</v>
      </c>
      <c r="I84" s="21">
        <v>-1.3091999999999999E-2</v>
      </c>
      <c r="J84" s="21">
        <v>74</v>
      </c>
      <c r="K84" s="21">
        <v>1.3565100000000001</v>
      </c>
      <c r="L84">
        <f t="shared" si="16"/>
        <v>13.091999999999999</v>
      </c>
      <c r="M84">
        <f t="shared" si="17"/>
        <v>17.77134264</v>
      </c>
      <c r="N84" s="9"/>
      <c r="O84" s="21">
        <v>0.272675</v>
      </c>
      <c r="P84" s="21">
        <v>97.091800000000006</v>
      </c>
      <c r="Q84" s="21">
        <v>-1.59363E-2</v>
      </c>
      <c r="R84" s="21">
        <v>74</v>
      </c>
      <c r="S84" s="21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1">
        <v>1.3574200000000001</v>
      </c>
      <c r="Z84" s="21">
        <v>49.793399999999998</v>
      </c>
      <c r="AA84" s="21">
        <v>-1.32385E-2</v>
      </c>
      <c r="AB84" s="21">
        <v>74</v>
      </c>
      <c r="AC84" s="21">
        <v>1.3571200000000001</v>
      </c>
      <c r="AD84">
        <f t="shared" si="20"/>
        <v>13.2385</v>
      </c>
      <c r="AE84">
        <f t="shared" si="21"/>
        <v>17.970204670000001</v>
      </c>
      <c r="AF84" s="9"/>
      <c r="AG84" s="21">
        <v>0.272675</v>
      </c>
      <c r="AH84" s="21">
        <v>74.778400000000005</v>
      </c>
      <c r="AI84" s="21">
        <v>-1.5850800000000002E-2</v>
      </c>
      <c r="AJ84" s="21">
        <v>74</v>
      </c>
      <c r="AK84" s="21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1">
        <v>1.3574200000000001</v>
      </c>
      <c r="AR84" s="21">
        <v>124.179</v>
      </c>
      <c r="AS84" s="21">
        <v>-1.32172E-2</v>
      </c>
      <c r="AT84" s="21">
        <v>74</v>
      </c>
      <c r="AU84" s="21">
        <v>1.3562000000000001</v>
      </c>
      <c r="AV84">
        <f t="shared" si="24"/>
        <v>13.2172</v>
      </c>
      <c r="AW84">
        <f t="shared" si="25"/>
        <v>17.941291624000002</v>
      </c>
      <c r="AX84" s="9"/>
      <c r="AY84" s="21">
        <v>0.272675</v>
      </c>
      <c r="AZ84" s="21">
        <v>173.465</v>
      </c>
      <c r="BA84" s="21">
        <v>-1.5820299999999999E-2</v>
      </c>
      <c r="BB84" s="21">
        <v>74</v>
      </c>
      <c r="BC84" s="21">
        <v>0.27194200000000002</v>
      </c>
      <c r="BD84">
        <f t="shared" si="26"/>
        <v>15.8203</v>
      </c>
      <c r="BE84">
        <f t="shared" si="27"/>
        <v>4.3138003024999998</v>
      </c>
      <c r="BH84" s="9"/>
      <c r="BI84" s="21">
        <v>1.3574200000000001</v>
      </c>
      <c r="BJ84" s="21">
        <v>222.816</v>
      </c>
      <c r="BK84" s="21">
        <v>-1.31836E-2</v>
      </c>
      <c r="BL84" s="21">
        <v>74</v>
      </c>
      <c r="BM84" s="21">
        <v>1.3568100000000001</v>
      </c>
      <c r="BN84">
        <f t="shared" si="28"/>
        <v>13.1836</v>
      </c>
      <c r="BO84">
        <f t="shared" si="29"/>
        <v>17.895682312000002</v>
      </c>
      <c r="BP84" s="9"/>
      <c r="BQ84" s="21">
        <v>0.272675</v>
      </c>
      <c r="BR84" s="21">
        <v>272.02100000000002</v>
      </c>
      <c r="BS84" s="21">
        <v>-1.5838600000000001E-2</v>
      </c>
      <c r="BT84" s="21">
        <v>74</v>
      </c>
      <c r="BU84" s="21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1.35239</v>
      </c>
      <c r="H85" s="21">
        <v>47.7194</v>
      </c>
      <c r="I85" s="21">
        <v>-1.3168300000000001E-2</v>
      </c>
      <c r="J85" s="21">
        <v>75</v>
      </c>
      <c r="K85" s="21">
        <v>1.3513200000000001</v>
      </c>
      <c r="L85">
        <f t="shared" si="16"/>
        <v>13.1683</v>
      </c>
      <c r="M85">
        <f t="shared" si="17"/>
        <v>17.808677237000001</v>
      </c>
      <c r="N85" s="9"/>
      <c r="O85" s="21">
        <v>0.27771000000000001</v>
      </c>
      <c r="P85" s="21">
        <v>97.101799999999997</v>
      </c>
      <c r="Q85" s="21">
        <v>-1.59363E-2</v>
      </c>
      <c r="R85" s="21">
        <v>75</v>
      </c>
      <c r="S85" s="21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1">
        <v>1.35239</v>
      </c>
      <c r="Z85" s="21">
        <v>49.8035</v>
      </c>
      <c r="AA85" s="21">
        <v>-1.3302599999999999E-2</v>
      </c>
      <c r="AB85" s="21">
        <v>75</v>
      </c>
      <c r="AC85" s="21">
        <v>1.3513200000000001</v>
      </c>
      <c r="AD85">
        <f t="shared" si="20"/>
        <v>13.3026</v>
      </c>
      <c r="AE85">
        <f t="shared" si="21"/>
        <v>17.990303214000001</v>
      </c>
      <c r="AF85" s="9"/>
      <c r="AG85" s="21">
        <v>0.27771000000000001</v>
      </c>
      <c r="AH85" s="21">
        <v>74.788399999999996</v>
      </c>
      <c r="AI85" s="21">
        <v>-1.5850800000000002E-2</v>
      </c>
      <c r="AJ85" s="21">
        <v>75</v>
      </c>
      <c r="AK85" s="21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1">
        <v>1.35239</v>
      </c>
      <c r="AR85" s="21">
        <v>124.18899999999999</v>
      </c>
      <c r="AS85" s="21">
        <v>-1.32599E-2</v>
      </c>
      <c r="AT85" s="21">
        <v>75</v>
      </c>
      <c r="AU85" s="21">
        <v>1.3513200000000001</v>
      </c>
      <c r="AV85">
        <f t="shared" si="24"/>
        <v>13.2599</v>
      </c>
      <c r="AW85">
        <f t="shared" si="25"/>
        <v>17.932556161000001</v>
      </c>
      <c r="AX85" s="9"/>
      <c r="AY85" s="21">
        <v>0.27771000000000001</v>
      </c>
      <c r="AZ85" s="21">
        <v>173.47499999999999</v>
      </c>
      <c r="BA85" s="21">
        <v>-1.5820299999999999E-2</v>
      </c>
      <c r="BB85" s="21">
        <v>75</v>
      </c>
      <c r="BC85" s="21">
        <v>0.276947</v>
      </c>
      <c r="BD85">
        <f t="shared" si="26"/>
        <v>15.8203</v>
      </c>
      <c r="BE85">
        <f t="shared" si="27"/>
        <v>4.3934555130000001</v>
      </c>
      <c r="BH85" s="9"/>
      <c r="BI85" s="21">
        <v>1.35239</v>
      </c>
      <c r="BJ85" s="21">
        <v>222.82599999999999</v>
      </c>
      <c r="BK85" s="21">
        <v>-1.3250700000000001E-2</v>
      </c>
      <c r="BL85" s="21">
        <v>75</v>
      </c>
      <c r="BM85" s="21">
        <v>1.35162</v>
      </c>
      <c r="BN85">
        <f t="shared" si="28"/>
        <v>13.2507</v>
      </c>
      <c r="BO85">
        <f t="shared" si="29"/>
        <v>17.920114172999998</v>
      </c>
      <c r="BP85" s="9"/>
      <c r="BQ85" s="21">
        <v>0.27771000000000001</v>
      </c>
      <c r="BR85" s="21">
        <v>272.03100000000001</v>
      </c>
      <c r="BS85" s="21">
        <v>-1.58417E-2</v>
      </c>
      <c r="BT85" s="21">
        <v>75</v>
      </c>
      <c r="BU85" s="21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1.34735</v>
      </c>
      <c r="H86" s="21">
        <v>47.729500000000002</v>
      </c>
      <c r="I86" s="21">
        <v>-1.3241599999999999E-2</v>
      </c>
      <c r="J86" s="21">
        <v>76</v>
      </c>
      <c r="K86" s="21">
        <v>1.34613</v>
      </c>
      <c r="L86">
        <f t="shared" si="16"/>
        <v>13.2416</v>
      </c>
      <c r="M86">
        <f t="shared" si="17"/>
        <v>17.84106976</v>
      </c>
      <c r="N86" s="9"/>
      <c r="O86" s="21">
        <v>0.28274500000000002</v>
      </c>
      <c r="P86" s="21">
        <v>97.111900000000006</v>
      </c>
      <c r="Q86" s="21">
        <v>-1.5933200000000002E-2</v>
      </c>
      <c r="R86" s="21">
        <v>76</v>
      </c>
      <c r="S86" s="21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1">
        <v>1.34735</v>
      </c>
      <c r="Z86" s="21">
        <v>49.813499999999998</v>
      </c>
      <c r="AA86" s="21">
        <v>-1.3372800000000001E-2</v>
      </c>
      <c r="AB86" s="21">
        <v>76</v>
      </c>
      <c r="AC86" s="21">
        <v>1.3470500000000001</v>
      </c>
      <c r="AD86">
        <f t="shared" si="20"/>
        <v>13.3728</v>
      </c>
      <c r="AE86">
        <f t="shared" si="21"/>
        <v>18.017842080000001</v>
      </c>
      <c r="AF86" s="9"/>
      <c r="AG86" s="21">
        <v>0.28274500000000002</v>
      </c>
      <c r="AH86" s="21">
        <v>74.798500000000004</v>
      </c>
      <c r="AI86" s="21">
        <v>-1.58447E-2</v>
      </c>
      <c r="AJ86" s="21">
        <v>76</v>
      </c>
      <c r="AK86" s="21">
        <v>0.28198200000000001</v>
      </c>
      <c r="AL86">
        <f t="shared" si="22"/>
        <v>15.8447</v>
      </c>
      <c r="AM86">
        <f t="shared" si="23"/>
        <v>4.4800097015000002</v>
      </c>
      <c r="AP86" s="9"/>
      <c r="AQ86" s="21">
        <v>1.34735</v>
      </c>
      <c r="AR86" s="21">
        <v>124.199</v>
      </c>
      <c r="AS86" s="21">
        <v>-1.33148E-2</v>
      </c>
      <c r="AT86" s="21">
        <v>76</v>
      </c>
      <c r="AU86" s="21">
        <v>1.34613</v>
      </c>
      <c r="AV86">
        <f t="shared" si="24"/>
        <v>13.3148</v>
      </c>
      <c r="AW86">
        <f t="shared" si="25"/>
        <v>17.939695780000001</v>
      </c>
      <c r="AX86" s="9"/>
      <c r="AY86" s="21">
        <v>0.28274500000000002</v>
      </c>
      <c r="AZ86" s="21">
        <v>173.48500000000001</v>
      </c>
      <c r="BA86" s="21">
        <v>-1.5817299999999999E-2</v>
      </c>
      <c r="BB86" s="21">
        <v>76</v>
      </c>
      <c r="BC86" s="21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1">
        <v>1.34735</v>
      </c>
      <c r="BJ86" s="21">
        <v>222.83600000000001</v>
      </c>
      <c r="BK86" s="21">
        <v>-1.33118E-2</v>
      </c>
      <c r="BL86" s="21">
        <v>76</v>
      </c>
      <c r="BM86" s="21">
        <v>1.3464400000000001</v>
      </c>
      <c r="BN86">
        <f t="shared" si="28"/>
        <v>13.3118</v>
      </c>
      <c r="BO86">
        <f t="shared" si="29"/>
        <v>17.935653730000002</v>
      </c>
      <c r="BP86" s="9"/>
      <c r="BQ86" s="21">
        <v>0.28274500000000002</v>
      </c>
      <c r="BR86" s="21">
        <v>272.041</v>
      </c>
      <c r="BS86" s="21">
        <v>-1.5838600000000001E-2</v>
      </c>
      <c r="BT86" s="21">
        <v>76</v>
      </c>
      <c r="BU86" s="21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1.34232</v>
      </c>
      <c r="H87" s="21">
        <v>47.739600000000003</v>
      </c>
      <c r="I87" s="21">
        <v>-1.33057E-2</v>
      </c>
      <c r="J87" s="21">
        <v>77</v>
      </c>
      <c r="K87" s="21">
        <v>1.3412500000000001</v>
      </c>
      <c r="L87">
        <f t="shared" si="16"/>
        <v>13.3057</v>
      </c>
      <c r="M87">
        <f t="shared" si="17"/>
        <v>17.860507223999999</v>
      </c>
      <c r="N87" s="9"/>
      <c r="O87" s="21">
        <v>0.28778100000000001</v>
      </c>
      <c r="P87" s="21">
        <v>97.122</v>
      </c>
      <c r="Q87" s="21">
        <v>-1.5933200000000002E-2</v>
      </c>
      <c r="R87" s="21">
        <v>77</v>
      </c>
      <c r="S87" s="21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1">
        <v>1.34232</v>
      </c>
      <c r="Z87" s="21">
        <v>49.823599999999999</v>
      </c>
      <c r="AA87" s="21">
        <v>-1.34308E-2</v>
      </c>
      <c r="AB87" s="21">
        <v>77</v>
      </c>
      <c r="AC87" s="21">
        <v>1.3412500000000001</v>
      </c>
      <c r="AD87">
        <f t="shared" si="20"/>
        <v>13.4308</v>
      </c>
      <c r="AE87">
        <f t="shared" si="21"/>
        <v>18.028431456</v>
      </c>
      <c r="AF87" s="9"/>
      <c r="AG87" s="21">
        <v>0.28778100000000001</v>
      </c>
      <c r="AH87" s="21">
        <v>74.808599999999998</v>
      </c>
      <c r="AI87" s="21">
        <v>-1.5838600000000001E-2</v>
      </c>
      <c r="AJ87" s="21">
        <v>77</v>
      </c>
      <c r="AK87" s="21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1">
        <v>1.34232</v>
      </c>
      <c r="AR87" s="21">
        <v>124.209</v>
      </c>
      <c r="AS87" s="21">
        <v>-1.33759E-2</v>
      </c>
      <c r="AT87" s="21">
        <v>77</v>
      </c>
      <c r="AU87" s="21">
        <v>1.3412500000000001</v>
      </c>
      <c r="AV87">
        <f t="shared" si="24"/>
        <v>13.3759</v>
      </c>
      <c r="AW87">
        <f t="shared" si="25"/>
        <v>17.954738087999999</v>
      </c>
      <c r="AX87" s="9"/>
      <c r="AY87" s="21">
        <v>0.28778100000000001</v>
      </c>
      <c r="AZ87" s="21">
        <v>173.495</v>
      </c>
      <c r="BA87" s="21">
        <v>-1.5817299999999999E-2</v>
      </c>
      <c r="BB87" s="21">
        <v>77</v>
      </c>
      <c r="BC87" s="21">
        <v>0.287109</v>
      </c>
      <c r="BD87">
        <f t="shared" si="26"/>
        <v>15.817299999999999</v>
      </c>
      <c r="BE87">
        <f t="shared" si="27"/>
        <v>4.5519184113</v>
      </c>
      <c r="BH87" s="9"/>
      <c r="BI87" s="21">
        <v>1.34232</v>
      </c>
      <c r="BJ87" s="21">
        <v>222.846</v>
      </c>
      <c r="BK87" s="21">
        <v>-1.3372800000000001E-2</v>
      </c>
      <c r="BL87" s="21">
        <v>77</v>
      </c>
      <c r="BM87" s="21">
        <v>1.34094</v>
      </c>
      <c r="BN87">
        <f t="shared" si="28"/>
        <v>13.3728</v>
      </c>
      <c r="BO87">
        <f t="shared" si="29"/>
        <v>17.950576895999998</v>
      </c>
      <c r="BP87" s="9"/>
      <c r="BQ87" s="21">
        <v>0.28778100000000001</v>
      </c>
      <c r="BR87" s="21">
        <v>272.05099999999999</v>
      </c>
      <c r="BS87" s="21">
        <v>-1.5832499999999999E-2</v>
      </c>
      <c r="BT87" s="21">
        <v>77</v>
      </c>
      <c r="BU87" s="21">
        <v>0.28714000000000001</v>
      </c>
      <c r="BV87">
        <f t="shared" si="30"/>
        <v>15.8325</v>
      </c>
      <c r="BW87">
        <f t="shared" si="31"/>
        <v>4.5562926824999996</v>
      </c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1.33728</v>
      </c>
      <c r="H88" s="21">
        <v>47.749600000000001</v>
      </c>
      <c r="I88" s="21">
        <v>-1.33667E-2</v>
      </c>
      <c r="J88" s="21">
        <v>78</v>
      </c>
      <c r="K88" s="21">
        <v>1.33636</v>
      </c>
      <c r="L88">
        <f t="shared" si="16"/>
        <v>13.3667</v>
      </c>
      <c r="M88">
        <f t="shared" si="17"/>
        <v>17.875020576000001</v>
      </c>
      <c r="N88" s="9"/>
      <c r="O88" s="21">
        <v>0.29281600000000002</v>
      </c>
      <c r="P88" s="21">
        <v>97.132099999999994</v>
      </c>
      <c r="Q88" s="21">
        <v>-1.5933200000000002E-2</v>
      </c>
      <c r="R88" s="21">
        <v>78</v>
      </c>
      <c r="S88" s="21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1">
        <v>1.33728</v>
      </c>
      <c r="Z88" s="21">
        <v>49.8337</v>
      </c>
      <c r="AA88" s="21">
        <v>-1.34827E-2</v>
      </c>
      <c r="AB88" s="21">
        <v>78</v>
      </c>
      <c r="AC88" s="21">
        <v>1.33606</v>
      </c>
      <c r="AD88">
        <f t="shared" si="20"/>
        <v>13.482699999999999</v>
      </c>
      <c r="AE88">
        <f t="shared" si="21"/>
        <v>18.030145055999999</v>
      </c>
      <c r="AF88" s="9"/>
      <c r="AG88" s="21">
        <v>0.29281600000000002</v>
      </c>
      <c r="AH88" s="21">
        <v>74.818600000000004</v>
      </c>
      <c r="AI88" s="21">
        <v>-1.5835599999999998E-2</v>
      </c>
      <c r="AJ88" s="21">
        <v>78</v>
      </c>
      <c r="AK88" s="21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1">
        <v>1.33728</v>
      </c>
      <c r="AR88" s="21">
        <v>124.21899999999999</v>
      </c>
      <c r="AS88" s="21">
        <v>-1.3424699999999999E-2</v>
      </c>
      <c r="AT88" s="21">
        <v>78</v>
      </c>
      <c r="AU88" s="21">
        <v>1.33636</v>
      </c>
      <c r="AV88">
        <f t="shared" si="24"/>
        <v>13.4247</v>
      </c>
      <c r="AW88">
        <f t="shared" si="25"/>
        <v>17.952582816</v>
      </c>
      <c r="AX88" s="9"/>
      <c r="AY88" s="21">
        <v>0.29281600000000002</v>
      </c>
      <c r="AZ88" s="21">
        <v>173.506</v>
      </c>
      <c r="BA88" s="21">
        <v>-1.5811200000000001E-2</v>
      </c>
      <c r="BB88" s="21">
        <v>78</v>
      </c>
      <c r="BC88" s="21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1">
        <v>1.33728</v>
      </c>
      <c r="BJ88" s="21">
        <v>222.85599999999999</v>
      </c>
      <c r="BK88" s="21">
        <v>-1.3412500000000001E-2</v>
      </c>
      <c r="BL88" s="21">
        <v>78</v>
      </c>
      <c r="BM88" s="21">
        <v>1.33575</v>
      </c>
      <c r="BN88">
        <f t="shared" si="28"/>
        <v>13.412500000000001</v>
      </c>
      <c r="BO88">
        <f t="shared" si="29"/>
        <v>17.936268000000002</v>
      </c>
      <c r="BP88" s="9"/>
      <c r="BQ88" s="21">
        <v>0.29281600000000002</v>
      </c>
      <c r="BR88" s="21">
        <v>272.06099999999998</v>
      </c>
      <c r="BS88" s="21">
        <v>-1.5823400000000001E-2</v>
      </c>
      <c r="BT88" s="21">
        <v>78</v>
      </c>
      <c r="BU88" s="21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1.3322400000000001</v>
      </c>
      <c r="H89" s="21">
        <v>47.759700000000002</v>
      </c>
      <c r="I89" s="21">
        <v>-1.3427700000000001E-2</v>
      </c>
      <c r="J89" s="21">
        <v>79</v>
      </c>
      <c r="K89" s="21">
        <v>1.33118</v>
      </c>
      <c r="L89">
        <f t="shared" si="16"/>
        <v>13.427700000000002</v>
      </c>
      <c r="M89">
        <f t="shared" si="17"/>
        <v>17.888919048000002</v>
      </c>
      <c r="N89" s="9"/>
      <c r="O89" s="21">
        <v>0.29785200000000001</v>
      </c>
      <c r="P89" s="21">
        <v>97.142099999999999</v>
      </c>
      <c r="Q89" s="21">
        <v>-1.5930199999999999E-2</v>
      </c>
      <c r="R89" s="21">
        <v>79</v>
      </c>
      <c r="S89" s="21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1">
        <v>1.3322400000000001</v>
      </c>
      <c r="Z89" s="21">
        <v>49.843699999999998</v>
      </c>
      <c r="AA89" s="21">
        <v>-1.35406E-2</v>
      </c>
      <c r="AB89" s="21">
        <v>79</v>
      </c>
      <c r="AC89" s="21">
        <v>1.33148</v>
      </c>
      <c r="AD89">
        <f t="shared" si="20"/>
        <v>13.5406</v>
      </c>
      <c r="AE89">
        <f t="shared" si="21"/>
        <v>18.039328944000001</v>
      </c>
      <c r="AF89" s="9"/>
      <c r="AG89" s="21">
        <v>0.29785200000000001</v>
      </c>
      <c r="AH89" s="21">
        <v>74.828699999999998</v>
      </c>
      <c r="AI89" s="21">
        <v>-1.58295E-2</v>
      </c>
      <c r="AJ89" s="21">
        <v>79</v>
      </c>
      <c r="AK89" s="21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1">
        <v>1.3322400000000001</v>
      </c>
      <c r="AR89" s="21">
        <v>124.229</v>
      </c>
      <c r="AS89" s="21">
        <v>-1.3461300000000001E-2</v>
      </c>
      <c r="AT89" s="21">
        <v>79</v>
      </c>
      <c r="AU89" s="21">
        <v>1.33179</v>
      </c>
      <c r="AV89">
        <f t="shared" si="24"/>
        <v>13.461300000000001</v>
      </c>
      <c r="AW89">
        <f t="shared" si="25"/>
        <v>17.933682312000002</v>
      </c>
      <c r="AX89" s="9"/>
      <c r="AY89" s="21">
        <v>0.29785200000000001</v>
      </c>
      <c r="AZ89" s="21">
        <v>173.51599999999999</v>
      </c>
      <c r="BA89" s="21">
        <v>-1.5808099999999999E-2</v>
      </c>
      <c r="BB89" s="21">
        <v>79</v>
      </c>
      <c r="BC89" s="21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1">
        <v>1.3322400000000001</v>
      </c>
      <c r="BJ89" s="21">
        <v>222.86600000000001</v>
      </c>
      <c r="BK89" s="21">
        <v>-1.34552E-2</v>
      </c>
      <c r="BL89" s="21">
        <v>79</v>
      </c>
      <c r="BM89" s="21">
        <v>1.33148</v>
      </c>
      <c r="BN89">
        <f t="shared" si="28"/>
        <v>13.455200000000001</v>
      </c>
      <c r="BO89">
        <f t="shared" si="29"/>
        <v>17.925555648000003</v>
      </c>
      <c r="BP89" s="9"/>
      <c r="BQ89" s="21">
        <v>0.29785200000000001</v>
      </c>
      <c r="BR89" s="21">
        <v>272.07100000000003</v>
      </c>
      <c r="BS89" s="21">
        <v>-1.5820299999999999E-2</v>
      </c>
      <c r="BT89" s="21">
        <v>79</v>
      </c>
      <c r="BU89" s="21">
        <v>0.29708899999999999</v>
      </c>
      <c r="BV89">
        <f t="shared" si="30"/>
        <v>15.8203</v>
      </c>
      <c r="BW89">
        <f t="shared" si="31"/>
        <v>4.7121079956000003</v>
      </c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1.32721</v>
      </c>
      <c r="H90" s="21">
        <v>47.769799999999996</v>
      </c>
      <c r="I90" s="21">
        <v>-1.34796E-2</v>
      </c>
      <c r="J90" s="21">
        <v>80</v>
      </c>
      <c r="K90" s="21">
        <v>1.32629</v>
      </c>
      <c r="L90">
        <f t="shared" si="16"/>
        <v>13.4796</v>
      </c>
      <c r="M90">
        <f t="shared" si="17"/>
        <v>17.890259915999998</v>
      </c>
      <c r="N90" s="9"/>
      <c r="O90" s="21">
        <v>0.30288700000000002</v>
      </c>
      <c r="P90" s="21">
        <v>97.152199999999993</v>
      </c>
      <c r="Q90" s="21">
        <v>-1.5921000000000001E-2</v>
      </c>
      <c r="R90" s="21">
        <v>80</v>
      </c>
      <c r="S90" s="21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1">
        <v>1.32721</v>
      </c>
      <c r="Z90" s="21">
        <v>49.8538</v>
      </c>
      <c r="AA90" s="21">
        <v>-1.35925E-2</v>
      </c>
      <c r="AB90" s="21">
        <v>80</v>
      </c>
      <c r="AC90" s="21">
        <v>1.32629</v>
      </c>
      <c r="AD90">
        <f t="shared" si="20"/>
        <v>13.592500000000001</v>
      </c>
      <c r="AE90">
        <f t="shared" si="21"/>
        <v>18.040101925000002</v>
      </c>
      <c r="AF90" s="9"/>
      <c r="AG90" s="21">
        <v>0.30288700000000002</v>
      </c>
      <c r="AH90" s="21">
        <v>74.838800000000006</v>
      </c>
      <c r="AI90" s="21">
        <v>-1.5817299999999999E-2</v>
      </c>
      <c r="AJ90" s="21">
        <v>80</v>
      </c>
      <c r="AK90" s="21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1">
        <v>1.32721</v>
      </c>
      <c r="AR90" s="21">
        <v>124.239</v>
      </c>
      <c r="AS90" s="21">
        <v>-1.34979E-2</v>
      </c>
      <c r="AT90" s="21">
        <v>80</v>
      </c>
      <c r="AU90" s="21">
        <v>1.32599</v>
      </c>
      <c r="AV90">
        <f t="shared" si="24"/>
        <v>13.4979</v>
      </c>
      <c r="AW90">
        <f t="shared" si="25"/>
        <v>17.914547858999999</v>
      </c>
      <c r="AX90" s="9"/>
      <c r="AY90" s="21">
        <v>0.30288700000000002</v>
      </c>
      <c r="AZ90" s="21">
        <v>173.52600000000001</v>
      </c>
      <c r="BA90" s="21">
        <v>-1.5808099999999999E-2</v>
      </c>
      <c r="BB90" s="21">
        <v>80</v>
      </c>
      <c r="BC90" s="21">
        <v>0.302124</v>
      </c>
      <c r="BD90">
        <f t="shared" si="26"/>
        <v>15.808099999999998</v>
      </c>
      <c r="BE90">
        <f t="shared" si="27"/>
        <v>4.7880679846999996</v>
      </c>
      <c r="BH90" s="9"/>
      <c r="BI90" s="21">
        <v>1.32721</v>
      </c>
      <c r="BJ90" s="21">
        <v>222.876</v>
      </c>
      <c r="BK90" s="21">
        <v>-1.34979E-2</v>
      </c>
      <c r="BL90" s="21">
        <v>80</v>
      </c>
      <c r="BM90" s="21">
        <v>1.32568</v>
      </c>
      <c r="BN90">
        <f t="shared" si="28"/>
        <v>13.4979</v>
      </c>
      <c r="BO90">
        <f t="shared" si="29"/>
        <v>17.914547858999999</v>
      </c>
      <c r="BP90" s="9"/>
      <c r="BQ90" s="21">
        <v>0.30288700000000002</v>
      </c>
      <c r="BR90" s="21">
        <v>272.08199999999999</v>
      </c>
      <c r="BS90" s="21">
        <v>-1.5817299999999999E-2</v>
      </c>
      <c r="BT90" s="21">
        <v>80</v>
      </c>
      <c r="BU90" s="21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1.3221700000000001</v>
      </c>
      <c r="H91" s="21">
        <v>47.779800000000002</v>
      </c>
      <c r="I91" s="21">
        <v>-1.3543700000000001E-2</v>
      </c>
      <c r="J91" s="21">
        <v>81</v>
      </c>
      <c r="K91" s="21">
        <v>1.32111</v>
      </c>
      <c r="L91">
        <f t="shared" si="16"/>
        <v>13.543700000000001</v>
      </c>
      <c r="M91">
        <f t="shared" si="17"/>
        <v>17.907073829000002</v>
      </c>
      <c r="N91" s="9"/>
      <c r="O91" s="21">
        <v>0.30792199999999997</v>
      </c>
      <c r="P91" s="21">
        <v>97.162300000000002</v>
      </c>
      <c r="Q91" s="21">
        <v>-1.5918000000000002E-2</v>
      </c>
      <c r="R91" s="21">
        <v>81</v>
      </c>
      <c r="S91" s="21">
        <v>0.307251</v>
      </c>
      <c r="T91">
        <f t="shared" si="18"/>
        <v>15.918000000000001</v>
      </c>
      <c r="U91">
        <f t="shared" si="19"/>
        <v>4.9015023959999997</v>
      </c>
      <c r="X91" s="9"/>
      <c r="Y91" s="21">
        <v>1.3221700000000001</v>
      </c>
      <c r="Z91" s="21">
        <v>49.863900000000001</v>
      </c>
      <c r="AA91" s="21">
        <v>-1.36475E-2</v>
      </c>
      <c r="AB91" s="21">
        <v>81</v>
      </c>
      <c r="AC91" s="21">
        <v>1.32141</v>
      </c>
      <c r="AD91">
        <f t="shared" si="20"/>
        <v>13.647499999999999</v>
      </c>
      <c r="AE91">
        <f t="shared" si="21"/>
        <v>18.044315075</v>
      </c>
      <c r="AF91" s="9"/>
      <c r="AG91" s="21">
        <v>0.30792199999999997</v>
      </c>
      <c r="AH91" s="21">
        <v>74.8489</v>
      </c>
      <c r="AI91" s="21">
        <v>-1.5811200000000001E-2</v>
      </c>
      <c r="AJ91" s="21">
        <v>81</v>
      </c>
      <c r="AK91" s="21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1">
        <v>1.3221700000000001</v>
      </c>
      <c r="AR91" s="21">
        <v>124.249</v>
      </c>
      <c r="AS91" s="21">
        <v>-1.35376E-2</v>
      </c>
      <c r="AT91" s="21">
        <v>81</v>
      </c>
      <c r="AU91" s="21">
        <v>1.32141</v>
      </c>
      <c r="AV91">
        <f t="shared" si="24"/>
        <v>13.537600000000001</v>
      </c>
      <c r="AW91">
        <f t="shared" si="25"/>
        <v>17.899008592000001</v>
      </c>
      <c r="AX91" s="9"/>
      <c r="AY91" s="21">
        <v>0.30792199999999997</v>
      </c>
      <c r="AZ91" s="21">
        <v>173.536</v>
      </c>
      <c r="BA91" s="21">
        <v>-1.5802E-2</v>
      </c>
      <c r="BB91" s="21">
        <v>81</v>
      </c>
      <c r="BC91" s="21">
        <v>0.30706800000000001</v>
      </c>
      <c r="BD91">
        <f t="shared" si="26"/>
        <v>15.802</v>
      </c>
      <c r="BE91">
        <f t="shared" si="27"/>
        <v>4.8657834439999998</v>
      </c>
      <c r="BH91" s="9"/>
      <c r="BI91" s="21">
        <v>1.3221700000000001</v>
      </c>
      <c r="BJ91" s="21">
        <v>222.886</v>
      </c>
      <c r="BK91" s="21">
        <v>-1.35406E-2</v>
      </c>
      <c r="BL91" s="21">
        <v>81</v>
      </c>
      <c r="BM91" s="21">
        <v>1.32141</v>
      </c>
      <c r="BN91">
        <f t="shared" si="28"/>
        <v>13.5406</v>
      </c>
      <c r="BO91">
        <f t="shared" si="29"/>
        <v>17.902975101999999</v>
      </c>
      <c r="BP91" s="9"/>
      <c r="BQ91" s="21">
        <v>0.30792199999999997</v>
      </c>
      <c r="BR91" s="21">
        <v>272.09199999999998</v>
      </c>
      <c r="BS91" s="21">
        <v>-1.5811200000000001E-2</v>
      </c>
      <c r="BT91" s="21">
        <v>81</v>
      </c>
      <c r="BU91" s="21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1.31714</v>
      </c>
      <c r="H92" s="21">
        <v>47.789900000000003</v>
      </c>
      <c r="I92" s="21">
        <v>-1.36078E-2</v>
      </c>
      <c r="J92" s="21">
        <v>82</v>
      </c>
      <c r="K92" s="21">
        <v>1.31592</v>
      </c>
      <c r="L92">
        <f t="shared" si="16"/>
        <v>13.607799999999999</v>
      </c>
      <c r="M92">
        <f t="shared" si="17"/>
        <v>17.923377691999999</v>
      </c>
      <c r="N92" s="9"/>
      <c r="O92" s="21">
        <v>0.31295800000000001</v>
      </c>
      <c r="P92" s="21">
        <v>97.172300000000007</v>
      </c>
      <c r="Q92" s="21">
        <v>-1.59119E-2</v>
      </c>
      <c r="R92" s="21">
        <v>82</v>
      </c>
      <c r="S92" s="21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1">
        <v>1.31714</v>
      </c>
      <c r="Z92" s="21">
        <v>49.874000000000002</v>
      </c>
      <c r="AA92" s="21">
        <v>-1.36902E-2</v>
      </c>
      <c r="AB92" s="21">
        <v>82</v>
      </c>
      <c r="AC92" s="21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1">
        <v>0.31295800000000001</v>
      </c>
      <c r="AH92" s="21">
        <v>74.858900000000006</v>
      </c>
      <c r="AI92" s="21">
        <v>-1.5808099999999999E-2</v>
      </c>
      <c r="AJ92" s="21">
        <v>82</v>
      </c>
      <c r="AK92" s="21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1">
        <v>1.31714</v>
      </c>
      <c r="AR92" s="21">
        <v>124.259</v>
      </c>
      <c r="AS92" s="21">
        <v>-1.35742E-2</v>
      </c>
      <c r="AT92" s="21">
        <v>82</v>
      </c>
      <c r="AU92" s="21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1">
        <v>0.31295800000000001</v>
      </c>
      <c r="AZ92" s="21">
        <v>173.54599999999999</v>
      </c>
      <c r="BA92" s="21">
        <v>-1.5799000000000001E-2</v>
      </c>
      <c r="BB92" s="21">
        <v>82</v>
      </c>
      <c r="BC92" s="21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1">
        <v>1.31714</v>
      </c>
      <c r="BJ92" s="21">
        <v>222.89599999999999</v>
      </c>
      <c r="BK92" s="21">
        <v>-1.35742E-2</v>
      </c>
      <c r="BL92" s="21">
        <v>82</v>
      </c>
      <c r="BM92" s="21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1">
        <v>0.31295800000000001</v>
      </c>
      <c r="BR92" s="21">
        <v>272.10199999999998</v>
      </c>
      <c r="BS92" s="21">
        <v>-1.5795900000000002E-2</v>
      </c>
      <c r="BT92" s="21">
        <v>82</v>
      </c>
      <c r="BU92" s="21">
        <v>0.312195</v>
      </c>
      <c r="BV92">
        <f t="shared" si="30"/>
        <v>15.795900000000001</v>
      </c>
      <c r="BW92">
        <f t="shared" si="31"/>
        <v>4.9434532722000011</v>
      </c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1.3121</v>
      </c>
      <c r="H93" s="21">
        <v>47.8</v>
      </c>
      <c r="I93" s="21">
        <v>-1.36627E-2</v>
      </c>
      <c r="J93" s="21">
        <v>83</v>
      </c>
      <c r="K93" s="21">
        <v>1.31134</v>
      </c>
      <c r="L93">
        <f t="shared" si="16"/>
        <v>13.662699999999999</v>
      </c>
      <c r="M93">
        <f t="shared" si="17"/>
        <v>17.926828669999999</v>
      </c>
      <c r="N93" s="9"/>
      <c r="O93" s="21">
        <v>0.31799300000000003</v>
      </c>
      <c r="P93" s="21">
        <v>97.182400000000001</v>
      </c>
      <c r="Q93" s="21">
        <v>-1.5905800000000001E-2</v>
      </c>
      <c r="R93" s="21">
        <v>83</v>
      </c>
      <c r="S93" s="21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1">
        <v>1.3121</v>
      </c>
      <c r="Z93" s="21">
        <v>49.884</v>
      </c>
      <c r="AA93" s="21">
        <v>-1.3726800000000001E-2</v>
      </c>
      <c r="AB93" s="21">
        <v>83</v>
      </c>
      <c r="AC93" s="21">
        <v>1.31104</v>
      </c>
      <c r="AD93">
        <f t="shared" si="20"/>
        <v>13.726800000000001</v>
      </c>
      <c r="AE93">
        <f t="shared" si="21"/>
        <v>18.010934280000001</v>
      </c>
      <c r="AF93" s="9"/>
      <c r="AG93" s="21">
        <v>0.31799300000000003</v>
      </c>
      <c r="AH93" s="21">
        <v>74.869</v>
      </c>
      <c r="AI93" s="21">
        <v>-1.5808099999999999E-2</v>
      </c>
      <c r="AJ93" s="21">
        <v>83</v>
      </c>
      <c r="AK93" s="21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1">
        <v>1.3121</v>
      </c>
      <c r="AR93" s="21">
        <v>124.26900000000001</v>
      </c>
      <c r="AS93" s="21">
        <v>-1.36078E-2</v>
      </c>
      <c r="AT93" s="21">
        <v>83</v>
      </c>
      <c r="AU93" s="21">
        <v>1.31134</v>
      </c>
      <c r="AV93">
        <f t="shared" si="24"/>
        <v>13.607799999999999</v>
      </c>
      <c r="AW93">
        <f t="shared" si="25"/>
        <v>17.854794380000001</v>
      </c>
      <c r="AX93" s="9"/>
      <c r="AY93" s="21">
        <v>0.31799300000000003</v>
      </c>
      <c r="AZ93" s="21">
        <v>173.55600000000001</v>
      </c>
      <c r="BA93" s="21">
        <v>-1.5795900000000002E-2</v>
      </c>
      <c r="BB93" s="21">
        <v>83</v>
      </c>
      <c r="BC93" s="21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1">
        <v>1.3121</v>
      </c>
      <c r="BJ93" s="21">
        <v>222.90600000000001</v>
      </c>
      <c r="BK93" s="21">
        <v>-1.3604700000000001E-2</v>
      </c>
      <c r="BL93" s="21">
        <v>83</v>
      </c>
      <c r="BM93" s="21">
        <v>1.31134</v>
      </c>
      <c r="BN93">
        <f t="shared" si="28"/>
        <v>13.604700000000001</v>
      </c>
      <c r="BO93">
        <f t="shared" si="29"/>
        <v>17.850726870000003</v>
      </c>
      <c r="BP93" s="9"/>
      <c r="BQ93" s="21">
        <v>0.31799300000000003</v>
      </c>
      <c r="BR93" s="21">
        <v>272.11200000000002</v>
      </c>
      <c r="BS93" s="21">
        <v>-1.5783700000000001E-2</v>
      </c>
      <c r="BT93" s="21">
        <v>83</v>
      </c>
      <c r="BU93" s="21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1.30707</v>
      </c>
      <c r="H94" s="21">
        <v>47.810099999999998</v>
      </c>
      <c r="I94" s="21">
        <v>-1.37146E-2</v>
      </c>
      <c r="J94" s="21">
        <v>84</v>
      </c>
      <c r="K94" s="21">
        <v>1.30646</v>
      </c>
      <c r="L94">
        <f t="shared" si="16"/>
        <v>13.714600000000001</v>
      </c>
      <c r="M94">
        <f t="shared" si="17"/>
        <v>17.925942222</v>
      </c>
      <c r="N94" s="9"/>
      <c r="O94" s="21">
        <v>0.32302900000000001</v>
      </c>
      <c r="P94" s="21">
        <v>97.192499999999995</v>
      </c>
      <c r="Q94" s="21">
        <v>-1.58966E-2</v>
      </c>
      <c r="R94" s="21">
        <v>84</v>
      </c>
      <c r="S94" s="21">
        <v>0.322266</v>
      </c>
      <c r="T94">
        <f t="shared" si="18"/>
        <v>15.896600000000001</v>
      </c>
      <c r="U94">
        <f t="shared" si="19"/>
        <v>5.1350628014000002</v>
      </c>
      <c r="X94" s="9"/>
      <c r="Y94" s="21">
        <v>1.30707</v>
      </c>
      <c r="Z94" s="21">
        <v>49.894100000000002</v>
      </c>
      <c r="AA94" s="21">
        <v>-1.37695E-2</v>
      </c>
      <c r="AB94" s="21">
        <v>84</v>
      </c>
      <c r="AC94" s="21">
        <v>1.30585</v>
      </c>
      <c r="AD94">
        <f t="shared" si="20"/>
        <v>13.769500000000001</v>
      </c>
      <c r="AE94">
        <f t="shared" si="21"/>
        <v>17.997700365</v>
      </c>
      <c r="AF94" s="9"/>
      <c r="AG94" s="21">
        <v>0.32302900000000001</v>
      </c>
      <c r="AH94" s="21">
        <v>74.879099999999994</v>
      </c>
      <c r="AI94" s="21">
        <v>-1.5811200000000001E-2</v>
      </c>
      <c r="AJ94" s="21">
        <v>84</v>
      </c>
      <c r="AK94" s="21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1">
        <v>1.30707</v>
      </c>
      <c r="AR94" s="21">
        <v>124.279</v>
      </c>
      <c r="AS94" s="21">
        <v>-1.3638300000000001E-2</v>
      </c>
      <c r="AT94" s="21">
        <v>84</v>
      </c>
      <c r="AU94" s="21">
        <v>1.30646</v>
      </c>
      <c r="AV94">
        <f t="shared" si="24"/>
        <v>13.638300000000001</v>
      </c>
      <c r="AW94">
        <f t="shared" si="25"/>
        <v>17.826212781000002</v>
      </c>
      <c r="AX94" s="9"/>
      <c r="AY94" s="21">
        <v>0.32302900000000001</v>
      </c>
      <c r="AZ94" s="21">
        <v>173.566</v>
      </c>
      <c r="BA94" s="21">
        <v>-1.57898E-2</v>
      </c>
      <c r="BB94" s="21">
        <v>84</v>
      </c>
      <c r="BC94" s="21">
        <v>0.322357</v>
      </c>
      <c r="BD94">
        <f t="shared" si="26"/>
        <v>15.7898</v>
      </c>
      <c r="BE94">
        <f t="shared" si="27"/>
        <v>5.1005633042000005</v>
      </c>
      <c r="BH94" s="9"/>
      <c r="BI94" s="21">
        <v>1.30707</v>
      </c>
      <c r="BJ94" s="21">
        <v>222.916</v>
      </c>
      <c r="BK94" s="21">
        <v>-1.3638300000000001E-2</v>
      </c>
      <c r="BL94" s="21">
        <v>84</v>
      </c>
      <c r="BM94" s="21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1">
        <v>0.32302900000000001</v>
      </c>
      <c r="BR94" s="21">
        <v>272.12200000000001</v>
      </c>
      <c r="BS94" s="21">
        <v>-1.5780599999999999E-2</v>
      </c>
      <c r="BT94" s="21">
        <v>84</v>
      </c>
      <c r="BU94" s="21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1.30203</v>
      </c>
      <c r="H95" s="21">
        <v>47.820099999999996</v>
      </c>
      <c r="I95" s="21">
        <v>-1.3766499999999999E-2</v>
      </c>
      <c r="J95" s="21">
        <v>85</v>
      </c>
      <c r="K95" s="21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1">
        <v>0.32806400000000002</v>
      </c>
      <c r="P95" s="21">
        <v>97.202600000000004</v>
      </c>
      <c r="Q95" s="21">
        <v>-1.58966E-2</v>
      </c>
      <c r="R95" s="21">
        <v>85</v>
      </c>
      <c r="S95" s="21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1">
        <v>1.30203</v>
      </c>
      <c r="Z95" s="21">
        <v>49.904200000000003</v>
      </c>
      <c r="AA95" s="21">
        <v>-1.3815300000000001E-2</v>
      </c>
      <c r="AB95" s="21">
        <v>85</v>
      </c>
      <c r="AC95" s="21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1">
        <v>0.32806400000000002</v>
      </c>
      <c r="AH95" s="21">
        <v>74.889099999999999</v>
      </c>
      <c r="AI95" s="21">
        <v>-1.5805099999999999E-2</v>
      </c>
      <c r="AJ95" s="21">
        <v>85</v>
      </c>
      <c r="AK95" s="21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1">
        <v>1.30203</v>
      </c>
      <c r="AR95" s="21">
        <v>124.29</v>
      </c>
      <c r="AS95" s="21">
        <v>-1.3677999999999999E-2</v>
      </c>
      <c r="AT95" s="21">
        <v>85</v>
      </c>
      <c r="AU95" s="21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1">
        <v>0.32806400000000002</v>
      </c>
      <c r="AZ95" s="21">
        <v>173.57599999999999</v>
      </c>
      <c r="BA95" s="21">
        <v>-1.5786700000000001E-2</v>
      </c>
      <c r="BB95" s="21">
        <v>85</v>
      </c>
      <c r="BC95" s="21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1">
        <v>1.30203</v>
      </c>
      <c r="BJ95" s="21">
        <v>222.92599999999999</v>
      </c>
      <c r="BK95" s="21">
        <v>-1.3677999999999999E-2</v>
      </c>
      <c r="BL95" s="21">
        <v>85</v>
      </c>
      <c r="BM95" s="21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1">
        <v>0.32806400000000002</v>
      </c>
      <c r="BR95" s="21">
        <v>272.13200000000001</v>
      </c>
      <c r="BS95" s="21">
        <v>-1.5771500000000001E-2</v>
      </c>
      <c r="BT95" s="21">
        <v>85</v>
      </c>
      <c r="BU95" s="21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1.2969999999999999</v>
      </c>
      <c r="H96" s="21">
        <v>47.830199999999998</v>
      </c>
      <c r="I96" s="21">
        <v>-1.3815300000000001E-2</v>
      </c>
      <c r="J96" s="21">
        <v>86</v>
      </c>
      <c r="K96" s="21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1">
        <v>0.33309899999999998</v>
      </c>
      <c r="P96" s="21">
        <v>97.212599999999995</v>
      </c>
      <c r="Q96" s="21">
        <v>-1.58966E-2</v>
      </c>
      <c r="R96" s="21">
        <v>86</v>
      </c>
      <c r="S96" s="21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1">
        <v>1.2969999999999999</v>
      </c>
      <c r="Z96" s="21">
        <v>49.914200000000001</v>
      </c>
      <c r="AA96" s="21">
        <v>-1.3864100000000001E-2</v>
      </c>
      <c r="AB96" s="21">
        <v>86</v>
      </c>
      <c r="AC96" s="21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1">
        <v>0.33309899999999998</v>
      </c>
      <c r="AH96" s="21">
        <v>74.899199999999993</v>
      </c>
      <c r="AI96" s="21">
        <v>-1.5802E-2</v>
      </c>
      <c r="AJ96" s="21">
        <v>86</v>
      </c>
      <c r="AK96" s="21">
        <v>0.33233600000000002</v>
      </c>
      <c r="AL96">
        <f t="shared" si="22"/>
        <v>15.802</v>
      </c>
      <c r="AM96">
        <f t="shared" si="23"/>
        <v>5.2636303979999992</v>
      </c>
      <c r="AP96" s="9"/>
      <c r="AQ96" s="21">
        <v>1.2969999999999999</v>
      </c>
      <c r="AR96" s="21">
        <v>124.3</v>
      </c>
      <c r="AS96" s="21">
        <v>-1.3726800000000001E-2</v>
      </c>
      <c r="AT96" s="21">
        <v>86</v>
      </c>
      <c r="AU96" s="21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1">
        <v>0.33309899999999998</v>
      </c>
      <c r="AZ96" s="21">
        <v>173.58600000000001</v>
      </c>
      <c r="BA96" s="21">
        <v>-1.5786700000000001E-2</v>
      </c>
      <c r="BB96" s="21">
        <v>86</v>
      </c>
      <c r="BC96" s="21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1">
        <v>1.2969999999999999</v>
      </c>
      <c r="BJ96" s="21">
        <v>222.93700000000001</v>
      </c>
      <c r="BK96" s="21">
        <v>-1.3720700000000001E-2</v>
      </c>
      <c r="BL96" s="21">
        <v>86</v>
      </c>
      <c r="BM96" s="21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1">
        <v>0.33309899999999998</v>
      </c>
      <c r="BR96" s="21">
        <v>272.142</v>
      </c>
      <c r="BS96" s="21">
        <v>-1.5756200000000001E-2</v>
      </c>
      <c r="BT96" s="21">
        <v>86</v>
      </c>
      <c r="BU96" s="21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1.29196</v>
      </c>
      <c r="H97" s="21">
        <v>47.840299999999999</v>
      </c>
      <c r="I97" s="21">
        <v>-1.3854999999999999E-2</v>
      </c>
      <c r="J97" s="21">
        <v>87</v>
      </c>
      <c r="K97" s="21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1">
        <v>0.33813500000000002</v>
      </c>
      <c r="P97" s="21">
        <v>97.222700000000003</v>
      </c>
      <c r="Q97" s="21">
        <v>-1.5893600000000001E-2</v>
      </c>
      <c r="R97" s="21">
        <v>87</v>
      </c>
      <c r="S97" s="21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1">
        <v>1.29196</v>
      </c>
      <c r="Z97" s="21">
        <v>49.924300000000002</v>
      </c>
      <c r="AA97" s="21">
        <v>-1.39008E-2</v>
      </c>
      <c r="AB97" s="21">
        <v>87</v>
      </c>
      <c r="AC97" s="21">
        <v>1.2915000000000001</v>
      </c>
      <c r="AD97">
        <f t="shared" si="20"/>
        <v>13.9008</v>
      </c>
      <c r="AE97">
        <f t="shared" si="21"/>
        <v>17.959277568000001</v>
      </c>
      <c r="AF97" s="9"/>
      <c r="AG97" s="21">
        <v>0.33813500000000002</v>
      </c>
      <c r="AH97" s="21">
        <v>74.909300000000002</v>
      </c>
      <c r="AI97" s="21">
        <v>-1.5795900000000002E-2</v>
      </c>
      <c r="AJ97" s="21">
        <v>87</v>
      </c>
      <c r="AK97" s="21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1">
        <v>1.29196</v>
      </c>
      <c r="AR97" s="21">
        <v>124.31</v>
      </c>
      <c r="AS97" s="21">
        <v>-1.3772599999999999E-2</v>
      </c>
      <c r="AT97" s="21">
        <v>87</v>
      </c>
      <c r="AU97" s="21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1">
        <v>0.33813500000000002</v>
      </c>
      <c r="AZ97" s="21">
        <v>173.596</v>
      </c>
      <c r="BA97" s="21">
        <v>-1.5786700000000001E-2</v>
      </c>
      <c r="BB97" s="21">
        <v>87</v>
      </c>
      <c r="BC97" s="21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1">
        <v>1.29196</v>
      </c>
      <c r="BJ97" s="21">
        <v>222.947</v>
      </c>
      <c r="BK97" s="21">
        <v>-1.37512E-2</v>
      </c>
      <c r="BL97" s="21">
        <v>87</v>
      </c>
      <c r="BM97" s="21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1">
        <v>0.33813500000000002</v>
      </c>
      <c r="BR97" s="21">
        <v>272.15199999999999</v>
      </c>
      <c r="BS97" s="21">
        <v>-1.5744000000000001E-2</v>
      </c>
      <c r="BT97" s="21">
        <v>87</v>
      </c>
      <c r="BU97" s="21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1.2869299999999999</v>
      </c>
      <c r="H98" s="21">
        <v>47.850299999999997</v>
      </c>
      <c r="I98" s="21">
        <v>-1.3897700000000001E-2</v>
      </c>
      <c r="J98" s="21">
        <v>88</v>
      </c>
      <c r="K98" s="21">
        <v>1.2860100000000001</v>
      </c>
      <c r="L98">
        <f t="shared" si="16"/>
        <v>13.8977</v>
      </c>
      <c r="M98">
        <f t="shared" si="17"/>
        <v>17.885367061</v>
      </c>
      <c r="N98" s="9"/>
      <c r="O98" s="21">
        <v>0.34316999999999998</v>
      </c>
      <c r="P98" s="21">
        <v>97.232799999999997</v>
      </c>
      <c r="Q98" s="21">
        <v>-1.5890499999999998E-2</v>
      </c>
      <c r="R98" s="21">
        <v>88</v>
      </c>
      <c r="S98" s="21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1">
        <v>1.2869299999999999</v>
      </c>
      <c r="Z98" s="21">
        <v>49.934399999999997</v>
      </c>
      <c r="AA98" s="21">
        <v>-1.39343E-2</v>
      </c>
      <c r="AB98" s="21">
        <v>88</v>
      </c>
      <c r="AC98" s="21">
        <v>1.2860100000000001</v>
      </c>
      <c r="AD98">
        <f t="shared" si="20"/>
        <v>13.9343</v>
      </c>
      <c r="AE98">
        <f t="shared" si="21"/>
        <v>17.932468698999998</v>
      </c>
      <c r="AF98" s="9"/>
      <c r="AG98" s="21">
        <v>0.34316999999999998</v>
      </c>
      <c r="AH98" s="21">
        <v>74.919399999999996</v>
      </c>
      <c r="AI98" s="21">
        <v>-1.5792799999999999E-2</v>
      </c>
      <c r="AJ98" s="21">
        <v>88</v>
      </c>
      <c r="AK98" s="21">
        <v>0.34246799999999999</v>
      </c>
      <c r="AL98">
        <f t="shared" si="22"/>
        <v>15.7928</v>
      </c>
      <c r="AM98">
        <f t="shared" si="23"/>
        <v>5.4196151759999998</v>
      </c>
      <c r="AP98" s="9"/>
      <c r="AQ98" s="21">
        <v>1.2869299999999999</v>
      </c>
      <c r="AR98" s="21">
        <v>124.32</v>
      </c>
      <c r="AS98" s="21">
        <v>-1.38123E-2</v>
      </c>
      <c r="AT98" s="21">
        <v>88</v>
      </c>
      <c r="AU98" s="21">
        <v>1.2860100000000001</v>
      </c>
      <c r="AV98">
        <f t="shared" si="24"/>
        <v>13.8123</v>
      </c>
      <c r="AW98">
        <f t="shared" si="25"/>
        <v>17.775463239</v>
      </c>
      <c r="AX98" s="9"/>
      <c r="AY98" s="21">
        <v>0.34316999999999998</v>
      </c>
      <c r="AZ98" s="21">
        <v>173.60599999999999</v>
      </c>
      <c r="BA98" s="21">
        <v>-1.57745E-2</v>
      </c>
      <c r="BB98" s="21">
        <v>88</v>
      </c>
      <c r="BC98" s="21">
        <v>0.34234599999999998</v>
      </c>
      <c r="BD98">
        <f t="shared" si="26"/>
        <v>15.7745</v>
      </c>
      <c r="BE98">
        <f t="shared" si="27"/>
        <v>5.4133351649999994</v>
      </c>
      <c r="BH98" s="9"/>
      <c r="BI98" s="21">
        <v>1.2869299999999999</v>
      </c>
      <c r="BJ98" s="21">
        <v>222.95699999999999</v>
      </c>
      <c r="BK98" s="21">
        <v>-1.37848E-2</v>
      </c>
      <c r="BL98" s="21">
        <v>88</v>
      </c>
      <c r="BM98" s="21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1">
        <v>0.34316999999999998</v>
      </c>
      <c r="BR98" s="21">
        <v>272.16199999999998</v>
      </c>
      <c r="BS98" s="21">
        <v>-1.5744000000000001E-2</v>
      </c>
      <c r="BT98" s="21">
        <v>88</v>
      </c>
      <c r="BU98" s="21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1.28189</v>
      </c>
      <c r="H99" s="21">
        <v>47.860399999999998</v>
      </c>
      <c r="I99" s="21">
        <v>-1.3946500000000001E-2</v>
      </c>
      <c r="J99" s="21">
        <v>89</v>
      </c>
      <c r="K99" s="21">
        <v>1.2808200000000001</v>
      </c>
      <c r="L99">
        <f t="shared" si="16"/>
        <v>13.9465</v>
      </c>
      <c r="M99">
        <f t="shared" si="17"/>
        <v>17.877878885000001</v>
      </c>
      <c r="N99" s="9"/>
      <c r="O99" s="21">
        <v>0.34820600000000002</v>
      </c>
      <c r="P99" s="21">
        <v>97.242800000000003</v>
      </c>
      <c r="Q99" s="21">
        <v>-1.5890499999999998E-2</v>
      </c>
      <c r="R99" s="21">
        <v>89</v>
      </c>
      <c r="S99" s="21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1">
        <v>1.28189</v>
      </c>
      <c r="Z99" s="21">
        <v>49.944499999999998</v>
      </c>
      <c r="AA99" s="21">
        <v>-1.39709E-2</v>
      </c>
      <c r="AB99" s="21">
        <v>89</v>
      </c>
      <c r="AC99" s="21">
        <v>1.2814300000000001</v>
      </c>
      <c r="AD99">
        <f t="shared" si="20"/>
        <v>13.9709</v>
      </c>
      <c r="AE99">
        <f t="shared" si="21"/>
        <v>17.909157001000001</v>
      </c>
      <c r="AF99" s="9"/>
      <c r="AG99" s="21">
        <v>0.34820600000000002</v>
      </c>
      <c r="AH99" s="21">
        <v>74.929400000000001</v>
      </c>
      <c r="AI99" s="21">
        <v>-1.5780599999999999E-2</v>
      </c>
      <c r="AJ99" s="21">
        <v>89</v>
      </c>
      <c r="AK99" s="21">
        <v>0.347443</v>
      </c>
      <c r="AL99">
        <f t="shared" si="22"/>
        <v>15.780599999999998</v>
      </c>
      <c r="AM99">
        <f t="shared" si="23"/>
        <v>5.4948996035999995</v>
      </c>
      <c r="AP99" s="9"/>
      <c r="AQ99" s="21">
        <v>1.28189</v>
      </c>
      <c r="AR99" s="21">
        <v>124.33</v>
      </c>
      <c r="AS99" s="21">
        <v>-1.3848900000000001E-2</v>
      </c>
      <c r="AT99" s="21">
        <v>89</v>
      </c>
      <c r="AU99" s="21">
        <v>1.2811300000000001</v>
      </c>
      <c r="AV99">
        <f t="shared" si="24"/>
        <v>13.8489</v>
      </c>
      <c r="AW99">
        <f t="shared" si="25"/>
        <v>17.752766421</v>
      </c>
      <c r="AX99" s="9"/>
      <c r="AY99" s="21">
        <v>0.34820600000000002</v>
      </c>
      <c r="AZ99" s="21">
        <v>173.61600000000001</v>
      </c>
      <c r="BA99" s="21">
        <v>-1.57593E-2</v>
      </c>
      <c r="BB99" s="21">
        <v>89</v>
      </c>
      <c r="BC99" s="21">
        <v>0.34747299999999998</v>
      </c>
      <c r="BD99">
        <f t="shared" si="26"/>
        <v>15.7593</v>
      </c>
      <c r="BE99">
        <f t="shared" si="27"/>
        <v>5.4874828158</v>
      </c>
      <c r="BH99" s="9"/>
      <c r="BI99" s="21">
        <v>1.28189</v>
      </c>
      <c r="BJ99" s="21">
        <v>222.96700000000001</v>
      </c>
      <c r="BK99" s="21">
        <v>-1.38123E-2</v>
      </c>
      <c r="BL99" s="21">
        <v>89</v>
      </c>
      <c r="BM99" s="21">
        <v>1.2802100000000001</v>
      </c>
      <c r="BN99">
        <f t="shared" si="28"/>
        <v>13.8123</v>
      </c>
      <c r="BO99">
        <f t="shared" si="29"/>
        <v>17.705849247</v>
      </c>
      <c r="BP99" s="9"/>
      <c r="BQ99" s="21">
        <v>0.34820600000000002</v>
      </c>
      <c r="BR99" s="21">
        <v>272.17200000000003</v>
      </c>
      <c r="BS99" s="21">
        <v>-1.5737899999999999E-2</v>
      </c>
      <c r="BT99" s="21">
        <v>89</v>
      </c>
      <c r="BU99" s="21">
        <v>0.347443</v>
      </c>
      <c r="BV99">
        <f t="shared" si="30"/>
        <v>15.7379</v>
      </c>
      <c r="BW99">
        <f t="shared" si="31"/>
        <v>5.4800312074000006</v>
      </c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1.2768600000000001</v>
      </c>
      <c r="H100" s="21">
        <v>47.8705</v>
      </c>
      <c r="I100" s="21">
        <v>-1.3983199999999999E-2</v>
      </c>
      <c r="J100" s="21">
        <v>90</v>
      </c>
      <c r="K100" s="21">
        <v>1.27563</v>
      </c>
      <c r="L100">
        <f t="shared" si="16"/>
        <v>13.9832</v>
      </c>
      <c r="M100">
        <f t="shared" si="17"/>
        <v>17.854588752000002</v>
      </c>
      <c r="N100" s="9"/>
      <c r="O100" s="21">
        <v>0.35324100000000003</v>
      </c>
      <c r="P100" s="21">
        <v>97.252899999999997</v>
      </c>
      <c r="Q100" s="21">
        <v>-1.5890499999999998E-2</v>
      </c>
      <c r="R100" s="21">
        <v>90</v>
      </c>
      <c r="S100" s="21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1">
        <v>1.2768600000000001</v>
      </c>
      <c r="Z100" s="21">
        <v>49.954500000000003</v>
      </c>
      <c r="AA100" s="21">
        <v>-1.40015E-2</v>
      </c>
      <c r="AB100" s="21">
        <v>90</v>
      </c>
      <c r="AC100" s="21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1">
        <v>0.35324100000000003</v>
      </c>
      <c r="AH100" s="21">
        <v>74.939499999999995</v>
      </c>
      <c r="AI100" s="21">
        <v>-1.57593E-2</v>
      </c>
      <c r="AJ100" s="21">
        <v>90</v>
      </c>
      <c r="AK100" s="21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1">
        <v>1.2768600000000001</v>
      </c>
      <c r="AR100" s="21">
        <v>124.34</v>
      </c>
      <c r="AS100" s="21">
        <v>-1.38885E-2</v>
      </c>
      <c r="AT100" s="21">
        <v>90</v>
      </c>
      <c r="AU100" s="21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1">
        <v>0.35324100000000003</v>
      </c>
      <c r="AZ100" s="21">
        <v>173.626</v>
      </c>
      <c r="BA100" s="21">
        <v>-1.5753199999999998E-2</v>
      </c>
      <c r="BB100" s="21">
        <v>90</v>
      </c>
      <c r="BC100" s="21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1">
        <v>1.2768600000000001</v>
      </c>
      <c r="BJ100" s="21">
        <v>222.977</v>
      </c>
      <c r="BK100" s="21">
        <v>-1.38367E-2</v>
      </c>
      <c r="BL100" s="21">
        <v>90</v>
      </c>
      <c r="BM100" s="21">
        <v>1.27563</v>
      </c>
      <c r="BN100">
        <f t="shared" si="28"/>
        <v>13.8367</v>
      </c>
      <c r="BO100">
        <f t="shared" si="29"/>
        <v>17.667528762000003</v>
      </c>
      <c r="BP100" s="9"/>
      <c r="BQ100" s="21">
        <v>0.35324100000000003</v>
      </c>
      <c r="BR100" s="21">
        <v>272.18200000000002</v>
      </c>
      <c r="BS100" s="21">
        <v>-1.5731800000000001E-2</v>
      </c>
      <c r="BT100" s="21">
        <v>90</v>
      </c>
      <c r="BU100" s="21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1.27182</v>
      </c>
      <c r="H101" s="21">
        <v>47.880600000000001</v>
      </c>
      <c r="I101" s="21">
        <v>-1.4019800000000001E-2</v>
      </c>
      <c r="J101" s="21">
        <v>91</v>
      </c>
      <c r="K101" s="21">
        <v>1.2704500000000001</v>
      </c>
      <c r="L101">
        <f t="shared" si="16"/>
        <v>14.0198</v>
      </c>
      <c r="M101">
        <f t="shared" si="17"/>
        <v>17.830662036</v>
      </c>
      <c r="N101" s="9"/>
      <c r="O101" s="21">
        <v>0.35827599999999998</v>
      </c>
      <c r="P101" s="21">
        <v>97.263000000000005</v>
      </c>
      <c r="Q101" s="21">
        <v>-1.5890499999999998E-2</v>
      </c>
      <c r="R101" s="21">
        <v>91</v>
      </c>
      <c r="S101" s="21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1">
        <v>1.27182</v>
      </c>
      <c r="Z101" s="21">
        <v>49.964599999999997</v>
      </c>
      <c r="AA101" s="21">
        <v>-1.4035000000000001E-2</v>
      </c>
      <c r="AB101" s="21">
        <v>91</v>
      </c>
      <c r="AC101" s="21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1">
        <v>0.35827599999999998</v>
      </c>
      <c r="AH101" s="21">
        <v>74.949600000000004</v>
      </c>
      <c r="AI101" s="21">
        <v>-1.57501E-2</v>
      </c>
      <c r="AJ101" s="21">
        <v>91</v>
      </c>
      <c r="AK101" s="21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1">
        <v>1.27182</v>
      </c>
      <c r="AR101" s="21">
        <v>124.35</v>
      </c>
      <c r="AS101" s="21">
        <v>-1.39191E-2</v>
      </c>
      <c r="AT101" s="21">
        <v>91</v>
      </c>
      <c r="AU101" s="21">
        <v>1.27075</v>
      </c>
      <c r="AV101">
        <f t="shared" si="24"/>
        <v>13.9191</v>
      </c>
      <c r="AW101">
        <f t="shared" si="25"/>
        <v>17.702589761999999</v>
      </c>
      <c r="AX101" s="9"/>
      <c r="AY101" s="21">
        <v>0.35827599999999998</v>
      </c>
      <c r="AZ101" s="21">
        <v>173.636</v>
      </c>
      <c r="BA101" s="21">
        <v>-1.5744000000000001E-2</v>
      </c>
      <c r="BB101" s="21">
        <v>91</v>
      </c>
      <c r="BC101" s="21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1">
        <v>1.27182</v>
      </c>
      <c r="BJ101" s="21">
        <v>222.98699999999999</v>
      </c>
      <c r="BK101" s="21">
        <v>-1.3864100000000001E-2</v>
      </c>
      <c r="BL101" s="21">
        <v>91</v>
      </c>
      <c r="BM101" s="21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1">
        <v>0.35827599999999998</v>
      </c>
      <c r="BR101" s="21">
        <v>272.19200000000001</v>
      </c>
      <c r="BS101" s="21">
        <v>-1.5737899999999999E-2</v>
      </c>
      <c r="BT101" s="21">
        <v>91</v>
      </c>
      <c r="BU101" s="21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1.26678</v>
      </c>
      <c r="H102" s="21">
        <v>47.890599999999999</v>
      </c>
      <c r="I102" s="21">
        <v>-1.4053299999999999E-2</v>
      </c>
      <c r="J102" s="21">
        <v>92</v>
      </c>
      <c r="K102" s="21">
        <v>1.2664800000000001</v>
      </c>
      <c r="L102">
        <f t="shared" si="16"/>
        <v>14.0533</v>
      </c>
      <c r="M102">
        <f t="shared" si="17"/>
        <v>17.802439373999999</v>
      </c>
      <c r="N102" s="9"/>
      <c r="O102" s="21">
        <v>0.36331200000000002</v>
      </c>
      <c r="P102" s="21">
        <v>97.273099999999999</v>
      </c>
      <c r="Q102" s="21">
        <v>-1.5890499999999998E-2</v>
      </c>
      <c r="R102" s="21">
        <v>92</v>
      </c>
      <c r="S102" s="21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1">
        <v>1.26678</v>
      </c>
      <c r="Z102" s="21">
        <v>49.974699999999999</v>
      </c>
      <c r="AA102" s="21">
        <v>-1.4053299999999999E-2</v>
      </c>
      <c r="AB102" s="21">
        <v>92</v>
      </c>
      <c r="AC102" s="21">
        <v>1.26556</v>
      </c>
      <c r="AD102">
        <f t="shared" si="20"/>
        <v>14.0533</v>
      </c>
      <c r="AE102">
        <f t="shared" si="21"/>
        <v>17.802439373999999</v>
      </c>
      <c r="AF102" s="9"/>
      <c r="AG102" s="21">
        <v>0.36331200000000002</v>
      </c>
      <c r="AH102" s="21">
        <v>74.959599999999995</v>
      </c>
      <c r="AI102" s="21">
        <v>-1.57349E-2</v>
      </c>
      <c r="AJ102" s="21">
        <v>92</v>
      </c>
      <c r="AK102" s="21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1">
        <v>1.26678</v>
      </c>
      <c r="AR102" s="21">
        <v>124.36</v>
      </c>
      <c r="AS102" s="21">
        <v>-1.39557E-2</v>
      </c>
      <c r="AT102" s="21">
        <v>92</v>
      </c>
      <c r="AU102" s="21">
        <v>1.26617</v>
      </c>
      <c r="AV102">
        <f t="shared" si="24"/>
        <v>13.9557</v>
      </c>
      <c r="AW102">
        <f t="shared" si="25"/>
        <v>17.678801646</v>
      </c>
      <c r="AX102" s="9"/>
      <c r="AY102" s="21">
        <v>0.36331200000000002</v>
      </c>
      <c r="AZ102" s="21">
        <v>173.64699999999999</v>
      </c>
      <c r="BA102" s="21">
        <v>-1.57471E-2</v>
      </c>
      <c r="BB102" s="21">
        <v>92</v>
      </c>
      <c r="BC102" s="21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1">
        <v>1.26678</v>
      </c>
      <c r="BJ102" s="21">
        <v>222.99700000000001</v>
      </c>
      <c r="BK102" s="21">
        <v>-1.38916E-2</v>
      </c>
      <c r="BL102" s="21">
        <v>92</v>
      </c>
      <c r="BM102" s="21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1">
        <v>0.36331200000000002</v>
      </c>
      <c r="BR102" s="21">
        <v>272.202</v>
      </c>
      <c r="BS102" s="21">
        <v>-1.5737899999999999E-2</v>
      </c>
      <c r="BT102" s="21">
        <v>92</v>
      </c>
      <c r="BU102" s="21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1.2617499999999999</v>
      </c>
      <c r="H103" s="21">
        <v>47.900700000000001</v>
      </c>
      <c r="I103" s="21">
        <v>-1.40961E-2</v>
      </c>
      <c r="J103" s="21">
        <v>93</v>
      </c>
      <c r="K103" s="21">
        <v>1.2616000000000001</v>
      </c>
      <c r="L103">
        <f t="shared" si="16"/>
        <v>14.0961</v>
      </c>
      <c r="M103">
        <f t="shared" si="17"/>
        <v>17.785754174999997</v>
      </c>
      <c r="N103" s="9"/>
      <c r="O103" s="21">
        <v>0.36834699999999998</v>
      </c>
      <c r="P103" s="21">
        <v>97.283100000000005</v>
      </c>
      <c r="Q103" s="21">
        <v>-1.5899699999999999E-2</v>
      </c>
      <c r="R103" s="21">
        <v>93</v>
      </c>
      <c r="S103" s="21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1">
        <v>1.2617499999999999</v>
      </c>
      <c r="Z103" s="21">
        <v>49.984699999999997</v>
      </c>
      <c r="AA103" s="21">
        <v>-1.4080799999999999E-2</v>
      </c>
      <c r="AB103" s="21">
        <v>93</v>
      </c>
      <c r="AC103" s="21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1">
        <v>0.36834699999999998</v>
      </c>
      <c r="AH103" s="21">
        <v>74.969700000000003</v>
      </c>
      <c r="AI103" s="21">
        <v>-1.57196E-2</v>
      </c>
      <c r="AJ103" s="21">
        <v>93</v>
      </c>
      <c r="AK103" s="21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1">
        <v>1.2617499999999999</v>
      </c>
      <c r="AR103" s="21">
        <v>124.37</v>
      </c>
      <c r="AS103" s="21">
        <v>-1.39954E-2</v>
      </c>
      <c r="AT103" s="21">
        <v>93</v>
      </c>
      <c r="AU103" s="21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1">
        <v>0.36834699999999998</v>
      </c>
      <c r="AZ103" s="21">
        <v>173.65700000000001</v>
      </c>
      <c r="BA103" s="21">
        <v>-1.5737899999999999E-2</v>
      </c>
      <c r="BB103" s="21">
        <v>93</v>
      </c>
      <c r="BC103" s="21">
        <v>0.367676</v>
      </c>
      <c r="BD103">
        <f t="shared" si="26"/>
        <v>15.7379</v>
      </c>
      <c r="BE103">
        <f t="shared" si="27"/>
        <v>5.7970082512999994</v>
      </c>
      <c r="BH103" s="9"/>
      <c r="BI103" s="21">
        <v>1.2617499999999999</v>
      </c>
      <c r="BJ103" s="21">
        <v>223.00700000000001</v>
      </c>
      <c r="BK103" s="21">
        <v>-1.39191E-2</v>
      </c>
      <c r="BL103" s="21">
        <v>93</v>
      </c>
      <c r="BM103" s="21">
        <v>1.26068</v>
      </c>
      <c r="BN103">
        <f t="shared" si="28"/>
        <v>13.9191</v>
      </c>
      <c r="BO103">
        <f t="shared" si="29"/>
        <v>17.562424425</v>
      </c>
      <c r="BP103" s="9"/>
      <c r="BQ103" s="21">
        <v>0.36834699999999998</v>
      </c>
      <c r="BR103" s="21">
        <v>272.21199999999999</v>
      </c>
      <c r="BS103" s="21">
        <v>-1.5737899999999999E-2</v>
      </c>
      <c r="BT103" s="21">
        <v>93</v>
      </c>
      <c r="BU103" s="21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1.25671</v>
      </c>
      <c r="H104" s="21">
        <v>47.910800000000002</v>
      </c>
      <c r="I104" s="21">
        <v>-1.4135699999999999E-2</v>
      </c>
      <c r="J104" s="21">
        <v>94</v>
      </c>
      <c r="K104" s="21">
        <v>1.2558</v>
      </c>
      <c r="L104">
        <f t="shared" si="16"/>
        <v>14.1357</v>
      </c>
      <c r="M104">
        <f t="shared" si="17"/>
        <v>17.764475547</v>
      </c>
      <c r="N104" s="9"/>
      <c r="O104" s="21">
        <v>0.37338300000000002</v>
      </c>
      <c r="P104" s="21">
        <v>97.293199999999999</v>
      </c>
      <c r="Q104" s="21">
        <v>-1.5905800000000001E-2</v>
      </c>
      <c r="R104" s="21">
        <v>94</v>
      </c>
      <c r="S104" s="21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1">
        <v>1.25671</v>
      </c>
      <c r="Z104" s="21">
        <v>49.994799999999998</v>
      </c>
      <c r="AA104" s="21">
        <v>-1.4108300000000001E-2</v>
      </c>
      <c r="AB104" s="21">
        <v>94</v>
      </c>
      <c r="AC104" s="21">
        <v>1.25549</v>
      </c>
      <c r="AD104">
        <f t="shared" si="20"/>
        <v>14.1083</v>
      </c>
      <c r="AE104">
        <f t="shared" si="21"/>
        <v>17.730041693</v>
      </c>
      <c r="AF104" s="9"/>
      <c r="AG104" s="21">
        <v>0.37338300000000002</v>
      </c>
      <c r="AH104" s="21">
        <v>74.979799999999997</v>
      </c>
      <c r="AI104" s="21">
        <v>-1.57074E-2</v>
      </c>
      <c r="AJ104" s="21">
        <v>94</v>
      </c>
      <c r="AK104" s="21">
        <v>0.372589</v>
      </c>
      <c r="AL104">
        <f t="shared" si="22"/>
        <v>15.7074</v>
      </c>
      <c r="AM104">
        <f t="shared" si="23"/>
        <v>5.8648761342000002</v>
      </c>
      <c r="AP104" s="9"/>
      <c r="AQ104" s="21">
        <v>1.25671</v>
      </c>
      <c r="AR104" s="21">
        <v>124.38</v>
      </c>
      <c r="AS104" s="21">
        <v>-1.4025900000000001E-2</v>
      </c>
      <c r="AT104" s="21">
        <v>94</v>
      </c>
      <c r="AU104" s="21">
        <v>1.2558</v>
      </c>
      <c r="AV104">
        <f t="shared" si="24"/>
        <v>14.0259</v>
      </c>
      <c r="AW104">
        <f t="shared" si="25"/>
        <v>17.626488789</v>
      </c>
      <c r="AX104" s="9"/>
      <c r="AY104" s="21">
        <v>0.37338300000000002</v>
      </c>
      <c r="AZ104" s="21">
        <v>173.667</v>
      </c>
      <c r="BA104" s="21">
        <v>-1.57349E-2</v>
      </c>
      <c r="BB104" s="21">
        <v>94</v>
      </c>
      <c r="BC104" s="21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1">
        <v>1.25671</v>
      </c>
      <c r="BJ104" s="21">
        <v>223.017</v>
      </c>
      <c r="BK104" s="21">
        <v>-1.3952600000000001E-2</v>
      </c>
      <c r="BL104" s="21">
        <v>94</v>
      </c>
      <c r="BM104" s="21">
        <v>1.2561</v>
      </c>
      <c r="BN104">
        <f t="shared" si="28"/>
        <v>13.9526</v>
      </c>
      <c r="BO104">
        <f t="shared" si="29"/>
        <v>17.534371946</v>
      </c>
      <c r="BP104" s="9"/>
      <c r="BQ104" s="21">
        <v>0.37338300000000002</v>
      </c>
      <c r="BR104" s="21">
        <v>272.22300000000001</v>
      </c>
      <c r="BS104" s="21">
        <v>-1.5728800000000001E-2</v>
      </c>
      <c r="BT104" s="21">
        <v>94</v>
      </c>
      <c r="BU104" s="21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1.2516799999999999</v>
      </c>
      <c r="H105" s="21">
        <v>47.9208</v>
      </c>
      <c r="I105" s="21">
        <v>-1.41785E-2</v>
      </c>
      <c r="J105" s="21">
        <v>95</v>
      </c>
      <c r="K105" s="21">
        <v>1.25061</v>
      </c>
      <c r="L105">
        <f t="shared" si="16"/>
        <v>14.1785</v>
      </c>
      <c r="M105">
        <f t="shared" si="17"/>
        <v>17.746944879999997</v>
      </c>
      <c r="N105" s="9"/>
      <c r="O105" s="21">
        <v>0.37841799999999998</v>
      </c>
      <c r="P105" s="21">
        <v>97.303299999999993</v>
      </c>
      <c r="Q105" s="21">
        <v>-1.5908800000000001E-2</v>
      </c>
      <c r="R105" s="21">
        <v>95</v>
      </c>
      <c r="S105" s="21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1">
        <v>1.2516799999999999</v>
      </c>
      <c r="Z105" s="21">
        <v>50.004899999999999</v>
      </c>
      <c r="AA105" s="21">
        <v>-1.41327E-2</v>
      </c>
      <c r="AB105" s="21">
        <v>95</v>
      </c>
      <c r="AC105" s="21">
        <v>1.25092</v>
      </c>
      <c r="AD105">
        <f t="shared" si="20"/>
        <v>14.1327</v>
      </c>
      <c r="AE105">
        <f t="shared" si="21"/>
        <v>17.689617935999998</v>
      </c>
      <c r="AF105" s="9"/>
      <c r="AG105" s="21">
        <v>0.37841799999999998</v>
      </c>
      <c r="AH105" s="21">
        <v>74.989900000000006</v>
      </c>
      <c r="AI105" s="21">
        <v>-1.57074E-2</v>
      </c>
      <c r="AJ105" s="21">
        <v>95</v>
      </c>
      <c r="AK105" s="21">
        <v>0.377747</v>
      </c>
      <c r="AL105">
        <f t="shared" si="22"/>
        <v>15.7074</v>
      </c>
      <c r="AM105">
        <f t="shared" si="23"/>
        <v>5.9439628931999993</v>
      </c>
      <c r="AP105" s="9"/>
      <c r="AQ105" s="21">
        <v>1.2516799999999999</v>
      </c>
      <c r="AR105" s="21">
        <v>124.39</v>
      </c>
      <c r="AS105" s="21">
        <v>-1.40625E-2</v>
      </c>
      <c r="AT105" s="21">
        <v>95</v>
      </c>
      <c r="AU105" s="21">
        <v>1.25122</v>
      </c>
      <c r="AV105">
        <f t="shared" si="24"/>
        <v>14.0625</v>
      </c>
      <c r="AW105">
        <f t="shared" si="25"/>
        <v>17.601749999999999</v>
      </c>
      <c r="AX105" s="9"/>
      <c r="AY105" s="21">
        <v>0.37841799999999998</v>
      </c>
      <c r="AZ105" s="21">
        <v>173.67699999999999</v>
      </c>
      <c r="BA105" s="21">
        <v>-1.5725699999999999E-2</v>
      </c>
      <c r="BB105" s="21">
        <v>95</v>
      </c>
      <c r="BC105" s="21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1">
        <v>1.2516799999999999</v>
      </c>
      <c r="BJ105" s="21">
        <v>223.02699999999999</v>
      </c>
      <c r="BK105" s="21">
        <v>-1.39893E-2</v>
      </c>
      <c r="BL105" s="21">
        <v>95</v>
      </c>
      <c r="BM105" s="21">
        <v>1.25092</v>
      </c>
      <c r="BN105">
        <f t="shared" si="28"/>
        <v>13.9893</v>
      </c>
      <c r="BO105">
        <f t="shared" si="29"/>
        <v>17.510127023999999</v>
      </c>
      <c r="BP105" s="9"/>
      <c r="BQ105" s="21">
        <v>0.37841799999999998</v>
      </c>
      <c r="BR105" s="21">
        <v>272.233</v>
      </c>
      <c r="BS105" s="21">
        <v>-1.57196E-2</v>
      </c>
      <c r="BT105" s="21">
        <v>95</v>
      </c>
      <c r="BU105" s="21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1.24664</v>
      </c>
      <c r="H106" s="21">
        <v>47.930900000000001</v>
      </c>
      <c r="I106" s="21">
        <v>-1.42151E-2</v>
      </c>
      <c r="J106" s="21">
        <v>96</v>
      </c>
      <c r="K106" s="21">
        <v>1.24542</v>
      </c>
      <c r="L106">
        <f t="shared" si="16"/>
        <v>14.2151</v>
      </c>
      <c r="M106">
        <f t="shared" si="17"/>
        <v>17.721112263999999</v>
      </c>
      <c r="N106" s="9"/>
      <c r="O106" s="21">
        <v>0.38345299999999999</v>
      </c>
      <c r="P106" s="21">
        <v>97.313299999999998</v>
      </c>
      <c r="Q106" s="21">
        <v>-1.5908800000000001E-2</v>
      </c>
      <c r="R106" s="21">
        <v>96</v>
      </c>
      <c r="S106" s="21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1">
        <v>1.24664</v>
      </c>
      <c r="Z106" s="21">
        <v>50.015000000000001</v>
      </c>
      <c r="AA106" s="21">
        <v>-1.41663E-2</v>
      </c>
      <c r="AB106" s="21">
        <v>96</v>
      </c>
      <c r="AC106" s="21">
        <v>1.24542</v>
      </c>
      <c r="AD106">
        <f t="shared" si="20"/>
        <v>14.1663</v>
      </c>
      <c r="AE106">
        <f t="shared" si="21"/>
        <v>17.660276231999998</v>
      </c>
      <c r="AF106" s="9"/>
      <c r="AG106" s="21">
        <v>0.38345299999999999</v>
      </c>
      <c r="AH106" s="21">
        <v>74.999899999999997</v>
      </c>
      <c r="AI106" s="21">
        <v>-1.5710399999999999E-2</v>
      </c>
      <c r="AJ106" s="21">
        <v>96</v>
      </c>
      <c r="AK106" s="21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1">
        <v>1.24664</v>
      </c>
      <c r="AR106" s="21">
        <v>124.4</v>
      </c>
      <c r="AS106" s="21">
        <v>-1.40839E-2</v>
      </c>
      <c r="AT106" s="21">
        <v>96</v>
      </c>
      <c r="AU106" s="21">
        <v>1.24512</v>
      </c>
      <c r="AV106">
        <f t="shared" si="24"/>
        <v>14.0839</v>
      </c>
      <c r="AW106">
        <f t="shared" si="25"/>
        <v>17.557553095999999</v>
      </c>
      <c r="AX106" s="9"/>
      <c r="AY106" s="21">
        <v>0.38345299999999999</v>
      </c>
      <c r="AZ106" s="21">
        <v>173.68700000000001</v>
      </c>
      <c r="BA106" s="21">
        <v>-1.5710399999999999E-2</v>
      </c>
      <c r="BB106" s="21">
        <v>96</v>
      </c>
      <c r="BC106" s="21">
        <v>0.382629</v>
      </c>
      <c r="BD106">
        <f t="shared" si="26"/>
        <v>15.7104</v>
      </c>
      <c r="BE106">
        <f t="shared" si="27"/>
        <v>6.0242000111999996</v>
      </c>
      <c r="BH106" s="9"/>
      <c r="BI106" s="21">
        <v>1.24664</v>
      </c>
      <c r="BJ106" s="21">
        <v>223.03700000000001</v>
      </c>
      <c r="BK106" s="21">
        <v>-1.40289E-2</v>
      </c>
      <c r="BL106" s="21">
        <v>96</v>
      </c>
      <c r="BM106" s="21">
        <v>1.24573</v>
      </c>
      <c r="BN106">
        <f t="shared" si="28"/>
        <v>14.0289</v>
      </c>
      <c r="BO106">
        <f t="shared" si="29"/>
        <v>17.488987896000001</v>
      </c>
      <c r="BP106" s="9"/>
      <c r="BQ106" s="21">
        <v>0.38345299999999999</v>
      </c>
      <c r="BR106" s="21">
        <v>272.24299999999999</v>
      </c>
      <c r="BS106" s="21">
        <v>-1.5722699999999999E-2</v>
      </c>
      <c r="BT106" s="21">
        <v>96</v>
      </c>
      <c r="BU106" s="21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1.2416100000000001</v>
      </c>
      <c r="H107" s="21">
        <v>47.941000000000003</v>
      </c>
      <c r="I107" s="21">
        <v>-1.4257799999999999E-2</v>
      </c>
      <c r="J107" s="21">
        <v>97</v>
      </c>
      <c r="K107" s="21">
        <v>1.24115</v>
      </c>
      <c r="L107">
        <f t="shared" si="16"/>
        <v>14.2578</v>
      </c>
      <c r="M107">
        <f t="shared" si="17"/>
        <v>17.702627058000001</v>
      </c>
      <c r="N107" s="9"/>
      <c r="O107" s="21">
        <v>0.38848899999999997</v>
      </c>
      <c r="P107" s="21">
        <v>97.323400000000007</v>
      </c>
      <c r="Q107" s="21">
        <v>-1.5908800000000001E-2</v>
      </c>
      <c r="R107" s="21">
        <v>97</v>
      </c>
      <c r="S107" s="21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1">
        <v>1.2416100000000001</v>
      </c>
      <c r="Z107" s="21">
        <v>50.024999999999999</v>
      </c>
      <c r="AA107" s="21">
        <v>-1.42059E-2</v>
      </c>
      <c r="AB107" s="21">
        <v>97</v>
      </c>
      <c r="AC107" s="21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1">
        <v>0.38848899999999997</v>
      </c>
      <c r="AH107" s="21">
        <v>75.010000000000005</v>
      </c>
      <c r="AI107" s="21">
        <v>-1.5704300000000001E-2</v>
      </c>
      <c r="AJ107" s="21">
        <v>97</v>
      </c>
      <c r="AK107" s="21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1">
        <v>1.2416100000000001</v>
      </c>
      <c r="AR107" s="21">
        <v>124.41</v>
      </c>
      <c r="AS107" s="21">
        <v>-1.41113E-2</v>
      </c>
      <c r="AT107" s="21">
        <v>97</v>
      </c>
      <c r="AU107" s="21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1">
        <v>0.38848899999999997</v>
      </c>
      <c r="AZ107" s="21">
        <v>173.697</v>
      </c>
      <c r="BA107" s="21">
        <v>-1.56921E-2</v>
      </c>
      <c r="BB107" s="21">
        <v>97</v>
      </c>
      <c r="BC107" s="21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1">
        <v>1.2416100000000001</v>
      </c>
      <c r="BJ107" s="21">
        <v>223.047</v>
      </c>
      <c r="BK107" s="21">
        <v>-1.40594E-2</v>
      </c>
      <c r="BL107" s="21">
        <v>97</v>
      </c>
      <c r="BM107" s="21">
        <v>1.24054</v>
      </c>
      <c r="BN107">
        <f t="shared" si="28"/>
        <v>14.0594</v>
      </c>
      <c r="BO107">
        <f t="shared" si="29"/>
        <v>17.456291634000003</v>
      </c>
      <c r="BP107" s="9"/>
      <c r="BQ107" s="21">
        <v>0.38848899999999997</v>
      </c>
      <c r="BR107" s="21">
        <v>272.25299999999999</v>
      </c>
      <c r="BS107" s="21">
        <v>-1.57196E-2</v>
      </c>
      <c r="BT107" s="21">
        <v>97</v>
      </c>
      <c r="BU107" s="21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1.2365699999999999</v>
      </c>
      <c r="H108" s="21">
        <v>47.951099999999997</v>
      </c>
      <c r="I108" s="21">
        <v>-1.43097E-2</v>
      </c>
      <c r="J108" s="21">
        <v>98</v>
      </c>
      <c r="K108" s="21">
        <v>1.23505</v>
      </c>
      <c r="L108">
        <f t="shared" si="16"/>
        <v>14.309699999999999</v>
      </c>
      <c r="M108">
        <f t="shared" si="17"/>
        <v>17.694945728999997</v>
      </c>
      <c r="N108" s="9"/>
      <c r="O108" s="21">
        <v>0.39352399999999998</v>
      </c>
      <c r="P108" s="21">
        <v>97.333500000000001</v>
      </c>
      <c r="Q108" s="21">
        <v>-1.5905800000000001E-2</v>
      </c>
      <c r="R108" s="21">
        <v>98</v>
      </c>
      <c r="S108" s="21">
        <v>0.392822</v>
      </c>
      <c r="T108">
        <f t="shared" si="18"/>
        <v>15.905800000000001</v>
      </c>
      <c r="U108">
        <f t="shared" si="19"/>
        <v>6.2593140392000004</v>
      </c>
      <c r="X108" s="9"/>
      <c r="Y108" s="21">
        <v>1.2365699999999999</v>
      </c>
      <c r="Z108" s="21">
        <v>50.0351</v>
      </c>
      <c r="AA108" s="21">
        <v>-1.4242599999999999E-2</v>
      </c>
      <c r="AB108" s="21">
        <v>98</v>
      </c>
      <c r="AC108" s="21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1">
        <v>0.39352399999999998</v>
      </c>
      <c r="AH108" s="21">
        <v>75.020099999999999</v>
      </c>
      <c r="AI108" s="21">
        <v>-1.56921E-2</v>
      </c>
      <c r="AJ108" s="21">
        <v>98</v>
      </c>
      <c r="AK108" s="21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1">
        <v>1.2365699999999999</v>
      </c>
      <c r="AR108" s="21">
        <v>124.42</v>
      </c>
      <c r="AS108" s="21">
        <v>-1.41388E-2</v>
      </c>
      <c r="AT108" s="21">
        <v>98</v>
      </c>
      <c r="AU108" s="21">
        <v>1.23566</v>
      </c>
      <c r="AV108">
        <f t="shared" si="24"/>
        <v>14.1388</v>
      </c>
      <c r="AW108">
        <f t="shared" si="25"/>
        <v>17.483615915999998</v>
      </c>
      <c r="AX108" s="9"/>
      <c r="AY108" s="21">
        <v>0.39352399999999998</v>
      </c>
      <c r="AZ108" s="21">
        <v>173.70699999999999</v>
      </c>
      <c r="BA108" s="21">
        <v>-1.5682999999999999E-2</v>
      </c>
      <c r="BB108" s="21">
        <v>98</v>
      </c>
      <c r="BC108" s="21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1">
        <v>1.2365699999999999</v>
      </c>
      <c r="BJ108" s="21">
        <v>223.05699999999999</v>
      </c>
      <c r="BK108" s="21">
        <v>-1.4074700000000001E-2</v>
      </c>
      <c r="BL108" s="21">
        <v>98</v>
      </c>
      <c r="BM108" s="21">
        <v>1.23566</v>
      </c>
      <c r="BN108">
        <f t="shared" si="28"/>
        <v>14.0747</v>
      </c>
      <c r="BO108">
        <f t="shared" si="29"/>
        <v>17.404351778999999</v>
      </c>
      <c r="BP108" s="9"/>
      <c r="BQ108" s="21">
        <v>0.39352399999999998</v>
      </c>
      <c r="BR108" s="21">
        <v>272.26299999999998</v>
      </c>
      <c r="BS108" s="21">
        <v>-1.5713499999999998E-2</v>
      </c>
      <c r="BT108" s="21">
        <v>98</v>
      </c>
      <c r="BU108" s="21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1.2315400000000001</v>
      </c>
      <c r="H109" s="21">
        <v>47.961100000000002</v>
      </c>
      <c r="I109" s="21">
        <v>-1.43646E-2</v>
      </c>
      <c r="J109" s="21">
        <v>99</v>
      </c>
      <c r="K109" s="21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1">
        <v>0.39856000000000003</v>
      </c>
      <c r="P109" s="21">
        <v>97.343599999999995</v>
      </c>
      <c r="Q109" s="21">
        <v>-1.5905800000000001E-2</v>
      </c>
      <c r="R109" s="21">
        <v>99</v>
      </c>
      <c r="S109" s="21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1">
        <v>1.2315400000000001</v>
      </c>
      <c r="Z109" s="21">
        <v>50.045200000000001</v>
      </c>
      <c r="AA109" s="21">
        <v>-1.427E-2</v>
      </c>
      <c r="AB109" s="21">
        <v>99</v>
      </c>
      <c r="AC109" s="21">
        <v>1.2301599999999999</v>
      </c>
      <c r="AD109">
        <f t="shared" si="20"/>
        <v>14.27</v>
      </c>
      <c r="AE109">
        <f t="shared" si="21"/>
        <v>17.574075799999999</v>
      </c>
      <c r="AF109" s="9"/>
      <c r="AG109" s="21">
        <v>0.39856000000000003</v>
      </c>
      <c r="AH109" s="21">
        <v>75.030100000000004</v>
      </c>
      <c r="AI109" s="21">
        <v>-1.5689100000000001E-2</v>
      </c>
      <c r="AJ109" s="21">
        <v>99</v>
      </c>
      <c r="AK109" s="21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1">
        <v>1.2315400000000001</v>
      </c>
      <c r="AR109" s="21">
        <v>124.431</v>
      </c>
      <c r="AS109" s="21">
        <v>-1.41663E-2</v>
      </c>
      <c r="AT109" s="21">
        <v>99</v>
      </c>
      <c r="AU109" s="21">
        <v>1.23047</v>
      </c>
      <c r="AV109">
        <f t="shared" si="24"/>
        <v>14.1663</v>
      </c>
      <c r="AW109">
        <f t="shared" si="25"/>
        <v>17.446365102000001</v>
      </c>
      <c r="AX109" s="9"/>
      <c r="AY109" s="21">
        <v>0.39856000000000003</v>
      </c>
      <c r="AZ109" s="21">
        <v>173.71700000000001</v>
      </c>
      <c r="BA109" s="21">
        <v>-1.5676900000000001E-2</v>
      </c>
      <c r="BB109" s="21">
        <v>99</v>
      </c>
      <c r="BC109" s="21">
        <v>0.39791900000000002</v>
      </c>
      <c r="BD109">
        <f t="shared" si="26"/>
        <v>15.6769</v>
      </c>
      <c r="BE109">
        <f t="shared" si="27"/>
        <v>6.248185264</v>
      </c>
      <c r="BH109" s="9"/>
      <c r="BI109" s="21">
        <v>1.2315400000000001</v>
      </c>
      <c r="BJ109" s="21">
        <v>223.06700000000001</v>
      </c>
      <c r="BK109" s="21">
        <v>-1.41022E-2</v>
      </c>
      <c r="BL109" s="21">
        <v>99</v>
      </c>
      <c r="BM109" s="21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1">
        <v>0.39856000000000003</v>
      </c>
      <c r="BR109" s="21">
        <v>272.27300000000002</v>
      </c>
      <c r="BS109" s="21">
        <v>-1.5713499999999998E-2</v>
      </c>
      <c r="BT109" s="21">
        <v>99</v>
      </c>
      <c r="BU109" s="21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1.2264999999999999</v>
      </c>
      <c r="H110" s="21">
        <v>47.971200000000003</v>
      </c>
      <c r="I110" s="21">
        <v>-1.4401199999999999E-2</v>
      </c>
      <c r="J110" s="21">
        <v>100</v>
      </c>
      <c r="K110" s="21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1">
        <v>0.40359499999999998</v>
      </c>
      <c r="P110" s="21">
        <v>97.3536</v>
      </c>
      <c r="Q110" s="21">
        <v>-1.5902699999999999E-2</v>
      </c>
      <c r="R110" s="21">
        <v>100</v>
      </c>
      <c r="S110" s="21">
        <v>0.402924</v>
      </c>
      <c r="T110">
        <f t="shared" si="18"/>
        <v>15.902699999999999</v>
      </c>
      <c r="U110">
        <f t="shared" si="19"/>
        <v>6.4182502064999998</v>
      </c>
      <c r="X110" s="9"/>
      <c r="Y110" s="21">
        <v>1.2264999999999999</v>
      </c>
      <c r="Z110" s="21">
        <v>50.055199999999999</v>
      </c>
      <c r="AA110" s="21">
        <v>-1.4300500000000001E-2</v>
      </c>
      <c r="AB110" s="21">
        <v>100</v>
      </c>
      <c r="AC110" s="21">
        <v>1.22559</v>
      </c>
      <c r="AD110">
        <f t="shared" si="20"/>
        <v>14.300500000000001</v>
      </c>
      <c r="AE110">
        <f t="shared" si="21"/>
        <v>17.53956325</v>
      </c>
      <c r="AF110" s="9"/>
      <c r="AG110" s="21">
        <v>0.40359499999999998</v>
      </c>
      <c r="AH110" s="21">
        <v>75.040199999999999</v>
      </c>
      <c r="AI110" s="21">
        <v>-1.56921E-2</v>
      </c>
      <c r="AJ110" s="21">
        <v>100</v>
      </c>
      <c r="AK110" s="21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1">
        <v>1.2264999999999999</v>
      </c>
      <c r="AR110" s="21">
        <v>124.441</v>
      </c>
      <c r="AS110" s="21">
        <v>-1.42059E-2</v>
      </c>
      <c r="AT110" s="21">
        <v>100</v>
      </c>
      <c r="AU110" s="21">
        <v>1.22559</v>
      </c>
      <c r="AV110">
        <f t="shared" si="24"/>
        <v>14.2059</v>
      </c>
      <c r="AW110">
        <f t="shared" si="25"/>
        <v>17.423536349999999</v>
      </c>
      <c r="AX110" s="9"/>
      <c r="AY110" s="21">
        <v>0.40359499999999998</v>
      </c>
      <c r="AZ110" s="21">
        <v>173.727</v>
      </c>
      <c r="BA110" s="21">
        <v>-1.5673800000000002E-2</v>
      </c>
      <c r="BB110" s="21">
        <v>100</v>
      </c>
      <c r="BC110" s="21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1">
        <v>1.2264999999999999</v>
      </c>
      <c r="BJ110" s="21">
        <v>223.078</v>
      </c>
      <c r="BK110" s="21">
        <v>-1.41388E-2</v>
      </c>
      <c r="BL110" s="21">
        <v>100</v>
      </c>
      <c r="BM110" s="21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1">
        <v>0.40359499999999998</v>
      </c>
      <c r="BR110" s="21">
        <v>272.28300000000002</v>
      </c>
      <c r="BS110" s="21">
        <v>-1.5704300000000001E-2</v>
      </c>
      <c r="BT110" s="21">
        <v>100</v>
      </c>
      <c r="BU110" s="21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1.2214700000000001</v>
      </c>
      <c r="H111" s="21">
        <v>47.981299999999997</v>
      </c>
      <c r="I111" s="21">
        <v>-1.44379E-2</v>
      </c>
      <c r="J111" s="21">
        <v>101</v>
      </c>
      <c r="K111" s="21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1">
        <v>0.40862999999999999</v>
      </c>
      <c r="P111" s="21">
        <v>97.363699999999994</v>
      </c>
      <c r="Q111" s="21">
        <v>-1.5899699999999999E-2</v>
      </c>
      <c r="R111" s="21">
        <v>101</v>
      </c>
      <c r="S111" s="21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1">
        <v>1.2214700000000001</v>
      </c>
      <c r="Z111" s="21">
        <v>50.065300000000001</v>
      </c>
      <c r="AA111" s="21">
        <v>-1.4324999999999999E-2</v>
      </c>
      <c r="AB111" s="21">
        <v>101</v>
      </c>
      <c r="AC111" s="21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1">
        <v>0.40862999999999999</v>
      </c>
      <c r="AH111" s="21">
        <v>75.050299999999993</v>
      </c>
      <c r="AI111" s="21">
        <v>-1.56921E-2</v>
      </c>
      <c r="AJ111" s="21">
        <v>101</v>
      </c>
      <c r="AK111" s="21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1">
        <v>1.2214700000000001</v>
      </c>
      <c r="AR111" s="21">
        <v>124.45099999999999</v>
      </c>
      <c r="AS111" s="21">
        <v>-1.42273E-2</v>
      </c>
      <c r="AT111" s="21">
        <v>101</v>
      </c>
      <c r="AU111" s="21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1">
        <v>0.40862999999999999</v>
      </c>
      <c r="AZ111" s="21">
        <v>173.73699999999999</v>
      </c>
      <c r="BA111" s="21">
        <v>-1.5670799999999999E-2</v>
      </c>
      <c r="BB111" s="21">
        <v>101</v>
      </c>
      <c r="BC111" s="21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1">
        <v>1.2214700000000001</v>
      </c>
      <c r="BJ111" s="21">
        <v>223.08799999999999</v>
      </c>
      <c r="BK111" s="21">
        <v>-1.41663E-2</v>
      </c>
      <c r="BL111" s="21">
        <v>101</v>
      </c>
      <c r="BM111" s="21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1">
        <v>0.40862999999999999</v>
      </c>
      <c r="BR111" s="21">
        <v>272.29300000000001</v>
      </c>
      <c r="BS111" s="21">
        <v>-1.5704300000000001E-2</v>
      </c>
      <c r="BT111" s="21">
        <v>101</v>
      </c>
      <c r="BU111" s="21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1.2164299999999999</v>
      </c>
      <c r="H112" s="21">
        <v>47.991300000000003</v>
      </c>
      <c r="I112" s="21">
        <v>-1.44806E-2</v>
      </c>
      <c r="J112" s="21">
        <v>102</v>
      </c>
      <c r="K112" s="21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1">
        <v>0.41366599999999998</v>
      </c>
      <c r="P112" s="21">
        <v>97.373800000000003</v>
      </c>
      <c r="Q112" s="21">
        <v>-1.5899699999999999E-2</v>
      </c>
      <c r="R112" s="21">
        <v>102</v>
      </c>
      <c r="S112" s="21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1">
        <v>1.2164299999999999</v>
      </c>
      <c r="Z112" s="21">
        <v>50.075400000000002</v>
      </c>
      <c r="AA112" s="21">
        <v>-1.43494E-2</v>
      </c>
      <c r="AB112" s="21">
        <v>102</v>
      </c>
      <c r="AC112" s="21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1">
        <v>0.41366599999999998</v>
      </c>
      <c r="AH112" s="21">
        <v>75.060400000000001</v>
      </c>
      <c r="AI112" s="21">
        <v>-1.5689100000000001E-2</v>
      </c>
      <c r="AJ112" s="21">
        <v>102</v>
      </c>
      <c r="AK112" s="21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1">
        <v>1.2164299999999999</v>
      </c>
      <c r="AR112" s="21">
        <v>124.461</v>
      </c>
      <c r="AS112" s="21">
        <v>-1.4242599999999999E-2</v>
      </c>
      <c r="AT112" s="21">
        <v>102</v>
      </c>
      <c r="AU112" s="21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1">
        <v>0.41366599999999998</v>
      </c>
      <c r="AZ112" s="21">
        <v>173.74700000000001</v>
      </c>
      <c r="BA112" s="21">
        <v>-1.5658600000000002E-2</v>
      </c>
      <c r="BB112" s="21">
        <v>102</v>
      </c>
      <c r="BC112" s="21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1">
        <v>1.2164299999999999</v>
      </c>
      <c r="BJ112" s="21">
        <v>223.09800000000001</v>
      </c>
      <c r="BK112" s="21">
        <v>-1.41937E-2</v>
      </c>
      <c r="BL112" s="21">
        <v>102</v>
      </c>
      <c r="BM112" s="21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1">
        <v>0.41366599999999998</v>
      </c>
      <c r="BR112" s="21">
        <v>272.303</v>
      </c>
      <c r="BS112" s="21">
        <v>-1.5689100000000001E-2</v>
      </c>
      <c r="BT112" s="21">
        <v>102</v>
      </c>
      <c r="BU112" s="21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1.2114</v>
      </c>
      <c r="H113" s="21">
        <v>48.001399999999997</v>
      </c>
      <c r="I113" s="21">
        <v>-1.45203E-2</v>
      </c>
      <c r="J113" s="21">
        <v>103</v>
      </c>
      <c r="K113" s="21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1">
        <v>0.41870099999999999</v>
      </c>
      <c r="P113" s="21">
        <v>97.383799999999994</v>
      </c>
      <c r="Q113" s="21">
        <v>-1.58966E-2</v>
      </c>
      <c r="R113" s="21">
        <v>103</v>
      </c>
      <c r="S113" s="21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1">
        <v>1.2114</v>
      </c>
      <c r="Z113" s="21">
        <v>50.0854</v>
      </c>
      <c r="AA113" s="21">
        <v>-1.43707E-2</v>
      </c>
      <c r="AB113" s="21">
        <v>103</v>
      </c>
      <c r="AC113" s="21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1">
        <v>0.41870099999999999</v>
      </c>
      <c r="AH113" s="21">
        <v>75.070400000000006</v>
      </c>
      <c r="AI113" s="21">
        <v>-1.5695199999999999E-2</v>
      </c>
      <c r="AJ113" s="21">
        <v>103</v>
      </c>
      <c r="AK113" s="21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1">
        <v>1.2114</v>
      </c>
      <c r="AR113" s="21">
        <v>124.471</v>
      </c>
      <c r="AS113" s="21">
        <v>-1.427E-2</v>
      </c>
      <c r="AT113" s="21">
        <v>103</v>
      </c>
      <c r="AU113" s="21">
        <v>1.2106300000000001</v>
      </c>
      <c r="AV113">
        <f t="shared" si="24"/>
        <v>14.27</v>
      </c>
      <c r="AW113">
        <f t="shared" si="25"/>
        <v>17.286677999999998</v>
      </c>
      <c r="AX113" s="9"/>
      <c r="AY113" s="21">
        <v>0.41870099999999999</v>
      </c>
      <c r="AZ113" s="21">
        <v>173.75700000000001</v>
      </c>
      <c r="BA113" s="21">
        <v>-1.5643299999999999E-2</v>
      </c>
      <c r="BB113" s="21">
        <v>103</v>
      </c>
      <c r="BC113" s="21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1">
        <v>1.2114</v>
      </c>
      <c r="BJ113" s="21">
        <v>223.108</v>
      </c>
      <c r="BK113" s="21">
        <v>-1.4218099999999999E-2</v>
      </c>
      <c r="BL113" s="21">
        <v>103</v>
      </c>
      <c r="BM113" s="21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1">
        <v>0.41870099999999999</v>
      </c>
      <c r="BR113" s="21">
        <v>272.31299999999999</v>
      </c>
      <c r="BS113" s="21">
        <v>-1.56799E-2</v>
      </c>
      <c r="BT113" s="21">
        <v>103</v>
      </c>
      <c r="BU113" s="21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1.2063600000000001</v>
      </c>
      <c r="H114" s="21">
        <v>48.011499999999998</v>
      </c>
      <c r="I114" s="21">
        <v>-1.4559900000000001E-2</v>
      </c>
      <c r="J114" s="21">
        <v>104</v>
      </c>
      <c r="K114" s="21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1">
        <v>0.42373699999999997</v>
      </c>
      <c r="P114" s="21">
        <v>97.393900000000002</v>
      </c>
      <c r="Q114" s="21">
        <v>-1.5893600000000001E-2</v>
      </c>
      <c r="R114" s="21">
        <v>104</v>
      </c>
      <c r="S114" s="21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1">
        <v>1.2063600000000001</v>
      </c>
      <c r="Z114" s="21">
        <v>50.095500000000001</v>
      </c>
      <c r="AA114" s="21">
        <v>-1.4389000000000001E-2</v>
      </c>
      <c r="AB114" s="21">
        <v>104</v>
      </c>
      <c r="AC114" s="21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1">
        <v>0.42373699999999997</v>
      </c>
      <c r="AH114" s="21">
        <v>75.080500000000001</v>
      </c>
      <c r="AI114" s="21">
        <v>-1.56921E-2</v>
      </c>
      <c r="AJ114" s="21">
        <v>104</v>
      </c>
      <c r="AK114" s="21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1">
        <v>1.2063600000000001</v>
      </c>
      <c r="AR114" s="21">
        <v>124.48099999999999</v>
      </c>
      <c r="AS114" s="21">
        <v>-1.4294400000000001E-2</v>
      </c>
      <c r="AT114" s="21">
        <v>104</v>
      </c>
      <c r="AU114" s="21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1">
        <v>0.42373699999999997</v>
      </c>
      <c r="AZ114" s="21">
        <v>173.767</v>
      </c>
      <c r="BA114" s="21">
        <v>-1.56372E-2</v>
      </c>
      <c r="BB114" s="21">
        <v>104</v>
      </c>
      <c r="BC114" s="21">
        <v>0.42297400000000002</v>
      </c>
      <c r="BD114">
        <f t="shared" si="26"/>
        <v>15.6372</v>
      </c>
      <c r="BE114">
        <f t="shared" si="27"/>
        <v>6.6260602164</v>
      </c>
      <c r="BH114" s="9"/>
      <c r="BI114" s="21">
        <v>1.2063600000000001</v>
      </c>
      <c r="BJ114" s="21">
        <v>223.11799999999999</v>
      </c>
      <c r="BK114" s="21">
        <v>-1.4236499999999999E-2</v>
      </c>
      <c r="BL114" s="21">
        <v>104</v>
      </c>
      <c r="BM114" s="21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1">
        <v>0.42373699999999997</v>
      </c>
      <c r="BR114" s="21">
        <v>272.32299999999998</v>
      </c>
      <c r="BS114" s="21">
        <v>-1.5673800000000002E-2</v>
      </c>
      <c r="BT114" s="21">
        <v>104</v>
      </c>
      <c r="BU114" s="21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1.2013199999999999</v>
      </c>
      <c r="H115" s="21">
        <v>48.021500000000003</v>
      </c>
      <c r="I115" s="21">
        <v>-1.4590499999999999E-2</v>
      </c>
      <c r="J115" s="21">
        <v>105</v>
      </c>
      <c r="K115" s="21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1">
        <v>0.42877199999999999</v>
      </c>
      <c r="P115" s="21">
        <v>97.403999999999996</v>
      </c>
      <c r="Q115" s="21">
        <v>-1.5890499999999998E-2</v>
      </c>
      <c r="R115" s="21">
        <v>105</v>
      </c>
      <c r="S115" s="21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1">
        <v>1.2013199999999999</v>
      </c>
      <c r="Z115" s="21">
        <v>50.105600000000003</v>
      </c>
      <c r="AA115" s="21">
        <v>-1.44073E-2</v>
      </c>
      <c r="AB115" s="21">
        <v>105</v>
      </c>
      <c r="AC115" s="21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1">
        <v>0.42877199999999999</v>
      </c>
      <c r="AH115" s="21">
        <v>75.090599999999995</v>
      </c>
      <c r="AI115" s="21">
        <v>-1.5689100000000001E-2</v>
      </c>
      <c r="AJ115" s="21">
        <v>105</v>
      </c>
      <c r="AK115" s="21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1">
        <v>1.2013199999999999</v>
      </c>
      <c r="AR115" s="21">
        <v>124.491</v>
      </c>
      <c r="AS115" s="21">
        <v>-1.43188E-2</v>
      </c>
      <c r="AT115" s="21">
        <v>105</v>
      </c>
      <c r="AU115" s="21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1">
        <v>0.42877199999999999</v>
      </c>
      <c r="AZ115" s="21">
        <v>173.77699999999999</v>
      </c>
      <c r="BA115" s="21">
        <v>-1.5628099999999999E-2</v>
      </c>
      <c r="BB115" s="21">
        <v>105</v>
      </c>
      <c r="BC115" s="21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1">
        <v>1.2013199999999999</v>
      </c>
      <c r="BJ115" s="21">
        <v>223.12799999999999</v>
      </c>
      <c r="BK115" s="21">
        <v>-1.42487E-2</v>
      </c>
      <c r="BL115" s="21">
        <v>105</v>
      </c>
      <c r="BM115" s="21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1">
        <v>0.42877199999999999</v>
      </c>
      <c r="BR115" s="21">
        <v>272.33300000000003</v>
      </c>
      <c r="BS115" s="21">
        <v>-1.56677E-2</v>
      </c>
      <c r="BT115" s="21">
        <v>105</v>
      </c>
      <c r="BU115" s="21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1.1962900000000001</v>
      </c>
      <c r="H116" s="21">
        <v>48.031599999999997</v>
      </c>
      <c r="I116" s="21">
        <v>-1.4627100000000001E-2</v>
      </c>
      <c r="J116" s="21">
        <v>106</v>
      </c>
      <c r="K116" s="21">
        <v>1.19537</v>
      </c>
      <c r="L116">
        <f t="shared" si="16"/>
        <v>14.6271</v>
      </c>
      <c r="M116">
        <f t="shared" si="17"/>
        <v>17.498253459000001</v>
      </c>
      <c r="N116" s="9"/>
      <c r="O116" s="21">
        <v>0.433807</v>
      </c>
      <c r="P116" s="21">
        <v>97.414000000000001</v>
      </c>
      <c r="Q116" s="21">
        <v>-1.5890499999999998E-2</v>
      </c>
      <c r="R116" s="21">
        <v>106</v>
      </c>
      <c r="S116" s="21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1">
        <v>1.1962900000000001</v>
      </c>
      <c r="Z116" s="21">
        <v>50.115699999999997</v>
      </c>
      <c r="AA116" s="21">
        <v>-1.4419599999999999E-2</v>
      </c>
      <c r="AB116" s="21">
        <v>106</v>
      </c>
      <c r="AC116" s="21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1">
        <v>0.433807</v>
      </c>
      <c r="AH116" s="21">
        <v>75.1006</v>
      </c>
      <c r="AI116" s="21">
        <v>-1.5689100000000001E-2</v>
      </c>
      <c r="AJ116" s="21">
        <v>106</v>
      </c>
      <c r="AK116" s="21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1">
        <v>1.1962900000000001</v>
      </c>
      <c r="AR116" s="21">
        <v>124.501</v>
      </c>
      <c r="AS116" s="21">
        <v>-1.43372E-2</v>
      </c>
      <c r="AT116" s="21">
        <v>106</v>
      </c>
      <c r="AU116" s="21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1">
        <v>0.433807</v>
      </c>
      <c r="AZ116" s="21">
        <v>173.78800000000001</v>
      </c>
      <c r="BA116" s="21">
        <v>-1.56189E-2</v>
      </c>
      <c r="BB116" s="21">
        <v>106</v>
      </c>
      <c r="BC116" s="21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1">
        <v>1.1962900000000001</v>
      </c>
      <c r="BJ116" s="21">
        <v>223.13800000000001</v>
      </c>
      <c r="BK116" s="21">
        <v>-1.4263899999999999E-2</v>
      </c>
      <c r="BL116" s="21">
        <v>106</v>
      </c>
      <c r="BM116" s="21">
        <v>1.19598</v>
      </c>
      <c r="BN116">
        <f t="shared" si="28"/>
        <v>14.2639</v>
      </c>
      <c r="BO116">
        <f t="shared" si="29"/>
        <v>17.063760931000001</v>
      </c>
      <c r="BP116" s="9"/>
      <c r="BQ116" s="21">
        <v>0.433807</v>
      </c>
      <c r="BR116" s="21">
        <v>272.34300000000002</v>
      </c>
      <c r="BS116" s="21">
        <v>-1.5670799999999999E-2</v>
      </c>
      <c r="BT116" s="21">
        <v>106</v>
      </c>
      <c r="BU116" s="21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1.1912499999999999</v>
      </c>
      <c r="H117" s="21">
        <v>48.041699999999999</v>
      </c>
      <c r="I117" s="21">
        <v>-1.46576E-2</v>
      </c>
      <c r="J117" s="21">
        <v>107</v>
      </c>
      <c r="K117" s="21">
        <v>1.1901900000000001</v>
      </c>
      <c r="L117">
        <f t="shared" si="16"/>
        <v>14.6576</v>
      </c>
      <c r="M117">
        <f t="shared" si="17"/>
        <v>17.460865999999999</v>
      </c>
      <c r="N117" s="9"/>
      <c r="O117" s="21">
        <v>0.43884299999999998</v>
      </c>
      <c r="P117" s="21">
        <v>97.424099999999996</v>
      </c>
      <c r="Q117" s="21">
        <v>-1.5890499999999998E-2</v>
      </c>
      <c r="R117" s="21">
        <v>107</v>
      </c>
      <c r="S117" s="21">
        <v>0.438141</v>
      </c>
      <c r="T117">
        <f t="shared" si="18"/>
        <v>15.890499999999998</v>
      </c>
      <c r="U117">
        <f t="shared" si="19"/>
        <v>6.9734346914999987</v>
      </c>
      <c r="X117" s="9"/>
      <c r="Y117" s="21">
        <v>1.1912499999999999</v>
      </c>
      <c r="Z117" s="21">
        <v>50.125700000000002</v>
      </c>
      <c r="AA117" s="21">
        <v>-1.44379E-2</v>
      </c>
      <c r="AB117" s="21">
        <v>107</v>
      </c>
      <c r="AC117" s="21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1">
        <v>0.43884299999999998</v>
      </c>
      <c r="AH117" s="21">
        <v>75.110699999999994</v>
      </c>
      <c r="AI117" s="21">
        <v>-1.5689100000000001E-2</v>
      </c>
      <c r="AJ117" s="21">
        <v>107</v>
      </c>
      <c r="AK117" s="21">
        <v>0.43811</v>
      </c>
      <c r="AL117">
        <f t="shared" si="22"/>
        <v>15.689100000000002</v>
      </c>
      <c r="AM117">
        <f t="shared" si="23"/>
        <v>6.8850517113</v>
      </c>
      <c r="AP117" s="9"/>
      <c r="AQ117" s="21">
        <v>1.1912499999999999</v>
      </c>
      <c r="AR117" s="21">
        <v>124.511</v>
      </c>
      <c r="AS117" s="21">
        <v>-1.43646E-2</v>
      </c>
      <c r="AT117" s="21">
        <v>107</v>
      </c>
      <c r="AU117" s="21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1">
        <v>0.43884299999999998</v>
      </c>
      <c r="AZ117" s="21">
        <v>173.798</v>
      </c>
      <c r="BA117" s="21">
        <v>-1.5606699999999999E-2</v>
      </c>
      <c r="BB117" s="21">
        <v>107</v>
      </c>
      <c r="BC117" s="21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1">
        <v>1.1912499999999999</v>
      </c>
      <c r="BJ117" s="21">
        <v>223.148</v>
      </c>
      <c r="BK117" s="21">
        <v>-1.4294400000000001E-2</v>
      </c>
      <c r="BL117" s="21">
        <v>107</v>
      </c>
      <c r="BM117" s="21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1">
        <v>0.43884299999999998</v>
      </c>
      <c r="BR117" s="21">
        <v>272.35300000000001</v>
      </c>
      <c r="BS117" s="21">
        <v>-1.56799E-2</v>
      </c>
      <c r="BT117" s="21">
        <v>107</v>
      </c>
      <c r="BU117" s="21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1.1862200000000001</v>
      </c>
      <c r="H118" s="21">
        <v>48.0518</v>
      </c>
      <c r="I118" s="21">
        <v>-1.46851E-2</v>
      </c>
      <c r="J118" s="21">
        <v>108</v>
      </c>
      <c r="K118" s="21">
        <v>1.1853</v>
      </c>
      <c r="L118">
        <f t="shared" si="16"/>
        <v>14.6851</v>
      </c>
      <c r="M118">
        <f t="shared" si="17"/>
        <v>17.419759322000001</v>
      </c>
      <c r="N118" s="9"/>
      <c r="O118" s="21">
        <v>0.44387799999999999</v>
      </c>
      <c r="P118" s="21">
        <v>97.434200000000004</v>
      </c>
      <c r="Q118" s="21">
        <v>-1.5881300000000001E-2</v>
      </c>
      <c r="R118" s="21">
        <v>108</v>
      </c>
      <c r="S118" s="21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1">
        <v>1.1862200000000001</v>
      </c>
      <c r="Z118" s="21">
        <v>50.135800000000003</v>
      </c>
      <c r="AA118" s="21">
        <v>-1.44592E-2</v>
      </c>
      <c r="AB118" s="21">
        <v>108</v>
      </c>
      <c r="AC118" s="21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1">
        <v>0.44387799999999999</v>
      </c>
      <c r="AH118" s="21">
        <v>75.120800000000003</v>
      </c>
      <c r="AI118" s="21">
        <v>-1.5689100000000001E-2</v>
      </c>
      <c r="AJ118" s="21">
        <v>108</v>
      </c>
      <c r="AK118" s="21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1">
        <v>1.1862200000000001</v>
      </c>
      <c r="AR118" s="21">
        <v>124.521</v>
      </c>
      <c r="AS118" s="21">
        <v>-1.4395099999999999E-2</v>
      </c>
      <c r="AT118" s="21">
        <v>108</v>
      </c>
      <c r="AU118" s="21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1">
        <v>0.44387799999999999</v>
      </c>
      <c r="AZ118" s="21">
        <v>173.80799999999999</v>
      </c>
      <c r="BA118" s="21">
        <v>-1.5600599999999999E-2</v>
      </c>
      <c r="BB118" s="21">
        <v>108</v>
      </c>
      <c r="BC118" s="21">
        <v>0.443268</v>
      </c>
      <c r="BD118">
        <f t="shared" si="26"/>
        <v>15.6006</v>
      </c>
      <c r="BE118">
        <f t="shared" si="27"/>
        <v>6.9247631268000003</v>
      </c>
      <c r="BH118" s="9"/>
      <c r="BI118" s="21">
        <v>1.1862200000000001</v>
      </c>
      <c r="BJ118" s="21">
        <v>223.15799999999999</v>
      </c>
      <c r="BK118" s="21">
        <v>-1.4324999999999999E-2</v>
      </c>
      <c r="BL118" s="21">
        <v>108</v>
      </c>
      <c r="BM118" s="21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1">
        <v>0.44387799999999999</v>
      </c>
      <c r="BR118" s="21">
        <v>272.36399999999998</v>
      </c>
      <c r="BS118" s="21">
        <v>-1.5673800000000002E-2</v>
      </c>
      <c r="BT118" s="21">
        <v>108</v>
      </c>
      <c r="BU118" s="21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1.1811799999999999</v>
      </c>
      <c r="H119" s="21">
        <v>48.061799999999998</v>
      </c>
      <c r="I119" s="21">
        <v>-1.47095E-2</v>
      </c>
      <c r="J119" s="21">
        <v>109</v>
      </c>
      <c r="K119" s="21">
        <v>1.17981</v>
      </c>
      <c r="L119">
        <f t="shared" si="16"/>
        <v>14.7095</v>
      </c>
      <c r="M119">
        <f t="shared" si="17"/>
        <v>17.374567209999999</v>
      </c>
      <c r="N119" s="9"/>
      <c r="O119" s="21">
        <v>0.44891399999999998</v>
      </c>
      <c r="P119" s="21">
        <v>97.444299999999998</v>
      </c>
      <c r="Q119" s="21">
        <v>-1.5878300000000001E-2</v>
      </c>
      <c r="R119" s="21">
        <v>109</v>
      </c>
      <c r="S119" s="21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1">
        <v>1.1811799999999999</v>
      </c>
      <c r="Z119" s="21">
        <v>50.145899999999997</v>
      </c>
      <c r="AA119" s="21">
        <v>-1.4468399999999999E-2</v>
      </c>
      <c r="AB119" s="21">
        <v>109</v>
      </c>
      <c r="AC119" s="21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1">
        <v>0.44891399999999998</v>
      </c>
      <c r="AH119" s="21">
        <v>75.130799999999994</v>
      </c>
      <c r="AI119" s="21">
        <v>-1.5685999999999999E-2</v>
      </c>
      <c r="AJ119" s="21">
        <v>109</v>
      </c>
      <c r="AK119" s="21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1">
        <v>1.1811799999999999</v>
      </c>
      <c r="AR119" s="21">
        <v>124.53100000000001</v>
      </c>
      <c r="AS119" s="21">
        <v>-1.44104E-2</v>
      </c>
      <c r="AT119" s="21">
        <v>109</v>
      </c>
      <c r="AU119" s="21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1">
        <v>0.44891399999999998</v>
      </c>
      <c r="AZ119" s="21">
        <v>173.81800000000001</v>
      </c>
      <c r="BA119" s="21">
        <v>-1.55853E-2</v>
      </c>
      <c r="BB119" s="21">
        <v>109</v>
      </c>
      <c r="BC119" s="21">
        <v>0.448212</v>
      </c>
      <c r="BD119">
        <f t="shared" si="26"/>
        <v>15.5853</v>
      </c>
      <c r="BE119">
        <f t="shared" si="27"/>
        <v>6.9964593641999997</v>
      </c>
      <c r="BH119" s="9"/>
      <c r="BI119" s="21">
        <v>1.1811799999999999</v>
      </c>
      <c r="BJ119" s="21">
        <v>223.16800000000001</v>
      </c>
      <c r="BK119" s="21">
        <v>-1.43555E-2</v>
      </c>
      <c r="BL119" s="21">
        <v>109</v>
      </c>
      <c r="BM119" s="21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1">
        <v>0.44891399999999998</v>
      </c>
      <c r="BR119" s="21">
        <v>272.37400000000002</v>
      </c>
      <c r="BS119" s="21">
        <v>-1.5655499999999999E-2</v>
      </c>
      <c r="BT119" s="21">
        <v>109</v>
      </c>
      <c r="BU119" s="21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1.17615</v>
      </c>
      <c r="H120" s="21">
        <v>48.071899999999999</v>
      </c>
      <c r="I120" s="21">
        <v>-1.47308E-2</v>
      </c>
      <c r="J120" s="21">
        <v>110</v>
      </c>
      <c r="K120" s="21">
        <v>1.17462</v>
      </c>
      <c r="L120">
        <f t="shared" si="16"/>
        <v>14.7308</v>
      </c>
      <c r="M120">
        <f t="shared" si="17"/>
        <v>17.32563042</v>
      </c>
      <c r="N120" s="9"/>
      <c r="O120" s="21">
        <v>0.45394899999999999</v>
      </c>
      <c r="P120" s="21">
        <v>97.454300000000003</v>
      </c>
      <c r="Q120" s="21">
        <v>-1.58722E-2</v>
      </c>
      <c r="R120" s="21">
        <v>110</v>
      </c>
      <c r="S120" s="21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1">
        <v>1.17615</v>
      </c>
      <c r="Z120" s="21">
        <v>50.155900000000003</v>
      </c>
      <c r="AA120" s="21">
        <v>-1.4489699999999999E-2</v>
      </c>
      <c r="AB120" s="21">
        <v>110</v>
      </c>
      <c r="AC120" s="21">
        <v>1.17584</v>
      </c>
      <c r="AD120">
        <f t="shared" si="20"/>
        <v>14.489699999999999</v>
      </c>
      <c r="AE120">
        <f t="shared" si="21"/>
        <v>17.042060655</v>
      </c>
      <c r="AF120" s="9"/>
      <c r="AG120" s="21">
        <v>0.45394899999999999</v>
      </c>
      <c r="AH120" s="21">
        <v>75.140900000000002</v>
      </c>
      <c r="AI120" s="21">
        <v>-1.56799E-2</v>
      </c>
      <c r="AJ120" s="21">
        <v>110</v>
      </c>
      <c r="AK120" s="21">
        <v>0.453156</v>
      </c>
      <c r="AL120">
        <f t="shared" si="22"/>
        <v>15.6799</v>
      </c>
      <c r="AM120">
        <f t="shared" si="23"/>
        <v>7.1178749250999997</v>
      </c>
      <c r="AP120" s="9"/>
      <c r="AQ120" s="21">
        <v>1.17615</v>
      </c>
      <c r="AR120" s="21">
        <v>124.541</v>
      </c>
      <c r="AS120" s="21">
        <v>-1.4428699999999999E-2</v>
      </c>
      <c r="AT120" s="21">
        <v>110</v>
      </c>
      <c r="AU120" s="21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1">
        <v>0.45394899999999999</v>
      </c>
      <c r="AZ120" s="21">
        <v>173.828</v>
      </c>
      <c r="BA120" s="21">
        <v>-1.5566999999999999E-2</v>
      </c>
      <c r="BB120" s="21">
        <v>110</v>
      </c>
      <c r="BC120" s="21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1">
        <v>1.17615</v>
      </c>
      <c r="BJ120" s="21">
        <v>223.178</v>
      </c>
      <c r="BK120" s="21">
        <v>-1.4373800000000001E-2</v>
      </c>
      <c r="BL120" s="21">
        <v>110</v>
      </c>
      <c r="BM120" s="21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1">
        <v>0.45394899999999999</v>
      </c>
      <c r="BR120" s="21">
        <v>272.38400000000001</v>
      </c>
      <c r="BS120" s="21">
        <v>-1.5649400000000001E-2</v>
      </c>
      <c r="BT120" s="21">
        <v>110</v>
      </c>
      <c r="BU120" s="21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1.1711100000000001</v>
      </c>
      <c r="H121" s="21">
        <v>48.082000000000001</v>
      </c>
      <c r="I121" s="21">
        <v>-1.4749099999999999E-2</v>
      </c>
      <c r="J121" s="21">
        <v>111</v>
      </c>
      <c r="K121" s="21">
        <v>1.17035</v>
      </c>
      <c r="L121">
        <f t="shared" si="16"/>
        <v>14.749099999999999</v>
      </c>
      <c r="M121">
        <f t="shared" si="17"/>
        <v>17.272818501</v>
      </c>
      <c r="N121" s="9"/>
      <c r="O121" s="21">
        <v>0.458984</v>
      </c>
      <c r="P121" s="21">
        <v>97.464399999999998</v>
      </c>
      <c r="Q121" s="21">
        <v>-1.5862999999999999E-2</v>
      </c>
      <c r="R121" s="21">
        <v>111</v>
      </c>
      <c r="S121" s="21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1">
        <v>1.1711100000000001</v>
      </c>
      <c r="Z121" s="21">
        <v>50.165999999999997</v>
      </c>
      <c r="AA121" s="21">
        <v>-1.4508099999999999E-2</v>
      </c>
      <c r="AB121" s="21">
        <v>111</v>
      </c>
      <c r="AC121" s="21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1">
        <v>0.458984</v>
      </c>
      <c r="AH121" s="21">
        <v>75.150999999999996</v>
      </c>
      <c r="AI121" s="21">
        <v>-1.56647E-2</v>
      </c>
      <c r="AJ121" s="21">
        <v>111</v>
      </c>
      <c r="AK121" s="21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1">
        <v>1.1711100000000001</v>
      </c>
      <c r="AR121" s="21">
        <v>124.551</v>
      </c>
      <c r="AS121" s="21">
        <v>-1.44501E-2</v>
      </c>
      <c r="AT121" s="21">
        <v>111</v>
      </c>
      <c r="AU121" s="21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1">
        <v>0.458984</v>
      </c>
      <c r="AZ121" s="21">
        <v>173.83799999999999</v>
      </c>
      <c r="BA121" s="21">
        <v>-1.5551799999999999E-2</v>
      </c>
      <c r="BB121" s="21">
        <v>111</v>
      </c>
      <c r="BC121" s="21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1">
        <v>1.1711100000000001</v>
      </c>
      <c r="BJ121" s="21">
        <v>223.18799999999999</v>
      </c>
      <c r="BK121" s="21">
        <v>-1.43982E-2</v>
      </c>
      <c r="BL121" s="21">
        <v>111</v>
      </c>
      <c r="BM121" s="21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1">
        <v>0.458984</v>
      </c>
      <c r="BR121" s="21">
        <v>272.39400000000001</v>
      </c>
      <c r="BS121" s="21">
        <v>-1.5640299999999999E-2</v>
      </c>
      <c r="BT121" s="21">
        <v>111</v>
      </c>
      <c r="BU121" s="21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1.16608</v>
      </c>
      <c r="H122" s="21">
        <v>48.091999999999999</v>
      </c>
      <c r="I122" s="21">
        <v>-1.4761399999999999E-2</v>
      </c>
      <c r="J122" s="21">
        <v>112</v>
      </c>
      <c r="K122" s="21">
        <v>1.16516</v>
      </c>
      <c r="L122">
        <f t="shared" si="16"/>
        <v>14.761399999999998</v>
      </c>
      <c r="M122">
        <f t="shared" si="17"/>
        <v>17.212973311999999</v>
      </c>
      <c r="N122" s="9"/>
      <c r="O122" s="21">
        <v>0.46401999999999999</v>
      </c>
      <c r="P122" s="21">
        <v>97.474500000000006</v>
      </c>
      <c r="Q122" s="21">
        <v>-1.5859999999999999E-2</v>
      </c>
      <c r="R122" s="21">
        <v>112</v>
      </c>
      <c r="S122" s="21">
        <v>0.463287</v>
      </c>
      <c r="T122">
        <f t="shared" si="18"/>
        <v>15.86</v>
      </c>
      <c r="U122">
        <f t="shared" si="19"/>
        <v>7.3593571999999998</v>
      </c>
      <c r="X122" s="9"/>
      <c r="Y122" s="21">
        <v>1.16608</v>
      </c>
      <c r="Z122" s="21">
        <v>50.176099999999998</v>
      </c>
      <c r="AA122" s="21">
        <v>-1.4523299999999999E-2</v>
      </c>
      <c r="AB122" s="21">
        <v>112</v>
      </c>
      <c r="AC122" s="21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1">
        <v>0.46401999999999999</v>
      </c>
      <c r="AH122" s="21">
        <v>75.161100000000005</v>
      </c>
      <c r="AI122" s="21">
        <v>-1.5661600000000001E-2</v>
      </c>
      <c r="AJ122" s="21">
        <v>112</v>
      </c>
      <c r="AK122" s="21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1">
        <v>1.16608</v>
      </c>
      <c r="AR122" s="21">
        <v>124.56100000000001</v>
      </c>
      <c r="AS122" s="21">
        <v>-1.44745E-2</v>
      </c>
      <c r="AT122" s="21">
        <v>112</v>
      </c>
      <c r="AU122" s="21">
        <v>1.16516</v>
      </c>
      <c r="AV122">
        <f t="shared" si="24"/>
        <v>14.474499999999999</v>
      </c>
      <c r="AW122">
        <f t="shared" si="25"/>
        <v>16.87842496</v>
      </c>
      <c r="AX122" s="9"/>
      <c r="AY122" s="21">
        <v>0.46401999999999999</v>
      </c>
      <c r="AZ122" s="21">
        <v>173.84800000000001</v>
      </c>
      <c r="BA122" s="21">
        <v>-1.55304E-2</v>
      </c>
      <c r="BB122" s="21">
        <v>112</v>
      </c>
      <c r="BC122" s="21">
        <v>0.463196</v>
      </c>
      <c r="BD122">
        <f t="shared" si="26"/>
        <v>15.5304</v>
      </c>
      <c r="BE122">
        <f t="shared" si="27"/>
        <v>7.2064162080000003</v>
      </c>
      <c r="BH122" s="9"/>
      <c r="BI122" s="21">
        <v>1.16608</v>
      </c>
      <c r="BJ122" s="21">
        <v>223.19800000000001</v>
      </c>
      <c r="BK122" s="21">
        <v>-1.44165E-2</v>
      </c>
      <c r="BL122" s="21">
        <v>112</v>
      </c>
      <c r="BM122" s="21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1">
        <v>0.46401999999999999</v>
      </c>
      <c r="BR122" s="21">
        <v>272.404</v>
      </c>
      <c r="BS122" s="21">
        <v>-1.5634200000000001E-2</v>
      </c>
      <c r="BT122" s="21">
        <v>112</v>
      </c>
      <c r="BU122" s="21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1.1610400000000001</v>
      </c>
      <c r="H123" s="21">
        <v>48.1021</v>
      </c>
      <c r="I123" s="21">
        <v>-1.4782699999999999E-2</v>
      </c>
      <c r="J123" s="21">
        <v>113</v>
      </c>
      <c r="K123" s="21">
        <v>1.16028</v>
      </c>
      <c r="L123">
        <f t="shared" si="16"/>
        <v>14.7827</v>
      </c>
      <c r="M123">
        <f t="shared" si="17"/>
        <v>17.163306008000003</v>
      </c>
      <c r="N123" s="9"/>
      <c r="O123" s="21">
        <v>0.469055</v>
      </c>
      <c r="P123" s="21">
        <v>97.484499999999997</v>
      </c>
      <c r="Q123" s="21">
        <v>-1.5859999999999999E-2</v>
      </c>
      <c r="R123" s="21">
        <v>113</v>
      </c>
      <c r="S123" s="21">
        <v>0.46832299999999999</v>
      </c>
      <c r="T123">
        <f t="shared" si="18"/>
        <v>15.86</v>
      </c>
      <c r="U123">
        <f t="shared" si="19"/>
        <v>7.4392122999999994</v>
      </c>
      <c r="X123" s="9"/>
      <c r="Y123" s="21">
        <v>1.1610400000000001</v>
      </c>
      <c r="Z123" s="21">
        <v>50.186199999999999</v>
      </c>
      <c r="AA123" s="21">
        <v>-1.4544700000000001E-2</v>
      </c>
      <c r="AB123" s="21">
        <v>113</v>
      </c>
      <c r="AC123" s="21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1">
        <v>0.469055</v>
      </c>
      <c r="AH123" s="21">
        <v>75.171099999999996</v>
      </c>
      <c r="AI123" s="21">
        <v>-1.5655499999999999E-2</v>
      </c>
      <c r="AJ123" s="21">
        <v>113</v>
      </c>
      <c r="AK123" s="21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1">
        <v>1.1610400000000001</v>
      </c>
      <c r="AR123" s="21">
        <v>124.572</v>
      </c>
      <c r="AS123" s="21">
        <v>-1.44989E-2</v>
      </c>
      <c r="AT123" s="21">
        <v>113</v>
      </c>
      <c r="AU123" s="21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1">
        <v>0.469055</v>
      </c>
      <c r="AZ123" s="21">
        <v>173.858</v>
      </c>
      <c r="BA123" s="21">
        <v>-1.55151E-2</v>
      </c>
      <c r="BB123" s="21">
        <v>113</v>
      </c>
      <c r="BC123" s="21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1">
        <v>1.1610400000000001</v>
      </c>
      <c r="BJ123" s="21">
        <v>223.208</v>
      </c>
      <c r="BK123" s="21">
        <v>-1.4434799999999999E-2</v>
      </c>
      <c r="BL123" s="21">
        <v>113</v>
      </c>
      <c r="BM123" s="21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1">
        <v>0.469055</v>
      </c>
      <c r="BR123" s="21">
        <v>272.41399999999999</v>
      </c>
      <c r="BS123" s="21">
        <v>-1.56189E-2</v>
      </c>
      <c r="BT123" s="21">
        <v>113</v>
      </c>
      <c r="BU123" s="21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1.15601</v>
      </c>
      <c r="H124" s="21">
        <v>48.112200000000001</v>
      </c>
      <c r="I124" s="21">
        <v>-1.4801E-2</v>
      </c>
      <c r="J124" s="21">
        <v>114</v>
      </c>
      <c r="K124" s="21">
        <v>1.15479</v>
      </c>
      <c r="L124">
        <f t="shared" si="16"/>
        <v>14.801</v>
      </c>
      <c r="M124">
        <f t="shared" si="17"/>
        <v>17.110104010000001</v>
      </c>
      <c r="N124" s="9"/>
      <c r="O124" s="21">
        <v>0.47409099999999998</v>
      </c>
      <c r="P124" s="21">
        <v>97.494600000000005</v>
      </c>
      <c r="Q124" s="21">
        <v>-1.5862999999999999E-2</v>
      </c>
      <c r="R124" s="21">
        <v>114</v>
      </c>
      <c r="S124" s="21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1">
        <v>1.15601</v>
      </c>
      <c r="Z124" s="21">
        <v>50.196199999999997</v>
      </c>
      <c r="AA124" s="21">
        <v>-1.4566000000000001E-2</v>
      </c>
      <c r="AB124" s="21">
        <v>114</v>
      </c>
      <c r="AC124" s="21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1">
        <v>0.47409099999999998</v>
      </c>
      <c r="AH124" s="21">
        <v>75.181200000000004</v>
      </c>
      <c r="AI124" s="21">
        <v>-1.5646400000000001E-2</v>
      </c>
      <c r="AJ124" s="21">
        <v>114</v>
      </c>
      <c r="AK124" s="21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1">
        <v>1.15601</v>
      </c>
      <c r="AR124" s="21">
        <v>124.58199999999999</v>
      </c>
      <c r="AS124" s="21">
        <v>-1.4523299999999999E-2</v>
      </c>
      <c r="AT124" s="21">
        <v>114</v>
      </c>
      <c r="AU124" s="21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1">
        <v>0.47409099999999998</v>
      </c>
      <c r="AZ124" s="21">
        <v>173.86799999999999</v>
      </c>
      <c r="BA124" s="21">
        <v>-1.55029E-2</v>
      </c>
      <c r="BB124" s="21">
        <v>114</v>
      </c>
      <c r="BC124" s="21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1">
        <v>1.15601</v>
      </c>
      <c r="BJ124" s="21">
        <v>223.21799999999999</v>
      </c>
      <c r="BK124" s="21">
        <v>-1.44379E-2</v>
      </c>
      <c r="BL124" s="21">
        <v>114</v>
      </c>
      <c r="BM124" s="21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1">
        <v>0.47409099999999998</v>
      </c>
      <c r="BR124" s="21">
        <v>272.42399999999998</v>
      </c>
      <c r="BS124" s="21">
        <v>-1.5609700000000001E-2</v>
      </c>
      <c r="BT124" s="21">
        <v>114</v>
      </c>
      <c r="BU124" s="21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1.15097</v>
      </c>
      <c r="H125" s="21">
        <v>48.122300000000003</v>
      </c>
      <c r="I125" s="21">
        <v>-1.4822399999999999E-2</v>
      </c>
      <c r="J125" s="21">
        <v>115</v>
      </c>
      <c r="K125" s="21">
        <v>1.1496</v>
      </c>
      <c r="L125">
        <f t="shared" si="16"/>
        <v>14.8224</v>
      </c>
      <c r="M125">
        <f t="shared" si="17"/>
        <v>17.060137728000001</v>
      </c>
      <c r="N125" s="9"/>
      <c r="O125" s="21">
        <v>0.479126</v>
      </c>
      <c r="P125" s="21">
        <v>97.5047</v>
      </c>
      <c r="Q125" s="21">
        <v>-1.5869100000000001E-2</v>
      </c>
      <c r="R125" s="21">
        <v>115</v>
      </c>
      <c r="S125" s="21">
        <v>0.478271</v>
      </c>
      <c r="T125">
        <f t="shared" si="18"/>
        <v>15.869100000000001</v>
      </c>
      <c r="U125">
        <f t="shared" si="19"/>
        <v>7.6032984066000004</v>
      </c>
      <c r="X125" s="9"/>
      <c r="Y125" s="21">
        <v>1.15097</v>
      </c>
      <c r="Z125" s="21">
        <v>50.206299999999999</v>
      </c>
      <c r="AA125" s="21">
        <v>-1.4593500000000001E-2</v>
      </c>
      <c r="AB125" s="21">
        <v>115</v>
      </c>
      <c r="AC125" s="21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1">
        <v>0.479126</v>
      </c>
      <c r="AH125" s="21">
        <v>75.191299999999998</v>
      </c>
      <c r="AI125" s="21">
        <v>-1.5649400000000001E-2</v>
      </c>
      <c r="AJ125" s="21">
        <v>115</v>
      </c>
      <c r="AK125" s="21">
        <v>0.478271</v>
      </c>
      <c r="AL125">
        <f t="shared" si="22"/>
        <v>15.6494</v>
      </c>
      <c r="AM125">
        <f t="shared" si="23"/>
        <v>7.4980344244000001</v>
      </c>
      <c r="AP125" s="9"/>
      <c r="AQ125" s="21">
        <v>1.15097</v>
      </c>
      <c r="AR125" s="21">
        <v>124.592</v>
      </c>
      <c r="AS125" s="21">
        <v>-1.45538E-2</v>
      </c>
      <c r="AT125" s="21">
        <v>115</v>
      </c>
      <c r="AU125" s="21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1">
        <v>0.479126</v>
      </c>
      <c r="AZ125" s="21">
        <v>173.87799999999999</v>
      </c>
      <c r="BA125" s="21">
        <v>-1.54938E-2</v>
      </c>
      <c r="BB125" s="21">
        <v>115</v>
      </c>
      <c r="BC125" s="21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1">
        <v>1.15097</v>
      </c>
      <c r="BJ125" s="21">
        <v>223.22900000000001</v>
      </c>
      <c r="BK125" s="21">
        <v>-1.44531E-2</v>
      </c>
      <c r="BL125" s="21">
        <v>115</v>
      </c>
      <c r="BM125" s="21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1">
        <v>0.479126</v>
      </c>
      <c r="BR125" s="21">
        <v>272.43400000000003</v>
      </c>
      <c r="BS125" s="21">
        <v>-1.55975E-2</v>
      </c>
      <c r="BT125" s="21">
        <v>115</v>
      </c>
      <c r="BU125" s="21">
        <v>0.478302</v>
      </c>
      <c r="BV125">
        <f t="shared" si="30"/>
        <v>15.5975</v>
      </c>
      <c r="BW125">
        <f t="shared" si="31"/>
        <v>7.4731677850000002</v>
      </c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1.14594</v>
      </c>
      <c r="H126" s="21">
        <v>48.132300000000001</v>
      </c>
      <c r="I126" s="21">
        <v>-1.4837599999999999E-2</v>
      </c>
      <c r="J126" s="21">
        <v>116</v>
      </c>
      <c r="K126" s="21">
        <v>1.1450199999999999</v>
      </c>
      <c r="L126">
        <f t="shared" si="16"/>
        <v>14.8376</v>
      </c>
      <c r="M126">
        <f t="shared" si="17"/>
        <v>17.002999343999999</v>
      </c>
      <c r="N126" s="9"/>
      <c r="O126" s="21">
        <v>0.48416100000000001</v>
      </c>
      <c r="P126" s="21">
        <v>97.514799999999994</v>
      </c>
      <c r="Q126" s="21">
        <v>-1.5869100000000001E-2</v>
      </c>
      <c r="R126" s="21">
        <v>116</v>
      </c>
      <c r="S126" s="21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1">
        <v>1.14594</v>
      </c>
      <c r="Z126" s="21">
        <v>50.2164</v>
      </c>
      <c r="AA126" s="21">
        <v>-1.46149E-2</v>
      </c>
      <c r="AB126" s="21">
        <v>116</v>
      </c>
      <c r="AC126" s="21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1">
        <v>0.48416100000000001</v>
      </c>
      <c r="AH126" s="21">
        <v>75.201300000000003</v>
      </c>
      <c r="AI126" s="21">
        <v>-1.5643299999999999E-2</v>
      </c>
      <c r="AJ126" s="21">
        <v>116</v>
      </c>
      <c r="AK126" s="21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1">
        <v>1.14594</v>
      </c>
      <c r="AR126" s="21">
        <v>124.602</v>
      </c>
      <c r="AS126" s="21">
        <v>-1.45752E-2</v>
      </c>
      <c r="AT126" s="21">
        <v>116</v>
      </c>
      <c r="AU126" s="21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1">
        <v>0.48416100000000001</v>
      </c>
      <c r="AZ126" s="21">
        <v>173.88800000000001</v>
      </c>
      <c r="BA126" s="21">
        <v>-1.54938E-2</v>
      </c>
      <c r="BB126" s="21">
        <v>116</v>
      </c>
      <c r="BC126" s="21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1">
        <v>1.14594</v>
      </c>
      <c r="BJ126" s="21">
        <v>223.239</v>
      </c>
      <c r="BK126" s="21">
        <v>-1.44745E-2</v>
      </c>
      <c r="BL126" s="21">
        <v>116</v>
      </c>
      <c r="BM126" s="21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1">
        <v>0.48416100000000001</v>
      </c>
      <c r="BR126" s="21">
        <v>272.44400000000002</v>
      </c>
      <c r="BS126" s="21">
        <v>-1.55823E-2</v>
      </c>
      <c r="BT126" s="21">
        <v>116</v>
      </c>
      <c r="BU126" s="21">
        <v>0.483429</v>
      </c>
      <c r="BV126">
        <f t="shared" si="30"/>
        <v>15.5823</v>
      </c>
      <c r="BW126">
        <f t="shared" si="31"/>
        <v>7.5443419502999998</v>
      </c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1.1409</v>
      </c>
      <c r="H127" s="21">
        <v>48.142400000000002</v>
      </c>
      <c r="I127" s="21">
        <v>-1.4871199999999999E-2</v>
      </c>
      <c r="J127" s="21">
        <v>117</v>
      </c>
      <c r="K127" s="21">
        <v>1.1401399999999999</v>
      </c>
      <c r="L127">
        <f t="shared" si="16"/>
        <v>14.8712</v>
      </c>
      <c r="M127">
        <f t="shared" si="17"/>
        <v>16.96655208</v>
      </c>
      <c r="N127" s="9"/>
      <c r="O127" s="21">
        <v>0.48919699999999999</v>
      </c>
      <c r="P127" s="21">
        <v>97.524799999999999</v>
      </c>
      <c r="Q127" s="21">
        <v>-1.5869100000000001E-2</v>
      </c>
      <c r="R127" s="21">
        <v>117</v>
      </c>
      <c r="S127" s="21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1">
        <v>1.1409</v>
      </c>
      <c r="Z127" s="21">
        <v>50.226399999999998</v>
      </c>
      <c r="AA127" s="21">
        <v>-1.4639299999999999E-2</v>
      </c>
      <c r="AB127" s="21">
        <v>117</v>
      </c>
      <c r="AC127" s="21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1">
        <v>0.48919699999999999</v>
      </c>
      <c r="AH127" s="21">
        <v>75.211399999999998</v>
      </c>
      <c r="AI127" s="21">
        <v>-1.5631099999999998E-2</v>
      </c>
      <c r="AJ127" s="21">
        <v>117</v>
      </c>
      <c r="AK127" s="21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1">
        <v>1.1409</v>
      </c>
      <c r="AR127" s="21">
        <v>124.61199999999999</v>
      </c>
      <c r="AS127" s="21">
        <v>-1.4599600000000001E-2</v>
      </c>
      <c r="AT127" s="21">
        <v>117</v>
      </c>
      <c r="AU127" s="21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1">
        <v>0.48919699999999999</v>
      </c>
      <c r="AZ127" s="21">
        <v>173.898</v>
      </c>
      <c r="BA127" s="21">
        <v>-1.54968E-2</v>
      </c>
      <c r="BB127" s="21">
        <v>117</v>
      </c>
      <c r="BC127" s="21">
        <v>0.48846400000000001</v>
      </c>
      <c r="BD127">
        <f t="shared" si="26"/>
        <v>15.4968</v>
      </c>
      <c r="BE127">
        <f t="shared" si="27"/>
        <v>7.5809880696</v>
      </c>
      <c r="BH127" s="9"/>
      <c r="BI127" s="21">
        <v>1.1409</v>
      </c>
      <c r="BJ127" s="21">
        <v>223.249</v>
      </c>
      <c r="BK127" s="21">
        <v>-1.44928E-2</v>
      </c>
      <c r="BL127" s="21">
        <v>117</v>
      </c>
      <c r="BM127" s="21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1">
        <v>0.48919699999999999</v>
      </c>
      <c r="BR127" s="21">
        <v>272.45400000000001</v>
      </c>
      <c r="BS127" s="21">
        <v>-1.55701E-2</v>
      </c>
      <c r="BT127" s="21">
        <v>117</v>
      </c>
      <c r="BU127" s="21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1.1358600000000001</v>
      </c>
      <c r="H128" s="21">
        <v>48.152500000000003</v>
      </c>
      <c r="I128" s="21">
        <v>-1.4907800000000001E-2</v>
      </c>
      <c r="J128" s="21">
        <v>118</v>
      </c>
      <c r="K128" s="21">
        <v>1.1346400000000001</v>
      </c>
      <c r="L128">
        <f t="shared" si="16"/>
        <v>14.9078</v>
      </c>
      <c r="M128">
        <f t="shared" si="17"/>
        <v>16.933173708000002</v>
      </c>
      <c r="N128" s="9"/>
      <c r="O128" s="21">
        <v>0.494232</v>
      </c>
      <c r="P128" s="21">
        <v>97.534899999999993</v>
      </c>
      <c r="Q128" s="21">
        <v>-1.5862999999999999E-2</v>
      </c>
      <c r="R128" s="21">
        <v>118</v>
      </c>
      <c r="S128" s="21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1">
        <v>1.1358600000000001</v>
      </c>
      <c r="Z128" s="21">
        <v>50.236499999999999</v>
      </c>
      <c r="AA128" s="21">
        <v>-1.4660599999999999E-2</v>
      </c>
      <c r="AB128" s="21">
        <v>118</v>
      </c>
      <c r="AC128" s="21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1">
        <v>0.494232</v>
      </c>
      <c r="AH128" s="21">
        <v>75.221500000000006</v>
      </c>
      <c r="AI128" s="21">
        <v>-1.56189E-2</v>
      </c>
      <c r="AJ128" s="21">
        <v>118</v>
      </c>
      <c r="AK128" s="21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1">
        <v>1.1358600000000001</v>
      </c>
      <c r="AR128" s="21">
        <v>124.622</v>
      </c>
      <c r="AS128" s="21">
        <v>-1.4611799999999999E-2</v>
      </c>
      <c r="AT128" s="21">
        <v>118</v>
      </c>
      <c r="AU128" s="21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1">
        <v>0.494232</v>
      </c>
      <c r="AZ128" s="21">
        <v>173.90799999999999</v>
      </c>
      <c r="BA128" s="21">
        <v>-1.5506000000000001E-2</v>
      </c>
      <c r="BB128" s="21">
        <v>118</v>
      </c>
      <c r="BC128" s="21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1">
        <v>1.1358600000000001</v>
      </c>
      <c r="BJ128" s="21">
        <v>223.25899999999999</v>
      </c>
      <c r="BK128" s="21">
        <v>-1.45142E-2</v>
      </c>
      <c r="BL128" s="21">
        <v>118</v>
      </c>
      <c r="BM128" s="21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1">
        <v>0.494232</v>
      </c>
      <c r="BR128" s="21">
        <v>272.464</v>
      </c>
      <c r="BS128" s="21">
        <v>-1.5573099999999999E-2</v>
      </c>
      <c r="BT128" s="21">
        <v>118</v>
      </c>
      <c r="BU128" s="21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1.13083</v>
      </c>
      <c r="H129" s="21">
        <v>48.162500000000001</v>
      </c>
      <c r="I129" s="21">
        <v>-1.4932300000000001E-2</v>
      </c>
      <c r="J129" s="21">
        <v>119</v>
      </c>
      <c r="K129" s="21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1">
        <v>0.49926799999999999</v>
      </c>
      <c r="P129" s="21">
        <v>97.545000000000002</v>
      </c>
      <c r="Q129" s="21">
        <v>-1.5859999999999999E-2</v>
      </c>
      <c r="R129" s="21">
        <v>119</v>
      </c>
      <c r="S129" s="21">
        <v>0.49847399999999997</v>
      </c>
      <c r="T129">
        <f t="shared" si="18"/>
        <v>15.86</v>
      </c>
      <c r="U129">
        <f t="shared" si="19"/>
        <v>7.9183904799999993</v>
      </c>
      <c r="X129" s="9"/>
      <c r="Y129" s="21">
        <v>1.13083</v>
      </c>
      <c r="Z129" s="21">
        <v>50.246600000000001</v>
      </c>
      <c r="AA129" s="21">
        <v>-1.46851E-2</v>
      </c>
      <c r="AB129" s="21">
        <v>119</v>
      </c>
      <c r="AC129" s="21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1">
        <v>0.49926799999999999</v>
      </c>
      <c r="AH129" s="21">
        <v>75.2316</v>
      </c>
      <c r="AI129" s="21">
        <v>-1.56036E-2</v>
      </c>
      <c r="AJ129" s="21">
        <v>119</v>
      </c>
      <c r="AK129" s="21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1">
        <v>1.13083</v>
      </c>
      <c r="AR129" s="21">
        <v>124.63200000000001</v>
      </c>
      <c r="AS129" s="21">
        <v>-1.46301E-2</v>
      </c>
      <c r="AT129" s="21">
        <v>119</v>
      </c>
      <c r="AU129" s="21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1">
        <v>0.49926799999999999</v>
      </c>
      <c r="AZ129" s="21">
        <v>173.91800000000001</v>
      </c>
      <c r="BA129" s="21">
        <v>-1.5509E-2</v>
      </c>
      <c r="BB129" s="21">
        <v>119</v>
      </c>
      <c r="BC129" s="21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1">
        <v>1.13083</v>
      </c>
      <c r="BJ129" s="21">
        <v>223.26900000000001</v>
      </c>
      <c r="BK129" s="21">
        <v>-1.45264E-2</v>
      </c>
      <c r="BL129" s="21">
        <v>119</v>
      </c>
      <c r="BM129" s="21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1">
        <v>0.49926799999999999</v>
      </c>
      <c r="BR129" s="21">
        <v>272.47399999999999</v>
      </c>
      <c r="BS129" s="21">
        <v>-1.5566999999999999E-2</v>
      </c>
      <c r="BT129" s="21">
        <v>119</v>
      </c>
      <c r="BU129" s="21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1.1257900000000001</v>
      </c>
      <c r="H130" s="21">
        <v>48.172600000000003</v>
      </c>
      <c r="I130" s="21">
        <v>-1.49567E-2</v>
      </c>
      <c r="J130" s="21">
        <v>120</v>
      </c>
      <c r="K130" s="21">
        <v>1.1245700000000001</v>
      </c>
      <c r="L130">
        <f t="shared" si="16"/>
        <v>14.9567</v>
      </c>
      <c r="M130">
        <f t="shared" si="17"/>
        <v>16.838103293</v>
      </c>
      <c r="N130" s="9"/>
      <c r="O130" s="21">
        <v>0.50430299999999995</v>
      </c>
      <c r="P130" s="21">
        <v>97.555000000000007</v>
      </c>
      <c r="Q130" s="21">
        <v>-1.58569E-2</v>
      </c>
      <c r="R130" s="21">
        <v>120</v>
      </c>
      <c r="S130" s="21">
        <v>0.50357099999999999</v>
      </c>
      <c r="T130">
        <f t="shared" si="18"/>
        <v>15.8569</v>
      </c>
      <c r="U130">
        <f t="shared" si="19"/>
        <v>7.9966822406999993</v>
      </c>
      <c r="X130" s="9"/>
      <c r="Y130" s="21">
        <v>1.1257900000000001</v>
      </c>
      <c r="Z130" s="21">
        <v>50.256700000000002</v>
      </c>
      <c r="AA130" s="21">
        <v>-1.47034E-2</v>
      </c>
      <c r="AB130" s="21">
        <v>120</v>
      </c>
      <c r="AC130" s="21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1">
        <v>0.50430299999999995</v>
      </c>
      <c r="AH130" s="21">
        <v>75.241600000000005</v>
      </c>
      <c r="AI130" s="21">
        <v>-1.56036E-2</v>
      </c>
      <c r="AJ130" s="21">
        <v>120</v>
      </c>
      <c r="AK130" s="21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1">
        <v>1.1257900000000001</v>
      </c>
      <c r="AR130" s="21">
        <v>124.642</v>
      </c>
      <c r="AS130" s="21">
        <v>-1.4648400000000001E-2</v>
      </c>
      <c r="AT130" s="21">
        <v>120</v>
      </c>
      <c r="AU130" s="21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1">
        <v>0.50430299999999995</v>
      </c>
      <c r="AZ130" s="21">
        <v>173.929</v>
      </c>
      <c r="BA130" s="21">
        <v>-1.55029E-2</v>
      </c>
      <c r="BB130" s="21">
        <v>120</v>
      </c>
      <c r="BC130" s="21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1">
        <v>1.1257900000000001</v>
      </c>
      <c r="BJ130" s="21">
        <v>223.279</v>
      </c>
      <c r="BK130" s="21">
        <v>-1.45355E-2</v>
      </c>
      <c r="BL130" s="21">
        <v>120</v>
      </c>
      <c r="BM130" s="21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1">
        <v>0.50430299999999995</v>
      </c>
      <c r="BR130" s="21">
        <v>272.48399999999998</v>
      </c>
      <c r="BS130" s="21">
        <v>-1.5560900000000001E-2</v>
      </c>
      <c r="BT130" s="21">
        <v>120</v>
      </c>
      <c r="BU130" s="21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1.12076</v>
      </c>
      <c r="H131" s="21">
        <v>48.182699999999997</v>
      </c>
      <c r="I131" s="21">
        <v>-1.49719E-2</v>
      </c>
      <c r="J131" s="21">
        <v>121</v>
      </c>
      <c r="K131" s="21">
        <v>1.1200000000000001</v>
      </c>
      <c r="L131">
        <f t="shared" si="16"/>
        <v>14.9719</v>
      </c>
      <c r="M131">
        <f t="shared" si="17"/>
        <v>16.779906644</v>
      </c>
      <c r="N131" s="9"/>
      <c r="O131" s="21">
        <v>0.50933799999999996</v>
      </c>
      <c r="P131" s="21">
        <v>97.565100000000001</v>
      </c>
      <c r="Q131" s="21">
        <v>-1.58569E-2</v>
      </c>
      <c r="R131" s="21">
        <v>121</v>
      </c>
      <c r="S131" s="21">
        <v>0.508606</v>
      </c>
      <c r="T131">
        <f t="shared" si="18"/>
        <v>15.8569</v>
      </c>
      <c r="U131">
        <f t="shared" si="19"/>
        <v>8.0765217321999998</v>
      </c>
      <c r="X131" s="9"/>
      <c r="Y131" s="21">
        <v>1.12076</v>
      </c>
      <c r="Z131" s="21">
        <v>50.2667</v>
      </c>
      <c r="AA131" s="21">
        <v>-1.47095E-2</v>
      </c>
      <c r="AB131" s="21">
        <v>121</v>
      </c>
      <c r="AC131" s="21">
        <v>1.1196900000000001</v>
      </c>
      <c r="AD131">
        <f t="shared" si="20"/>
        <v>14.7095</v>
      </c>
      <c r="AE131">
        <f t="shared" si="21"/>
        <v>16.48581922</v>
      </c>
      <c r="AF131" s="9"/>
      <c r="AG131" s="21">
        <v>0.50933799999999996</v>
      </c>
      <c r="AH131" s="21">
        <v>75.2517</v>
      </c>
      <c r="AI131" s="21">
        <v>-1.56036E-2</v>
      </c>
      <c r="AJ131" s="21">
        <v>121</v>
      </c>
      <c r="AK131" s="21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1">
        <v>1.12076</v>
      </c>
      <c r="AR131" s="21">
        <v>124.652</v>
      </c>
      <c r="AS131" s="21">
        <v>-1.46576E-2</v>
      </c>
      <c r="AT131" s="21">
        <v>121</v>
      </c>
      <c r="AU131" s="21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1">
        <v>0.50933799999999996</v>
      </c>
      <c r="AZ131" s="21">
        <v>173.93899999999999</v>
      </c>
      <c r="BA131" s="21">
        <v>-1.54999E-2</v>
      </c>
      <c r="BB131" s="21">
        <v>121</v>
      </c>
      <c r="BC131" s="21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1">
        <v>1.12076</v>
      </c>
      <c r="BJ131" s="21">
        <v>223.28899999999999</v>
      </c>
      <c r="BK131" s="21">
        <v>-1.45416E-2</v>
      </c>
      <c r="BL131" s="21">
        <v>121</v>
      </c>
      <c r="BM131" s="21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1">
        <v>0.50933799999999996</v>
      </c>
      <c r="BR131" s="21">
        <v>272.49400000000003</v>
      </c>
      <c r="BS131" s="21">
        <v>-1.55579E-2</v>
      </c>
      <c r="BT131" s="21">
        <v>121</v>
      </c>
      <c r="BU131" s="21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1.11572</v>
      </c>
      <c r="H132" s="21">
        <v>48.192799999999998</v>
      </c>
      <c r="I132" s="21">
        <v>-1.4993299999999999E-2</v>
      </c>
      <c r="J132" s="21">
        <v>122</v>
      </c>
      <c r="K132" s="21">
        <v>1.1148100000000001</v>
      </c>
      <c r="L132">
        <f t="shared" si="16"/>
        <v>14.9933</v>
      </c>
      <c r="M132">
        <f t="shared" si="17"/>
        <v>16.728324676</v>
      </c>
      <c r="N132" s="9"/>
      <c r="O132" s="21">
        <v>0.514374</v>
      </c>
      <c r="P132" s="21">
        <v>97.575199999999995</v>
      </c>
      <c r="Q132" s="21">
        <v>-1.5853900000000001E-2</v>
      </c>
      <c r="R132" s="21">
        <v>122</v>
      </c>
      <c r="S132" s="21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1">
        <v>1.11572</v>
      </c>
      <c r="Z132" s="21">
        <v>50.276800000000001</v>
      </c>
      <c r="AA132" s="21">
        <v>-1.47125E-2</v>
      </c>
      <c r="AB132" s="21">
        <v>122</v>
      </c>
      <c r="AC132" s="21">
        <v>1.1148100000000001</v>
      </c>
      <c r="AD132">
        <f t="shared" si="20"/>
        <v>14.7125</v>
      </c>
      <c r="AE132">
        <f t="shared" si="21"/>
        <v>16.4150305</v>
      </c>
      <c r="AF132" s="9"/>
      <c r="AG132" s="21">
        <v>0.514374</v>
      </c>
      <c r="AH132" s="21">
        <v>75.261799999999994</v>
      </c>
      <c r="AI132" s="21">
        <v>-1.56036E-2</v>
      </c>
      <c r="AJ132" s="21">
        <v>122</v>
      </c>
      <c r="AK132" s="21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1">
        <v>1.11572</v>
      </c>
      <c r="AR132" s="21">
        <v>124.66200000000001</v>
      </c>
      <c r="AS132" s="21">
        <v>-1.46759E-2</v>
      </c>
      <c r="AT132" s="21">
        <v>122</v>
      </c>
      <c r="AU132" s="21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1">
        <v>0.514374</v>
      </c>
      <c r="AZ132" s="21">
        <v>173.94900000000001</v>
      </c>
      <c r="BA132" s="21">
        <v>-1.5484599999999999E-2</v>
      </c>
      <c r="BB132" s="21">
        <v>122</v>
      </c>
      <c r="BC132" s="21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1">
        <v>1.11572</v>
      </c>
      <c r="BJ132" s="21">
        <v>223.29900000000001</v>
      </c>
      <c r="BK132" s="21">
        <v>-1.4544700000000001E-2</v>
      </c>
      <c r="BL132" s="21">
        <v>122</v>
      </c>
      <c r="BM132" s="21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1">
        <v>0.514374</v>
      </c>
      <c r="BR132" s="21">
        <v>272.50400000000002</v>
      </c>
      <c r="BS132" s="21">
        <v>-1.55426E-2</v>
      </c>
      <c r="BT132" s="21">
        <v>122</v>
      </c>
      <c r="BU132" s="21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1.11069</v>
      </c>
      <c r="H133" s="21">
        <v>48.202800000000003</v>
      </c>
      <c r="I133" s="21">
        <v>-1.50116E-2</v>
      </c>
      <c r="J133" s="21">
        <v>123</v>
      </c>
      <c r="K133" s="21">
        <v>1.1096200000000001</v>
      </c>
      <c r="L133">
        <f t="shared" si="16"/>
        <v>15.0116</v>
      </c>
      <c r="M133">
        <f t="shared" si="17"/>
        <v>16.673234003999998</v>
      </c>
      <c r="N133" s="9"/>
      <c r="O133" s="21">
        <v>0.51940900000000001</v>
      </c>
      <c r="P133" s="21">
        <v>97.585300000000004</v>
      </c>
      <c r="Q133" s="21">
        <v>-1.5850800000000002E-2</v>
      </c>
      <c r="R133" s="21">
        <v>123</v>
      </c>
      <c r="S133" s="21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1">
        <v>1.11069</v>
      </c>
      <c r="Z133" s="21">
        <v>50.286900000000003</v>
      </c>
      <c r="AA133" s="21">
        <v>-1.47186E-2</v>
      </c>
      <c r="AB133" s="21">
        <v>123</v>
      </c>
      <c r="AC133" s="21">
        <v>1.10931</v>
      </c>
      <c r="AD133">
        <f t="shared" si="20"/>
        <v>14.7186</v>
      </c>
      <c r="AE133">
        <f t="shared" si="21"/>
        <v>16.347801833999998</v>
      </c>
      <c r="AF133" s="9"/>
      <c r="AG133" s="21">
        <v>0.51940900000000001</v>
      </c>
      <c r="AH133" s="21">
        <v>75.271799999999999</v>
      </c>
      <c r="AI133" s="21">
        <v>-1.56036E-2</v>
      </c>
      <c r="AJ133" s="21">
        <v>123</v>
      </c>
      <c r="AK133" s="21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1">
        <v>1.11069</v>
      </c>
      <c r="AR133" s="21">
        <v>124.672</v>
      </c>
      <c r="AS133" s="21">
        <v>-1.46851E-2</v>
      </c>
      <c r="AT133" s="21">
        <v>123</v>
      </c>
      <c r="AU133" s="21">
        <v>1.1096200000000001</v>
      </c>
      <c r="AV133">
        <f t="shared" si="24"/>
        <v>14.6851</v>
      </c>
      <c r="AW133">
        <f t="shared" si="25"/>
        <v>16.310593719</v>
      </c>
      <c r="AX133" s="9"/>
      <c r="AY133" s="21">
        <v>0.51940900000000001</v>
      </c>
      <c r="AZ133" s="21">
        <v>173.959</v>
      </c>
      <c r="BA133" s="21">
        <v>-1.54816E-2</v>
      </c>
      <c r="BB133" s="21">
        <v>123</v>
      </c>
      <c r="BC133" s="21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1">
        <v>1.11069</v>
      </c>
      <c r="BJ133" s="21">
        <v>223.309</v>
      </c>
      <c r="BK133" s="21">
        <v>-1.4556899999999999E-2</v>
      </c>
      <c r="BL133" s="21">
        <v>123</v>
      </c>
      <c r="BM133" s="21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1">
        <v>0.51940900000000001</v>
      </c>
      <c r="BR133" s="21">
        <v>272.51499999999999</v>
      </c>
      <c r="BS133" s="21">
        <v>-1.55426E-2</v>
      </c>
      <c r="BT133" s="21">
        <v>123</v>
      </c>
      <c r="BU133" s="21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1.10565</v>
      </c>
      <c r="H134" s="21">
        <v>48.212899999999998</v>
      </c>
      <c r="I134" s="21">
        <v>-1.5036000000000001E-2</v>
      </c>
      <c r="J134" s="21">
        <v>124</v>
      </c>
      <c r="K134" s="21">
        <v>1.10443</v>
      </c>
      <c r="L134">
        <f t="shared" si="16"/>
        <v>15.036000000000001</v>
      </c>
      <c r="M134">
        <f t="shared" si="17"/>
        <v>16.624553400000003</v>
      </c>
      <c r="N134" s="9"/>
      <c r="O134" s="21">
        <v>0.52444500000000005</v>
      </c>
      <c r="P134" s="21">
        <v>97.595299999999995</v>
      </c>
      <c r="Q134" s="21">
        <v>-1.58447E-2</v>
      </c>
      <c r="R134" s="21">
        <v>124</v>
      </c>
      <c r="S134" s="21">
        <v>0.52356000000000003</v>
      </c>
      <c r="T134">
        <f t="shared" si="18"/>
        <v>15.8447</v>
      </c>
      <c r="U134">
        <f t="shared" si="19"/>
        <v>8.3096736915000005</v>
      </c>
      <c r="X134" s="9"/>
      <c r="Y134" s="21">
        <v>1.10565</v>
      </c>
      <c r="Z134" s="21">
        <v>50.296900000000001</v>
      </c>
      <c r="AA134" s="21">
        <v>-1.474E-2</v>
      </c>
      <c r="AB134" s="21">
        <v>124</v>
      </c>
      <c r="AC134" s="21">
        <v>1.10443</v>
      </c>
      <c r="AD134">
        <f t="shared" si="20"/>
        <v>14.74</v>
      </c>
      <c r="AE134">
        <f t="shared" si="21"/>
        <v>16.297281000000002</v>
      </c>
      <c r="AF134" s="9"/>
      <c r="AG134" s="21">
        <v>0.52444500000000005</v>
      </c>
      <c r="AH134" s="21">
        <v>75.281899999999993</v>
      </c>
      <c r="AI134" s="21">
        <v>-1.5594500000000001E-2</v>
      </c>
      <c r="AJ134" s="21">
        <v>124</v>
      </c>
      <c r="AK134" s="21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1">
        <v>1.10565</v>
      </c>
      <c r="AR134" s="21">
        <v>124.682</v>
      </c>
      <c r="AS134" s="21">
        <v>-1.4694199999999999E-2</v>
      </c>
      <c r="AT134" s="21">
        <v>124</v>
      </c>
      <c r="AU134" s="21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1">
        <v>0.52444500000000005</v>
      </c>
      <c r="AZ134" s="21">
        <v>173.96899999999999</v>
      </c>
      <c r="BA134" s="21">
        <v>-1.5469399999999999E-2</v>
      </c>
      <c r="BB134" s="21">
        <v>124</v>
      </c>
      <c r="BC134" s="21">
        <v>0.523621</v>
      </c>
      <c r="BD134">
        <f t="shared" si="26"/>
        <v>15.4694</v>
      </c>
      <c r="BE134">
        <f t="shared" si="27"/>
        <v>8.1128494830000015</v>
      </c>
      <c r="BH134" s="9"/>
      <c r="BI134" s="21">
        <v>1.10565</v>
      </c>
      <c r="BJ134" s="21">
        <v>223.31899999999999</v>
      </c>
      <c r="BK134" s="21">
        <v>-1.4556899999999999E-2</v>
      </c>
      <c r="BL134" s="21">
        <v>124</v>
      </c>
      <c r="BM134" s="21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1">
        <v>0.52444500000000005</v>
      </c>
      <c r="BR134" s="21">
        <v>272.52499999999998</v>
      </c>
      <c r="BS134" s="21">
        <v>-1.55426E-2</v>
      </c>
      <c r="BT134" s="21">
        <v>124</v>
      </c>
      <c r="BU134" s="21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1.1006199999999999</v>
      </c>
      <c r="H135" s="21">
        <v>48.222999999999999</v>
      </c>
      <c r="I135" s="21">
        <v>-1.50513E-2</v>
      </c>
      <c r="J135" s="21">
        <v>125</v>
      </c>
      <c r="K135" s="21">
        <v>1.09955</v>
      </c>
      <c r="L135">
        <f t="shared" si="16"/>
        <v>15.051299999999999</v>
      </c>
      <c r="M135">
        <f t="shared" si="17"/>
        <v>16.565761805999998</v>
      </c>
      <c r="N135" s="9"/>
      <c r="O135" s="21">
        <v>0.52947999999999995</v>
      </c>
      <c r="P135" s="21">
        <v>97.605400000000003</v>
      </c>
      <c r="Q135" s="21">
        <v>-1.5838600000000001E-2</v>
      </c>
      <c r="R135" s="21">
        <v>125</v>
      </c>
      <c r="S135" s="21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1">
        <v>1.1006199999999999</v>
      </c>
      <c r="Z135" s="21">
        <v>50.307000000000002</v>
      </c>
      <c r="AA135" s="21">
        <v>-1.4749099999999999E-2</v>
      </c>
      <c r="AB135" s="21">
        <v>125</v>
      </c>
      <c r="AC135" s="21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1">
        <v>0.52947999999999995</v>
      </c>
      <c r="AH135" s="21">
        <v>75.292000000000002</v>
      </c>
      <c r="AI135" s="21">
        <v>-1.5588400000000001E-2</v>
      </c>
      <c r="AJ135" s="21">
        <v>125</v>
      </c>
      <c r="AK135" s="21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1">
        <v>1.1006199999999999</v>
      </c>
      <c r="AR135" s="21">
        <v>124.69199999999999</v>
      </c>
      <c r="AS135" s="21">
        <v>-1.4694199999999999E-2</v>
      </c>
      <c r="AT135" s="21">
        <v>125</v>
      </c>
      <c r="AU135" s="21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1">
        <v>0.52947999999999995</v>
      </c>
      <c r="AZ135" s="21">
        <v>173.97900000000001</v>
      </c>
      <c r="BA135" s="21">
        <v>-1.54602E-2</v>
      </c>
      <c r="BB135" s="21">
        <v>125</v>
      </c>
      <c r="BC135" s="21">
        <v>0.528748</v>
      </c>
      <c r="BD135">
        <f t="shared" si="26"/>
        <v>15.4602</v>
      </c>
      <c r="BE135">
        <f t="shared" si="27"/>
        <v>8.1858666959999997</v>
      </c>
      <c r="BH135" s="9"/>
      <c r="BI135" s="21">
        <v>1.1006199999999999</v>
      </c>
      <c r="BJ135" s="21">
        <v>223.32900000000001</v>
      </c>
      <c r="BK135" s="21">
        <v>-1.45752E-2</v>
      </c>
      <c r="BL135" s="21">
        <v>125</v>
      </c>
      <c r="BM135" s="21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1">
        <v>0.52947999999999995</v>
      </c>
      <c r="BR135" s="21">
        <v>272.53500000000003</v>
      </c>
      <c r="BS135" s="21">
        <v>-1.5533399999999999E-2</v>
      </c>
      <c r="BT135" s="21">
        <v>125</v>
      </c>
      <c r="BU135" s="21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1.09558</v>
      </c>
      <c r="H136" s="21">
        <v>48.232999999999997</v>
      </c>
      <c r="I136" s="21">
        <v>-1.50665E-2</v>
      </c>
      <c r="J136" s="21">
        <v>126</v>
      </c>
      <c r="K136" s="21">
        <v>1.09406</v>
      </c>
      <c r="L136">
        <f t="shared" si="16"/>
        <v>15.0665</v>
      </c>
      <c r="M136">
        <f t="shared" si="17"/>
        <v>16.506556069999998</v>
      </c>
      <c r="N136" s="9"/>
      <c r="O136" s="21">
        <v>0.53451499999999996</v>
      </c>
      <c r="P136" s="21">
        <v>97.615499999999997</v>
      </c>
      <c r="Q136" s="21">
        <v>-1.5838600000000001E-2</v>
      </c>
      <c r="R136" s="21">
        <v>126</v>
      </c>
      <c r="S136" s="21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1">
        <v>1.09558</v>
      </c>
      <c r="Z136" s="21">
        <v>50.317100000000003</v>
      </c>
      <c r="AA136" s="21">
        <v>-1.4767499999999999E-2</v>
      </c>
      <c r="AB136" s="21">
        <v>126</v>
      </c>
      <c r="AC136" s="21">
        <v>1.09467</v>
      </c>
      <c r="AD136">
        <f t="shared" si="20"/>
        <v>14.7675</v>
      </c>
      <c r="AE136">
        <f t="shared" si="21"/>
        <v>16.17897765</v>
      </c>
      <c r="AF136" s="9"/>
      <c r="AG136" s="21">
        <v>0.53451499999999996</v>
      </c>
      <c r="AH136" s="21">
        <v>75.302099999999996</v>
      </c>
      <c r="AI136" s="21">
        <v>-1.55823E-2</v>
      </c>
      <c r="AJ136" s="21">
        <v>126</v>
      </c>
      <c r="AK136" s="21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1">
        <v>1.09558</v>
      </c>
      <c r="AR136" s="21">
        <v>124.702</v>
      </c>
      <c r="AS136" s="21">
        <v>-1.47125E-2</v>
      </c>
      <c r="AT136" s="21">
        <v>126</v>
      </c>
      <c r="AU136" s="21">
        <v>1.09467</v>
      </c>
      <c r="AV136">
        <f t="shared" si="24"/>
        <v>14.7125</v>
      </c>
      <c r="AW136">
        <f t="shared" si="25"/>
        <v>16.118720750000001</v>
      </c>
      <c r="AX136" s="9"/>
      <c r="AY136" s="21">
        <v>0.53451499999999996</v>
      </c>
      <c r="AZ136" s="21">
        <v>173.989</v>
      </c>
      <c r="BA136" s="21">
        <v>-1.54541E-2</v>
      </c>
      <c r="BB136" s="21">
        <v>126</v>
      </c>
      <c r="BC136" s="21">
        <v>0.533752</v>
      </c>
      <c r="BD136">
        <f t="shared" si="26"/>
        <v>15.4541</v>
      </c>
      <c r="BE136">
        <f t="shared" si="27"/>
        <v>8.2604482614999988</v>
      </c>
      <c r="BH136" s="9"/>
      <c r="BI136" s="21">
        <v>1.09558</v>
      </c>
      <c r="BJ136" s="21">
        <v>223.339</v>
      </c>
      <c r="BK136" s="21">
        <v>-1.4578199999999999E-2</v>
      </c>
      <c r="BL136" s="21">
        <v>126</v>
      </c>
      <c r="BM136" s="21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1">
        <v>0.53451499999999996</v>
      </c>
      <c r="BR136" s="21">
        <v>272.54500000000002</v>
      </c>
      <c r="BS136" s="21">
        <v>-1.55243E-2</v>
      </c>
      <c r="BT136" s="21">
        <v>126</v>
      </c>
      <c r="BU136" s="21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1.0905499999999999</v>
      </c>
      <c r="H137" s="21">
        <v>48.243099999999998</v>
      </c>
      <c r="I137" s="21">
        <v>-1.50879E-2</v>
      </c>
      <c r="J137" s="21">
        <v>127</v>
      </c>
      <c r="K137" s="21">
        <v>1.08948</v>
      </c>
      <c r="L137">
        <f t="shared" si="16"/>
        <v>15.087899999999999</v>
      </c>
      <c r="M137">
        <f t="shared" si="17"/>
        <v>16.454109344999999</v>
      </c>
      <c r="N137" s="9"/>
      <c r="O137" s="21">
        <v>0.539551</v>
      </c>
      <c r="P137" s="21">
        <v>97.625500000000002</v>
      </c>
      <c r="Q137" s="21">
        <v>-1.5832499999999999E-2</v>
      </c>
      <c r="R137" s="21">
        <v>127</v>
      </c>
      <c r="S137" s="21">
        <v>0.53869599999999995</v>
      </c>
      <c r="T137">
        <f t="shared" si="18"/>
        <v>15.8325</v>
      </c>
      <c r="U137">
        <f t="shared" si="19"/>
        <v>8.5424412074999996</v>
      </c>
      <c r="X137" s="9"/>
      <c r="Y137" s="21">
        <v>1.0905499999999999</v>
      </c>
      <c r="Z137" s="21">
        <v>50.327199999999998</v>
      </c>
      <c r="AA137" s="21">
        <v>-1.47858E-2</v>
      </c>
      <c r="AB137" s="21">
        <v>127</v>
      </c>
      <c r="AC137" s="21">
        <v>1.08917</v>
      </c>
      <c r="AD137">
        <f t="shared" si="20"/>
        <v>14.7858</v>
      </c>
      <c r="AE137">
        <f t="shared" si="21"/>
        <v>16.124654189999998</v>
      </c>
      <c r="AF137" s="9"/>
      <c r="AG137" s="21">
        <v>0.539551</v>
      </c>
      <c r="AH137" s="21">
        <v>75.312100000000001</v>
      </c>
      <c r="AI137" s="21">
        <v>-1.55701E-2</v>
      </c>
      <c r="AJ137" s="21">
        <v>127</v>
      </c>
      <c r="AK137" s="21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1">
        <v>1.0905499999999999</v>
      </c>
      <c r="AR137" s="21">
        <v>124.71299999999999</v>
      </c>
      <c r="AS137" s="21">
        <v>-1.47186E-2</v>
      </c>
      <c r="AT137" s="21">
        <v>127</v>
      </c>
      <c r="AU137" s="21">
        <v>1.08917</v>
      </c>
      <c r="AV137">
        <f t="shared" si="24"/>
        <v>14.7186</v>
      </c>
      <c r="AW137">
        <f t="shared" si="25"/>
        <v>16.051369229999999</v>
      </c>
      <c r="AX137" s="9"/>
      <c r="AY137" s="21">
        <v>0.539551</v>
      </c>
      <c r="AZ137" s="21">
        <v>173.999</v>
      </c>
      <c r="BA137" s="21">
        <v>-1.5444899999999999E-2</v>
      </c>
      <c r="BB137" s="21">
        <v>127</v>
      </c>
      <c r="BC137" s="21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1">
        <v>1.0905499999999999</v>
      </c>
      <c r="BJ137" s="21">
        <v>223.34899999999999</v>
      </c>
      <c r="BK137" s="21">
        <v>-1.45874E-2</v>
      </c>
      <c r="BL137" s="21">
        <v>127</v>
      </c>
      <c r="BM137" s="21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1">
        <v>0.539551</v>
      </c>
      <c r="BR137" s="21">
        <v>272.55500000000001</v>
      </c>
      <c r="BS137" s="21">
        <v>-1.55151E-2</v>
      </c>
      <c r="BT137" s="21">
        <v>127</v>
      </c>
      <c r="BU137" s="21">
        <v>0.53881800000000002</v>
      </c>
      <c r="BV137">
        <f t="shared" si="30"/>
        <v>15.5151</v>
      </c>
      <c r="BW137">
        <f t="shared" si="31"/>
        <v>8.3711877201</v>
      </c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1.08551</v>
      </c>
      <c r="H138" s="21">
        <v>48.2532</v>
      </c>
      <c r="I138" s="21">
        <v>-1.51031E-2</v>
      </c>
      <c r="J138" s="21">
        <v>128</v>
      </c>
      <c r="K138" s="21">
        <v>1.0839799999999999</v>
      </c>
      <c r="L138">
        <f t="shared" si="16"/>
        <v>15.1031</v>
      </c>
      <c r="M138">
        <f t="shared" si="17"/>
        <v>16.394566081000001</v>
      </c>
      <c r="N138" s="9"/>
      <c r="O138" s="21">
        <v>0.54458600000000001</v>
      </c>
      <c r="P138" s="21">
        <v>97.635599999999997</v>
      </c>
      <c r="Q138" s="21">
        <v>-1.5835599999999998E-2</v>
      </c>
      <c r="R138" s="21">
        <v>128</v>
      </c>
      <c r="S138" s="21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1">
        <v>1.08551</v>
      </c>
      <c r="Z138" s="21">
        <v>50.337200000000003</v>
      </c>
      <c r="AA138" s="21">
        <v>-1.4798E-2</v>
      </c>
      <c r="AB138" s="21">
        <v>128</v>
      </c>
      <c r="AC138" s="21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1">
        <v>0.54458600000000001</v>
      </c>
      <c r="AH138" s="21">
        <v>75.322199999999995</v>
      </c>
      <c r="AI138" s="21">
        <v>-1.5545700000000001E-2</v>
      </c>
      <c r="AJ138" s="21">
        <v>128</v>
      </c>
      <c r="AK138" s="21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1">
        <v>1.08551</v>
      </c>
      <c r="AR138" s="21">
        <v>124.723</v>
      </c>
      <c r="AS138" s="21">
        <v>-1.47247E-2</v>
      </c>
      <c r="AT138" s="21">
        <v>128</v>
      </c>
      <c r="AU138" s="21">
        <v>1.08429</v>
      </c>
      <c r="AV138">
        <f t="shared" si="24"/>
        <v>14.7247</v>
      </c>
      <c r="AW138">
        <f t="shared" si="25"/>
        <v>15.983809097</v>
      </c>
      <c r="AX138" s="9"/>
      <c r="AY138" s="21">
        <v>0.54458600000000001</v>
      </c>
      <c r="AZ138" s="21">
        <v>174.00899999999999</v>
      </c>
      <c r="BA138" s="21">
        <v>-1.54358E-2</v>
      </c>
      <c r="BB138" s="21">
        <v>128</v>
      </c>
      <c r="BC138" s="21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1">
        <v>1.08551</v>
      </c>
      <c r="BJ138" s="21">
        <v>223.35900000000001</v>
      </c>
      <c r="BK138" s="21">
        <v>-1.4593500000000001E-2</v>
      </c>
      <c r="BL138" s="21">
        <v>128</v>
      </c>
      <c r="BM138" s="21">
        <v>1.08429</v>
      </c>
      <c r="BN138">
        <f t="shared" si="28"/>
        <v>14.593500000000001</v>
      </c>
      <c r="BO138">
        <f t="shared" si="29"/>
        <v>15.841390185</v>
      </c>
      <c r="BP138" s="9"/>
      <c r="BQ138" s="21">
        <v>0.54458600000000001</v>
      </c>
      <c r="BR138" s="21">
        <v>272.565</v>
      </c>
      <c r="BS138" s="21">
        <v>-1.54999E-2</v>
      </c>
      <c r="BT138" s="21">
        <v>128</v>
      </c>
      <c r="BU138" s="21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1.08047</v>
      </c>
      <c r="H139" s="21">
        <v>48.263300000000001</v>
      </c>
      <c r="I139" s="21">
        <v>-1.51123E-2</v>
      </c>
      <c r="J139" s="21">
        <v>129</v>
      </c>
      <c r="K139" s="21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1">
        <v>0.54962200000000005</v>
      </c>
      <c r="P139" s="21">
        <v>97.645700000000005</v>
      </c>
      <c r="Q139" s="21">
        <v>-1.5838600000000001E-2</v>
      </c>
      <c r="R139" s="21">
        <v>129</v>
      </c>
      <c r="S139" s="21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1">
        <v>1.08047</v>
      </c>
      <c r="Z139" s="21">
        <v>50.347299999999997</v>
      </c>
      <c r="AA139" s="21">
        <v>-1.4804100000000001E-2</v>
      </c>
      <c r="AB139" s="21">
        <v>129</v>
      </c>
      <c r="AC139" s="21">
        <v>1.07941</v>
      </c>
      <c r="AD139">
        <f t="shared" si="20"/>
        <v>14.8041</v>
      </c>
      <c r="AE139">
        <f t="shared" si="21"/>
        <v>15.995385927000001</v>
      </c>
      <c r="AF139" s="9"/>
      <c r="AG139" s="21">
        <v>0.54962200000000005</v>
      </c>
      <c r="AH139" s="21">
        <v>75.332300000000004</v>
      </c>
      <c r="AI139" s="21">
        <v>-1.5533399999999999E-2</v>
      </c>
      <c r="AJ139" s="21">
        <v>129</v>
      </c>
      <c r="AK139" s="21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1">
        <v>1.08047</v>
      </c>
      <c r="AR139" s="21">
        <v>124.733</v>
      </c>
      <c r="AS139" s="21">
        <v>-1.4742999999999999E-2</v>
      </c>
      <c r="AT139" s="21">
        <v>129</v>
      </c>
      <c r="AU139" s="21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1">
        <v>0.54962200000000005</v>
      </c>
      <c r="AZ139" s="21">
        <v>174.01900000000001</v>
      </c>
      <c r="BA139" s="21">
        <v>-1.5429699999999999E-2</v>
      </c>
      <c r="BB139" s="21">
        <v>129</v>
      </c>
      <c r="BC139" s="21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1">
        <v>1.08047</v>
      </c>
      <c r="BJ139" s="21">
        <v>223.37</v>
      </c>
      <c r="BK139" s="21">
        <v>-1.46088E-2</v>
      </c>
      <c r="BL139" s="21">
        <v>129</v>
      </c>
      <c r="BM139" s="21">
        <v>1.07941</v>
      </c>
      <c r="BN139">
        <f t="shared" si="28"/>
        <v>14.6088</v>
      </c>
      <c r="BO139">
        <f t="shared" si="29"/>
        <v>15.784370136000001</v>
      </c>
      <c r="BP139" s="9"/>
      <c r="BQ139" s="21">
        <v>0.54962200000000005</v>
      </c>
      <c r="BR139" s="21">
        <v>272.57499999999999</v>
      </c>
      <c r="BS139" s="21">
        <v>-1.5484599999999999E-2</v>
      </c>
      <c r="BT139" s="21">
        <v>129</v>
      </c>
      <c r="BU139" s="21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1.07544</v>
      </c>
      <c r="H140" s="21">
        <v>48.273299999999999</v>
      </c>
      <c r="I140" s="21">
        <v>-1.51215E-2</v>
      </c>
      <c r="J140" s="21">
        <v>130</v>
      </c>
      <c r="K140" s="21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1">
        <v>0.55465699999999996</v>
      </c>
      <c r="P140" s="21">
        <v>97.655799999999999</v>
      </c>
      <c r="Q140" s="21">
        <v>-1.5826400000000001E-2</v>
      </c>
      <c r="R140" s="21">
        <v>130</v>
      </c>
      <c r="S140" s="21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1">
        <v>1.07544</v>
      </c>
      <c r="Z140" s="21">
        <v>50.357399999999998</v>
      </c>
      <c r="AA140" s="21">
        <v>-1.48071E-2</v>
      </c>
      <c r="AB140" s="21">
        <v>130</v>
      </c>
      <c r="AC140" s="21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1">
        <v>0.55465699999999996</v>
      </c>
      <c r="AH140" s="21">
        <v>75.342299999999994</v>
      </c>
      <c r="AI140" s="21">
        <v>-1.5512099999999999E-2</v>
      </c>
      <c r="AJ140" s="21">
        <v>130</v>
      </c>
      <c r="AK140" s="21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1">
        <v>1.07544</v>
      </c>
      <c r="AR140" s="21">
        <v>124.74299999999999</v>
      </c>
      <c r="AS140" s="21">
        <v>-1.47583E-2</v>
      </c>
      <c r="AT140" s="21">
        <v>130</v>
      </c>
      <c r="AU140" s="21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1">
        <v>0.55465699999999996</v>
      </c>
      <c r="AZ140" s="21">
        <v>174.029</v>
      </c>
      <c r="BA140" s="21">
        <v>-1.5429699999999999E-2</v>
      </c>
      <c r="BB140" s="21">
        <v>130</v>
      </c>
      <c r="BC140" s="21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1">
        <v>1.07544</v>
      </c>
      <c r="BJ140" s="21">
        <v>223.38</v>
      </c>
      <c r="BK140" s="21">
        <v>-1.4621E-2</v>
      </c>
      <c r="BL140" s="21">
        <v>130</v>
      </c>
      <c r="BM140" s="21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1">
        <v>0.55465699999999996</v>
      </c>
      <c r="BR140" s="21">
        <v>272.58499999999998</v>
      </c>
      <c r="BS140" s="21">
        <v>-1.54755E-2</v>
      </c>
      <c r="BT140" s="21">
        <v>130</v>
      </c>
      <c r="BU140" s="21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1.0704</v>
      </c>
      <c r="H141" s="21">
        <v>48.2834</v>
      </c>
      <c r="I141" s="21">
        <v>-1.51337E-2</v>
      </c>
      <c r="J141" s="21">
        <v>131</v>
      </c>
      <c r="K141" s="21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1">
        <v>0.55969199999999997</v>
      </c>
      <c r="P141" s="21">
        <v>97.665800000000004</v>
      </c>
      <c r="Q141" s="21">
        <v>-1.58295E-2</v>
      </c>
      <c r="R141" s="21">
        <v>131</v>
      </c>
      <c r="S141" s="21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1">
        <v>1.0704</v>
      </c>
      <c r="Z141" s="21">
        <v>50.367400000000004</v>
      </c>
      <c r="AA141" s="21">
        <v>-1.4819300000000001E-2</v>
      </c>
      <c r="AB141" s="21">
        <v>131</v>
      </c>
      <c r="AC141" s="21">
        <v>1.0690299999999999</v>
      </c>
      <c r="AD141">
        <f t="shared" si="36"/>
        <v>14.8193</v>
      </c>
      <c r="AE141">
        <f t="shared" si="37"/>
        <v>15.86257872</v>
      </c>
      <c r="AF141" s="9"/>
      <c r="AG141" s="21">
        <v>0.55969199999999997</v>
      </c>
      <c r="AH141" s="21">
        <v>75.352400000000003</v>
      </c>
      <c r="AI141" s="21">
        <v>-1.54968E-2</v>
      </c>
      <c r="AJ141" s="21">
        <v>131</v>
      </c>
      <c r="AK141" s="21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1">
        <v>1.0704</v>
      </c>
      <c r="AR141" s="21">
        <v>124.753</v>
      </c>
      <c r="AS141" s="21">
        <v>-1.4776600000000001E-2</v>
      </c>
      <c r="AT141" s="21">
        <v>131</v>
      </c>
      <c r="AU141" s="21">
        <v>1.0696399999999999</v>
      </c>
      <c r="AV141">
        <f t="shared" si="40"/>
        <v>14.7766</v>
      </c>
      <c r="AW141">
        <f t="shared" si="41"/>
        <v>15.81687264</v>
      </c>
      <c r="AX141" s="9"/>
      <c r="AY141" s="21">
        <v>0.55969199999999997</v>
      </c>
      <c r="AZ141" s="21">
        <v>174.03899999999999</v>
      </c>
      <c r="BA141" s="21">
        <v>-1.54266E-2</v>
      </c>
      <c r="BB141" s="21">
        <v>131</v>
      </c>
      <c r="BC141" s="21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1">
        <v>1.0704</v>
      </c>
      <c r="BJ141" s="21">
        <v>223.39</v>
      </c>
      <c r="BK141" s="21">
        <v>-1.46362E-2</v>
      </c>
      <c r="BL141" s="21">
        <v>131</v>
      </c>
      <c r="BM141" s="21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1">
        <v>0.55969199999999997</v>
      </c>
      <c r="BR141" s="21">
        <v>272.59500000000003</v>
      </c>
      <c r="BS141" s="21">
        <v>-1.5457200000000001E-2</v>
      </c>
      <c r="BT141" s="21">
        <v>131</v>
      </c>
      <c r="BU141" s="21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1.0653699999999999</v>
      </c>
      <c r="H142" s="21">
        <v>48.293500000000002</v>
      </c>
      <c r="I142" s="21">
        <v>-1.5152000000000001E-2</v>
      </c>
      <c r="J142" s="21">
        <v>132</v>
      </c>
      <c r="K142" s="21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1">
        <v>0.56472800000000001</v>
      </c>
      <c r="P142" s="21">
        <v>97.675899999999999</v>
      </c>
      <c r="Q142" s="21">
        <v>-1.5823400000000001E-2</v>
      </c>
      <c r="R142" s="21">
        <v>132</v>
      </c>
      <c r="S142" s="21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1">
        <v>1.0653699999999999</v>
      </c>
      <c r="Z142" s="21">
        <v>50.377499999999998</v>
      </c>
      <c r="AA142" s="21">
        <v>-1.4825400000000001E-2</v>
      </c>
      <c r="AB142" s="21">
        <v>132</v>
      </c>
      <c r="AC142" s="21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1">
        <v>0.56472800000000001</v>
      </c>
      <c r="AH142" s="21">
        <v>75.362499999999997</v>
      </c>
      <c r="AI142" s="21">
        <v>-1.54999E-2</v>
      </c>
      <c r="AJ142" s="21">
        <v>132</v>
      </c>
      <c r="AK142" s="21">
        <v>0.56393400000000005</v>
      </c>
      <c r="AL142">
        <f t="shared" si="38"/>
        <v>15.4999</v>
      </c>
      <c r="AM142">
        <f t="shared" si="39"/>
        <v>8.7532275272</v>
      </c>
      <c r="AP142" s="9"/>
      <c r="AQ142" s="21">
        <v>1.0653699999999999</v>
      </c>
      <c r="AR142" s="21">
        <v>124.76300000000001</v>
      </c>
      <c r="AS142" s="21">
        <v>-1.4801E-2</v>
      </c>
      <c r="AT142" s="21">
        <v>132</v>
      </c>
      <c r="AU142" s="21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1">
        <v>0.56472800000000001</v>
      </c>
      <c r="AZ142" s="21">
        <v>174.04900000000001</v>
      </c>
      <c r="BA142" s="21">
        <v>-1.54144E-2</v>
      </c>
      <c r="BB142" s="21">
        <v>132</v>
      </c>
      <c r="BC142" s="21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1">
        <v>1.0653699999999999</v>
      </c>
      <c r="BJ142" s="21">
        <v>223.4</v>
      </c>
      <c r="BK142" s="21">
        <v>-1.4648400000000001E-2</v>
      </c>
      <c r="BL142" s="21">
        <v>132</v>
      </c>
      <c r="BM142" s="21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1">
        <v>0.56472800000000001</v>
      </c>
      <c r="BR142" s="21">
        <v>272.60500000000002</v>
      </c>
      <c r="BS142" s="21">
        <v>-1.5448E-2</v>
      </c>
      <c r="BT142" s="21">
        <v>132</v>
      </c>
      <c r="BU142" s="21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1.06033</v>
      </c>
      <c r="H143" s="21">
        <v>48.3035</v>
      </c>
      <c r="I143" s="21">
        <v>-1.5164199999999999E-2</v>
      </c>
      <c r="J143" s="21">
        <v>133</v>
      </c>
      <c r="K143" s="21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1">
        <v>0.56976300000000002</v>
      </c>
      <c r="P143" s="21">
        <v>97.686000000000007</v>
      </c>
      <c r="Q143" s="21">
        <v>-1.58142E-2</v>
      </c>
      <c r="R143" s="21">
        <v>133</v>
      </c>
      <c r="S143" s="21">
        <v>0.56893899999999997</v>
      </c>
      <c r="T143">
        <f t="shared" si="34"/>
        <v>15.8142</v>
      </c>
      <c r="U143">
        <f t="shared" si="35"/>
        <v>9.0103460345999995</v>
      </c>
      <c r="X143" s="9"/>
      <c r="Y143" s="21">
        <v>1.06033</v>
      </c>
      <c r="Z143" s="21">
        <v>50.387599999999999</v>
      </c>
      <c r="AA143" s="21">
        <v>-1.48346E-2</v>
      </c>
      <c r="AB143" s="21">
        <v>133</v>
      </c>
      <c r="AC143" s="21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1">
        <v>0.56976300000000002</v>
      </c>
      <c r="AH143" s="21">
        <v>75.372600000000006</v>
      </c>
      <c r="AI143" s="21">
        <v>-1.54999E-2</v>
      </c>
      <c r="AJ143" s="21">
        <v>133</v>
      </c>
      <c r="AK143" s="21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1">
        <v>1.06033</v>
      </c>
      <c r="AR143" s="21">
        <v>124.773</v>
      </c>
      <c r="AS143" s="21">
        <v>-1.4816299999999999E-2</v>
      </c>
      <c r="AT143" s="21">
        <v>133</v>
      </c>
      <c r="AU143" s="21">
        <v>1.0592699999999999</v>
      </c>
      <c r="AV143">
        <f t="shared" si="40"/>
        <v>14.8163</v>
      </c>
      <c r="AW143">
        <f t="shared" si="41"/>
        <v>15.710167379</v>
      </c>
      <c r="AX143" s="9"/>
      <c r="AY143" s="21">
        <v>0.56976300000000002</v>
      </c>
      <c r="AZ143" s="21">
        <v>174.059</v>
      </c>
      <c r="BA143" s="21">
        <v>-1.54083E-2</v>
      </c>
      <c r="BB143" s="21">
        <v>133</v>
      </c>
      <c r="BC143" s="21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1">
        <v>1.06033</v>
      </c>
      <c r="BJ143" s="21">
        <v>223.41</v>
      </c>
      <c r="BK143" s="21">
        <v>-1.46515E-2</v>
      </c>
      <c r="BL143" s="21">
        <v>133</v>
      </c>
      <c r="BM143" s="21">
        <v>1.0592699999999999</v>
      </c>
      <c r="BN143">
        <f t="shared" si="44"/>
        <v>14.6515</v>
      </c>
      <c r="BO143">
        <f t="shared" si="45"/>
        <v>15.535424995</v>
      </c>
      <c r="BP143" s="9"/>
      <c r="BQ143" s="21">
        <v>0.56976300000000002</v>
      </c>
      <c r="BR143" s="21">
        <v>272.61500000000001</v>
      </c>
      <c r="BS143" s="21">
        <v>-1.54266E-2</v>
      </c>
      <c r="BT143" s="21">
        <v>133</v>
      </c>
      <c r="BU143" s="21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1.0552999999999999</v>
      </c>
      <c r="H144" s="21">
        <v>48.313600000000001</v>
      </c>
      <c r="I144" s="21">
        <v>-1.5185499999999999E-2</v>
      </c>
      <c r="J144" s="21">
        <v>134</v>
      </c>
      <c r="K144" s="21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1">
        <v>0.57479899999999995</v>
      </c>
      <c r="P144" s="21">
        <v>97.695999999999998</v>
      </c>
      <c r="Q144" s="21">
        <v>-1.5805099999999999E-2</v>
      </c>
      <c r="R144" s="21">
        <v>134</v>
      </c>
      <c r="S144" s="21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1">
        <v>1.0552999999999999</v>
      </c>
      <c r="Z144" s="21">
        <v>50.397599999999997</v>
      </c>
      <c r="AA144" s="21">
        <v>-1.4849899999999999E-2</v>
      </c>
      <c r="AB144" s="21">
        <v>134</v>
      </c>
      <c r="AC144" s="21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1">
        <v>0.57479899999999995</v>
      </c>
      <c r="AH144" s="21">
        <v>75.382599999999996</v>
      </c>
      <c r="AI144" s="21">
        <v>-1.54999E-2</v>
      </c>
      <c r="AJ144" s="21">
        <v>134</v>
      </c>
      <c r="AK144" s="21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1">
        <v>1.0552999999999999</v>
      </c>
      <c r="AR144" s="21">
        <v>124.783</v>
      </c>
      <c r="AS144" s="21">
        <v>-1.48346E-2</v>
      </c>
      <c r="AT144" s="21">
        <v>134</v>
      </c>
      <c r="AU144" s="21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1">
        <v>0.57479899999999995</v>
      </c>
      <c r="AZ144" s="21">
        <v>174.07</v>
      </c>
      <c r="BA144" s="21">
        <v>-1.53992E-2</v>
      </c>
      <c r="BB144" s="21">
        <v>134</v>
      </c>
      <c r="BC144" s="21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1">
        <v>1.0552999999999999</v>
      </c>
      <c r="BJ144" s="21">
        <v>223.42</v>
      </c>
      <c r="BK144" s="21">
        <v>-1.46637E-2</v>
      </c>
      <c r="BL144" s="21">
        <v>134</v>
      </c>
      <c r="BM144" s="21">
        <v>1.0540799999999999</v>
      </c>
      <c r="BN144">
        <f t="shared" si="44"/>
        <v>14.6637</v>
      </c>
      <c r="BO144">
        <f t="shared" si="45"/>
        <v>15.47460261</v>
      </c>
      <c r="BP144" s="9"/>
      <c r="BQ144" s="21">
        <v>0.57479899999999995</v>
      </c>
      <c r="BR144" s="21">
        <v>272.625</v>
      </c>
      <c r="BS144" s="21">
        <v>-1.54266E-2</v>
      </c>
      <c r="BT144" s="21">
        <v>134</v>
      </c>
      <c r="BU144" s="21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1.05026</v>
      </c>
      <c r="H145" s="21">
        <v>48.323700000000002</v>
      </c>
      <c r="I145" s="21">
        <v>-1.52008E-2</v>
      </c>
      <c r="J145" s="21">
        <v>135</v>
      </c>
      <c r="K145" s="21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1">
        <v>0.57983399999999996</v>
      </c>
      <c r="P145" s="21">
        <v>97.706100000000006</v>
      </c>
      <c r="Q145" s="21">
        <v>-1.5792799999999999E-2</v>
      </c>
      <c r="R145" s="21">
        <v>135</v>
      </c>
      <c r="S145" s="21">
        <v>0.57894900000000005</v>
      </c>
      <c r="T145">
        <f t="shared" si="34"/>
        <v>15.7928</v>
      </c>
      <c r="U145">
        <f t="shared" si="35"/>
        <v>9.1572023951999988</v>
      </c>
      <c r="X145" s="9"/>
      <c r="Y145" s="21">
        <v>1.05026</v>
      </c>
      <c r="Z145" s="21">
        <v>50.407699999999998</v>
      </c>
      <c r="AA145" s="21">
        <v>-1.4865099999999999E-2</v>
      </c>
      <c r="AB145" s="21">
        <v>135</v>
      </c>
      <c r="AC145" s="21">
        <v>1.0491900000000001</v>
      </c>
      <c r="AD145">
        <f t="shared" si="36"/>
        <v>14.8651</v>
      </c>
      <c r="AE145">
        <f t="shared" si="37"/>
        <v>15.612219926</v>
      </c>
      <c r="AF145" s="9"/>
      <c r="AG145" s="21">
        <v>0.57983399999999996</v>
      </c>
      <c r="AH145" s="21">
        <v>75.392700000000005</v>
      </c>
      <c r="AI145" s="21">
        <v>-1.54938E-2</v>
      </c>
      <c r="AJ145" s="21">
        <v>135</v>
      </c>
      <c r="AK145" s="21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1">
        <v>1.05026</v>
      </c>
      <c r="AR145" s="21">
        <v>124.79300000000001</v>
      </c>
      <c r="AS145" s="21">
        <v>-1.4837599999999999E-2</v>
      </c>
      <c r="AT145" s="21">
        <v>135</v>
      </c>
      <c r="AU145" s="21">
        <v>1.0485800000000001</v>
      </c>
      <c r="AV145">
        <f t="shared" si="40"/>
        <v>14.8376</v>
      </c>
      <c r="AW145">
        <f t="shared" si="41"/>
        <v>15.583337776</v>
      </c>
      <c r="AX145" s="9"/>
      <c r="AY145" s="21">
        <v>0.57983399999999996</v>
      </c>
      <c r="AZ145" s="21">
        <v>174.08</v>
      </c>
      <c r="BA145" s="21">
        <v>-1.53931E-2</v>
      </c>
      <c r="BB145" s="21">
        <v>135</v>
      </c>
      <c r="BC145" s="21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1">
        <v>1.05026</v>
      </c>
      <c r="BJ145" s="21">
        <v>223.43</v>
      </c>
      <c r="BK145" s="21">
        <v>-1.46851E-2</v>
      </c>
      <c r="BL145" s="21">
        <v>135</v>
      </c>
      <c r="BM145" s="21">
        <v>1.0488900000000001</v>
      </c>
      <c r="BN145">
        <f t="shared" si="44"/>
        <v>14.6851</v>
      </c>
      <c r="BO145">
        <f t="shared" si="45"/>
        <v>15.423173126</v>
      </c>
      <c r="BP145" s="9"/>
      <c r="BQ145" s="21">
        <v>0.57983399999999996</v>
      </c>
      <c r="BR145" s="21">
        <v>272.63499999999999</v>
      </c>
      <c r="BS145" s="21">
        <v>-1.5438800000000001E-2</v>
      </c>
      <c r="BT145" s="21">
        <v>135</v>
      </c>
      <c r="BU145" s="21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1.0452300000000001</v>
      </c>
      <c r="H146" s="21">
        <v>48.333799999999997</v>
      </c>
      <c r="I146" s="21">
        <v>-1.52161E-2</v>
      </c>
      <c r="J146" s="21">
        <v>136</v>
      </c>
      <c r="K146" s="21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1">
        <v>0.58486899999999997</v>
      </c>
      <c r="P146" s="21">
        <v>97.716200000000001</v>
      </c>
      <c r="Q146" s="21">
        <v>-1.57898E-2</v>
      </c>
      <c r="R146" s="21">
        <v>136</v>
      </c>
      <c r="S146" s="21">
        <v>0.58404500000000004</v>
      </c>
      <c r="T146">
        <f t="shared" si="34"/>
        <v>15.7898</v>
      </c>
      <c r="U146">
        <f t="shared" si="35"/>
        <v>9.2349645361999997</v>
      </c>
      <c r="X146" s="9"/>
      <c r="Y146" s="21">
        <v>1.0452300000000001</v>
      </c>
      <c r="Z146" s="21">
        <v>50.4178</v>
      </c>
      <c r="AA146" s="21">
        <v>-1.48865E-2</v>
      </c>
      <c r="AB146" s="21">
        <v>136</v>
      </c>
      <c r="AC146" s="21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1">
        <v>0.58486899999999997</v>
      </c>
      <c r="AH146" s="21">
        <v>75.402799999999999</v>
      </c>
      <c r="AI146" s="21">
        <v>-1.54907E-2</v>
      </c>
      <c r="AJ146" s="21">
        <v>136</v>
      </c>
      <c r="AK146" s="21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1">
        <v>1.0452300000000001</v>
      </c>
      <c r="AR146" s="21">
        <v>124.803</v>
      </c>
      <c r="AS146" s="21">
        <v>-1.48468E-2</v>
      </c>
      <c r="AT146" s="21">
        <v>136</v>
      </c>
      <c r="AU146" s="21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1">
        <v>0.58486899999999997</v>
      </c>
      <c r="AZ146" s="21">
        <v>174.09</v>
      </c>
      <c r="BA146" s="21">
        <v>-1.5389999999999999E-2</v>
      </c>
      <c r="BB146" s="21">
        <v>136</v>
      </c>
      <c r="BC146" s="21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1">
        <v>1.0452300000000001</v>
      </c>
      <c r="BJ146" s="21">
        <v>223.44</v>
      </c>
      <c r="BK146" s="21">
        <v>-1.46973E-2</v>
      </c>
      <c r="BL146" s="21">
        <v>136</v>
      </c>
      <c r="BM146" s="21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1">
        <v>0.58486899999999997</v>
      </c>
      <c r="BR146" s="21">
        <v>272.64499999999998</v>
      </c>
      <c r="BS146" s="21">
        <v>-1.54419E-2</v>
      </c>
      <c r="BT146" s="21">
        <v>136</v>
      </c>
      <c r="BU146" s="21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1.0401899999999999</v>
      </c>
      <c r="H147" s="21">
        <v>48.343800000000002</v>
      </c>
      <c r="I147" s="21">
        <v>-1.52344E-2</v>
      </c>
      <c r="J147" s="21">
        <v>137</v>
      </c>
      <c r="K147" s="21">
        <v>1.03912</v>
      </c>
      <c r="L147">
        <f t="shared" si="32"/>
        <v>15.234400000000001</v>
      </c>
      <c r="M147">
        <f t="shared" si="33"/>
        <v>15.846670536</v>
      </c>
      <c r="N147" s="9"/>
      <c r="O147" s="21">
        <v>0.58990500000000001</v>
      </c>
      <c r="P147" s="21">
        <v>97.726200000000006</v>
      </c>
      <c r="Q147" s="21">
        <v>-1.5786700000000001E-2</v>
      </c>
      <c r="R147" s="21">
        <v>137</v>
      </c>
      <c r="S147" s="21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1">
        <v>1.0401899999999999</v>
      </c>
      <c r="Z147" s="21">
        <v>50.427900000000001</v>
      </c>
      <c r="AA147" s="21">
        <v>-1.49017E-2</v>
      </c>
      <c r="AB147" s="21">
        <v>137</v>
      </c>
      <c r="AC147" s="21">
        <v>1.03912</v>
      </c>
      <c r="AD147">
        <f t="shared" si="36"/>
        <v>14.9017</v>
      </c>
      <c r="AE147">
        <f t="shared" si="37"/>
        <v>15.500599322999999</v>
      </c>
      <c r="AF147" s="9"/>
      <c r="AG147" s="21">
        <v>0.58990500000000001</v>
      </c>
      <c r="AH147" s="21">
        <v>75.412800000000004</v>
      </c>
      <c r="AI147" s="21">
        <v>-1.54755E-2</v>
      </c>
      <c r="AJ147" s="21">
        <v>137</v>
      </c>
      <c r="AK147" s="21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1">
        <v>1.0401899999999999</v>
      </c>
      <c r="AR147" s="21">
        <v>124.813</v>
      </c>
      <c r="AS147" s="21">
        <v>-1.4859000000000001E-2</v>
      </c>
      <c r="AT147" s="21">
        <v>137</v>
      </c>
      <c r="AU147" s="21">
        <v>1.03851</v>
      </c>
      <c r="AV147">
        <f t="shared" si="40"/>
        <v>14.859</v>
      </c>
      <c r="AW147">
        <f t="shared" si="41"/>
        <v>15.456183209999999</v>
      </c>
      <c r="AX147" s="9"/>
      <c r="AY147" s="21">
        <v>0.58990500000000001</v>
      </c>
      <c r="AZ147" s="21">
        <v>174.1</v>
      </c>
      <c r="BA147" s="21">
        <v>-1.53778E-2</v>
      </c>
      <c r="BB147" s="21">
        <v>137</v>
      </c>
      <c r="BC147" s="21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1">
        <v>1.0401899999999999</v>
      </c>
      <c r="BJ147" s="21">
        <v>223.45</v>
      </c>
      <c r="BK147" s="21">
        <v>-1.47064E-2</v>
      </c>
      <c r="BL147" s="21">
        <v>137</v>
      </c>
      <c r="BM147" s="21">
        <v>1.0388200000000001</v>
      </c>
      <c r="BN147">
        <f t="shared" si="44"/>
        <v>14.7064</v>
      </c>
      <c r="BO147">
        <f t="shared" si="45"/>
        <v>15.297450216</v>
      </c>
      <c r="BP147" s="9"/>
      <c r="BQ147" s="21">
        <v>0.58990500000000001</v>
      </c>
      <c r="BR147" s="21">
        <v>272.65600000000001</v>
      </c>
      <c r="BS147" s="21">
        <v>-1.54419E-2</v>
      </c>
      <c r="BT147" s="21">
        <v>137</v>
      </c>
      <c r="BU147" s="21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1.0351600000000001</v>
      </c>
      <c r="H148" s="21">
        <v>48.353900000000003</v>
      </c>
      <c r="I148" s="21">
        <v>-1.52374E-2</v>
      </c>
      <c r="J148" s="21">
        <v>138</v>
      </c>
      <c r="K148" s="21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1">
        <v>0.59494000000000002</v>
      </c>
      <c r="P148" s="21">
        <v>97.7363</v>
      </c>
      <c r="Q148" s="21">
        <v>-1.57898E-2</v>
      </c>
      <c r="R148" s="21">
        <v>138</v>
      </c>
      <c r="S148" s="21">
        <v>0.59414699999999998</v>
      </c>
      <c r="T148">
        <f t="shared" si="34"/>
        <v>15.7898</v>
      </c>
      <c r="U148">
        <f t="shared" si="35"/>
        <v>9.3939836119999995</v>
      </c>
      <c r="X148" s="9"/>
      <c r="Y148" s="21">
        <v>1.0351600000000001</v>
      </c>
      <c r="Z148" s="21">
        <v>50.437899999999999</v>
      </c>
      <c r="AA148" s="21">
        <v>-1.4917E-2</v>
      </c>
      <c r="AB148" s="21">
        <v>138</v>
      </c>
      <c r="AC148" s="21">
        <v>1.03424</v>
      </c>
      <c r="AD148">
        <f t="shared" si="36"/>
        <v>14.917</v>
      </c>
      <c r="AE148">
        <f t="shared" si="37"/>
        <v>15.441481720000001</v>
      </c>
      <c r="AF148" s="9"/>
      <c r="AG148" s="21">
        <v>0.59494000000000002</v>
      </c>
      <c r="AH148" s="21">
        <v>75.422899999999998</v>
      </c>
      <c r="AI148" s="21">
        <v>-1.54602E-2</v>
      </c>
      <c r="AJ148" s="21">
        <v>138</v>
      </c>
      <c r="AK148" s="21">
        <v>0.594086</v>
      </c>
      <c r="AL148">
        <f t="shared" si="38"/>
        <v>15.4602</v>
      </c>
      <c r="AM148">
        <f t="shared" si="39"/>
        <v>9.1978913880000004</v>
      </c>
      <c r="AP148" s="9"/>
      <c r="AQ148" s="21">
        <v>1.0351600000000001</v>
      </c>
      <c r="AR148" s="21">
        <v>124.82299999999999</v>
      </c>
      <c r="AS148" s="21">
        <v>-1.48834E-2</v>
      </c>
      <c r="AT148" s="21">
        <v>138</v>
      </c>
      <c r="AU148" s="21">
        <v>1.03424</v>
      </c>
      <c r="AV148">
        <f t="shared" si="40"/>
        <v>14.8834</v>
      </c>
      <c r="AW148">
        <f t="shared" si="41"/>
        <v>15.406700344000001</v>
      </c>
      <c r="AX148" s="9"/>
      <c r="AY148" s="21">
        <v>0.59494000000000002</v>
      </c>
      <c r="AZ148" s="21">
        <v>174.11</v>
      </c>
      <c r="BA148" s="21">
        <v>-1.53656E-2</v>
      </c>
      <c r="BB148" s="21">
        <v>138</v>
      </c>
      <c r="BC148" s="21">
        <v>0.594086</v>
      </c>
      <c r="BD148">
        <f t="shared" si="42"/>
        <v>15.365600000000001</v>
      </c>
      <c r="BE148">
        <f t="shared" si="43"/>
        <v>9.141610064</v>
      </c>
      <c r="BH148" s="9"/>
      <c r="BI148" s="21">
        <v>1.0351600000000001</v>
      </c>
      <c r="BJ148" s="21">
        <v>223.46</v>
      </c>
      <c r="BK148" s="21">
        <v>-1.47247E-2</v>
      </c>
      <c r="BL148" s="21">
        <v>138</v>
      </c>
      <c r="BM148" s="21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1">
        <v>0.59494000000000002</v>
      </c>
      <c r="BR148" s="21">
        <v>272.666</v>
      </c>
      <c r="BS148" s="21">
        <v>-1.5423600000000001E-2</v>
      </c>
      <c r="BT148" s="21">
        <v>138</v>
      </c>
      <c r="BU148" s="21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1.0301199999999999</v>
      </c>
      <c r="H149" s="21">
        <v>48.363999999999997</v>
      </c>
      <c r="I149" s="21">
        <v>-1.5252699999999999E-2</v>
      </c>
      <c r="J149" s="21">
        <v>139</v>
      </c>
      <c r="K149" s="21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1">
        <v>0.59997599999999995</v>
      </c>
      <c r="P149" s="21">
        <v>97.746399999999994</v>
      </c>
      <c r="Q149" s="21">
        <v>-1.5786700000000001E-2</v>
      </c>
      <c r="R149" s="21">
        <v>139</v>
      </c>
      <c r="S149" s="21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1">
        <v>1.0301199999999999</v>
      </c>
      <c r="Z149" s="21">
        <v>50.448</v>
      </c>
      <c r="AA149" s="21">
        <v>-1.49353E-2</v>
      </c>
      <c r="AB149" s="21">
        <v>139</v>
      </c>
      <c r="AC149" s="21">
        <v>1.02905</v>
      </c>
      <c r="AD149">
        <f t="shared" si="36"/>
        <v>14.9353</v>
      </c>
      <c r="AE149">
        <f t="shared" si="37"/>
        <v>15.385151235999999</v>
      </c>
      <c r="AF149" s="9"/>
      <c r="AG149" s="21">
        <v>0.59997599999999995</v>
      </c>
      <c r="AH149" s="21">
        <v>75.433000000000007</v>
      </c>
      <c r="AI149" s="21">
        <v>-1.5457200000000001E-2</v>
      </c>
      <c r="AJ149" s="21">
        <v>139</v>
      </c>
      <c r="AK149" s="21">
        <v>0.599213</v>
      </c>
      <c r="AL149">
        <f t="shared" si="38"/>
        <v>15.4572</v>
      </c>
      <c r="AM149">
        <f t="shared" si="39"/>
        <v>9.2739490271999987</v>
      </c>
      <c r="AP149" s="9"/>
      <c r="AQ149" s="21">
        <v>1.0301199999999999</v>
      </c>
      <c r="AR149" s="21">
        <v>124.833</v>
      </c>
      <c r="AS149" s="21">
        <v>-1.49017E-2</v>
      </c>
      <c r="AT149" s="21">
        <v>139</v>
      </c>
      <c r="AU149" s="21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1">
        <v>0.59997599999999995</v>
      </c>
      <c r="AZ149" s="21">
        <v>174.12</v>
      </c>
      <c r="BA149" s="21">
        <v>-1.53595E-2</v>
      </c>
      <c r="BB149" s="21">
        <v>139</v>
      </c>
      <c r="BC149" s="21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1">
        <v>1.0301199999999999</v>
      </c>
      <c r="BJ149" s="21">
        <v>223.47</v>
      </c>
      <c r="BK149" s="21">
        <v>-1.4733899999999999E-2</v>
      </c>
      <c r="BL149" s="21">
        <v>139</v>
      </c>
      <c r="BM149" s="21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1">
        <v>0.59997599999999995</v>
      </c>
      <c r="BR149" s="21">
        <v>272.67599999999999</v>
      </c>
      <c r="BS149" s="21">
        <v>-1.54114E-2</v>
      </c>
      <c r="BT149" s="21">
        <v>139</v>
      </c>
      <c r="BU149" s="21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1.0250900000000001</v>
      </c>
      <c r="H150" s="21">
        <v>48.374000000000002</v>
      </c>
      <c r="I150" s="21">
        <v>-1.5258799999999999E-2</v>
      </c>
      <c r="J150" s="21">
        <v>140</v>
      </c>
      <c r="K150" s="21">
        <v>1.02417</v>
      </c>
      <c r="L150">
        <f t="shared" si="32"/>
        <v>15.258799999999999</v>
      </c>
      <c r="M150">
        <f t="shared" si="33"/>
        <v>15.641643291999999</v>
      </c>
      <c r="N150" s="9"/>
      <c r="O150" s="21">
        <v>0.60501099999999997</v>
      </c>
      <c r="P150" s="21">
        <v>97.756500000000003</v>
      </c>
      <c r="Q150" s="21">
        <v>-1.5792799999999999E-2</v>
      </c>
      <c r="R150" s="21">
        <v>140</v>
      </c>
      <c r="S150" s="21">
        <v>0.60421800000000003</v>
      </c>
      <c r="T150">
        <f t="shared" si="34"/>
        <v>15.7928</v>
      </c>
      <c r="U150">
        <f t="shared" si="35"/>
        <v>9.5548177207999991</v>
      </c>
      <c r="X150" s="9"/>
      <c r="Y150" s="21">
        <v>1.0250900000000001</v>
      </c>
      <c r="Z150" s="21">
        <v>50.458100000000002</v>
      </c>
      <c r="AA150" s="21">
        <v>-1.4932300000000001E-2</v>
      </c>
      <c r="AB150" s="21">
        <v>140</v>
      </c>
      <c r="AC150" s="21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1">
        <v>0.60501099999999997</v>
      </c>
      <c r="AH150" s="21">
        <v>75.442999999999998</v>
      </c>
      <c r="AI150" s="21">
        <v>-1.5450999999999999E-2</v>
      </c>
      <c r="AJ150" s="21">
        <v>140</v>
      </c>
      <c r="AK150" s="21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1">
        <v>1.0250900000000001</v>
      </c>
      <c r="AR150" s="21">
        <v>124.843</v>
      </c>
      <c r="AS150" s="21">
        <v>-1.4913900000000001E-2</v>
      </c>
      <c r="AT150" s="21">
        <v>140</v>
      </c>
      <c r="AU150" s="21">
        <v>1.02356</v>
      </c>
      <c r="AV150">
        <f t="shared" si="40"/>
        <v>14.9139</v>
      </c>
      <c r="AW150">
        <f t="shared" si="41"/>
        <v>15.288089751000001</v>
      </c>
      <c r="AX150" s="9"/>
      <c r="AY150" s="21">
        <v>0.60501099999999997</v>
      </c>
      <c r="AZ150" s="21">
        <v>174.13</v>
      </c>
      <c r="BA150" s="21">
        <v>-1.53595E-2</v>
      </c>
      <c r="BB150" s="21">
        <v>140</v>
      </c>
      <c r="BC150" s="21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1">
        <v>1.0250900000000001</v>
      </c>
      <c r="BJ150" s="21">
        <v>223.48</v>
      </c>
      <c r="BK150" s="21">
        <v>-1.4742999999999999E-2</v>
      </c>
      <c r="BL150" s="21">
        <v>140</v>
      </c>
      <c r="BM150" s="21">
        <v>1.02386</v>
      </c>
      <c r="BN150">
        <f t="shared" si="44"/>
        <v>14.742999999999999</v>
      </c>
      <c r="BO150">
        <f t="shared" si="45"/>
        <v>15.11290187</v>
      </c>
      <c r="BP150" s="9"/>
      <c r="BQ150" s="21">
        <v>0.60501099999999997</v>
      </c>
      <c r="BR150" s="21">
        <v>272.68599999999998</v>
      </c>
      <c r="BS150" s="21">
        <v>-1.5396099999999999E-2</v>
      </c>
      <c r="BT150" s="21">
        <v>140</v>
      </c>
      <c r="BU150" s="21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1.0200499999999999</v>
      </c>
      <c r="H151" s="21">
        <v>48.384099999999997</v>
      </c>
      <c r="I151" s="21">
        <v>-1.5258799999999999E-2</v>
      </c>
      <c r="J151" s="21">
        <v>141</v>
      </c>
      <c r="K151" s="21">
        <v>1.01868</v>
      </c>
      <c r="L151">
        <f t="shared" si="32"/>
        <v>15.258799999999999</v>
      </c>
      <c r="M151">
        <f t="shared" si="33"/>
        <v>15.564738939999998</v>
      </c>
      <c r="N151" s="9"/>
      <c r="O151" s="21">
        <v>0.61004599999999998</v>
      </c>
      <c r="P151" s="21">
        <v>97.766499999999994</v>
      </c>
      <c r="Q151" s="21">
        <v>-1.5795900000000002E-2</v>
      </c>
      <c r="R151" s="21">
        <v>141</v>
      </c>
      <c r="S151" s="21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1">
        <v>1.0200499999999999</v>
      </c>
      <c r="Z151" s="21">
        <v>50.4681</v>
      </c>
      <c r="AA151" s="21">
        <v>-1.4932300000000001E-2</v>
      </c>
      <c r="AB151" s="21">
        <v>141</v>
      </c>
      <c r="AC151" s="21">
        <v>1.01898</v>
      </c>
      <c r="AD151">
        <f t="shared" si="36"/>
        <v>14.932300000000001</v>
      </c>
      <c r="AE151">
        <f t="shared" si="37"/>
        <v>15.231692615</v>
      </c>
      <c r="AF151" s="9"/>
      <c r="AG151" s="21">
        <v>0.61004599999999998</v>
      </c>
      <c r="AH151" s="21">
        <v>75.453100000000006</v>
      </c>
      <c r="AI151" s="21">
        <v>-1.5450999999999999E-2</v>
      </c>
      <c r="AJ151" s="21">
        <v>141</v>
      </c>
      <c r="AK151" s="21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1">
        <v>1.0200499999999999</v>
      </c>
      <c r="AR151" s="21">
        <v>124.854</v>
      </c>
      <c r="AS151" s="21">
        <v>-1.4919999999999999E-2</v>
      </c>
      <c r="AT151" s="21">
        <v>141</v>
      </c>
      <c r="AU151" s="21">
        <v>1.01898</v>
      </c>
      <c r="AV151">
        <f t="shared" si="40"/>
        <v>14.92</v>
      </c>
      <c r="AW151">
        <f t="shared" si="41"/>
        <v>15.219145999999999</v>
      </c>
      <c r="AX151" s="9"/>
      <c r="AY151" s="21">
        <v>0.61004599999999998</v>
      </c>
      <c r="AZ151" s="21">
        <v>174.14</v>
      </c>
      <c r="BA151" s="21">
        <v>-1.5350300000000001E-2</v>
      </c>
      <c r="BB151" s="21">
        <v>141</v>
      </c>
      <c r="BC151" s="21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1">
        <v>1.0200499999999999</v>
      </c>
      <c r="BJ151" s="21">
        <v>223.49</v>
      </c>
      <c r="BK151" s="21">
        <v>-1.4767499999999999E-2</v>
      </c>
      <c r="BL151" s="21">
        <v>141</v>
      </c>
      <c r="BM151" s="21">
        <v>1.01929</v>
      </c>
      <c r="BN151">
        <f t="shared" si="44"/>
        <v>14.7675</v>
      </c>
      <c r="BO151">
        <f t="shared" si="45"/>
        <v>15.063588374999998</v>
      </c>
      <c r="BP151" s="9"/>
      <c r="BQ151" s="21">
        <v>0.61004599999999998</v>
      </c>
      <c r="BR151" s="21">
        <v>272.69600000000003</v>
      </c>
      <c r="BS151" s="21">
        <v>-1.5389999999999999E-2</v>
      </c>
      <c r="BT151" s="21">
        <v>141</v>
      </c>
      <c r="BU151" s="21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1.01501</v>
      </c>
      <c r="H152" s="21">
        <v>48.394199999999998</v>
      </c>
      <c r="I152" s="21">
        <v>-1.52649E-2</v>
      </c>
      <c r="J152" s="21">
        <v>142</v>
      </c>
      <c r="K152" s="21">
        <v>1.0141</v>
      </c>
      <c r="L152">
        <f t="shared" si="32"/>
        <v>15.264899999999999</v>
      </c>
      <c r="M152">
        <f t="shared" si="33"/>
        <v>15.494026148999998</v>
      </c>
      <c r="N152" s="9"/>
      <c r="O152" s="21">
        <v>0.61508200000000002</v>
      </c>
      <c r="P152" s="21">
        <v>97.776600000000002</v>
      </c>
      <c r="Q152" s="21">
        <v>-1.5786700000000001E-2</v>
      </c>
      <c r="R152" s="21">
        <v>142</v>
      </c>
      <c r="S152" s="21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1">
        <v>1.01501</v>
      </c>
      <c r="Z152" s="21">
        <v>50.478200000000001</v>
      </c>
      <c r="AA152" s="21">
        <v>-1.4941400000000001E-2</v>
      </c>
      <c r="AB152" s="21">
        <v>142</v>
      </c>
      <c r="AC152" s="21">
        <v>1.0141</v>
      </c>
      <c r="AD152">
        <f t="shared" si="36"/>
        <v>14.9414</v>
      </c>
      <c r="AE152">
        <f t="shared" si="37"/>
        <v>15.165670413999999</v>
      </c>
      <c r="AF152" s="9"/>
      <c r="AG152" s="21">
        <v>0.61508200000000002</v>
      </c>
      <c r="AH152" s="21">
        <v>75.463200000000001</v>
      </c>
      <c r="AI152" s="21">
        <v>-1.5450999999999999E-2</v>
      </c>
      <c r="AJ152" s="21">
        <v>142</v>
      </c>
      <c r="AK152" s="21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1">
        <v>1.01501</v>
      </c>
      <c r="AR152" s="21">
        <v>124.864</v>
      </c>
      <c r="AS152" s="21">
        <v>-1.4913900000000001E-2</v>
      </c>
      <c r="AT152" s="21">
        <v>142</v>
      </c>
      <c r="AU152" s="21">
        <v>1.0141</v>
      </c>
      <c r="AV152">
        <f t="shared" si="40"/>
        <v>14.9139</v>
      </c>
      <c r="AW152">
        <f t="shared" si="41"/>
        <v>15.137757639</v>
      </c>
      <c r="AX152" s="9"/>
      <c r="AY152" s="21">
        <v>0.61508200000000002</v>
      </c>
      <c r="AZ152" s="21">
        <v>174.15</v>
      </c>
      <c r="BA152" s="21">
        <v>-1.5335100000000001E-2</v>
      </c>
      <c r="BB152" s="21">
        <v>142</v>
      </c>
      <c r="BC152" s="21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1">
        <v>1.01501</v>
      </c>
      <c r="BJ152" s="21">
        <v>223.5</v>
      </c>
      <c r="BK152" s="21">
        <v>-1.47858E-2</v>
      </c>
      <c r="BL152" s="21">
        <v>142</v>
      </c>
      <c r="BM152" s="21">
        <v>1.0144</v>
      </c>
      <c r="BN152">
        <f t="shared" si="44"/>
        <v>14.7858</v>
      </c>
      <c r="BO152">
        <f t="shared" si="45"/>
        <v>15.007734857999999</v>
      </c>
      <c r="BP152" s="9"/>
      <c r="BQ152" s="21">
        <v>0.61508200000000002</v>
      </c>
      <c r="BR152" s="21">
        <v>272.70600000000002</v>
      </c>
      <c r="BS152" s="21">
        <v>-1.5383900000000001E-2</v>
      </c>
      <c r="BT152" s="21">
        <v>142</v>
      </c>
      <c r="BU152" s="21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1.0099800000000001</v>
      </c>
      <c r="H153" s="21">
        <v>48.404200000000003</v>
      </c>
      <c r="I153" s="21">
        <v>-1.5273999999999999E-2</v>
      </c>
      <c r="J153" s="21">
        <v>143</v>
      </c>
      <c r="K153" s="21">
        <v>1.00861</v>
      </c>
      <c r="L153">
        <f t="shared" si="32"/>
        <v>15.273999999999999</v>
      </c>
      <c r="M153">
        <f t="shared" si="33"/>
        <v>15.426434520000001</v>
      </c>
      <c r="N153" s="9"/>
      <c r="O153" s="21">
        <v>0.62011700000000003</v>
      </c>
      <c r="P153" s="21">
        <v>97.786699999999996</v>
      </c>
      <c r="Q153" s="21">
        <v>-1.5780599999999999E-2</v>
      </c>
      <c r="R153" s="21">
        <v>143</v>
      </c>
      <c r="S153" s="21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1">
        <v>1.0099800000000001</v>
      </c>
      <c r="Z153" s="21">
        <v>50.488300000000002</v>
      </c>
      <c r="AA153" s="21">
        <v>-1.49689E-2</v>
      </c>
      <c r="AB153" s="21">
        <v>143</v>
      </c>
      <c r="AC153" s="21">
        <v>1.00891</v>
      </c>
      <c r="AD153">
        <f t="shared" si="36"/>
        <v>14.9689</v>
      </c>
      <c r="AE153">
        <f t="shared" si="37"/>
        <v>15.118289622000001</v>
      </c>
      <c r="AF153" s="9"/>
      <c r="AG153" s="21">
        <v>0.62011700000000003</v>
      </c>
      <c r="AH153" s="21">
        <v>75.473299999999995</v>
      </c>
      <c r="AI153" s="21">
        <v>-1.5444899999999999E-2</v>
      </c>
      <c r="AJ153" s="21">
        <v>143</v>
      </c>
      <c r="AK153" s="21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1">
        <v>1.0099800000000001</v>
      </c>
      <c r="AR153" s="21">
        <v>124.874</v>
      </c>
      <c r="AS153" s="21">
        <v>-1.49292E-2</v>
      </c>
      <c r="AT153" s="21">
        <v>143</v>
      </c>
      <c r="AU153" s="21">
        <v>1.00891</v>
      </c>
      <c r="AV153">
        <f t="shared" si="40"/>
        <v>14.9292</v>
      </c>
      <c r="AW153">
        <f t="shared" si="41"/>
        <v>15.078193416000001</v>
      </c>
      <c r="AX153" s="9"/>
      <c r="AY153" s="21">
        <v>0.62011700000000003</v>
      </c>
      <c r="AZ153" s="21">
        <v>174.16</v>
      </c>
      <c r="BA153" s="21">
        <v>-1.53107E-2</v>
      </c>
      <c r="BB153" s="21">
        <v>143</v>
      </c>
      <c r="BC153" s="21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1">
        <v>1.0099800000000001</v>
      </c>
      <c r="BJ153" s="21">
        <v>223.511</v>
      </c>
      <c r="BK153" s="21">
        <v>-1.47919E-2</v>
      </c>
      <c r="BL153" s="21">
        <v>143</v>
      </c>
      <c r="BM153" s="21">
        <v>1.0083</v>
      </c>
      <c r="BN153">
        <f t="shared" si="44"/>
        <v>14.7919</v>
      </c>
      <c r="BO153">
        <f t="shared" si="45"/>
        <v>14.939523162000002</v>
      </c>
      <c r="BP153" s="9"/>
      <c r="BQ153" s="21">
        <v>0.62011700000000003</v>
      </c>
      <c r="BR153" s="21">
        <v>272.71600000000001</v>
      </c>
      <c r="BS153" s="21">
        <v>-1.53778E-2</v>
      </c>
      <c r="BT153" s="21">
        <v>143</v>
      </c>
      <c r="BU153" s="21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1.0049399999999999</v>
      </c>
      <c r="H154" s="21">
        <v>48.414299999999997</v>
      </c>
      <c r="I154" s="21">
        <v>-1.5295400000000001E-2</v>
      </c>
      <c r="J154" s="21">
        <v>144</v>
      </c>
      <c r="K154" s="21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1">
        <v>0.62515299999999996</v>
      </c>
      <c r="P154" s="21">
        <v>97.796700000000001</v>
      </c>
      <c r="Q154" s="21">
        <v>-1.57745E-2</v>
      </c>
      <c r="R154" s="21">
        <v>144</v>
      </c>
      <c r="S154" s="21">
        <v>0.62439</v>
      </c>
      <c r="T154">
        <f t="shared" si="34"/>
        <v>15.7745</v>
      </c>
      <c r="U154">
        <f t="shared" si="35"/>
        <v>9.8614759984999996</v>
      </c>
      <c r="X154" s="9"/>
      <c r="Y154" s="21">
        <v>1.0049399999999999</v>
      </c>
      <c r="Z154" s="21">
        <v>50.498399999999997</v>
      </c>
      <c r="AA154" s="21">
        <v>-1.4993299999999999E-2</v>
      </c>
      <c r="AB154" s="21">
        <v>144</v>
      </c>
      <c r="AC154" s="21">
        <v>1.00403</v>
      </c>
      <c r="AD154">
        <f t="shared" si="36"/>
        <v>14.9933</v>
      </c>
      <c r="AE154">
        <f t="shared" si="37"/>
        <v>15.067366901999998</v>
      </c>
      <c r="AF154" s="9"/>
      <c r="AG154" s="21">
        <v>0.62515299999999996</v>
      </c>
      <c r="AH154" s="21">
        <v>75.4833</v>
      </c>
      <c r="AI154" s="21">
        <v>-1.5432700000000001E-2</v>
      </c>
      <c r="AJ154" s="21">
        <v>144</v>
      </c>
      <c r="AK154" s="21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1">
        <v>1.0049399999999999</v>
      </c>
      <c r="AR154" s="21">
        <v>124.884</v>
      </c>
      <c r="AS154" s="21">
        <v>-1.4941400000000001E-2</v>
      </c>
      <c r="AT154" s="21">
        <v>144</v>
      </c>
      <c r="AU154" s="21">
        <v>1.0037199999999999</v>
      </c>
      <c r="AV154">
        <f t="shared" si="40"/>
        <v>14.9414</v>
      </c>
      <c r="AW154">
        <f t="shared" si="41"/>
        <v>15.015210516</v>
      </c>
      <c r="AX154" s="9"/>
      <c r="AY154" s="21">
        <v>0.62515299999999996</v>
      </c>
      <c r="AZ154" s="21">
        <v>174.17</v>
      </c>
      <c r="BA154" s="21">
        <v>-1.52893E-2</v>
      </c>
      <c r="BB154" s="21">
        <v>144</v>
      </c>
      <c r="BC154" s="21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1">
        <v>1.0049399999999999</v>
      </c>
      <c r="BJ154" s="21">
        <v>223.52099999999999</v>
      </c>
      <c r="BK154" s="21">
        <v>-1.4798E-2</v>
      </c>
      <c r="BL154" s="21">
        <v>144</v>
      </c>
      <c r="BM154" s="21">
        <v>1.0037199999999999</v>
      </c>
      <c r="BN154">
        <f t="shared" si="44"/>
        <v>14.798</v>
      </c>
      <c r="BO154">
        <f t="shared" si="45"/>
        <v>14.87110212</v>
      </c>
      <c r="BP154" s="9"/>
      <c r="BQ154" s="21">
        <v>0.62515299999999996</v>
      </c>
      <c r="BR154" s="21">
        <v>272.726</v>
      </c>
      <c r="BS154" s="21">
        <v>-1.5380899999999999E-2</v>
      </c>
      <c r="BT154" s="21">
        <v>144</v>
      </c>
      <c r="BU154" s="21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0.99990800000000002</v>
      </c>
      <c r="H155" s="21">
        <v>48.424399999999999</v>
      </c>
      <c r="I155" s="21">
        <v>-1.53046E-2</v>
      </c>
      <c r="J155" s="21">
        <v>145</v>
      </c>
      <c r="K155" s="21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1">
        <v>0.63018799999999997</v>
      </c>
      <c r="P155" s="21">
        <v>97.806799999999996</v>
      </c>
      <c r="Q155" s="21">
        <v>-1.5768399999999998E-2</v>
      </c>
      <c r="R155" s="21">
        <v>145</v>
      </c>
      <c r="S155" s="21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1">
        <v>0.99990800000000002</v>
      </c>
      <c r="Z155" s="21">
        <v>50.508400000000002</v>
      </c>
      <c r="AA155" s="21">
        <v>-1.49994E-2</v>
      </c>
      <c r="AB155" s="21">
        <v>145</v>
      </c>
      <c r="AC155" s="21">
        <v>0.99914599999999998</v>
      </c>
      <c r="AD155">
        <f t="shared" si="36"/>
        <v>14.9994</v>
      </c>
      <c r="AE155">
        <f t="shared" si="37"/>
        <v>14.9980200552</v>
      </c>
      <c r="AF155" s="9"/>
      <c r="AG155" s="21">
        <v>0.63018799999999997</v>
      </c>
      <c r="AH155" s="21">
        <v>75.493399999999994</v>
      </c>
      <c r="AI155" s="21">
        <v>-1.54205E-2</v>
      </c>
      <c r="AJ155" s="21">
        <v>145</v>
      </c>
      <c r="AK155" s="21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1">
        <v>0.99990800000000002</v>
      </c>
      <c r="AR155" s="21">
        <v>124.89400000000001</v>
      </c>
      <c r="AS155" s="21">
        <v>-1.4947500000000001E-2</v>
      </c>
      <c r="AT155" s="21">
        <v>145</v>
      </c>
      <c r="AU155" s="21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1">
        <v>0.63018799999999997</v>
      </c>
      <c r="AZ155" s="21">
        <v>174.18</v>
      </c>
      <c r="BA155" s="21">
        <v>-1.52832E-2</v>
      </c>
      <c r="BB155" s="21">
        <v>145</v>
      </c>
      <c r="BC155" s="21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1">
        <v>0.99990800000000002</v>
      </c>
      <c r="BJ155" s="21">
        <v>223.53100000000001</v>
      </c>
      <c r="BK155" s="21">
        <v>-1.48132E-2</v>
      </c>
      <c r="BL155" s="21">
        <v>145</v>
      </c>
      <c r="BM155" s="21">
        <v>0.99853499999999995</v>
      </c>
      <c r="BN155">
        <f t="shared" si="44"/>
        <v>14.8132</v>
      </c>
      <c r="BO155">
        <f t="shared" si="45"/>
        <v>14.8118371856</v>
      </c>
      <c r="BP155" s="9"/>
      <c r="BQ155" s="21">
        <v>0.63018799999999997</v>
      </c>
      <c r="BR155" s="21">
        <v>272.73599999999999</v>
      </c>
      <c r="BS155" s="21">
        <v>-1.53717E-2</v>
      </c>
      <c r="BT155" s="21">
        <v>145</v>
      </c>
      <c r="BU155" s="21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0.99487300000000001</v>
      </c>
      <c r="H156" s="21">
        <v>48.4345</v>
      </c>
      <c r="I156" s="21">
        <v>-1.53137E-2</v>
      </c>
      <c r="J156" s="21">
        <v>146</v>
      </c>
      <c r="K156" s="21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1">
        <v>0.63522299999999998</v>
      </c>
      <c r="P156" s="21">
        <v>97.816900000000004</v>
      </c>
      <c r="Q156" s="21">
        <v>-1.57593E-2</v>
      </c>
      <c r="R156" s="21">
        <v>146</v>
      </c>
      <c r="S156" s="21">
        <v>0.63443000000000005</v>
      </c>
      <c r="T156">
        <f t="shared" si="34"/>
        <v>15.7593</v>
      </c>
      <c r="U156">
        <f t="shared" si="35"/>
        <v>10.010669823899999</v>
      </c>
      <c r="X156" s="9"/>
      <c r="Y156" s="21">
        <v>0.99487300000000001</v>
      </c>
      <c r="Z156" s="21">
        <v>50.518500000000003</v>
      </c>
      <c r="AA156" s="21">
        <v>-1.50116E-2</v>
      </c>
      <c r="AB156" s="21">
        <v>146</v>
      </c>
      <c r="AC156" s="21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1">
        <v>0.63522299999999998</v>
      </c>
      <c r="AH156" s="21">
        <v>75.503500000000003</v>
      </c>
      <c r="AI156" s="21">
        <v>-1.54144E-2</v>
      </c>
      <c r="AJ156" s="21">
        <v>146</v>
      </c>
      <c r="AK156" s="21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1">
        <v>0.99487300000000001</v>
      </c>
      <c r="AR156" s="21">
        <v>124.904</v>
      </c>
      <c r="AS156" s="21">
        <v>-1.4959699999999999E-2</v>
      </c>
      <c r="AT156" s="21">
        <v>146</v>
      </c>
      <c r="AU156" s="21">
        <v>0.99395800000000001</v>
      </c>
      <c r="AV156">
        <f t="shared" si="40"/>
        <v>14.9597</v>
      </c>
      <c r="AW156">
        <f t="shared" si="41"/>
        <v>14.8830016181</v>
      </c>
      <c r="AX156" s="9"/>
      <c r="AY156" s="21">
        <v>0.63522299999999998</v>
      </c>
      <c r="AZ156" s="21">
        <v>174.19</v>
      </c>
      <c r="BA156" s="21">
        <v>-1.52832E-2</v>
      </c>
      <c r="BB156" s="21">
        <v>146</v>
      </c>
      <c r="BC156" s="21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1">
        <v>0.99487300000000001</v>
      </c>
      <c r="BJ156" s="21">
        <v>223.541</v>
      </c>
      <c r="BK156" s="21">
        <v>-1.4831499999999999E-2</v>
      </c>
      <c r="BL156" s="21">
        <v>146</v>
      </c>
      <c r="BM156" s="21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1">
        <v>0.63522299999999998</v>
      </c>
      <c r="BR156" s="21">
        <v>272.74599999999998</v>
      </c>
      <c r="BS156" s="21">
        <v>-1.53656E-2</v>
      </c>
      <c r="BT156" s="21">
        <v>146</v>
      </c>
      <c r="BU156" s="21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0.989838</v>
      </c>
      <c r="H157" s="21">
        <v>48.444499999999998</v>
      </c>
      <c r="I157" s="21">
        <v>-1.53229E-2</v>
      </c>
      <c r="J157" s="21">
        <v>147</v>
      </c>
      <c r="K157" s="21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1">
        <v>0.64025900000000002</v>
      </c>
      <c r="P157" s="21">
        <v>97.826999999999998</v>
      </c>
      <c r="Q157" s="21">
        <v>-1.57501E-2</v>
      </c>
      <c r="R157" s="21">
        <v>147</v>
      </c>
      <c r="S157" s="21">
        <v>0.63940399999999997</v>
      </c>
      <c r="T157">
        <f t="shared" si="34"/>
        <v>15.7501</v>
      </c>
      <c r="U157">
        <f t="shared" si="35"/>
        <v>10.084143275900001</v>
      </c>
      <c r="X157" s="9"/>
      <c r="Y157" s="21">
        <v>0.989838</v>
      </c>
      <c r="Z157" s="21">
        <v>50.528599999999997</v>
      </c>
      <c r="AA157" s="21">
        <v>-1.5026899999999999E-2</v>
      </c>
      <c r="AB157" s="21">
        <v>147</v>
      </c>
      <c r="AC157" s="21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1">
        <v>0.64025900000000002</v>
      </c>
      <c r="AH157" s="21">
        <v>75.513499999999993</v>
      </c>
      <c r="AI157" s="21">
        <v>-1.54083E-2</v>
      </c>
      <c r="AJ157" s="21">
        <v>147</v>
      </c>
      <c r="AK157" s="21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1">
        <v>0.989838</v>
      </c>
      <c r="AR157" s="21">
        <v>124.914</v>
      </c>
      <c r="AS157" s="21">
        <v>-1.49689E-2</v>
      </c>
      <c r="AT157" s="21">
        <v>147</v>
      </c>
      <c r="AU157" s="21">
        <v>0.98877000000000004</v>
      </c>
      <c r="AV157">
        <f t="shared" si="40"/>
        <v>14.9689</v>
      </c>
      <c r="AW157">
        <f t="shared" si="41"/>
        <v>14.8167860382</v>
      </c>
      <c r="AX157" s="9"/>
      <c r="AY157" s="21">
        <v>0.64025900000000002</v>
      </c>
      <c r="AZ157" s="21">
        <v>174.2</v>
      </c>
      <c r="BA157" s="21">
        <v>-1.5292399999999999E-2</v>
      </c>
      <c r="BB157" s="21">
        <v>147</v>
      </c>
      <c r="BC157" s="21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1">
        <v>0.989838</v>
      </c>
      <c r="BJ157" s="21">
        <v>223.55099999999999</v>
      </c>
      <c r="BK157" s="21">
        <v>-1.4855999999999999E-2</v>
      </c>
      <c r="BL157" s="21">
        <v>147</v>
      </c>
      <c r="BM157" s="21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1">
        <v>0.64025900000000002</v>
      </c>
      <c r="BR157" s="21">
        <v>272.75599999999997</v>
      </c>
      <c r="BS157" s="21">
        <v>-1.5362499999999999E-2</v>
      </c>
      <c r="BT157" s="21">
        <v>147</v>
      </c>
      <c r="BU157" s="21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0.98480199999999996</v>
      </c>
      <c r="H158" s="21">
        <v>48.454599999999999</v>
      </c>
      <c r="I158" s="21">
        <v>-1.5335100000000001E-2</v>
      </c>
      <c r="J158" s="21">
        <v>148</v>
      </c>
      <c r="K158" s="21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1">
        <v>0.64529400000000003</v>
      </c>
      <c r="P158" s="21">
        <v>97.837000000000003</v>
      </c>
      <c r="Q158" s="21">
        <v>-1.5756200000000001E-2</v>
      </c>
      <c r="R158" s="21">
        <v>148</v>
      </c>
      <c r="S158" s="21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1">
        <v>0.98480199999999996</v>
      </c>
      <c r="Z158" s="21">
        <v>50.538600000000002</v>
      </c>
      <c r="AA158" s="21">
        <v>-1.5036000000000001E-2</v>
      </c>
      <c r="AB158" s="21">
        <v>148</v>
      </c>
      <c r="AC158" s="21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1">
        <v>0.64529400000000003</v>
      </c>
      <c r="AH158" s="21">
        <v>75.523600000000002</v>
      </c>
      <c r="AI158" s="21">
        <v>-1.54022E-2</v>
      </c>
      <c r="AJ158" s="21">
        <v>148</v>
      </c>
      <c r="AK158" s="21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1">
        <v>0.98480199999999996</v>
      </c>
      <c r="AR158" s="21">
        <v>124.92400000000001</v>
      </c>
      <c r="AS158" s="21">
        <v>-1.4975E-2</v>
      </c>
      <c r="AT158" s="21">
        <v>148</v>
      </c>
      <c r="AU158" s="21">
        <v>0.98358199999999996</v>
      </c>
      <c r="AV158">
        <f t="shared" si="40"/>
        <v>14.975</v>
      </c>
      <c r="AW158">
        <f t="shared" si="41"/>
        <v>14.74740995</v>
      </c>
      <c r="AX158" s="9"/>
      <c r="AY158" s="21">
        <v>0.64529400000000003</v>
      </c>
      <c r="AZ158" s="21">
        <v>174.21100000000001</v>
      </c>
      <c r="BA158" s="21">
        <v>-1.52893E-2</v>
      </c>
      <c r="BB158" s="21">
        <v>148</v>
      </c>
      <c r="BC158" s="21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1">
        <v>0.98480199999999996</v>
      </c>
      <c r="BJ158" s="21">
        <v>223.56100000000001</v>
      </c>
      <c r="BK158" s="21">
        <v>-1.4859000000000001E-2</v>
      </c>
      <c r="BL158" s="21">
        <v>148</v>
      </c>
      <c r="BM158" s="21">
        <v>0.98358199999999996</v>
      </c>
      <c r="BN158">
        <f t="shared" si="44"/>
        <v>14.859</v>
      </c>
      <c r="BO158">
        <f t="shared" si="45"/>
        <v>14.633172918</v>
      </c>
      <c r="BP158" s="9"/>
      <c r="BQ158" s="21">
        <v>0.64529400000000003</v>
      </c>
      <c r="BR158" s="21">
        <v>272.76600000000002</v>
      </c>
      <c r="BS158" s="21">
        <v>-1.5356399999999999E-2</v>
      </c>
      <c r="BT158" s="21">
        <v>148</v>
      </c>
      <c r="BU158" s="21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0.97976700000000005</v>
      </c>
      <c r="H159" s="21">
        <v>48.464700000000001</v>
      </c>
      <c r="I159" s="21">
        <v>-1.53381E-2</v>
      </c>
      <c r="J159" s="21">
        <v>149</v>
      </c>
      <c r="K159" s="21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1">
        <v>0.65032999999999996</v>
      </c>
      <c r="P159" s="21">
        <v>97.847099999999998</v>
      </c>
      <c r="Q159" s="21">
        <v>-1.5756200000000001E-2</v>
      </c>
      <c r="R159" s="21">
        <v>149</v>
      </c>
      <c r="S159" s="21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1">
        <v>0.97976700000000005</v>
      </c>
      <c r="Z159" s="21">
        <v>50.548699999999997</v>
      </c>
      <c r="AA159" s="21">
        <v>-1.50452E-2</v>
      </c>
      <c r="AB159" s="21">
        <v>149</v>
      </c>
      <c r="AC159" s="21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1">
        <v>0.65032999999999996</v>
      </c>
      <c r="AH159" s="21">
        <v>75.533699999999996</v>
      </c>
      <c r="AI159" s="21">
        <v>-1.53931E-2</v>
      </c>
      <c r="AJ159" s="21">
        <v>149</v>
      </c>
      <c r="AK159" s="21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1">
        <v>0.97976700000000005</v>
      </c>
      <c r="AR159" s="21">
        <v>124.934</v>
      </c>
      <c r="AS159" s="21">
        <v>-1.4978E-2</v>
      </c>
      <c r="AT159" s="21">
        <v>149</v>
      </c>
      <c r="AU159" s="21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1">
        <v>0.65032999999999996</v>
      </c>
      <c r="AZ159" s="21">
        <v>174.221</v>
      </c>
      <c r="BA159" s="21">
        <v>-1.52832E-2</v>
      </c>
      <c r="BB159" s="21">
        <v>149</v>
      </c>
      <c r="BC159" s="21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1">
        <v>0.97976700000000005</v>
      </c>
      <c r="BJ159" s="21">
        <v>223.571</v>
      </c>
      <c r="BK159" s="21">
        <v>-1.48529E-2</v>
      </c>
      <c r="BL159" s="21">
        <v>149</v>
      </c>
      <c r="BM159" s="21">
        <v>0.97900399999999999</v>
      </c>
      <c r="BN159">
        <f t="shared" si="44"/>
        <v>14.8529</v>
      </c>
      <c r="BO159">
        <f t="shared" si="45"/>
        <v>14.5523812743</v>
      </c>
      <c r="BP159" s="9"/>
      <c r="BQ159" s="21">
        <v>0.65032999999999996</v>
      </c>
      <c r="BR159" s="21">
        <v>272.77600000000001</v>
      </c>
      <c r="BS159" s="21">
        <v>-1.5344200000000001E-2</v>
      </c>
      <c r="BT159" s="21">
        <v>149</v>
      </c>
      <c r="BU159" s="21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0.97473100000000001</v>
      </c>
      <c r="H160" s="21">
        <v>48.474699999999999</v>
      </c>
      <c r="I160" s="21">
        <v>-1.5341199999999999E-2</v>
      </c>
      <c r="J160" s="21">
        <v>150</v>
      </c>
      <c r="K160" s="21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1">
        <v>0.65536499999999998</v>
      </c>
      <c r="P160" s="21">
        <v>97.857200000000006</v>
      </c>
      <c r="Q160" s="21">
        <v>-1.5756200000000001E-2</v>
      </c>
      <c r="R160" s="21">
        <v>150</v>
      </c>
      <c r="S160" s="21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1">
        <v>0.97473100000000001</v>
      </c>
      <c r="Z160" s="21">
        <v>50.558799999999998</v>
      </c>
      <c r="AA160" s="21">
        <v>-1.50513E-2</v>
      </c>
      <c r="AB160" s="21">
        <v>150</v>
      </c>
      <c r="AC160" s="21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1">
        <v>0.65536499999999998</v>
      </c>
      <c r="AH160" s="21">
        <v>75.543800000000005</v>
      </c>
      <c r="AI160" s="21">
        <v>-1.5389999999999999E-2</v>
      </c>
      <c r="AJ160" s="21">
        <v>150</v>
      </c>
      <c r="AK160" s="21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1">
        <v>0.97473100000000001</v>
      </c>
      <c r="AR160" s="21">
        <v>124.944</v>
      </c>
      <c r="AS160" s="21">
        <v>-1.4996300000000001E-2</v>
      </c>
      <c r="AT160" s="21">
        <v>150</v>
      </c>
      <c r="AU160" s="21">
        <v>0.97351100000000002</v>
      </c>
      <c r="AV160">
        <f t="shared" si="40"/>
        <v>14.9963</v>
      </c>
      <c r="AW160">
        <f t="shared" si="41"/>
        <v>14.6173584953</v>
      </c>
      <c r="AX160" s="9"/>
      <c r="AY160" s="21">
        <v>0.65536499999999998</v>
      </c>
      <c r="AZ160" s="21">
        <v>174.23099999999999</v>
      </c>
      <c r="BA160" s="21">
        <v>-1.52893E-2</v>
      </c>
      <c r="BB160" s="21">
        <v>150</v>
      </c>
      <c r="BC160" s="21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1">
        <v>0.97473100000000001</v>
      </c>
      <c r="BJ160" s="21">
        <v>223.58099999999999</v>
      </c>
      <c r="BK160" s="21">
        <v>-1.4855999999999999E-2</v>
      </c>
      <c r="BL160" s="21">
        <v>150</v>
      </c>
      <c r="BM160" s="21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1">
        <v>0.65536499999999998</v>
      </c>
      <c r="BR160" s="21">
        <v>272.786</v>
      </c>
      <c r="BS160" s="21">
        <v>-1.5329000000000001E-2</v>
      </c>
      <c r="BT160" s="21">
        <v>150</v>
      </c>
      <c r="BU160" s="21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0.969696</v>
      </c>
      <c r="H161" s="21">
        <v>48.4848</v>
      </c>
      <c r="I161" s="21">
        <v>-1.53534E-2</v>
      </c>
      <c r="J161" s="21">
        <v>151</v>
      </c>
      <c r="K161" s="21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1">
        <v>0.66039999999999999</v>
      </c>
      <c r="P161" s="21">
        <v>97.867199999999997</v>
      </c>
      <c r="Q161" s="21">
        <v>-1.5753199999999998E-2</v>
      </c>
      <c r="R161" s="21">
        <v>151</v>
      </c>
      <c r="S161" s="21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1">
        <v>0.969696</v>
      </c>
      <c r="Z161" s="21">
        <v>50.568899999999999</v>
      </c>
      <c r="AA161" s="21">
        <v>-1.50604E-2</v>
      </c>
      <c r="AB161" s="21">
        <v>151</v>
      </c>
      <c r="AC161" s="21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1">
        <v>0.66039999999999999</v>
      </c>
      <c r="AH161" s="21">
        <v>75.553799999999995</v>
      </c>
      <c r="AI161" s="21">
        <v>-1.5396099999999999E-2</v>
      </c>
      <c r="AJ161" s="21">
        <v>151</v>
      </c>
      <c r="AK161" s="21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1">
        <v>0.969696</v>
      </c>
      <c r="AR161" s="21">
        <v>124.95399999999999</v>
      </c>
      <c r="AS161" s="21">
        <v>-1.50116E-2</v>
      </c>
      <c r="AT161" s="21">
        <v>151</v>
      </c>
      <c r="AU161" s="21">
        <v>0.96862800000000004</v>
      </c>
      <c r="AV161">
        <f t="shared" si="40"/>
        <v>15.0116</v>
      </c>
      <c r="AW161">
        <f t="shared" si="41"/>
        <v>14.5566884736</v>
      </c>
      <c r="AX161" s="9"/>
      <c r="AY161" s="21">
        <v>0.66039999999999999</v>
      </c>
      <c r="AZ161" s="21">
        <v>174.24100000000001</v>
      </c>
      <c r="BA161" s="21">
        <v>-1.5280200000000001E-2</v>
      </c>
      <c r="BB161" s="21">
        <v>151</v>
      </c>
      <c r="BC161" s="21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1">
        <v>0.969696</v>
      </c>
      <c r="BJ161" s="21">
        <v>223.59100000000001</v>
      </c>
      <c r="BK161" s="21">
        <v>-1.48621E-2</v>
      </c>
      <c r="BL161" s="21">
        <v>151</v>
      </c>
      <c r="BM161" s="21">
        <v>0.96862800000000004</v>
      </c>
      <c r="BN161">
        <f t="shared" si="44"/>
        <v>14.8621</v>
      </c>
      <c r="BO161">
        <f t="shared" si="45"/>
        <v>14.4117189216</v>
      </c>
      <c r="BP161" s="9"/>
      <c r="BQ161" s="21">
        <v>0.66039999999999999</v>
      </c>
      <c r="BR161" s="21">
        <v>272.79700000000003</v>
      </c>
      <c r="BS161" s="21">
        <v>-1.53229E-2</v>
      </c>
      <c r="BT161" s="21">
        <v>151</v>
      </c>
      <c r="BU161" s="21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0.96466099999999999</v>
      </c>
      <c r="H162" s="21">
        <v>48.494900000000001</v>
      </c>
      <c r="I162" s="21">
        <v>-1.53656E-2</v>
      </c>
      <c r="J162" s="21">
        <v>152</v>
      </c>
      <c r="K162" s="21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1">
        <v>0.66543600000000003</v>
      </c>
      <c r="P162" s="21">
        <v>97.877300000000005</v>
      </c>
      <c r="Q162" s="21">
        <v>-1.5741000000000002E-2</v>
      </c>
      <c r="R162" s="21">
        <v>152</v>
      </c>
      <c r="S162" s="21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1">
        <v>0.96466099999999999</v>
      </c>
      <c r="Z162" s="21">
        <v>50.578899999999997</v>
      </c>
      <c r="AA162" s="21">
        <v>-1.5069600000000001E-2</v>
      </c>
      <c r="AB162" s="21">
        <v>152</v>
      </c>
      <c r="AC162" s="21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1">
        <v>0.66543600000000003</v>
      </c>
      <c r="AH162" s="21">
        <v>75.563900000000004</v>
      </c>
      <c r="AI162" s="21">
        <v>-1.54022E-2</v>
      </c>
      <c r="AJ162" s="21">
        <v>152</v>
      </c>
      <c r="AK162" s="21">
        <v>0.66452</v>
      </c>
      <c r="AL162">
        <f t="shared" si="38"/>
        <v>15.402199999999999</v>
      </c>
      <c r="AM162">
        <f t="shared" si="39"/>
        <v>10.2491783592</v>
      </c>
      <c r="AP162" s="9"/>
      <c r="AQ162" s="21">
        <v>0.96466099999999999</v>
      </c>
      <c r="AR162" s="21">
        <v>124.964</v>
      </c>
      <c r="AS162" s="21">
        <v>-1.5020800000000001E-2</v>
      </c>
      <c r="AT162" s="21">
        <v>152</v>
      </c>
      <c r="AU162" s="21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1">
        <v>0.66543600000000003</v>
      </c>
      <c r="AZ162" s="21">
        <v>174.251</v>
      </c>
      <c r="BA162" s="21">
        <v>-1.52832E-2</v>
      </c>
      <c r="BB162" s="21">
        <v>152</v>
      </c>
      <c r="BC162" s="21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1">
        <v>0.96466099999999999</v>
      </c>
      <c r="BJ162" s="21">
        <v>223.601</v>
      </c>
      <c r="BK162" s="21">
        <v>-1.48682E-2</v>
      </c>
      <c r="BL162" s="21">
        <v>152</v>
      </c>
      <c r="BM162" s="21">
        <v>0.96374499999999996</v>
      </c>
      <c r="BN162">
        <f t="shared" si="44"/>
        <v>14.8682</v>
      </c>
      <c r="BO162">
        <f t="shared" si="45"/>
        <v>14.3427726802</v>
      </c>
      <c r="BP162" s="9"/>
      <c r="BQ162" s="21">
        <v>0.66543600000000003</v>
      </c>
      <c r="BR162" s="21">
        <v>272.80700000000002</v>
      </c>
      <c r="BS162" s="21">
        <v>-1.53107E-2</v>
      </c>
      <c r="BT162" s="21">
        <v>152</v>
      </c>
      <c r="BU162" s="21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0.95962499999999995</v>
      </c>
      <c r="H163" s="21">
        <v>48.505000000000003</v>
      </c>
      <c r="I163" s="21">
        <v>-1.53778E-2</v>
      </c>
      <c r="J163" s="21">
        <v>153</v>
      </c>
      <c r="K163" s="21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1">
        <v>0.67047100000000004</v>
      </c>
      <c r="P163" s="21">
        <v>97.8874</v>
      </c>
      <c r="Q163" s="21">
        <v>-1.5741000000000002E-2</v>
      </c>
      <c r="R163" s="21">
        <v>153</v>
      </c>
      <c r="S163" s="21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1">
        <v>0.95962499999999995</v>
      </c>
      <c r="Z163" s="21">
        <v>50.588999999999999</v>
      </c>
      <c r="AA163" s="21">
        <v>-1.5081799999999999E-2</v>
      </c>
      <c r="AB163" s="21">
        <v>153</v>
      </c>
      <c r="AC163" s="21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1">
        <v>0.67047100000000004</v>
      </c>
      <c r="AH163" s="21">
        <v>75.573999999999998</v>
      </c>
      <c r="AI163" s="21">
        <v>-1.54022E-2</v>
      </c>
      <c r="AJ163" s="21">
        <v>153</v>
      </c>
      <c r="AK163" s="21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1">
        <v>0.95962499999999995</v>
      </c>
      <c r="AR163" s="21">
        <v>124.974</v>
      </c>
      <c r="AS163" s="21">
        <v>-1.5036000000000001E-2</v>
      </c>
      <c r="AT163" s="21">
        <v>153</v>
      </c>
      <c r="AU163" s="21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1">
        <v>0.67047100000000004</v>
      </c>
      <c r="AZ163" s="21">
        <v>174.261</v>
      </c>
      <c r="BA163" s="21">
        <v>-1.52893E-2</v>
      </c>
      <c r="BB163" s="21">
        <v>153</v>
      </c>
      <c r="BC163" s="21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1">
        <v>0.95962499999999995</v>
      </c>
      <c r="BJ163" s="21">
        <v>223.61099999999999</v>
      </c>
      <c r="BK163" s="21">
        <v>-1.48773E-2</v>
      </c>
      <c r="BL163" s="21">
        <v>153</v>
      </c>
      <c r="BM163" s="21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1">
        <v>0.67047100000000004</v>
      </c>
      <c r="BR163" s="21">
        <v>272.81700000000001</v>
      </c>
      <c r="BS163" s="21">
        <v>-1.5301500000000001E-2</v>
      </c>
      <c r="BT163" s="21">
        <v>153</v>
      </c>
      <c r="BU163" s="21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0.95459000000000005</v>
      </c>
      <c r="H164" s="21">
        <v>48.515000000000001</v>
      </c>
      <c r="I164" s="21">
        <v>-1.53931E-2</v>
      </c>
      <c r="J164" s="21">
        <v>154</v>
      </c>
      <c r="K164" s="21">
        <v>0.95306400000000002</v>
      </c>
      <c r="L164">
        <f t="shared" si="32"/>
        <v>15.3931</v>
      </c>
      <c r="M164">
        <f t="shared" si="33"/>
        <v>14.694099329000002</v>
      </c>
      <c r="N164" s="9"/>
      <c r="O164" s="21">
        <v>0.67550699999999997</v>
      </c>
      <c r="P164" s="21">
        <v>97.897499999999994</v>
      </c>
      <c r="Q164" s="21">
        <v>-1.5737899999999999E-2</v>
      </c>
      <c r="R164" s="21">
        <v>154</v>
      </c>
      <c r="S164" s="21">
        <v>0.67465200000000003</v>
      </c>
      <c r="T164">
        <f t="shared" si="34"/>
        <v>15.7379</v>
      </c>
      <c r="U164">
        <f t="shared" si="35"/>
        <v>10.6310616153</v>
      </c>
      <c r="X164" s="9"/>
      <c r="Y164" s="21">
        <v>0.95459000000000005</v>
      </c>
      <c r="Z164" s="21">
        <v>50.5991</v>
      </c>
      <c r="AA164" s="21">
        <v>-1.50787E-2</v>
      </c>
      <c r="AB164" s="21">
        <v>154</v>
      </c>
      <c r="AC164" s="21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1">
        <v>0.67550699999999997</v>
      </c>
      <c r="AH164" s="21">
        <v>75.584000000000003</v>
      </c>
      <c r="AI164" s="21">
        <v>-1.5396099999999999E-2</v>
      </c>
      <c r="AJ164" s="21">
        <v>154</v>
      </c>
      <c r="AK164" s="21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1">
        <v>0.95459000000000005</v>
      </c>
      <c r="AR164" s="21">
        <v>124.98399999999999</v>
      </c>
      <c r="AS164" s="21">
        <v>-1.50391E-2</v>
      </c>
      <c r="AT164" s="21">
        <v>154</v>
      </c>
      <c r="AU164" s="21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1">
        <v>0.67550699999999997</v>
      </c>
      <c r="AZ164" s="21">
        <v>174.27099999999999</v>
      </c>
      <c r="BA164" s="21">
        <v>-1.52985E-2</v>
      </c>
      <c r="BB164" s="21">
        <v>154</v>
      </c>
      <c r="BC164" s="21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1">
        <v>0.95459000000000005</v>
      </c>
      <c r="BJ164" s="21">
        <v>223.62100000000001</v>
      </c>
      <c r="BK164" s="21">
        <v>-1.48804E-2</v>
      </c>
      <c r="BL164" s="21">
        <v>154</v>
      </c>
      <c r="BM164" s="21">
        <v>0.95397900000000002</v>
      </c>
      <c r="BN164">
        <f t="shared" si="44"/>
        <v>14.8804</v>
      </c>
      <c r="BO164">
        <f t="shared" si="45"/>
        <v>14.204681036</v>
      </c>
      <c r="BP164" s="9"/>
      <c r="BQ164" s="21">
        <v>0.67550699999999997</v>
      </c>
      <c r="BR164" s="21">
        <v>272.827</v>
      </c>
      <c r="BS164" s="21">
        <v>-1.5301500000000001E-2</v>
      </c>
      <c r="BT164" s="21">
        <v>154</v>
      </c>
      <c r="BU164" s="21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0.94955400000000001</v>
      </c>
      <c r="H165" s="21">
        <v>48.525100000000002</v>
      </c>
      <c r="I165" s="21">
        <v>-1.54114E-2</v>
      </c>
      <c r="J165" s="21">
        <v>155</v>
      </c>
      <c r="K165" s="21">
        <v>0.94848600000000005</v>
      </c>
      <c r="L165">
        <f t="shared" si="32"/>
        <v>15.4114</v>
      </c>
      <c r="M165">
        <f t="shared" si="33"/>
        <v>14.633956515600001</v>
      </c>
      <c r="N165" s="9"/>
      <c r="O165" s="21">
        <v>0.68054199999999998</v>
      </c>
      <c r="P165" s="21">
        <v>97.907499999999999</v>
      </c>
      <c r="Q165" s="21">
        <v>-1.57349E-2</v>
      </c>
      <c r="R165" s="21">
        <v>155</v>
      </c>
      <c r="S165" s="21">
        <v>0.67971800000000004</v>
      </c>
      <c r="T165">
        <f t="shared" si="34"/>
        <v>15.7349</v>
      </c>
      <c r="U165">
        <f t="shared" si="35"/>
        <v>10.708260315799999</v>
      </c>
      <c r="X165" s="9"/>
      <c r="Y165" s="21">
        <v>0.94955400000000001</v>
      </c>
      <c r="Z165" s="21">
        <v>50.609099999999998</v>
      </c>
      <c r="AA165" s="21">
        <v>-1.50787E-2</v>
      </c>
      <c r="AB165" s="21">
        <v>155</v>
      </c>
      <c r="AC165" s="21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1">
        <v>0.68054199999999998</v>
      </c>
      <c r="AH165" s="21">
        <v>75.594099999999997</v>
      </c>
      <c r="AI165" s="21">
        <v>-1.5383900000000001E-2</v>
      </c>
      <c r="AJ165" s="21">
        <v>155</v>
      </c>
      <c r="AK165" s="21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1">
        <v>0.94955400000000001</v>
      </c>
      <c r="AR165" s="21">
        <v>124.995</v>
      </c>
      <c r="AS165" s="21">
        <v>-1.50391E-2</v>
      </c>
      <c r="AT165" s="21">
        <v>155</v>
      </c>
      <c r="AU165" s="21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1">
        <v>0.68054199999999998</v>
      </c>
      <c r="AZ165" s="21">
        <v>174.28100000000001</v>
      </c>
      <c r="BA165" s="21">
        <v>-1.5286299999999999E-2</v>
      </c>
      <c r="BB165" s="21">
        <v>155</v>
      </c>
      <c r="BC165" s="21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1">
        <v>0.94955400000000001</v>
      </c>
      <c r="BJ165" s="21">
        <v>223.631</v>
      </c>
      <c r="BK165" s="21">
        <v>-1.49017E-2</v>
      </c>
      <c r="BL165" s="21">
        <v>155</v>
      </c>
      <c r="BM165" s="21">
        <v>0.94818100000000005</v>
      </c>
      <c r="BN165">
        <f t="shared" si="44"/>
        <v>14.9017</v>
      </c>
      <c r="BO165">
        <f t="shared" si="45"/>
        <v>14.1499688418</v>
      </c>
      <c r="BP165" s="9"/>
      <c r="BQ165" s="21">
        <v>0.68054199999999998</v>
      </c>
      <c r="BR165" s="21">
        <v>272.83699999999999</v>
      </c>
      <c r="BS165" s="21">
        <v>-1.53046E-2</v>
      </c>
      <c r="BT165" s="21">
        <v>155</v>
      </c>
      <c r="BU165" s="21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0.944519</v>
      </c>
      <c r="H166" s="21">
        <v>48.535200000000003</v>
      </c>
      <c r="I166" s="21">
        <v>-1.54266E-2</v>
      </c>
      <c r="J166" s="21">
        <v>156</v>
      </c>
      <c r="K166" s="21">
        <v>0.943604</v>
      </c>
      <c r="L166">
        <f t="shared" si="32"/>
        <v>15.426600000000001</v>
      </c>
      <c r="M166">
        <f t="shared" si="33"/>
        <v>14.5707168054</v>
      </c>
      <c r="N166" s="9"/>
      <c r="O166" s="21">
        <v>0.68557699999999999</v>
      </c>
      <c r="P166" s="21">
        <v>97.917599999999993</v>
      </c>
      <c r="Q166" s="21">
        <v>-1.5731800000000001E-2</v>
      </c>
      <c r="R166" s="21">
        <v>156</v>
      </c>
      <c r="S166" s="21">
        <v>0.68466199999999999</v>
      </c>
      <c r="T166">
        <f t="shared" si="34"/>
        <v>15.7318</v>
      </c>
      <c r="U166">
        <f t="shared" si="35"/>
        <v>10.7853602486</v>
      </c>
      <c r="X166" s="9"/>
      <c r="Y166" s="21">
        <v>0.944519</v>
      </c>
      <c r="Z166" s="21">
        <v>50.619199999999999</v>
      </c>
      <c r="AA166" s="21">
        <v>-1.5084800000000001E-2</v>
      </c>
      <c r="AB166" s="21">
        <v>156</v>
      </c>
      <c r="AC166" s="21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1">
        <v>0.68557699999999999</v>
      </c>
      <c r="AH166" s="21">
        <v>75.604200000000006</v>
      </c>
      <c r="AI166" s="21">
        <v>-1.53656E-2</v>
      </c>
      <c r="AJ166" s="21">
        <v>156</v>
      </c>
      <c r="AK166" s="21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1">
        <v>0.944519</v>
      </c>
      <c r="AR166" s="21">
        <v>125.005</v>
      </c>
      <c r="AS166" s="21">
        <v>-1.5042099999999999E-2</v>
      </c>
      <c r="AT166" s="21">
        <v>156</v>
      </c>
      <c r="AU166" s="21">
        <v>0.944214</v>
      </c>
      <c r="AV166">
        <f t="shared" si="40"/>
        <v>15.0421</v>
      </c>
      <c r="AW166">
        <f t="shared" si="41"/>
        <v>14.2075492499</v>
      </c>
      <c r="AX166" s="9"/>
      <c r="AY166" s="21">
        <v>0.68557699999999999</v>
      </c>
      <c r="AZ166" s="21">
        <v>174.291</v>
      </c>
      <c r="BA166" s="21">
        <v>-1.52832E-2</v>
      </c>
      <c r="BB166" s="21">
        <v>156</v>
      </c>
      <c r="BC166" s="21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1">
        <v>0.944519</v>
      </c>
      <c r="BJ166" s="21">
        <v>223.64099999999999</v>
      </c>
      <c r="BK166" s="21">
        <v>-1.4917E-2</v>
      </c>
      <c r="BL166" s="21">
        <v>156</v>
      </c>
      <c r="BM166" s="21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1">
        <v>0.68557699999999999</v>
      </c>
      <c r="BR166" s="21">
        <v>272.84699999999998</v>
      </c>
      <c r="BS166" s="21">
        <v>-1.5301500000000001E-2</v>
      </c>
      <c r="BT166" s="21">
        <v>156</v>
      </c>
      <c r="BU166" s="21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0.93948399999999999</v>
      </c>
      <c r="H167" s="21">
        <v>48.545200000000001</v>
      </c>
      <c r="I167" s="21">
        <v>-1.5423600000000001E-2</v>
      </c>
      <c r="J167" s="21">
        <v>157</v>
      </c>
      <c r="K167" s="21">
        <v>0.93811</v>
      </c>
      <c r="L167">
        <f t="shared" si="32"/>
        <v>15.4236</v>
      </c>
      <c r="M167">
        <f t="shared" si="33"/>
        <v>14.4902254224</v>
      </c>
      <c r="N167" s="9"/>
      <c r="O167" s="21">
        <v>0.69061300000000003</v>
      </c>
      <c r="P167" s="21">
        <v>97.927700000000002</v>
      </c>
      <c r="Q167" s="21">
        <v>-1.5731800000000001E-2</v>
      </c>
      <c r="R167" s="21">
        <v>157</v>
      </c>
      <c r="S167" s="21">
        <v>0.68978899999999999</v>
      </c>
      <c r="T167">
        <f t="shared" si="34"/>
        <v>15.7318</v>
      </c>
      <c r="U167">
        <f t="shared" si="35"/>
        <v>10.864585593400001</v>
      </c>
      <c r="X167" s="9"/>
      <c r="Y167" s="21">
        <v>0.93948399999999999</v>
      </c>
      <c r="Z167" s="21">
        <v>50.629300000000001</v>
      </c>
      <c r="AA167" s="21">
        <v>-1.5090900000000001E-2</v>
      </c>
      <c r="AB167" s="21">
        <v>157</v>
      </c>
      <c r="AC167" s="21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1">
        <v>0.69061300000000003</v>
      </c>
      <c r="AH167" s="21">
        <v>75.6143</v>
      </c>
      <c r="AI167" s="21">
        <v>-1.5344200000000001E-2</v>
      </c>
      <c r="AJ167" s="21">
        <v>157</v>
      </c>
      <c r="AK167" s="21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1">
        <v>0.93948399999999999</v>
      </c>
      <c r="AR167" s="21">
        <v>125.015</v>
      </c>
      <c r="AS167" s="21">
        <v>-1.5048199999999999E-2</v>
      </c>
      <c r="AT167" s="21">
        <v>157</v>
      </c>
      <c r="AU167" s="21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1">
        <v>0.69061300000000003</v>
      </c>
      <c r="AZ167" s="21">
        <v>174.30099999999999</v>
      </c>
      <c r="BA167" s="21">
        <v>-1.5271E-2</v>
      </c>
      <c r="BB167" s="21">
        <v>157</v>
      </c>
      <c r="BC167" s="21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1">
        <v>0.93948399999999999</v>
      </c>
      <c r="BJ167" s="21">
        <v>223.65199999999999</v>
      </c>
      <c r="BK167" s="21">
        <v>-1.49292E-2</v>
      </c>
      <c r="BL167" s="21">
        <v>157</v>
      </c>
      <c r="BM167" s="21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1">
        <v>0.69061300000000003</v>
      </c>
      <c r="BR167" s="21">
        <v>272.85700000000003</v>
      </c>
      <c r="BS167" s="21">
        <v>-1.5295400000000001E-2</v>
      </c>
      <c r="BT167" s="21">
        <v>157</v>
      </c>
      <c r="BU167" s="21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0.93444799999999995</v>
      </c>
      <c r="H168" s="21">
        <v>48.555300000000003</v>
      </c>
      <c r="I168" s="21">
        <v>-1.5432700000000001E-2</v>
      </c>
      <c r="J168" s="21">
        <v>158</v>
      </c>
      <c r="K168" s="21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1">
        <v>0.69564800000000004</v>
      </c>
      <c r="P168" s="21">
        <v>97.937700000000007</v>
      </c>
      <c r="Q168" s="21">
        <v>-1.5731800000000001E-2</v>
      </c>
      <c r="R168" s="21">
        <v>158</v>
      </c>
      <c r="S168" s="21">
        <v>0.694824</v>
      </c>
      <c r="T168">
        <f t="shared" si="34"/>
        <v>15.7318</v>
      </c>
      <c r="U168">
        <f t="shared" si="35"/>
        <v>10.943795206400001</v>
      </c>
      <c r="X168" s="9"/>
      <c r="Y168" s="21">
        <v>0.93444799999999995</v>
      </c>
      <c r="Z168" s="21">
        <v>50.639400000000002</v>
      </c>
      <c r="AA168" s="21">
        <v>-1.51001E-2</v>
      </c>
      <c r="AB168" s="21">
        <v>158</v>
      </c>
      <c r="AC168" s="21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1">
        <v>0.69564800000000004</v>
      </c>
      <c r="AH168" s="21">
        <v>75.624300000000005</v>
      </c>
      <c r="AI168" s="21">
        <v>-1.5329000000000001E-2</v>
      </c>
      <c r="AJ168" s="21">
        <v>158</v>
      </c>
      <c r="AK168" s="21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1">
        <v>0.93444799999999995</v>
      </c>
      <c r="AR168" s="21">
        <v>125.02500000000001</v>
      </c>
      <c r="AS168" s="21">
        <v>-1.50574E-2</v>
      </c>
      <c r="AT168" s="21">
        <v>158</v>
      </c>
      <c r="AU168" s="21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1">
        <v>0.69564800000000004</v>
      </c>
      <c r="AZ168" s="21">
        <v>174.31100000000001</v>
      </c>
      <c r="BA168" s="21">
        <v>-1.5261800000000001E-2</v>
      </c>
      <c r="BB168" s="21">
        <v>158</v>
      </c>
      <c r="BC168" s="21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1">
        <v>0.93444799999999995</v>
      </c>
      <c r="BJ168" s="21">
        <v>223.66200000000001</v>
      </c>
      <c r="BK168" s="21">
        <v>-1.4932300000000001E-2</v>
      </c>
      <c r="BL168" s="21">
        <v>158</v>
      </c>
      <c r="BM168" s="21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1">
        <v>0.69564800000000004</v>
      </c>
      <c r="BR168" s="21">
        <v>272.86700000000002</v>
      </c>
      <c r="BS168" s="21">
        <v>-1.52832E-2</v>
      </c>
      <c r="BT168" s="21">
        <v>158</v>
      </c>
      <c r="BU168" s="21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0.92941300000000004</v>
      </c>
      <c r="H169" s="21">
        <v>48.565399999999997</v>
      </c>
      <c r="I169" s="21">
        <v>-1.54358E-2</v>
      </c>
      <c r="J169" s="21">
        <v>159</v>
      </c>
      <c r="K169" s="21">
        <v>0.92834499999999998</v>
      </c>
      <c r="L169">
        <f t="shared" si="32"/>
        <v>15.4358</v>
      </c>
      <c r="M169">
        <f t="shared" si="33"/>
        <v>14.346233185400001</v>
      </c>
      <c r="N169" s="9"/>
      <c r="O169" s="21">
        <v>0.70068399999999997</v>
      </c>
      <c r="P169" s="21">
        <v>97.947800000000001</v>
      </c>
      <c r="Q169" s="21">
        <v>-1.5728800000000001E-2</v>
      </c>
      <c r="R169" s="21">
        <v>159</v>
      </c>
      <c r="S169" s="21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1">
        <v>0.92941300000000004</v>
      </c>
      <c r="Z169" s="21">
        <v>50.6494</v>
      </c>
      <c r="AA169" s="21">
        <v>-1.5109300000000001E-2</v>
      </c>
      <c r="AB169" s="21">
        <v>159</v>
      </c>
      <c r="AC169" s="21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1">
        <v>0.70068399999999997</v>
      </c>
      <c r="AH169" s="21">
        <v>75.634399999999999</v>
      </c>
      <c r="AI169" s="21">
        <v>-1.53168E-2</v>
      </c>
      <c r="AJ169" s="21">
        <v>159</v>
      </c>
      <c r="AK169" s="21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1">
        <v>0.92941300000000004</v>
      </c>
      <c r="AR169" s="21">
        <v>125.035</v>
      </c>
      <c r="AS169" s="21">
        <v>-1.50787E-2</v>
      </c>
      <c r="AT169" s="21">
        <v>159</v>
      </c>
      <c r="AU169" s="21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1">
        <v>0.70068399999999997</v>
      </c>
      <c r="AZ169" s="21">
        <v>174.321</v>
      </c>
      <c r="BA169" s="21">
        <v>-1.5258799999999999E-2</v>
      </c>
      <c r="BB169" s="21">
        <v>159</v>
      </c>
      <c r="BC169" s="21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1">
        <v>0.92941300000000004</v>
      </c>
      <c r="BJ169" s="21">
        <v>223.672</v>
      </c>
      <c r="BK169" s="21">
        <v>-1.4944499999999999E-2</v>
      </c>
      <c r="BL169" s="21">
        <v>159</v>
      </c>
      <c r="BM169" s="21">
        <v>0.92864999999999998</v>
      </c>
      <c r="BN169">
        <f t="shared" si="44"/>
        <v>14.9445</v>
      </c>
      <c r="BO169">
        <f t="shared" si="45"/>
        <v>13.8896125785</v>
      </c>
      <c r="BP169" s="9"/>
      <c r="BQ169" s="21">
        <v>0.70068399999999997</v>
      </c>
      <c r="BR169" s="21">
        <v>272.87700000000001</v>
      </c>
      <c r="BS169" s="21">
        <v>-1.52771E-2</v>
      </c>
      <c r="BT169" s="21">
        <v>159</v>
      </c>
      <c r="BU169" s="21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0.924377</v>
      </c>
      <c r="H170" s="21">
        <v>48.575499999999998</v>
      </c>
      <c r="I170" s="21">
        <v>-1.54419E-2</v>
      </c>
      <c r="J170" s="21">
        <v>160</v>
      </c>
      <c r="K170" s="21">
        <v>0.92315700000000001</v>
      </c>
      <c r="L170">
        <f t="shared" si="32"/>
        <v>15.4419</v>
      </c>
      <c r="M170">
        <f t="shared" si="33"/>
        <v>14.2741371963</v>
      </c>
      <c r="N170" s="9"/>
      <c r="O170" s="21">
        <v>0.70571899999999999</v>
      </c>
      <c r="P170" s="21">
        <v>97.957899999999995</v>
      </c>
      <c r="Q170" s="21">
        <v>-1.5722699999999999E-2</v>
      </c>
      <c r="R170" s="21">
        <v>160</v>
      </c>
      <c r="S170" s="21">
        <v>0.70510899999999999</v>
      </c>
      <c r="T170">
        <f t="shared" si="34"/>
        <v>15.7227</v>
      </c>
      <c r="U170">
        <f t="shared" si="35"/>
        <v>11.095808121299999</v>
      </c>
      <c r="X170" s="9"/>
      <c r="Y170" s="21">
        <v>0.924377</v>
      </c>
      <c r="Z170" s="21">
        <v>50.659500000000001</v>
      </c>
      <c r="AA170" s="21">
        <v>-1.51276E-2</v>
      </c>
      <c r="AB170" s="21">
        <v>160</v>
      </c>
      <c r="AC170" s="21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1">
        <v>0.70571899999999999</v>
      </c>
      <c r="AH170" s="21">
        <v>75.644499999999994</v>
      </c>
      <c r="AI170" s="21">
        <v>-1.53046E-2</v>
      </c>
      <c r="AJ170" s="21">
        <v>160</v>
      </c>
      <c r="AK170" s="21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1">
        <v>0.924377</v>
      </c>
      <c r="AR170" s="21">
        <v>125.045</v>
      </c>
      <c r="AS170" s="21">
        <v>-1.5096999999999999E-2</v>
      </c>
      <c r="AT170" s="21">
        <v>160</v>
      </c>
      <c r="AU170" s="21">
        <v>0.92346200000000001</v>
      </c>
      <c r="AV170">
        <f t="shared" si="40"/>
        <v>15.097</v>
      </c>
      <c r="AW170">
        <f t="shared" si="41"/>
        <v>13.955319569</v>
      </c>
      <c r="AX170" s="9"/>
      <c r="AY170" s="21">
        <v>0.70571899999999999</v>
      </c>
      <c r="AZ170" s="21">
        <v>174.33099999999999</v>
      </c>
      <c r="BA170" s="21">
        <v>-1.5240500000000001E-2</v>
      </c>
      <c r="BB170" s="21">
        <v>160</v>
      </c>
      <c r="BC170" s="21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1">
        <v>0.924377</v>
      </c>
      <c r="BJ170" s="21">
        <v>223.68199999999999</v>
      </c>
      <c r="BK170" s="21">
        <v>-1.49506E-2</v>
      </c>
      <c r="BL170" s="21">
        <v>160</v>
      </c>
      <c r="BM170" s="21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1">
        <v>0.70571899999999999</v>
      </c>
      <c r="BR170" s="21">
        <v>272.887</v>
      </c>
      <c r="BS170" s="21">
        <v>-1.5255700000000001E-2</v>
      </c>
      <c r="BT170" s="21">
        <v>160</v>
      </c>
      <c r="BU170" s="21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0.91934199999999999</v>
      </c>
      <c r="H171" s="21">
        <v>48.585500000000003</v>
      </c>
      <c r="I171" s="21">
        <v>-1.5463299999999999E-2</v>
      </c>
      <c r="J171" s="21">
        <v>161</v>
      </c>
      <c r="K171" s="21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1">
        <v>0.710754</v>
      </c>
      <c r="P171" s="21">
        <v>97.968000000000004</v>
      </c>
      <c r="Q171" s="21">
        <v>-1.5713499999999998E-2</v>
      </c>
      <c r="R171" s="21">
        <v>161</v>
      </c>
      <c r="S171" s="21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1">
        <v>0.91934199999999999</v>
      </c>
      <c r="Z171" s="21">
        <v>50.669600000000003</v>
      </c>
      <c r="AA171" s="21">
        <v>-1.5124500000000001E-2</v>
      </c>
      <c r="AB171" s="21">
        <v>161</v>
      </c>
      <c r="AC171" s="21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1">
        <v>0.710754</v>
      </c>
      <c r="AH171" s="21">
        <v>75.654499999999999</v>
      </c>
      <c r="AI171" s="21">
        <v>-1.5301500000000001E-2</v>
      </c>
      <c r="AJ171" s="21">
        <v>161</v>
      </c>
      <c r="AK171" s="21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1">
        <v>0.91934199999999999</v>
      </c>
      <c r="AR171" s="21">
        <v>125.05500000000001</v>
      </c>
      <c r="AS171" s="21">
        <v>-1.51001E-2</v>
      </c>
      <c r="AT171" s="21">
        <v>161</v>
      </c>
      <c r="AU171" s="21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1">
        <v>0.710754</v>
      </c>
      <c r="AZ171" s="21">
        <v>174.34100000000001</v>
      </c>
      <c r="BA171" s="21">
        <v>-1.52283E-2</v>
      </c>
      <c r="BB171" s="21">
        <v>161</v>
      </c>
      <c r="BC171" s="21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1">
        <v>0.91934199999999999</v>
      </c>
      <c r="BJ171" s="21">
        <v>223.69200000000001</v>
      </c>
      <c r="BK171" s="21">
        <v>-1.49689E-2</v>
      </c>
      <c r="BL171" s="21">
        <v>161</v>
      </c>
      <c r="BM171" s="21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1">
        <v>0.710754</v>
      </c>
      <c r="BR171" s="21">
        <v>272.89699999999999</v>
      </c>
      <c r="BS171" s="21">
        <v>-1.52344E-2</v>
      </c>
      <c r="BT171" s="21">
        <v>161</v>
      </c>
      <c r="BU171" s="21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0.91430699999999998</v>
      </c>
      <c r="H172" s="21">
        <v>48.595599999999997</v>
      </c>
      <c r="I172" s="21">
        <v>-1.5484599999999999E-2</v>
      </c>
      <c r="J172" s="21">
        <v>162</v>
      </c>
      <c r="K172" s="21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1">
        <v>0.71579000000000004</v>
      </c>
      <c r="P172" s="21">
        <v>97.977999999999994</v>
      </c>
      <c r="Q172" s="21">
        <v>-1.5695199999999999E-2</v>
      </c>
      <c r="R172" s="21">
        <v>162</v>
      </c>
      <c r="S172" s="21">
        <v>0.71505700000000005</v>
      </c>
      <c r="T172">
        <f t="shared" si="34"/>
        <v>15.6952</v>
      </c>
      <c r="U172">
        <f t="shared" si="35"/>
        <v>11.234467208</v>
      </c>
      <c r="X172" s="9"/>
      <c r="Y172" s="21">
        <v>0.91430699999999998</v>
      </c>
      <c r="Z172" s="21">
        <v>50.679600000000001</v>
      </c>
      <c r="AA172" s="21">
        <v>-1.5130599999999999E-2</v>
      </c>
      <c r="AB172" s="21">
        <v>162</v>
      </c>
      <c r="AC172" s="21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1">
        <v>0.71579000000000004</v>
      </c>
      <c r="AH172" s="21">
        <v>75.664599999999993</v>
      </c>
      <c r="AI172" s="21">
        <v>-1.52985E-2</v>
      </c>
      <c r="AJ172" s="21">
        <v>162</v>
      </c>
      <c r="AK172" s="21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1">
        <v>0.91430699999999998</v>
      </c>
      <c r="AR172" s="21">
        <v>125.065</v>
      </c>
      <c r="AS172" s="21">
        <v>-1.51062E-2</v>
      </c>
      <c r="AT172" s="21">
        <v>162</v>
      </c>
      <c r="AU172" s="21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1">
        <v>0.71579000000000004</v>
      </c>
      <c r="AZ172" s="21">
        <v>174.351</v>
      </c>
      <c r="BA172" s="21">
        <v>-1.521E-2</v>
      </c>
      <c r="BB172" s="21">
        <v>162</v>
      </c>
      <c r="BC172" s="21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1">
        <v>0.91430699999999998</v>
      </c>
      <c r="BJ172" s="21">
        <v>223.702</v>
      </c>
      <c r="BK172" s="21">
        <v>-1.49841E-2</v>
      </c>
      <c r="BL172" s="21">
        <v>162</v>
      </c>
      <c r="BM172" s="21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1">
        <v>0.71579000000000004</v>
      </c>
      <c r="BR172" s="21">
        <v>272.90699999999998</v>
      </c>
      <c r="BS172" s="21">
        <v>-1.52283E-2</v>
      </c>
      <c r="BT172" s="21">
        <v>162</v>
      </c>
      <c r="BU172" s="21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0.90927100000000005</v>
      </c>
      <c r="H173" s="21">
        <v>48.605699999999999</v>
      </c>
      <c r="I173" s="21">
        <v>-1.54877E-2</v>
      </c>
      <c r="J173" s="21">
        <v>163</v>
      </c>
      <c r="K173" s="21">
        <v>0.90881299999999998</v>
      </c>
      <c r="L173">
        <f t="shared" si="32"/>
        <v>15.4877</v>
      </c>
      <c r="M173">
        <f t="shared" si="33"/>
        <v>14.082516466700001</v>
      </c>
      <c r="N173" s="9"/>
      <c r="O173" s="21">
        <v>0.72082500000000005</v>
      </c>
      <c r="P173" s="21">
        <v>97.988100000000003</v>
      </c>
      <c r="Q173" s="21">
        <v>-1.5685999999999999E-2</v>
      </c>
      <c r="R173" s="21">
        <v>163</v>
      </c>
      <c r="S173" s="21">
        <v>0.720001</v>
      </c>
      <c r="T173">
        <f t="shared" si="34"/>
        <v>15.685999999999998</v>
      </c>
      <c r="U173">
        <f t="shared" si="35"/>
        <v>11.306860949999999</v>
      </c>
      <c r="X173" s="9"/>
      <c r="Y173" s="21">
        <v>0.90927100000000005</v>
      </c>
      <c r="Z173" s="21">
        <v>50.689700000000002</v>
      </c>
      <c r="AA173" s="21">
        <v>-1.51428E-2</v>
      </c>
      <c r="AB173" s="21">
        <v>163</v>
      </c>
      <c r="AC173" s="21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1">
        <v>0.72082500000000005</v>
      </c>
      <c r="AH173" s="21">
        <v>75.674700000000001</v>
      </c>
      <c r="AI173" s="21">
        <v>-1.52893E-2</v>
      </c>
      <c r="AJ173" s="21">
        <v>163</v>
      </c>
      <c r="AK173" s="21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1">
        <v>0.90927100000000005</v>
      </c>
      <c r="AR173" s="21">
        <v>125.075</v>
      </c>
      <c r="AS173" s="21">
        <v>-1.5109300000000001E-2</v>
      </c>
      <c r="AT173" s="21">
        <v>163</v>
      </c>
      <c r="AU173" s="21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1">
        <v>0.72082500000000005</v>
      </c>
      <c r="AZ173" s="21">
        <v>174.36199999999999</v>
      </c>
      <c r="BA173" s="21">
        <v>-1.5197799999999999E-2</v>
      </c>
      <c r="BB173" s="21">
        <v>163</v>
      </c>
      <c r="BC173" s="21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1">
        <v>0.90927100000000005</v>
      </c>
      <c r="BJ173" s="21">
        <v>223.71199999999999</v>
      </c>
      <c r="BK173" s="21">
        <v>-1.49902E-2</v>
      </c>
      <c r="BL173" s="21">
        <v>163</v>
      </c>
      <c r="BM173" s="21">
        <v>0.90789799999999998</v>
      </c>
      <c r="BN173">
        <f t="shared" si="44"/>
        <v>14.9902</v>
      </c>
      <c r="BO173">
        <f t="shared" si="45"/>
        <v>13.6301541442</v>
      </c>
      <c r="BP173" s="9"/>
      <c r="BQ173" s="21">
        <v>0.72082500000000005</v>
      </c>
      <c r="BR173" s="21">
        <v>272.91699999999997</v>
      </c>
      <c r="BS173" s="21">
        <v>-1.5213000000000001E-2</v>
      </c>
      <c r="BT173" s="21">
        <v>163</v>
      </c>
      <c r="BU173" s="21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0.90423600000000004</v>
      </c>
      <c r="H174" s="21">
        <v>48.615699999999997</v>
      </c>
      <c r="I174" s="21">
        <v>-1.54999E-2</v>
      </c>
      <c r="J174" s="21">
        <v>164</v>
      </c>
      <c r="K174" s="21">
        <v>0.90301500000000001</v>
      </c>
      <c r="L174">
        <f t="shared" si="32"/>
        <v>15.4999</v>
      </c>
      <c r="M174">
        <f t="shared" si="33"/>
        <v>14.015567576400001</v>
      </c>
      <c r="N174" s="9"/>
      <c r="O174" s="21">
        <v>0.72586099999999998</v>
      </c>
      <c r="P174" s="21">
        <v>97.998199999999997</v>
      </c>
      <c r="Q174" s="21">
        <v>-1.5676900000000001E-2</v>
      </c>
      <c r="R174" s="21">
        <v>164</v>
      </c>
      <c r="S174" s="21">
        <v>0.72503700000000004</v>
      </c>
      <c r="T174">
        <f t="shared" si="34"/>
        <v>15.6769</v>
      </c>
      <c r="U174">
        <f t="shared" si="35"/>
        <v>11.3792503109</v>
      </c>
      <c r="X174" s="9"/>
      <c r="Y174" s="21">
        <v>0.90423600000000004</v>
      </c>
      <c r="Z174" s="21">
        <v>50.699800000000003</v>
      </c>
      <c r="AA174" s="21">
        <v>-1.5155E-2</v>
      </c>
      <c r="AB174" s="21">
        <v>164</v>
      </c>
      <c r="AC174" s="21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1">
        <v>0.72586099999999998</v>
      </c>
      <c r="AH174" s="21">
        <v>75.684799999999996</v>
      </c>
      <c r="AI174" s="21">
        <v>-1.52832E-2</v>
      </c>
      <c r="AJ174" s="21">
        <v>164</v>
      </c>
      <c r="AK174" s="21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1">
        <v>0.90423600000000004</v>
      </c>
      <c r="AR174" s="21">
        <v>125.08499999999999</v>
      </c>
      <c r="AS174" s="21">
        <v>-1.51276E-2</v>
      </c>
      <c r="AT174" s="21">
        <v>164</v>
      </c>
      <c r="AU174" s="21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1">
        <v>0.72586099999999998</v>
      </c>
      <c r="AZ174" s="21">
        <v>174.37200000000001</v>
      </c>
      <c r="BA174" s="21">
        <v>-1.5197799999999999E-2</v>
      </c>
      <c r="BB174" s="21">
        <v>164</v>
      </c>
      <c r="BC174" s="21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1">
        <v>0.90423600000000004</v>
      </c>
      <c r="BJ174" s="21">
        <v>223.72200000000001</v>
      </c>
      <c r="BK174" s="21">
        <v>-1.5002400000000001E-2</v>
      </c>
      <c r="BL174" s="21">
        <v>164</v>
      </c>
      <c r="BM174" s="21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1">
        <v>0.72586099999999998</v>
      </c>
      <c r="BR174" s="21">
        <v>272.92700000000002</v>
      </c>
      <c r="BS174" s="21">
        <v>-1.51947E-2</v>
      </c>
      <c r="BT174" s="21">
        <v>164</v>
      </c>
      <c r="BU174" s="21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0.8992</v>
      </c>
      <c r="H175" s="21">
        <v>48.625799999999998</v>
      </c>
      <c r="I175" s="21">
        <v>-1.5509E-2</v>
      </c>
      <c r="J175" s="21">
        <v>165</v>
      </c>
      <c r="K175" s="21">
        <v>0.89843799999999996</v>
      </c>
      <c r="L175">
        <f t="shared" si="32"/>
        <v>15.509</v>
      </c>
      <c r="M175">
        <f t="shared" si="33"/>
        <v>13.9456928</v>
      </c>
      <c r="N175" s="9"/>
      <c r="O175" s="21">
        <v>0.73089599999999999</v>
      </c>
      <c r="P175" s="21">
        <v>98.008200000000002</v>
      </c>
      <c r="Q175" s="21">
        <v>-1.5676900000000001E-2</v>
      </c>
      <c r="R175" s="21">
        <v>165</v>
      </c>
      <c r="S175" s="21">
        <v>0.72997999999999996</v>
      </c>
      <c r="T175">
        <f t="shared" si="34"/>
        <v>15.6769</v>
      </c>
      <c r="U175">
        <f t="shared" si="35"/>
        <v>11.458183502399999</v>
      </c>
      <c r="X175" s="9"/>
      <c r="Y175" s="21">
        <v>0.8992</v>
      </c>
      <c r="Z175" s="21">
        <v>50.709800000000001</v>
      </c>
      <c r="AA175" s="21">
        <v>-1.51672E-2</v>
      </c>
      <c r="AB175" s="21">
        <v>165</v>
      </c>
      <c r="AC175" s="21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1">
        <v>0.73089599999999999</v>
      </c>
      <c r="AH175" s="21">
        <v>75.694800000000001</v>
      </c>
      <c r="AI175" s="21">
        <v>-1.5273999999999999E-2</v>
      </c>
      <c r="AJ175" s="21">
        <v>165</v>
      </c>
      <c r="AK175" s="21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1">
        <v>0.8992</v>
      </c>
      <c r="AR175" s="21">
        <v>125.095</v>
      </c>
      <c r="AS175" s="21">
        <v>-1.51428E-2</v>
      </c>
      <c r="AT175" s="21">
        <v>165</v>
      </c>
      <c r="AU175" s="21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1">
        <v>0.73089599999999999</v>
      </c>
      <c r="AZ175" s="21">
        <v>174.38200000000001</v>
      </c>
      <c r="BA175" s="21">
        <v>-1.5191700000000001E-2</v>
      </c>
      <c r="BB175" s="21">
        <v>165</v>
      </c>
      <c r="BC175" s="21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1">
        <v>0.8992</v>
      </c>
      <c r="BJ175" s="21">
        <v>223.732</v>
      </c>
      <c r="BK175" s="21">
        <v>-1.5014599999999999E-2</v>
      </c>
      <c r="BL175" s="21">
        <v>165</v>
      </c>
      <c r="BM175" s="21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1">
        <v>0.73089599999999999</v>
      </c>
      <c r="BR175" s="21">
        <v>272.93799999999999</v>
      </c>
      <c r="BS175" s="21">
        <v>-1.5185499999999999E-2</v>
      </c>
      <c r="BT175" s="21">
        <v>165</v>
      </c>
      <c r="BU175" s="21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0.89416499999999999</v>
      </c>
      <c r="H176" s="21">
        <v>48.635899999999999</v>
      </c>
      <c r="I176" s="21">
        <v>-1.5509E-2</v>
      </c>
      <c r="J176" s="21">
        <v>166</v>
      </c>
      <c r="K176" s="21">
        <v>0.89294399999999996</v>
      </c>
      <c r="L176">
        <f t="shared" si="32"/>
        <v>15.509</v>
      </c>
      <c r="M176">
        <f t="shared" si="33"/>
        <v>13.867604985</v>
      </c>
      <c r="N176" s="9"/>
      <c r="O176" s="21">
        <v>0.735931</v>
      </c>
      <c r="P176" s="21">
        <v>98.018299999999996</v>
      </c>
      <c r="Q176" s="21">
        <v>-1.5670799999999999E-2</v>
      </c>
      <c r="R176" s="21">
        <v>166</v>
      </c>
      <c r="S176" s="21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1">
        <v>0.89416499999999999</v>
      </c>
      <c r="Z176" s="21">
        <v>50.719900000000003</v>
      </c>
      <c r="AA176" s="21">
        <v>-1.5179399999999999E-2</v>
      </c>
      <c r="AB176" s="21">
        <v>166</v>
      </c>
      <c r="AC176" s="21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1">
        <v>0.735931</v>
      </c>
      <c r="AH176" s="21">
        <v>75.704899999999995</v>
      </c>
      <c r="AI176" s="21">
        <v>-1.5280200000000001E-2</v>
      </c>
      <c r="AJ176" s="21">
        <v>166</v>
      </c>
      <c r="AK176" s="21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1">
        <v>0.89416499999999999</v>
      </c>
      <c r="AR176" s="21">
        <v>125.105</v>
      </c>
      <c r="AS176" s="21">
        <v>-1.5158100000000001E-2</v>
      </c>
      <c r="AT176" s="21">
        <v>166</v>
      </c>
      <c r="AU176" s="21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1">
        <v>0.735931</v>
      </c>
      <c r="AZ176" s="21">
        <v>174.392</v>
      </c>
      <c r="BA176" s="21">
        <v>-1.5185499999999999E-2</v>
      </c>
      <c r="BB176" s="21">
        <v>166</v>
      </c>
      <c r="BC176" s="21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1">
        <v>0.89416499999999999</v>
      </c>
      <c r="BJ176" s="21">
        <v>223.74199999999999</v>
      </c>
      <c r="BK176" s="21">
        <v>-1.50238E-2</v>
      </c>
      <c r="BL176" s="21">
        <v>166</v>
      </c>
      <c r="BM176" s="21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1">
        <v>0.735931</v>
      </c>
      <c r="BR176" s="21">
        <v>272.94799999999998</v>
      </c>
      <c r="BS176" s="21">
        <v>-1.51825E-2</v>
      </c>
      <c r="BT176" s="21">
        <v>166</v>
      </c>
      <c r="BU176" s="21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0.88912999999999998</v>
      </c>
      <c r="H177" s="21">
        <v>48.646000000000001</v>
      </c>
      <c r="I177" s="21">
        <v>-1.5518199999999999E-2</v>
      </c>
      <c r="J177" s="21">
        <v>167</v>
      </c>
      <c r="K177" s="21">
        <v>0.88806200000000002</v>
      </c>
      <c r="L177">
        <f t="shared" si="32"/>
        <v>15.5182</v>
      </c>
      <c r="M177">
        <f t="shared" si="33"/>
        <v>13.797697165999999</v>
      </c>
      <c r="N177" s="9"/>
      <c r="O177" s="21">
        <v>0.74096700000000004</v>
      </c>
      <c r="P177" s="21">
        <v>98.028400000000005</v>
      </c>
      <c r="Q177" s="21">
        <v>-1.5673800000000002E-2</v>
      </c>
      <c r="R177" s="21">
        <v>167</v>
      </c>
      <c r="S177" s="21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1">
        <v>0.88912999999999998</v>
      </c>
      <c r="Z177" s="21">
        <v>50.73</v>
      </c>
      <c r="AA177" s="21">
        <v>-1.51947E-2</v>
      </c>
      <c r="AB177" s="21">
        <v>167</v>
      </c>
      <c r="AC177" s="21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1">
        <v>0.74096700000000004</v>
      </c>
      <c r="AH177" s="21">
        <v>75.715000000000003</v>
      </c>
      <c r="AI177" s="21">
        <v>-1.5273999999999999E-2</v>
      </c>
      <c r="AJ177" s="21">
        <v>167</v>
      </c>
      <c r="AK177" s="21">
        <v>0.740143</v>
      </c>
      <c r="AL177">
        <f t="shared" si="38"/>
        <v>15.273999999999999</v>
      </c>
      <c r="AM177">
        <f t="shared" si="39"/>
        <v>11.317529958</v>
      </c>
      <c r="AP177" s="9"/>
      <c r="AQ177" s="21">
        <v>0.88912999999999998</v>
      </c>
      <c r="AR177" s="21">
        <v>125.11499999999999</v>
      </c>
      <c r="AS177" s="21">
        <v>-1.5173300000000001E-2</v>
      </c>
      <c r="AT177" s="21">
        <v>167</v>
      </c>
      <c r="AU177" s="21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1">
        <v>0.74096700000000004</v>
      </c>
      <c r="AZ177" s="21">
        <v>174.40199999999999</v>
      </c>
      <c r="BA177" s="21">
        <v>-1.51764E-2</v>
      </c>
      <c r="BB177" s="21">
        <v>167</v>
      </c>
      <c r="BC177" s="21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1">
        <v>0.88912999999999998</v>
      </c>
      <c r="BJ177" s="21">
        <v>223.75200000000001</v>
      </c>
      <c r="BK177" s="21">
        <v>-1.5042099999999999E-2</v>
      </c>
      <c r="BL177" s="21">
        <v>167</v>
      </c>
      <c r="BM177" s="21">
        <v>0.88806200000000002</v>
      </c>
      <c r="BN177">
        <f t="shared" si="44"/>
        <v>15.0421</v>
      </c>
      <c r="BO177">
        <f t="shared" si="45"/>
        <v>13.374382373</v>
      </c>
      <c r="BP177" s="9"/>
      <c r="BQ177" s="21">
        <v>0.74096700000000004</v>
      </c>
      <c r="BR177" s="21">
        <v>272.95800000000003</v>
      </c>
      <c r="BS177" s="21">
        <v>-1.51764E-2</v>
      </c>
      <c r="BT177" s="21">
        <v>167</v>
      </c>
      <c r="BU177" s="21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0.88409400000000005</v>
      </c>
      <c r="H178" s="21">
        <v>48.655999999999999</v>
      </c>
      <c r="I178" s="21">
        <v>-1.5527300000000001E-2</v>
      </c>
      <c r="J178" s="21">
        <v>168</v>
      </c>
      <c r="K178" s="21">
        <v>0.88287400000000005</v>
      </c>
      <c r="L178">
        <f t="shared" si="32"/>
        <v>15.5273</v>
      </c>
      <c r="M178">
        <f t="shared" si="33"/>
        <v>13.727592766200001</v>
      </c>
      <c r="N178" s="9"/>
      <c r="O178" s="21">
        <v>0.74600200000000005</v>
      </c>
      <c r="P178" s="21">
        <v>98.038499999999999</v>
      </c>
      <c r="Q178" s="21">
        <v>-1.56647E-2</v>
      </c>
      <c r="R178" s="21">
        <v>168</v>
      </c>
      <c r="S178" s="21">
        <v>0.74520900000000001</v>
      </c>
      <c r="T178">
        <f t="shared" si="34"/>
        <v>15.6647</v>
      </c>
      <c r="U178">
        <f t="shared" si="35"/>
        <v>11.6858975294</v>
      </c>
      <c r="X178" s="9"/>
      <c r="Y178" s="21">
        <v>0.88409400000000005</v>
      </c>
      <c r="Z178" s="21">
        <v>50.740099999999998</v>
      </c>
      <c r="AA178" s="21">
        <v>-1.52008E-2</v>
      </c>
      <c r="AB178" s="21">
        <v>168</v>
      </c>
      <c r="AC178" s="21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1">
        <v>0.74600200000000005</v>
      </c>
      <c r="AH178" s="21">
        <v>75.724999999999994</v>
      </c>
      <c r="AI178" s="21">
        <v>-1.52771E-2</v>
      </c>
      <c r="AJ178" s="21">
        <v>168</v>
      </c>
      <c r="AK178" s="21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1">
        <v>0.88409400000000005</v>
      </c>
      <c r="AR178" s="21">
        <v>125.125</v>
      </c>
      <c r="AS178" s="21">
        <v>-1.51886E-2</v>
      </c>
      <c r="AT178" s="21">
        <v>168</v>
      </c>
      <c r="AU178" s="21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1">
        <v>0.74600200000000005</v>
      </c>
      <c r="AZ178" s="21">
        <v>174.41200000000001</v>
      </c>
      <c r="BA178" s="21">
        <v>-1.51672E-2</v>
      </c>
      <c r="BB178" s="21">
        <v>168</v>
      </c>
      <c r="BC178" s="21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1">
        <v>0.88409400000000005</v>
      </c>
      <c r="BJ178" s="21">
        <v>223.762</v>
      </c>
      <c r="BK178" s="21">
        <v>-1.50574E-2</v>
      </c>
      <c r="BL178" s="21">
        <v>168</v>
      </c>
      <c r="BM178" s="21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1">
        <v>0.74600200000000005</v>
      </c>
      <c r="BR178" s="21">
        <v>272.96800000000002</v>
      </c>
      <c r="BS178" s="21">
        <v>-1.5179399999999999E-2</v>
      </c>
      <c r="BT178" s="21">
        <v>168</v>
      </c>
      <c r="BU178" s="21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0.87905900000000003</v>
      </c>
      <c r="H179" s="21">
        <v>48.6661</v>
      </c>
      <c r="I179" s="21">
        <v>-1.5539600000000001E-2</v>
      </c>
      <c r="J179" s="21">
        <v>169</v>
      </c>
      <c r="K179" s="21">
        <v>0.87799099999999997</v>
      </c>
      <c r="L179">
        <f t="shared" si="32"/>
        <v>15.5396</v>
      </c>
      <c r="M179">
        <f t="shared" si="33"/>
        <v>13.660225236400001</v>
      </c>
      <c r="N179" s="9"/>
      <c r="O179" s="21">
        <v>0.75103799999999998</v>
      </c>
      <c r="P179" s="21">
        <v>98.048500000000004</v>
      </c>
      <c r="Q179" s="21">
        <v>-1.5649400000000001E-2</v>
      </c>
      <c r="R179" s="21">
        <v>169</v>
      </c>
      <c r="S179" s="21">
        <v>0.75012199999999996</v>
      </c>
      <c r="T179">
        <f t="shared" si="34"/>
        <v>15.6494</v>
      </c>
      <c r="U179">
        <f t="shared" si="35"/>
        <v>11.7532940772</v>
      </c>
      <c r="X179" s="9"/>
      <c r="Y179" s="21">
        <v>0.87905900000000003</v>
      </c>
      <c r="Z179" s="21">
        <v>50.750100000000003</v>
      </c>
      <c r="AA179" s="21">
        <v>-1.5206900000000001E-2</v>
      </c>
      <c r="AB179" s="21">
        <v>169</v>
      </c>
      <c r="AC179" s="21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1">
        <v>0.75103799999999998</v>
      </c>
      <c r="AH179" s="21">
        <v>75.735100000000003</v>
      </c>
      <c r="AI179" s="21">
        <v>-1.5273999999999999E-2</v>
      </c>
      <c r="AJ179" s="21">
        <v>169</v>
      </c>
      <c r="AK179" s="21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1">
        <v>0.87905900000000003</v>
      </c>
      <c r="AR179" s="21">
        <v>125.136</v>
      </c>
      <c r="AS179" s="21">
        <v>-1.51886E-2</v>
      </c>
      <c r="AT179" s="21">
        <v>169</v>
      </c>
      <c r="AU179" s="21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1">
        <v>0.75103799999999998</v>
      </c>
      <c r="AZ179" s="21">
        <v>174.422</v>
      </c>
      <c r="BA179" s="21">
        <v>-1.5158100000000001E-2</v>
      </c>
      <c r="BB179" s="21">
        <v>169</v>
      </c>
      <c r="BC179" s="21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1">
        <v>0.87905900000000003</v>
      </c>
      <c r="BJ179" s="21">
        <v>223.77199999999999</v>
      </c>
      <c r="BK179" s="21">
        <v>-1.50726E-2</v>
      </c>
      <c r="BL179" s="21">
        <v>169</v>
      </c>
      <c r="BM179" s="21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1">
        <v>0.75103799999999998</v>
      </c>
      <c r="BR179" s="21">
        <v>272.97800000000001</v>
      </c>
      <c r="BS179" s="21">
        <v>-1.5164199999999999E-2</v>
      </c>
      <c r="BT179" s="21">
        <v>169</v>
      </c>
      <c r="BU179" s="21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0.87402299999999999</v>
      </c>
      <c r="H180" s="21">
        <v>48.676200000000001</v>
      </c>
      <c r="I180" s="21">
        <v>-1.5551799999999999E-2</v>
      </c>
      <c r="J180" s="21">
        <v>170</v>
      </c>
      <c r="K180" s="21">
        <v>0.872803</v>
      </c>
      <c r="L180">
        <f t="shared" si="32"/>
        <v>15.5518</v>
      </c>
      <c r="M180">
        <f t="shared" si="33"/>
        <v>13.592630891400001</v>
      </c>
      <c r="N180" s="9"/>
      <c r="O180" s="21">
        <v>0.756073</v>
      </c>
      <c r="P180" s="21">
        <v>98.058599999999998</v>
      </c>
      <c r="Q180" s="21">
        <v>-1.56372E-2</v>
      </c>
      <c r="R180" s="21">
        <v>170</v>
      </c>
      <c r="S180" s="21">
        <v>0.75500500000000004</v>
      </c>
      <c r="T180">
        <f t="shared" si="34"/>
        <v>15.6372</v>
      </c>
      <c r="U180">
        <f t="shared" si="35"/>
        <v>11.8228647156</v>
      </c>
      <c r="X180" s="9"/>
      <c r="Y180" s="21">
        <v>0.87402299999999999</v>
      </c>
      <c r="Z180" s="21">
        <v>50.760199999999998</v>
      </c>
      <c r="AA180" s="21">
        <v>-1.52222E-2</v>
      </c>
      <c r="AB180" s="21">
        <v>170</v>
      </c>
      <c r="AC180" s="21">
        <v>0.873108</v>
      </c>
      <c r="AD180">
        <f t="shared" si="36"/>
        <v>15.222200000000001</v>
      </c>
      <c r="AE180">
        <f t="shared" si="37"/>
        <v>13.3045529106</v>
      </c>
      <c r="AF180" s="9"/>
      <c r="AG180" s="21">
        <v>0.756073</v>
      </c>
      <c r="AH180" s="21">
        <v>75.745199999999997</v>
      </c>
      <c r="AI180" s="21">
        <v>-1.5273999999999999E-2</v>
      </c>
      <c r="AJ180" s="21">
        <v>170</v>
      </c>
      <c r="AK180" s="21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1">
        <v>0.87402299999999999</v>
      </c>
      <c r="AR180" s="21">
        <v>125.146</v>
      </c>
      <c r="AS180" s="21">
        <v>-1.51886E-2</v>
      </c>
      <c r="AT180" s="21">
        <v>170</v>
      </c>
      <c r="AU180" s="21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1">
        <v>0.756073</v>
      </c>
      <c r="AZ180" s="21">
        <v>174.43199999999999</v>
      </c>
      <c r="BA180" s="21">
        <v>-1.51428E-2</v>
      </c>
      <c r="BB180" s="21">
        <v>170</v>
      </c>
      <c r="BC180" s="21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1">
        <v>0.87402299999999999</v>
      </c>
      <c r="BJ180" s="21">
        <v>223.78200000000001</v>
      </c>
      <c r="BK180" s="21">
        <v>-1.50787E-2</v>
      </c>
      <c r="BL180" s="21">
        <v>170</v>
      </c>
      <c r="BM180" s="21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1">
        <v>0.756073</v>
      </c>
      <c r="BR180" s="21">
        <v>272.988</v>
      </c>
      <c r="BS180" s="21">
        <v>-1.51489E-2</v>
      </c>
      <c r="BT180" s="21">
        <v>170</v>
      </c>
      <c r="BU180" s="21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0.86898799999999998</v>
      </c>
      <c r="H181" s="21">
        <v>48.686199999999999</v>
      </c>
      <c r="I181" s="21">
        <v>-1.5554800000000001E-2</v>
      </c>
      <c r="J181" s="21">
        <v>171</v>
      </c>
      <c r="K181" s="21">
        <v>0.86822500000000002</v>
      </c>
      <c r="L181">
        <f t="shared" si="32"/>
        <v>15.5548</v>
      </c>
      <c r="M181">
        <f t="shared" si="33"/>
        <v>13.5169345424</v>
      </c>
      <c r="N181" s="9"/>
      <c r="O181" s="21">
        <v>0.76110800000000001</v>
      </c>
      <c r="P181" s="21">
        <v>98.068700000000007</v>
      </c>
      <c r="Q181" s="21">
        <v>-1.5628099999999999E-2</v>
      </c>
      <c r="R181" s="21">
        <v>171</v>
      </c>
      <c r="S181" s="21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1">
        <v>0.86898799999999998</v>
      </c>
      <c r="Z181" s="21">
        <v>50.770299999999999</v>
      </c>
      <c r="AA181" s="21">
        <v>-1.52283E-2</v>
      </c>
      <c r="AB181" s="21">
        <v>171</v>
      </c>
      <c r="AC181" s="21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1">
        <v>0.76110800000000001</v>
      </c>
      <c r="AH181" s="21">
        <v>75.755200000000002</v>
      </c>
      <c r="AI181" s="21">
        <v>-1.52771E-2</v>
      </c>
      <c r="AJ181" s="21">
        <v>171</v>
      </c>
      <c r="AK181" s="21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1">
        <v>0.86898799999999998</v>
      </c>
      <c r="AR181" s="21">
        <v>125.15600000000001</v>
      </c>
      <c r="AS181" s="21">
        <v>-1.5191700000000001E-2</v>
      </c>
      <c r="AT181" s="21">
        <v>171</v>
      </c>
      <c r="AU181" s="21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1">
        <v>0.76110800000000001</v>
      </c>
      <c r="AZ181" s="21">
        <v>174.44200000000001</v>
      </c>
      <c r="BA181" s="21">
        <v>-1.5136699999999999E-2</v>
      </c>
      <c r="BB181" s="21">
        <v>171</v>
      </c>
      <c r="BC181" s="21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1">
        <v>0.86898799999999998</v>
      </c>
      <c r="BJ181" s="21">
        <v>223.79300000000001</v>
      </c>
      <c r="BK181" s="21">
        <v>-1.5090900000000001E-2</v>
      </c>
      <c r="BL181" s="21">
        <v>171</v>
      </c>
      <c r="BM181" s="21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1">
        <v>0.76110800000000001</v>
      </c>
      <c r="BR181" s="21">
        <v>272.99799999999999</v>
      </c>
      <c r="BS181" s="21">
        <v>-1.51337E-2</v>
      </c>
      <c r="BT181" s="21">
        <v>171</v>
      </c>
      <c r="BU181" s="21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0.86395299999999997</v>
      </c>
      <c r="H182" s="21">
        <v>48.696300000000001</v>
      </c>
      <c r="I182" s="21">
        <v>-1.55579E-2</v>
      </c>
      <c r="J182" s="21">
        <v>172</v>
      </c>
      <c r="K182" s="21">
        <v>0.86181600000000003</v>
      </c>
      <c r="L182">
        <f t="shared" si="32"/>
        <v>15.5579</v>
      </c>
      <c r="M182">
        <f t="shared" si="33"/>
        <v>13.4412943787</v>
      </c>
      <c r="N182" s="9"/>
      <c r="O182" s="21">
        <v>0.76614400000000005</v>
      </c>
      <c r="P182" s="21">
        <v>98.078699999999998</v>
      </c>
      <c r="Q182" s="21">
        <v>-1.5631099999999998E-2</v>
      </c>
      <c r="R182" s="21">
        <v>172</v>
      </c>
      <c r="S182" s="21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1">
        <v>0.86395299999999997</v>
      </c>
      <c r="Z182" s="21">
        <v>50.780299999999997</v>
      </c>
      <c r="AA182" s="21">
        <v>-1.52496E-2</v>
      </c>
      <c r="AB182" s="21">
        <v>172</v>
      </c>
      <c r="AC182" s="21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1">
        <v>0.76614400000000005</v>
      </c>
      <c r="AH182" s="21">
        <v>75.765299999999996</v>
      </c>
      <c r="AI182" s="21">
        <v>-1.52771E-2</v>
      </c>
      <c r="AJ182" s="21">
        <v>172</v>
      </c>
      <c r="AK182" s="21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1">
        <v>0.86395299999999997</v>
      </c>
      <c r="AR182" s="21">
        <v>125.166</v>
      </c>
      <c r="AS182" s="21">
        <v>-1.521E-2</v>
      </c>
      <c r="AT182" s="21">
        <v>172</v>
      </c>
      <c r="AU182" s="21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1">
        <v>0.76614400000000005</v>
      </c>
      <c r="AZ182" s="21">
        <v>174.452</v>
      </c>
      <c r="BA182" s="21">
        <v>-1.51276E-2</v>
      </c>
      <c r="BB182" s="21">
        <v>172</v>
      </c>
      <c r="BC182" s="21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1">
        <v>0.86395299999999997</v>
      </c>
      <c r="BJ182" s="21">
        <v>223.803</v>
      </c>
      <c r="BK182" s="21">
        <v>-1.50879E-2</v>
      </c>
      <c r="BL182" s="21">
        <v>172</v>
      </c>
      <c r="BM182" s="21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1">
        <v>0.76614400000000005</v>
      </c>
      <c r="BR182" s="21">
        <v>273.00799999999998</v>
      </c>
      <c r="BS182" s="21">
        <v>-1.5130599999999999E-2</v>
      </c>
      <c r="BT182" s="21">
        <v>172</v>
      </c>
      <c r="BU182" s="21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0.85891700000000004</v>
      </c>
      <c r="H183" s="21">
        <v>48.706400000000002</v>
      </c>
      <c r="I183" s="21">
        <v>-1.55701E-2</v>
      </c>
      <c r="J183" s="21">
        <v>173</v>
      </c>
      <c r="K183" s="21">
        <v>0.858765</v>
      </c>
      <c r="L183">
        <f t="shared" si="32"/>
        <v>15.5701</v>
      </c>
      <c r="M183">
        <f t="shared" si="33"/>
        <v>13.373423581700001</v>
      </c>
      <c r="N183" s="9"/>
      <c r="O183" s="21">
        <v>0.77117899999999995</v>
      </c>
      <c r="P183" s="21">
        <v>98.088800000000006</v>
      </c>
      <c r="Q183" s="21">
        <v>-1.56128E-2</v>
      </c>
      <c r="R183" s="21">
        <v>173</v>
      </c>
      <c r="S183" s="21">
        <v>0.77056899999999995</v>
      </c>
      <c r="T183">
        <f t="shared" si="34"/>
        <v>15.6128</v>
      </c>
      <c r="U183">
        <f t="shared" si="35"/>
        <v>12.040263491199999</v>
      </c>
      <c r="X183" s="9"/>
      <c r="Y183" s="21">
        <v>0.85891700000000004</v>
      </c>
      <c r="Z183" s="21">
        <v>50.790399999999998</v>
      </c>
      <c r="AA183" s="21">
        <v>-1.5255700000000001E-2</v>
      </c>
      <c r="AB183" s="21">
        <v>173</v>
      </c>
      <c r="AC183" s="21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1">
        <v>0.77117899999999995</v>
      </c>
      <c r="AH183" s="21">
        <v>75.775400000000005</v>
      </c>
      <c r="AI183" s="21">
        <v>-1.52649E-2</v>
      </c>
      <c r="AJ183" s="21">
        <v>173</v>
      </c>
      <c r="AK183" s="21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1">
        <v>0.85891700000000004</v>
      </c>
      <c r="AR183" s="21">
        <v>125.176</v>
      </c>
      <c r="AS183" s="21">
        <v>-1.5213000000000001E-2</v>
      </c>
      <c r="AT183" s="21">
        <v>173</v>
      </c>
      <c r="AU183" s="21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1">
        <v>0.77117899999999995</v>
      </c>
      <c r="AZ183" s="21">
        <v>174.46199999999999</v>
      </c>
      <c r="BA183" s="21">
        <v>-1.51215E-2</v>
      </c>
      <c r="BB183" s="21">
        <v>173</v>
      </c>
      <c r="BC183" s="21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1">
        <v>0.85891700000000004</v>
      </c>
      <c r="BJ183" s="21">
        <v>223.81299999999999</v>
      </c>
      <c r="BK183" s="21">
        <v>-1.5090900000000001E-2</v>
      </c>
      <c r="BL183" s="21">
        <v>173</v>
      </c>
      <c r="BM183" s="21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1">
        <v>0.77117899999999995</v>
      </c>
      <c r="BR183" s="21">
        <v>273.01799999999997</v>
      </c>
      <c r="BS183" s="21">
        <v>-1.51215E-2</v>
      </c>
      <c r="BT183" s="21">
        <v>173</v>
      </c>
      <c r="BU183" s="21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0.85388200000000003</v>
      </c>
      <c r="H184" s="21">
        <v>48.7164</v>
      </c>
      <c r="I184" s="21">
        <v>-1.55762E-2</v>
      </c>
      <c r="J184" s="21">
        <v>174</v>
      </c>
      <c r="K184" s="21">
        <v>0.852661</v>
      </c>
      <c r="L184">
        <f t="shared" si="32"/>
        <v>15.5762</v>
      </c>
      <c r="M184">
        <f t="shared" si="33"/>
        <v>13.300236808400001</v>
      </c>
      <c r="N184" s="9"/>
      <c r="O184" s="21">
        <v>0.77621499999999999</v>
      </c>
      <c r="P184" s="21">
        <v>98.0989</v>
      </c>
      <c r="Q184" s="21">
        <v>-1.5606699999999999E-2</v>
      </c>
      <c r="R184" s="21">
        <v>174</v>
      </c>
      <c r="S184" s="21">
        <v>0.774841</v>
      </c>
      <c r="T184">
        <f t="shared" si="34"/>
        <v>15.6067</v>
      </c>
      <c r="U184">
        <f t="shared" si="35"/>
        <v>12.114154640500001</v>
      </c>
      <c r="X184" s="9"/>
      <c r="Y184" s="21">
        <v>0.85388200000000003</v>
      </c>
      <c r="Z184" s="21">
        <v>50.8005</v>
      </c>
      <c r="AA184" s="21">
        <v>-1.5271E-2</v>
      </c>
      <c r="AB184" s="21">
        <v>174</v>
      </c>
      <c r="AC184" s="21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1">
        <v>0.77621499999999999</v>
      </c>
      <c r="AH184" s="21">
        <v>75.785499999999999</v>
      </c>
      <c r="AI184" s="21">
        <v>-1.52496E-2</v>
      </c>
      <c r="AJ184" s="21">
        <v>174</v>
      </c>
      <c r="AK184" s="21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1">
        <v>0.85388200000000003</v>
      </c>
      <c r="AR184" s="21">
        <v>125.18600000000001</v>
      </c>
      <c r="AS184" s="21">
        <v>-1.521E-2</v>
      </c>
      <c r="AT184" s="21">
        <v>174</v>
      </c>
      <c r="AU184" s="21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1">
        <v>0.77621499999999999</v>
      </c>
      <c r="AZ184" s="21">
        <v>174.47200000000001</v>
      </c>
      <c r="BA184" s="21">
        <v>-1.51123E-2</v>
      </c>
      <c r="BB184" s="21">
        <v>174</v>
      </c>
      <c r="BC184" s="21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1">
        <v>0.85388200000000003</v>
      </c>
      <c r="BJ184" s="21">
        <v>223.82300000000001</v>
      </c>
      <c r="BK184" s="21">
        <v>-1.5084800000000001E-2</v>
      </c>
      <c r="BL184" s="21">
        <v>174</v>
      </c>
      <c r="BM184" s="21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1">
        <v>0.77621499999999999</v>
      </c>
      <c r="BR184" s="21">
        <v>273.02800000000002</v>
      </c>
      <c r="BS184" s="21">
        <v>-1.5109300000000001E-2</v>
      </c>
      <c r="BT184" s="21">
        <v>174</v>
      </c>
      <c r="BU184" s="21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0.84884599999999999</v>
      </c>
      <c r="H185" s="21">
        <v>48.726500000000001</v>
      </c>
      <c r="I185" s="21">
        <v>-1.55762E-2</v>
      </c>
      <c r="J185" s="21">
        <v>175</v>
      </c>
      <c r="K185" s="21">
        <v>0.84777800000000003</v>
      </c>
      <c r="L185">
        <f t="shared" si="32"/>
        <v>15.5762</v>
      </c>
      <c r="M185">
        <f t="shared" si="33"/>
        <v>13.2217950652</v>
      </c>
      <c r="N185" s="9"/>
      <c r="O185" s="21">
        <v>0.78125</v>
      </c>
      <c r="P185" s="21">
        <v>98.108900000000006</v>
      </c>
      <c r="Q185" s="21">
        <v>-1.5606699999999999E-2</v>
      </c>
      <c r="R185" s="21">
        <v>175</v>
      </c>
      <c r="S185" s="21">
        <v>0.78002899999999997</v>
      </c>
      <c r="T185">
        <f t="shared" si="34"/>
        <v>15.6067</v>
      </c>
      <c r="U185">
        <f t="shared" si="35"/>
        <v>12.192734375000001</v>
      </c>
      <c r="X185" s="9"/>
      <c r="Y185" s="21">
        <v>0.84884599999999999</v>
      </c>
      <c r="Z185" s="21">
        <v>50.810600000000001</v>
      </c>
      <c r="AA185" s="21">
        <v>-1.5280200000000001E-2</v>
      </c>
      <c r="AB185" s="21">
        <v>175</v>
      </c>
      <c r="AC185" s="21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1">
        <v>0.78125</v>
      </c>
      <c r="AH185" s="21">
        <v>75.795500000000004</v>
      </c>
      <c r="AI185" s="21">
        <v>-1.5240500000000001E-2</v>
      </c>
      <c r="AJ185" s="21">
        <v>175</v>
      </c>
      <c r="AK185" s="21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1">
        <v>0.84884599999999999</v>
      </c>
      <c r="AR185" s="21">
        <v>125.196</v>
      </c>
      <c r="AS185" s="21">
        <v>-1.521E-2</v>
      </c>
      <c r="AT185" s="21">
        <v>175</v>
      </c>
      <c r="AU185" s="21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1">
        <v>0.78125</v>
      </c>
      <c r="AZ185" s="21">
        <v>174.482</v>
      </c>
      <c r="BA185" s="21">
        <v>-1.51031E-2</v>
      </c>
      <c r="BB185" s="21">
        <v>175</v>
      </c>
      <c r="BC185" s="21">
        <v>0.78064</v>
      </c>
      <c r="BD185">
        <f t="shared" si="42"/>
        <v>15.1031</v>
      </c>
      <c r="BE185">
        <f t="shared" si="43"/>
        <v>11.799296875</v>
      </c>
      <c r="BH185" s="9"/>
      <c r="BI185" s="21">
        <v>0.84884599999999999</v>
      </c>
      <c r="BJ185" s="21">
        <v>223.833</v>
      </c>
      <c r="BK185" s="21">
        <v>-1.5084800000000001E-2</v>
      </c>
      <c r="BL185" s="21">
        <v>175</v>
      </c>
      <c r="BM185" s="21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1">
        <v>0.78125</v>
      </c>
      <c r="BR185" s="21">
        <v>273.03800000000001</v>
      </c>
      <c r="BS185" s="21">
        <v>-1.5094E-2</v>
      </c>
      <c r="BT185" s="21">
        <v>175</v>
      </c>
      <c r="BU185" s="21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0.84381099999999998</v>
      </c>
      <c r="H186" s="21">
        <v>48.736600000000003</v>
      </c>
      <c r="I186" s="21">
        <v>-1.5566999999999999E-2</v>
      </c>
      <c r="J186" s="21">
        <v>176</v>
      </c>
      <c r="K186" s="21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1">
        <v>0.78628500000000001</v>
      </c>
      <c r="P186" s="21">
        <v>98.119</v>
      </c>
      <c r="Q186" s="21">
        <v>-1.5606699999999999E-2</v>
      </c>
      <c r="R186" s="21">
        <v>176</v>
      </c>
      <c r="S186" s="21">
        <v>0.78552200000000005</v>
      </c>
      <c r="T186">
        <f t="shared" si="34"/>
        <v>15.6067</v>
      </c>
      <c r="U186">
        <f t="shared" si="35"/>
        <v>12.2713141095</v>
      </c>
      <c r="X186" s="9"/>
      <c r="Y186" s="21">
        <v>0.84381099999999998</v>
      </c>
      <c r="Z186" s="21">
        <v>50.820599999999999</v>
      </c>
      <c r="AA186" s="21">
        <v>-1.5280200000000001E-2</v>
      </c>
      <c r="AB186" s="21">
        <v>176</v>
      </c>
      <c r="AC186" s="21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1">
        <v>0.78628500000000001</v>
      </c>
      <c r="AH186" s="21">
        <v>75.805599999999998</v>
      </c>
      <c r="AI186" s="21">
        <v>-1.52313E-2</v>
      </c>
      <c r="AJ186" s="21">
        <v>176</v>
      </c>
      <c r="AK186" s="21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1">
        <v>0.84381099999999998</v>
      </c>
      <c r="AR186" s="21">
        <v>125.206</v>
      </c>
      <c r="AS186" s="21">
        <v>-1.5206900000000001E-2</v>
      </c>
      <c r="AT186" s="21">
        <v>176</v>
      </c>
      <c r="AU186" s="21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1">
        <v>0.78628500000000001</v>
      </c>
      <c r="AZ186" s="21">
        <v>174.49199999999999</v>
      </c>
      <c r="BA186" s="21">
        <v>-1.5096999999999999E-2</v>
      </c>
      <c r="BB186" s="21">
        <v>176</v>
      </c>
      <c r="BC186" s="21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1">
        <v>0.84381099999999998</v>
      </c>
      <c r="BJ186" s="21">
        <v>223.84299999999999</v>
      </c>
      <c r="BK186" s="21">
        <v>-1.5096999999999999E-2</v>
      </c>
      <c r="BL186" s="21">
        <v>176</v>
      </c>
      <c r="BM186" s="21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1">
        <v>0.78628500000000001</v>
      </c>
      <c r="BR186" s="21">
        <v>273.048</v>
      </c>
      <c r="BS186" s="21">
        <v>-1.5081799999999999E-2</v>
      </c>
      <c r="BT186" s="21">
        <v>176</v>
      </c>
      <c r="BU186" s="21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0.83877599999999997</v>
      </c>
      <c r="H187" s="21">
        <v>48.746699999999997</v>
      </c>
      <c r="I187" s="21">
        <v>-1.55701E-2</v>
      </c>
      <c r="J187" s="21">
        <v>177</v>
      </c>
      <c r="K187" s="21">
        <v>0.83801300000000001</v>
      </c>
      <c r="L187">
        <f t="shared" si="32"/>
        <v>15.5701</v>
      </c>
      <c r="M187">
        <f t="shared" si="33"/>
        <v>13.0598261976</v>
      </c>
      <c r="N187" s="9"/>
      <c r="O187" s="21">
        <v>0.79132100000000005</v>
      </c>
      <c r="P187" s="21">
        <v>98.129099999999994</v>
      </c>
      <c r="Q187" s="21">
        <v>-1.5600599999999999E-2</v>
      </c>
      <c r="R187" s="21">
        <v>177</v>
      </c>
      <c r="S187" s="21">
        <v>0.79040500000000002</v>
      </c>
      <c r="T187">
        <f t="shared" si="34"/>
        <v>15.6006</v>
      </c>
      <c r="U187">
        <f t="shared" si="35"/>
        <v>12.3450823926</v>
      </c>
      <c r="X187" s="9"/>
      <c r="Y187" s="21">
        <v>0.83877599999999997</v>
      </c>
      <c r="Z187" s="21">
        <v>50.8307</v>
      </c>
      <c r="AA187" s="21">
        <v>-1.5295400000000001E-2</v>
      </c>
      <c r="AB187" s="21">
        <v>177</v>
      </c>
      <c r="AC187" s="21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1">
        <v>0.79132100000000005</v>
      </c>
      <c r="AH187" s="21">
        <v>75.815700000000007</v>
      </c>
      <c r="AI187" s="21">
        <v>-1.5225199999999999E-2</v>
      </c>
      <c r="AJ187" s="21">
        <v>177</v>
      </c>
      <c r="AK187" s="21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1">
        <v>0.83877599999999997</v>
      </c>
      <c r="AR187" s="21">
        <v>125.21599999999999</v>
      </c>
      <c r="AS187" s="21">
        <v>-1.52283E-2</v>
      </c>
      <c r="AT187" s="21">
        <v>177</v>
      </c>
      <c r="AU187" s="21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1">
        <v>0.79132100000000005</v>
      </c>
      <c r="AZ187" s="21">
        <v>174.50299999999999</v>
      </c>
      <c r="BA187" s="21">
        <v>-1.5090900000000001E-2</v>
      </c>
      <c r="BB187" s="21">
        <v>177</v>
      </c>
      <c r="BC187" s="21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1">
        <v>0.83877599999999997</v>
      </c>
      <c r="BJ187" s="21">
        <v>223.85300000000001</v>
      </c>
      <c r="BK187" s="21">
        <v>-1.51031E-2</v>
      </c>
      <c r="BL187" s="21">
        <v>177</v>
      </c>
      <c r="BM187" s="21">
        <v>0.83740199999999998</v>
      </c>
      <c r="BN187">
        <f t="shared" si="44"/>
        <v>15.1031</v>
      </c>
      <c r="BO187">
        <f t="shared" si="45"/>
        <v>12.6681178056</v>
      </c>
      <c r="BP187" s="9"/>
      <c r="BQ187" s="21">
        <v>0.79132100000000005</v>
      </c>
      <c r="BR187" s="21">
        <v>273.05799999999999</v>
      </c>
      <c r="BS187" s="21">
        <v>-1.50726E-2</v>
      </c>
      <c r="BT187" s="21">
        <v>177</v>
      </c>
      <c r="BU187" s="21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0.83374000000000004</v>
      </c>
      <c r="H188" s="21">
        <v>48.756700000000002</v>
      </c>
      <c r="I188" s="21">
        <v>-1.55823E-2</v>
      </c>
      <c r="J188" s="21">
        <v>178</v>
      </c>
      <c r="K188" s="21">
        <v>0.83313000000000004</v>
      </c>
      <c r="L188">
        <f t="shared" si="32"/>
        <v>15.5823</v>
      </c>
      <c r="M188">
        <f t="shared" si="33"/>
        <v>12.991586802</v>
      </c>
      <c r="N188" s="9"/>
      <c r="O188" s="21">
        <v>0.79635599999999995</v>
      </c>
      <c r="P188" s="21">
        <v>98.139200000000002</v>
      </c>
      <c r="Q188" s="21">
        <v>-1.5594500000000001E-2</v>
      </c>
      <c r="R188" s="21">
        <v>178</v>
      </c>
      <c r="S188" s="21">
        <v>0.79589799999999999</v>
      </c>
      <c r="T188">
        <f t="shared" si="34"/>
        <v>15.5945</v>
      </c>
      <c r="U188">
        <f t="shared" si="35"/>
        <v>12.418773642</v>
      </c>
      <c r="X188" s="9"/>
      <c r="Y188" s="21">
        <v>0.83374000000000004</v>
      </c>
      <c r="Z188" s="21">
        <v>50.840800000000002</v>
      </c>
      <c r="AA188" s="21">
        <v>-1.53107E-2</v>
      </c>
      <c r="AB188" s="21">
        <v>178</v>
      </c>
      <c r="AC188" s="21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1">
        <v>0.79635599999999995</v>
      </c>
      <c r="AH188" s="21">
        <v>75.825699999999998</v>
      </c>
      <c r="AI188" s="21">
        <v>-1.52222E-2</v>
      </c>
      <c r="AJ188" s="21">
        <v>178</v>
      </c>
      <c r="AK188" s="21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1">
        <v>0.83374000000000004</v>
      </c>
      <c r="AR188" s="21">
        <v>125.226</v>
      </c>
      <c r="AS188" s="21">
        <v>-1.5246600000000001E-2</v>
      </c>
      <c r="AT188" s="21">
        <v>178</v>
      </c>
      <c r="AU188" s="21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1">
        <v>0.79635599999999995</v>
      </c>
      <c r="AZ188" s="21">
        <v>174.51300000000001</v>
      </c>
      <c r="BA188" s="21">
        <v>-1.5084800000000001E-2</v>
      </c>
      <c r="BB188" s="21">
        <v>178</v>
      </c>
      <c r="BC188" s="21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1">
        <v>0.83374000000000004</v>
      </c>
      <c r="BJ188" s="21">
        <v>223.863</v>
      </c>
      <c r="BK188" s="21">
        <v>-1.5124500000000001E-2</v>
      </c>
      <c r="BL188" s="21">
        <v>178</v>
      </c>
      <c r="BM188" s="21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1">
        <v>0.79635599999999995</v>
      </c>
      <c r="BR188" s="21">
        <v>273.06799999999998</v>
      </c>
      <c r="BS188" s="21">
        <v>-1.50726E-2</v>
      </c>
      <c r="BT188" s="21">
        <v>178</v>
      </c>
      <c r="BU188" s="21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0.82870500000000002</v>
      </c>
      <c r="H189" s="21">
        <v>48.766800000000003</v>
      </c>
      <c r="I189" s="21">
        <v>-1.5588400000000001E-2</v>
      </c>
      <c r="J189" s="21">
        <v>179</v>
      </c>
      <c r="K189" s="21">
        <v>0.82794199999999996</v>
      </c>
      <c r="L189">
        <f t="shared" si="32"/>
        <v>15.5884</v>
      </c>
      <c r="M189">
        <f t="shared" si="33"/>
        <v>12.918185022000001</v>
      </c>
      <c r="N189" s="9"/>
      <c r="O189" s="21">
        <v>0.80139199999999999</v>
      </c>
      <c r="P189" s="21">
        <v>98.149199999999993</v>
      </c>
      <c r="Q189" s="21">
        <v>-1.55914E-2</v>
      </c>
      <c r="R189" s="21">
        <v>179</v>
      </c>
      <c r="S189" s="21">
        <v>0.79986599999999997</v>
      </c>
      <c r="T189">
        <f t="shared" si="34"/>
        <v>15.5914</v>
      </c>
      <c r="U189">
        <f t="shared" si="35"/>
        <v>12.4948232288</v>
      </c>
      <c r="X189" s="9"/>
      <c r="Y189" s="21">
        <v>0.82870500000000002</v>
      </c>
      <c r="Z189" s="21">
        <v>50.8508</v>
      </c>
      <c r="AA189" s="21">
        <v>-1.53198E-2</v>
      </c>
      <c r="AB189" s="21">
        <v>179</v>
      </c>
      <c r="AC189" s="21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1">
        <v>0.80139199999999999</v>
      </c>
      <c r="AH189" s="21">
        <v>75.835800000000006</v>
      </c>
      <c r="AI189" s="21">
        <v>-1.521E-2</v>
      </c>
      <c r="AJ189" s="21">
        <v>179</v>
      </c>
      <c r="AK189" s="21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1">
        <v>0.82870500000000002</v>
      </c>
      <c r="AR189" s="21">
        <v>125.236</v>
      </c>
      <c r="AS189" s="21">
        <v>-1.52649E-2</v>
      </c>
      <c r="AT189" s="21">
        <v>179</v>
      </c>
      <c r="AU189" s="21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1">
        <v>0.80139199999999999</v>
      </c>
      <c r="AZ189" s="21">
        <v>174.523</v>
      </c>
      <c r="BA189" s="21">
        <v>-1.50604E-2</v>
      </c>
      <c r="BB189" s="21">
        <v>179</v>
      </c>
      <c r="BC189" s="21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1">
        <v>0.82870500000000002</v>
      </c>
      <c r="BJ189" s="21">
        <v>223.87299999999999</v>
      </c>
      <c r="BK189" s="21">
        <v>-1.5130599999999999E-2</v>
      </c>
      <c r="BL189" s="21">
        <v>179</v>
      </c>
      <c r="BM189" s="21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1">
        <v>0.80139199999999999</v>
      </c>
      <c r="BR189" s="21">
        <v>273.07900000000001</v>
      </c>
      <c r="BS189" s="21">
        <v>-1.50665E-2</v>
      </c>
      <c r="BT189" s="21">
        <v>179</v>
      </c>
      <c r="BU189" s="21">
        <v>0.79986599999999997</v>
      </c>
      <c r="BV189">
        <f t="shared" si="46"/>
        <v>15.0665</v>
      </c>
      <c r="BW189">
        <f t="shared" si="47"/>
        <v>12.074172568</v>
      </c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0.82366899999999998</v>
      </c>
      <c r="H190" s="21">
        <v>48.776899999999998</v>
      </c>
      <c r="I190" s="21">
        <v>-1.5606699999999999E-2</v>
      </c>
      <c r="J190" s="21">
        <v>180</v>
      </c>
      <c r="K190" s="21">
        <v>0.82244899999999999</v>
      </c>
      <c r="L190">
        <f t="shared" si="32"/>
        <v>15.6067</v>
      </c>
      <c r="M190">
        <f t="shared" si="33"/>
        <v>12.854754982299999</v>
      </c>
      <c r="N190" s="9"/>
      <c r="O190" s="21">
        <v>0.806427</v>
      </c>
      <c r="P190" s="21">
        <v>98.159300000000002</v>
      </c>
      <c r="Q190" s="21">
        <v>-1.55762E-2</v>
      </c>
      <c r="R190" s="21">
        <v>180</v>
      </c>
      <c r="S190" s="21">
        <v>0.80566400000000005</v>
      </c>
      <c r="T190">
        <f t="shared" si="34"/>
        <v>15.5762</v>
      </c>
      <c r="U190">
        <f t="shared" si="35"/>
        <v>12.561068237400001</v>
      </c>
      <c r="X190" s="9"/>
      <c r="Y190" s="21">
        <v>0.82366899999999998</v>
      </c>
      <c r="Z190" s="21">
        <v>50.860900000000001</v>
      </c>
      <c r="AA190" s="21">
        <v>-1.53198E-2</v>
      </c>
      <c r="AB190" s="21">
        <v>180</v>
      </c>
      <c r="AC190" s="21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1">
        <v>0.806427</v>
      </c>
      <c r="AH190" s="21">
        <v>75.8459</v>
      </c>
      <c r="AI190" s="21">
        <v>-1.51947E-2</v>
      </c>
      <c r="AJ190" s="21">
        <v>180</v>
      </c>
      <c r="AK190" s="21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1">
        <v>0.82366899999999998</v>
      </c>
      <c r="AR190" s="21">
        <v>125.246</v>
      </c>
      <c r="AS190" s="21">
        <v>-1.5273999999999999E-2</v>
      </c>
      <c r="AT190" s="21">
        <v>180</v>
      </c>
      <c r="AU190" s="21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1">
        <v>0.806427</v>
      </c>
      <c r="AZ190" s="21">
        <v>174.53299999999999</v>
      </c>
      <c r="BA190" s="21">
        <v>-1.50543E-2</v>
      </c>
      <c r="BB190" s="21">
        <v>180</v>
      </c>
      <c r="BC190" s="21">
        <v>0.80444300000000002</v>
      </c>
      <c r="BD190">
        <f t="shared" si="42"/>
        <v>15.0543</v>
      </c>
      <c r="BE190">
        <f t="shared" si="43"/>
        <v>12.1401939861</v>
      </c>
      <c r="BH190" s="9"/>
      <c r="BI190" s="21">
        <v>0.82366899999999998</v>
      </c>
      <c r="BJ190" s="21">
        <v>223.88300000000001</v>
      </c>
      <c r="BK190" s="21">
        <v>-1.51398E-2</v>
      </c>
      <c r="BL190" s="21">
        <v>180</v>
      </c>
      <c r="BM190" s="21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1">
        <v>0.806427</v>
      </c>
      <c r="BR190" s="21">
        <v>273.089</v>
      </c>
      <c r="BS190" s="21">
        <v>-1.5069600000000001E-2</v>
      </c>
      <c r="BT190" s="21">
        <v>180</v>
      </c>
      <c r="BU190" s="21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0.81863399999999997</v>
      </c>
      <c r="H191" s="21">
        <v>48.786900000000003</v>
      </c>
      <c r="I191" s="21">
        <v>-1.5625E-2</v>
      </c>
      <c r="J191" s="21">
        <v>181</v>
      </c>
      <c r="K191" s="21">
        <v>0.81756600000000001</v>
      </c>
      <c r="L191">
        <f t="shared" si="32"/>
        <v>15.625</v>
      </c>
      <c r="M191">
        <f t="shared" si="33"/>
        <v>12.79115625</v>
      </c>
      <c r="N191" s="9"/>
      <c r="O191" s="21">
        <v>0.81146200000000002</v>
      </c>
      <c r="P191" s="21">
        <v>98.169399999999996</v>
      </c>
      <c r="Q191" s="21">
        <v>-1.55579E-2</v>
      </c>
      <c r="R191" s="21">
        <v>181</v>
      </c>
      <c r="S191" s="21">
        <v>0.80993700000000002</v>
      </c>
      <c r="T191">
        <f t="shared" si="34"/>
        <v>15.5579</v>
      </c>
      <c r="U191">
        <f t="shared" si="35"/>
        <v>12.6246446498</v>
      </c>
      <c r="X191" s="9"/>
      <c r="Y191" s="21">
        <v>0.81863399999999997</v>
      </c>
      <c r="Z191" s="21">
        <v>50.871000000000002</v>
      </c>
      <c r="AA191" s="21">
        <v>-1.53229E-2</v>
      </c>
      <c r="AB191" s="21">
        <v>181</v>
      </c>
      <c r="AC191" s="21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1">
        <v>0.81146200000000002</v>
      </c>
      <c r="AH191" s="21">
        <v>75.855999999999995</v>
      </c>
      <c r="AI191" s="21">
        <v>-1.51764E-2</v>
      </c>
      <c r="AJ191" s="21">
        <v>181</v>
      </c>
      <c r="AK191" s="21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1">
        <v>0.81863399999999997</v>
      </c>
      <c r="AR191" s="21">
        <v>125.256</v>
      </c>
      <c r="AS191" s="21">
        <v>-1.5286299999999999E-2</v>
      </c>
      <c r="AT191" s="21">
        <v>181</v>
      </c>
      <c r="AU191" s="21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1">
        <v>0.81146200000000002</v>
      </c>
      <c r="AZ191" s="21">
        <v>174.54300000000001</v>
      </c>
      <c r="BA191" s="21">
        <v>-1.5042099999999999E-2</v>
      </c>
      <c r="BB191" s="21">
        <v>181</v>
      </c>
      <c r="BC191" s="21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1">
        <v>0.81863399999999997</v>
      </c>
      <c r="BJ191" s="21">
        <v>223.893</v>
      </c>
      <c r="BK191" s="21">
        <v>-1.51398E-2</v>
      </c>
      <c r="BL191" s="21">
        <v>181</v>
      </c>
      <c r="BM191" s="21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1">
        <v>0.81146200000000002</v>
      </c>
      <c r="BR191" s="21">
        <v>273.09899999999999</v>
      </c>
      <c r="BS191" s="21">
        <v>-1.50604E-2</v>
      </c>
      <c r="BT191" s="21">
        <v>181</v>
      </c>
      <c r="BU191" s="21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0.81359899999999996</v>
      </c>
      <c r="H192" s="21">
        <v>48.796999999999997</v>
      </c>
      <c r="I192" s="21">
        <v>-1.56372E-2</v>
      </c>
      <c r="J192" s="21">
        <v>182</v>
      </c>
      <c r="K192" s="21">
        <v>0.81329300000000004</v>
      </c>
      <c r="L192">
        <f t="shared" si="32"/>
        <v>15.6372</v>
      </c>
      <c r="M192">
        <f t="shared" si="33"/>
        <v>12.722410282799999</v>
      </c>
      <c r="N192" s="9"/>
      <c r="O192" s="21">
        <v>0.81649799999999995</v>
      </c>
      <c r="P192" s="21">
        <v>98.179400000000001</v>
      </c>
      <c r="Q192" s="21">
        <v>-1.5551799999999999E-2</v>
      </c>
      <c r="R192" s="21">
        <v>182</v>
      </c>
      <c r="S192" s="21">
        <v>0.81542999999999999</v>
      </c>
      <c r="T192">
        <f t="shared" si="34"/>
        <v>15.5518</v>
      </c>
      <c r="U192">
        <f t="shared" si="35"/>
        <v>12.698013596399999</v>
      </c>
      <c r="X192" s="9"/>
      <c r="Y192" s="21">
        <v>0.81359899999999996</v>
      </c>
      <c r="Z192" s="21">
        <v>50.881100000000004</v>
      </c>
      <c r="AA192" s="21">
        <v>-1.5332E-2</v>
      </c>
      <c r="AB192" s="21">
        <v>182</v>
      </c>
      <c r="AC192" s="21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1">
        <v>0.81649799999999995</v>
      </c>
      <c r="AH192" s="21">
        <v>75.866</v>
      </c>
      <c r="AI192" s="21">
        <v>-1.5155E-2</v>
      </c>
      <c r="AJ192" s="21">
        <v>182</v>
      </c>
      <c r="AK192" s="21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1">
        <v>0.81359899999999996</v>
      </c>
      <c r="AR192" s="21">
        <v>125.26600000000001</v>
      </c>
      <c r="AS192" s="21">
        <v>-1.5301500000000001E-2</v>
      </c>
      <c r="AT192" s="21">
        <v>182</v>
      </c>
      <c r="AU192" s="21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1">
        <v>0.81649799999999995</v>
      </c>
      <c r="AZ192" s="21">
        <v>174.553</v>
      </c>
      <c r="BA192" s="21">
        <v>-1.5026899999999999E-2</v>
      </c>
      <c r="BB192" s="21">
        <v>182</v>
      </c>
      <c r="BC192" s="21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1">
        <v>0.81359899999999996</v>
      </c>
      <c r="BJ192" s="21">
        <v>223.90299999999999</v>
      </c>
      <c r="BK192" s="21">
        <v>-1.51428E-2</v>
      </c>
      <c r="BL192" s="21">
        <v>182</v>
      </c>
      <c r="BM192" s="21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1">
        <v>0.81649799999999995</v>
      </c>
      <c r="BR192" s="21">
        <v>273.10899999999998</v>
      </c>
      <c r="BS192" s="21">
        <v>-1.50543E-2</v>
      </c>
      <c r="BT192" s="21">
        <v>182</v>
      </c>
      <c r="BU192" s="21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0.80856300000000003</v>
      </c>
      <c r="H193" s="21">
        <v>48.807099999999998</v>
      </c>
      <c r="I193" s="21">
        <v>-1.5640299999999999E-2</v>
      </c>
      <c r="J193" s="21">
        <v>183</v>
      </c>
      <c r="K193" s="21">
        <v>0.80718999999999996</v>
      </c>
      <c r="L193">
        <f t="shared" si="32"/>
        <v>15.6403</v>
      </c>
      <c r="M193">
        <f t="shared" si="33"/>
        <v>12.646167888900001</v>
      </c>
      <c r="N193" s="9"/>
      <c r="O193" s="21">
        <v>0.82153299999999996</v>
      </c>
      <c r="P193" s="21">
        <v>98.189499999999995</v>
      </c>
      <c r="Q193" s="21">
        <v>-1.55365E-2</v>
      </c>
      <c r="R193" s="21">
        <v>183</v>
      </c>
      <c r="S193" s="21">
        <v>0.82031299999999996</v>
      </c>
      <c r="T193">
        <f t="shared" si="34"/>
        <v>15.5365</v>
      </c>
      <c r="U193">
        <f t="shared" si="35"/>
        <v>12.763747454499999</v>
      </c>
      <c r="X193" s="9"/>
      <c r="Y193" s="21">
        <v>0.80856300000000003</v>
      </c>
      <c r="Z193" s="21">
        <v>50.891100000000002</v>
      </c>
      <c r="AA193" s="21">
        <v>-1.5344200000000001E-2</v>
      </c>
      <c r="AB193" s="21">
        <v>183</v>
      </c>
      <c r="AC193" s="21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1">
        <v>0.82153299999999996</v>
      </c>
      <c r="AH193" s="21">
        <v>75.876099999999994</v>
      </c>
      <c r="AI193" s="21">
        <v>-1.51489E-2</v>
      </c>
      <c r="AJ193" s="21">
        <v>183</v>
      </c>
      <c r="AK193" s="21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1">
        <v>0.80856300000000003</v>
      </c>
      <c r="AR193" s="21">
        <v>125.277</v>
      </c>
      <c r="AS193" s="21">
        <v>-1.5295400000000001E-2</v>
      </c>
      <c r="AT193" s="21">
        <v>183</v>
      </c>
      <c r="AU193" s="21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1">
        <v>0.82153299999999996</v>
      </c>
      <c r="AZ193" s="21">
        <v>174.56299999999999</v>
      </c>
      <c r="BA193" s="21">
        <v>-1.50177E-2</v>
      </c>
      <c r="BB193" s="21">
        <v>183</v>
      </c>
      <c r="BC193" s="21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1">
        <v>0.80856300000000003</v>
      </c>
      <c r="BJ193" s="21">
        <v>223.91300000000001</v>
      </c>
      <c r="BK193" s="21">
        <v>-1.5155E-2</v>
      </c>
      <c r="BL193" s="21">
        <v>183</v>
      </c>
      <c r="BM193" s="21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1">
        <v>0.82153299999999996</v>
      </c>
      <c r="BR193" s="21">
        <v>273.11900000000003</v>
      </c>
      <c r="BS193" s="21">
        <v>-1.5042099999999999E-2</v>
      </c>
      <c r="BT193" s="21">
        <v>183</v>
      </c>
      <c r="BU193" s="21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0.80352800000000002</v>
      </c>
      <c r="H194" s="21">
        <v>48.8172</v>
      </c>
      <c r="I194" s="21">
        <v>-1.5643299999999999E-2</v>
      </c>
      <c r="J194" s="21">
        <v>184</v>
      </c>
      <c r="K194" s="21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1">
        <v>0.826569</v>
      </c>
      <c r="P194" s="21">
        <v>98.199600000000004</v>
      </c>
      <c r="Q194" s="21">
        <v>-1.5527300000000001E-2</v>
      </c>
      <c r="R194" s="21">
        <v>184</v>
      </c>
      <c r="S194" s="21">
        <v>0.82550000000000001</v>
      </c>
      <c r="T194">
        <f t="shared" si="34"/>
        <v>15.5273</v>
      </c>
      <c r="U194">
        <f t="shared" si="35"/>
        <v>12.8343848337</v>
      </c>
      <c r="X194" s="9"/>
      <c r="Y194" s="21">
        <v>0.80352800000000002</v>
      </c>
      <c r="Z194" s="21">
        <v>50.901200000000003</v>
      </c>
      <c r="AA194" s="21">
        <v>-1.53595E-2</v>
      </c>
      <c r="AB194" s="21">
        <v>184</v>
      </c>
      <c r="AC194" s="21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1">
        <v>0.826569</v>
      </c>
      <c r="AH194" s="21">
        <v>75.886200000000002</v>
      </c>
      <c r="AI194" s="21">
        <v>-1.51611E-2</v>
      </c>
      <c r="AJ194" s="21">
        <v>184</v>
      </c>
      <c r="AK194" s="21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1">
        <v>0.80352800000000002</v>
      </c>
      <c r="AR194" s="21">
        <v>125.28700000000001</v>
      </c>
      <c r="AS194" s="21">
        <v>-1.5292399999999999E-2</v>
      </c>
      <c r="AT194" s="21">
        <v>184</v>
      </c>
      <c r="AU194" s="21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1">
        <v>0.826569</v>
      </c>
      <c r="AZ194" s="21">
        <v>174.57300000000001</v>
      </c>
      <c r="BA194" s="21">
        <v>-1.5008499999999999E-2</v>
      </c>
      <c r="BB194" s="21">
        <v>184</v>
      </c>
      <c r="BC194" s="21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1">
        <v>0.80352800000000002</v>
      </c>
      <c r="BJ194" s="21">
        <v>223.923</v>
      </c>
      <c r="BK194" s="21">
        <v>-1.5155E-2</v>
      </c>
      <c r="BL194" s="21">
        <v>184</v>
      </c>
      <c r="BM194" s="21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1">
        <v>0.826569</v>
      </c>
      <c r="BR194" s="21">
        <v>273.12900000000002</v>
      </c>
      <c r="BS194" s="21">
        <v>-1.5029900000000001E-2</v>
      </c>
      <c r="BT194" s="21">
        <v>184</v>
      </c>
      <c r="BU194" s="21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0.79849199999999998</v>
      </c>
      <c r="H195" s="21">
        <v>48.827199999999998</v>
      </c>
      <c r="I195" s="21">
        <v>-1.5646400000000001E-2</v>
      </c>
      <c r="J195" s="21">
        <v>185</v>
      </c>
      <c r="K195" s="21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1">
        <v>0.83160400000000001</v>
      </c>
      <c r="P195" s="21">
        <v>98.209699999999998</v>
      </c>
      <c r="Q195" s="21">
        <v>-1.5512099999999999E-2</v>
      </c>
      <c r="R195" s="21">
        <v>185</v>
      </c>
      <c r="S195" s="21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1">
        <v>0.79849199999999998</v>
      </c>
      <c r="Z195" s="21">
        <v>50.911299999999997</v>
      </c>
      <c r="AA195" s="21">
        <v>-1.5362499999999999E-2</v>
      </c>
      <c r="AB195" s="21">
        <v>185</v>
      </c>
      <c r="AC195" s="21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1">
        <v>0.83160400000000001</v>
      </c>
      <c r="AH195" s="21">
        <v>75.896199999999993</v>
      </c>
      <c r="AI195" s="21">
        <v>-1.5170299999999999E-2</v>
      </c>
      <c r="AJ195" s="21">
        <v>185</v>
      </c>
      <c r="AK195" s="21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1">
        <v>0.79849199999999998</v>
      </c>
      <c r="AR195" s="21">
        <v>125.297</v>
      </c>
      <c r="AS195" s="21">
        <v>-1.52893E-2</v>
      </c>
      <c r="AT195" s="21">
        <v>185</v>
      </c>
      <c r="AU195" s="21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1">
        <v>0.83160400000000001</v>
      </c>
      <c r="AZ195" s="21">
        <v>174.583</v>
      </c>
      <c r="BA195" s="21">
        <v>-1.49994E-2</v>
      </c>
      <c r="BB195" s="21">
        <v>185</v>
      </c>
      <c r="BC195" s="21">
        <v>0.83068799999999998</v>
      </c>
      <c r="BD195">
        <f t="shared" si="42"/>
        <v>14.9994</v>
      </c>
      <c r="BE195">
        <f t="shared" si="43"/>
        <v>12.4735610376</v>
      </c>
      <c r="BH195" s="9"/>
      <c r="BI195" s="21">
        <v>0.79849199999999998</v>
      </c>
      <c r="BJ195" s="21">
        <v>223.934</v>
      </c>
      <c r="BK195" s="21">
        <v>-1.5158100000000001E-2</v>
      </c>
      <c r="BL195" s="21">
        <v>185</v>
      </c>
      <c r="BM195" s="21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1">
        <v>0.83160400000000001</v>
      </c>
      <c r="BR195" s="21">
        <v>273.13900000000001</v>
      </c>
      <c r="BS195" s="21">
        <v>-1.50177E-2</v>
      </c>
      <c r="BT195" s="21">
        <v>185</v>
      </c>
      <c r="BU195" s="21">
        <v>0.83068799999999998</v>
      </c>
      <c r="BV195">
        <f t="shared" si="46"/>
        <v>15.0177</v>
      </c>
      <c r="BW195">
        <f t="shared" si="47"/>
        <v>12.4887793908</v>
      </c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0.79345699999999997</v>
      </c>
      <c r="H196" s="21">
        <v>48.837299999999999</v>
      </c>
      <c r="I196" s="21">
        <v>-1.5646400000000001E-2</v>
      </c>
      <c r="J196" s="21">
        <v>186</v>
      </c>
      <c r="K196" s="21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1">
        <v>0.83663900000000002</v>
      </c>
      <c r="P196" s="21">
        <v>98.219700000000003</v>
      </c>
      <c r="Q196" s="21">
        <v>-1.5509E-2</v>
      </c>
      <c r="R196" s="21">
        <v>186</v>
      </c>
      <c r="S196" s="21">
        <v>0.83618199999999998</v>
      </c>
      <c r="T196">
        <f t="shared" si="34"/>
        <v>15.509</v>
      </c>
      <c r="U196">
        <f t="shared" si="35"/>
        <v>12.975434251000001</v>
      </c>
      <c r="X196" s="9"/>
      <c r="Y196" s="21">
        <v>0.79345699999999997</v>
      </c>
      <c r="Z196" s="21">
        <v>50.921300000000002</v>
      </c>
      <c r="AA196" s="21">
        <v>-1.53717E-2</v>
      </c>
      <c r="AB196" s="21">
        <v>186</v>
      </c>
      <c r="AC196" s="21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1">
        <v>0.83663900000000002</v>
      </c>
      <c r="AH196" s="21">
        <v>75.906300000000002</v>
      </c>
      <c r="AI196" s="21">
        <v>-1.51672E-2</v>
      </c>
      <c r="AJ196" s="21">
        <v>186</v>
      </c>
      <c r="AK196" s="21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1">
        <v>0.79345699999999997</v>
      </c>
      <c r="AR196" s="21">
        <v>125.307</v>
      </c>
      <c r="AS196" s="21">
        <v>-1.52893E-2</v>
      </c>
      <c r="AT196" s="21">
        <v>186</v>
      </c>
      <c r="AU196" s="21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1">
        <v>0.83663900000000002</v>
      </c>
      <c r="AZ196" s="21">
        <v>174.59299999999999</v>
      </c>
      <c r="BA196" s="21">
        <v>-1.4987199999999999E-2</v>
      </c>
      <c r="BB196" s="21">
        <v>186</v>
      </c>
      <c r="BC196" s="21">
        <v>0.83587599999999995</v>
      </c>
      <c r="BD196">
        <f t="shared" si="42"/>
        <v>14.9872</v>
      </c>
      <c r="BE196">
        <f t="shared" si="43"/>
        <v>12.5388760208</v>
      </c>
      <c r="BH196" s="9"/>
      <c r="BI196" s="21">
        <v>0.79345699999999997</v>
      </c>
      <c r="BJ196" s="21">
        <v>223.94399999999999</v>
      </c>
      <c r="BK196" s="21">
        <v>-1.5155E-2</v>
      </c>
      <c r="BL196" s="21">
        <v>186</v>
      </c>
      <c r="BM196" s="21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1">
        <v>0.83663900000000002</v>
      </c>
      <c r="BR196" s="21">
        <v>273.149</v>
      </c>
      <c r="BS196" s="21">
        <v>-1.50055E-2</v>
      </c>
      <c r="BT196" s="21">
        <v>186</v>
      </c>
      <c r="BU196" s="21">
        <v>0.83587599999999995</v>
      </c>
      <c r="BV196">
        <f t="shared" si="46"/>
        <v>15.0055</v>
      </c>
      <c r="BW196">
        <f t="shared" si="47"/>
        <v>12.5541865145</v>
      </c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0.78842199999999996</v>
      </c>
      <c r="H197" s="21">
        <v>48.8474</v>
      </c>
      <c r="I197" s="21">
        <v>-1.5655499999999999E-2</v>
      </c>
      <c r="J197" s="21">
        <v>187</v>
      </c>
      <c r="K197" s="21">
        <v>0.78704799999999997</v>
      </c>
      <c r="L197">
        <f t="shared" si="32"/>
        <v>15.6555</v>
      </c>
      <c r="M197">
        <f t="shared" si="33"/>
        <v>12.343140621</v>
      </c>
      <c r="N197" s="9"/>
      <c r="O197" s="21">
        <v>0.84167499999999995</v>
      </c>
      <c r="P197" s="21">
        <v>98.229799999999997</v>
      </c>
      <c r="Q197" s="21">
        <v>-1.5512099999999999E-2</v>
      </c>
      <c r="R197" s="21">
        <v>187</v>
      </c>
      <c r="S197" s="21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1">
        <v>0.78842199999999996</v>
      </c>
      <c r="Z197" s="21">
        <v>50.931399999999996</v>
      </c>
      <c r="AA197" s="21">
        <v>-1.53778E-2</v>
      </c>
      <c r="AB197" s="21">
        <v>187</v>
      </c>
      <c r="AC197" s="21">
        <v>0.788269</v>
      </c>
      <c r="AD197">
        <f t="shared" si="36"/>
        <v>15.377800000000001</v>
      </c>
      <c r="AE197">
        <f t="shared" si="37"/>
        <v>12.1241958316</v>
      </c>
      <c r="AF197" s="9"/>
      <c r="AG197" s="21">
        <v>0.84167499999999995</v>
      </c>
      <c r="AH197" s="21">
        <v>75.916399999999996</v>
      </c>
      <c r="AI197" s="21">
        <v>-1.5155E-2</v>
      </c>
      <c r="AJ197" s="21">
        <v>187</v>
      </c>
      <c r="AK197" s="21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1">
        <v>0.78842199999999996</v>
      </c>
      <c r="AR197" s="21">
        <v>125.31699999999999</v>
      </c>
      <c r="AS197" s="21">
        <v>-1.5286299999999999E-2</v>
      </c>
      <c r="AT197" s="21">
        <v>187</v>
      </c>
      <c r="AU197" s="21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1">
        <v>0.84167499999999995</v>
      </c>
      <c r="AZ197" s="21">
        <v>174.60300000000001</v>
      </c>
      <c r="BA197" s="21">
        <v>-1.4978E-2</v>
      </c>
      <c r="BB197" s="21">
        <v>187</v>
      </c>
      <c r="BC197" s="21">
        <v>0.84045400000000003</v>
      </c>
      <c r="BD197">
        <f t="shared" si="42"/>
        <v>14.978</v>
      </c>
      <c r="BE197">
        <f t="shared" si="43"/>
        <v>12.60660815</v>
      </c>
      <c r="BH197" s="9"/>
      <c r="BI197" s="21">
        <v>0.78842199999999996</v>
      </c>
      <c r="BJ197" s="21">
        <v>223.95400000000001</v>
      </c>
      <c r="BK197" s="21">
        <v>-1.5164199999999999E-2</v>
      </c>
      <c r="BL197" s="21">
        <v>187</v>
      </c>
      <c r="BM197" s="21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1">
        <v>0.84167499999999995</v>
      </c>
      <c r="BR197" s="21">
        <v>273.15899999999999</v>
      </c>
      <c r="BS197" s="21">
        <v>-1.4993299999999999E-2</v>
      </c>
      <c r="BT197" s="21">
        <v>187</v>
      </c>
      <c r="BU197" s="21">
        <v>0.84106400000000003</v>
      </c>
      <c r="BV197">
        <f t="shared" si="46"/>
        <v>14.9933</v>
      </c>
      <c r="BW197">
        <f t="shared" si="47"/>
        <v>12.6194857775</v>
      </c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0.78338600000000003</v>
      </c>
      <c r="H198" s="21">
        <v>48.857399999999998</v>
      </c>
      <c r="I198" s="21">
        <v>-1.5670799999999999E-2</v>
      </c>
      <c r="J198" s="21">
        <v>188</v>
      </c>
      <c r="K198" s="21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1">
        <v>0.84670999999999996</v>
      </c>
      <c r="P198" s="21">
        <v>98.239900000000006</v>
      </c>
      <c r="Q198" s="21">
        <v>-1.55151E-2</v>
      </c>
      <c r="R198" s="21">
        <v>188</v>
      </c>
      <c r="S198" s="21">
        <v>0.845642</v>
      </c>
      <c r="T198">
        <f t="shared" si="34"/>
        <v>15.5151</v>
      </c>
      <c r="U198">
        <f t="shared" si="35"/>
        <v>13.136790320999999</v>
      </c>
      <c r="X198" s="9"/>
      <c r="Y198" s="21">
        <v>0.78338600000000003</v>
      </c>
      <c r="Z198" s="21">
        <v>50.941499999999998</v>
      </c>
      <c r="AA198" s="21">
        <v>-1.5387E-2</v>
      </c>
      <c r="AB198" s="21">
        <v>188</v>
      </c>
      <c r="AC198" s="21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1">
        <v>0.84670999999999996</v>
      </c>
      <c r="AH198" s="21">
        <v>75.926500000000004</v>
      </c>
      <c r="AI198" s="21">
        <v>-1.51337E-2</v>
      </c>
      <c r="AJ198" s="21">
        <v>188</v>
      </c>
      <c r="AK198" s="21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1">
        <v>0.78338600000000003</v>
      </c>
      <c r="AR198" s="21">
        <v>125.327</v>
      </c>
      <c r="AS198" s="21">
        <v>-1.52771E-2</v>
      </c>
      <c r="AT198" s="21">
        <v>188</v>
      </c>
      <c r="AU198" s="21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1">
        <v>0.84670999999999996</v>
      </c>
      <c r="AZ198" s="21">
        <v>174.613</v>
      </c>
      <c r="BA198" s="21">
        <v>-1.49719E-2</v>
      </c>
      <c r="BB198" s="21">
        <v>188</v>
      </c>
      <c r="BC198" s="21">
        <v>0.84533700000000001</v>
      </c>
      <c r="BD198">
        <f t="shared" si="42"/>
        <v>14.9719</v>
      </c>
      <c r="BE198">
        <f t="shared" si="43"/>
        <v>12.676857449</v>
      </c>
      <c r="BH198" s="9"/>
      <c r="BI198" s="21">
        <v>0.78338600000000003</v>
      </c>
      <c r="BJ198" s="21">
        <v>223.964</v>
      </c>
      <c r="BK198" s="21">
        <v>-1.5158100000000001E-2</v>
      </c>
      <c r="BL198" s="21">
        <v>188</v>
      </c>
      <c r="BM198" s="21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1">
        <v>0.84670999999999996</v>
      </c>
      <c r="BR198" s="21">
        <v>273.16899999999998</v>
      </c>
      <c r="BS198" s="21">
        <v>-1.4981100000000001E-2</v>
      </c>
      <c r="BT198" s="21">
        <v>188</v>
      </c>
      <c r="BU198" s="21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0.77835100000000002</v>
      </c>
      <c r="H199" s="21">
        <v>48.8675</v>
      </c>
      <c r="I199" s="21">
        <v>-1.5685999999999999E-2</v>
      </c>
      <c r="J199" s="21">
        <v>189</v>
      </c>
      <c r="K199" s="21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1">
        <v>0.851746</v>
      </c>
      <c r="P199" s="21">
        <v>98.249899999999997</v>
      </c>
      <c r="Q199" s="21">
        <v>-1.5521200000000001E-2</v>
      </c>
      <c r="R199" s="21">
        <v>189</v>
      </c>
      <c r="S199" s="21">
        <v>0.85082999999999998</v>
      </c>
      <c r="T199">
        <f t="shared" si="34"/>
        <v>15.5212</v>
      </c>
      <c r="U199">
        <f t="shared" si="35"/>
        <v>13.220120015200001</v>
      </c>
      <c r="X199" s="9"/>
      <c r="Y199" s="21">
        <v>0.77835100000000002</v>
      </c>
      <c r="Z199" s="21">
        <v>50.951599999999999</v>
      </c>
      <c r="AA199" s="21">
        <v>-1.5396099999999999E-2</v>
      </c>
      <c r="AB199" s="21">
        <v>189</v>
      </c>
      <c r="AC199" s="21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1">
        <v>0.851746</v>
      </c>
      <c r="AH199" s="21">
        <v>75.936499999999995</v>
      </c>
      <c r="AI199" s="21">
        <v>-1.5109300000000001E-2</v>
      </c>
      <c r="AJ199" s="21">
        <v>189</v>
      </c>
      <c r="AK199" s="21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1">
        <v>0.77835100000000002</v>
      </c>
      <c r="AR199" s="21">
        <v>125.337</v>
      </c>
      <c r="AS199" s="21">
        <v>-1.5273999999999999E-2</v>
      </c>
      <c r="AT199" s="21">
        <v>189</v>
      </c>
      <c r="AU199" s="21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1">
        <v>0.851746</v>
      </c>
      <c r="AZ199" s="21">
        <v>174.62299999999999</v>
      </c>
      <c r="BA199" s="21">
        <v>-1.49689E-2</v>
      </c>
      <c r="BB199" s="21">
        <v>189</v>
      </c>
      <c r="BC199" s="21">
        <v>0.85052499999999998</v>
      </c>
      <c r="BD199">
        <f t="shared" si="42"/>
        <v>14.9689</v>
      </c>
      <c r="BE199">
        <f t="shared" si="43"/>
        <v>12.7497006994</v>
      </c>
      <c r="BH199" s="9"/>
      <c r="BI199" s="21">
        <v>0.77835100000000002</v>
      </c>
      <c r="BJ199" s="21">
        <v>223.97399999999999</v>
      </c>
      <c r="BK199" s="21">
        <v>-1.5164199999999999E-2</v>
      </c>
      <c r="BL199" s="21">
        <v>189</v>
      </c>
      <c r="BM199" s="21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1">
        <v>0.851746</v>
      </c>
      <c r="BR199" s="21">
        <v>273.17899999999997</v>
      </c>
      <c r="BS199" s="21">
        <v>-1.49719E-2</v>
      </c>
      <c r="BT199" s="21">
        <v>189</v>
      </c>
      <c r="BU199" s="21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0.77331499999999997</v>
      </c>
      <c r="H200" s="21">
        <v>48.877600000000001</v>
      </c>
      <c r="I200" s="21">
        <v>-1.5689100000000001E-2</v>
      </c>
      <c r="J200" s="21">
        <v>190</v>
      </c>
      <c r="K200" s="21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1">
        <v>0.85678100000000001</v>
      </c>
      <c r="P200" s="21">
        <v>98.26</v>
      </c>
      <c r="Q200" s="21">
        <v>-1.5506000000000001E-2</v>
      </c>
      <c r="R200" s="21">
        <v>190</v>
      </c>
      <c r="S200" s="21">
        <v>0.85571299999999995</v>
      </c>
      <c r="T200">
        <f t="shared" si="34"/>
        <v>15.506</v>
      </c>
      <c r="U200">
        <f t="shared" si="35"/>
        <v>13.285246186</v>
      </c>
      <c r="X200" s="9"/>
      <c r="Y200" s="21">
        <v>0.77331499999999997</v>
      </c>
      <c r="Z200" s="21">
        <v>50.961599999999997</v>
      </c>
      <c r="AA200" s="21">
        <v>-1.54022E-2</v>
      </c>
      <c r="AB200" s="21">
        <v>190</v>
      </c>
      <c r="AC200" s="21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1">
        <v>0.85678100000000001</v>
      </c>
      <c r="AH200" s="21">
        <v>75.946600000000004</v>
      </c>
      <c r="AI200" s="21">
        <v>-1.5096999999999999E-2</v>
      </c>
      <c r="AJ200" s="21">
        <v>190</v>
      </c>
      <c r="AK200" s="21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1">
        <v>0.77331499999999997</v>
      </c>
      <c r="AR200" s="21">
        <v>125.34699999999999</v>
      </c>
      <c r="AS200" s="21">
        <v>-1.5267899999999999E-2</v>
      </c>
      <c r="AT200" s="21">
        <v>190</v>
      </c>
      <c r="AU200" s="21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1">
        <v>0.85678100000000001</v>
      </c>
      <c r="AZ200" s="21">
        <v>174.63300000000001</v>
      </c>
      <c r="BA200" s="21">
        <v>-1.4975E-2</v>
      </c>
      <c r="BB200" s="21">
        <v>190</v>
      </c>
      <c r="BC200" s="21">
        <v>0.85601799999999995</v>
      </c>
      <c r="BD200">
        <f t="shared" si="42"/>
        <v>14.975</v>
      </c>
      <c r="BE200">
        <f t="shared" si="43"/>
        <v>12.830295475</v>
      </c>
      <c r="BH200" s="9"/>
      <c r="BI200" s="21">
        <v>0.77331499999999997</v>
      </c>
      <c r="BJ200" s="21">
        <v>223.98400000000001</v>
      </c>
      <c r="BK200" s="21">
        <v>-1.51764E-2</v>
      </c>
      <c r="BL200" s="21">
        <v>190</v>
      </c>
      <c r="BM200" s="21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1">
        <v>0.85678100000000001</v>
      </c>
      <c r="BR200" s="21">
        <v>273.18900000000002</v>
      </c>
      <c r="BS200" s="21">
        <v>-1.49628E-2</v>
      </c>
      <c r="BT200" s="21">
        <v>190</v>
      </c>
      <c r="BU200" s="21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0.76827999999999996</v>
      </c>
      <c r="H201" s="21">
        <v>48.887700000000002</v>
      </c>
      <c r="I201" s="21">
        <v>-1.5695199999999999E-2</v>
      </c>
      <c r="J201" s="21">
        <v>191</v>
      </c>
      <c r="K201" s="21">
        <v>0.76721200000000001</v>
      </c>
      <c r="L201">
        <f t="shared" si="32"/>
        <v>15.6952</v>
      </c>
      <c r="M201">
        <f t="shared" si="33"/>
        <v>12.058308256</v>
      </c>
      <c r="N201" s="9"/>
      <c r="O201" s="21">
        <v>0.86181600000000003</v>
      </c>
      <c r="P201" s="21">
        <v>98.270099999999999</v>
      </c>
      <c r="Q201" s="21">
        <v>-1.54999E-2</v>
      </c>
      <c r="R201" s="21">
        <v>191</v>
      </c>
      <c r="S201" s="21">
        <v>0.86059600000000003</v>
      </c>
      <c r="T201">
        <f t="shared" si="34"/>
        <v>15.4999</v>
      </c>
      <c r="U201">
        <f t="shared" si="35"/>
        <v>13.358061818400001</v>
      </c>
      <c r="X201" s="9"/>
      <c r="Y201" s="21">
        <v>0.76827999999999996</v>
      </c>
      <c r="Z201" s="21">
        <v>50.971699999999998</v>
      </c>
      <c r="AA201" s="21">
        <v>-1.54083E-2</v>
      </c>
      <c r="AB201" s="21">
        <v>191</v>
      </c>
      <c r="AC201" s="21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1">
        <v>0.86181600000000003</v>
      </c>
      <c r="AH201" s="21">
        <v>75.956699999999998</v>
      </c>
      <c r="AI201" s="21">
        <v>-1.5090900000000001E-2</v>
      </c>
      <c r="AJ201" s="21">
        <v>191</v>
      </c>
      <c r="AK201" s="21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1">
        <v>0.76827999999999996</v>
      </c>
      <c r="AR201" s="21">
        <v>125.357</v>
      </c>
      <c r="AS201" s="21">
        <v>-1.52771E-2</v>
      </c>
      <c r="AT201" s="21">
        <v>191</v>
      </c>
      <c r="AU201" s="21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1">
        <v>0.86181600000000003</v>
      </c>
      <c r="AZ201" s="21">
        <v>174.64400000000001</v>
      </c>
      <c r="BA201" s="21">
        <v>-1.4975E-2</v>
      </c>
      <c r="BB201" s="21">
        <v>191</v>
      </c>
      <c r="BC201" s="21">
        <v>0.86029100000000003</v>
      </c>
      <c r="BD201">
        <f t="shared" si="42"/>
        <v>14.975</v>
      </c>
      <c r="BE201">
        <f t="shared" si="43"/>
        <v>12.9056946</v>
      </c>
      <c r="BH201" s="9"/>
      <c r="BI201" s="21">
        <v>0.76827999999999996</v>
      </c>
      <c r="BJ201" s="21">
        <v>223.994</v>
      </c>
      <c r="BK201" s="21">
        <v>-1.51825E-2</v>
      </c>
      <c r="BL201" s="21">
        <v>191</v>
      </c>
      <c r="BM201" s="21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1">
        <v>0.86181600000000003</v>
      </c>
      <c r="BR201" s="21">
        <v>273.19900000000001</v>
      </c>
      <c r="BS201" s="21">
        <v>-1.4941400000000001E-2</v>
      </c>
      <c r="BT201" s="21">
        <v>191</v>
      </c>
      <c r="BU201" s="21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0.76324499999999995</v>
      </c>
      <c r="H202" s="21">
        <v>48.8977</v>
      </c>
      <c r="I202" s="21">
        <v>-1.5695199999999999E-2</v>
      </c>
      <c r="J202" s="21">
        <v>192</v>
      </c>
      <c r="K202" s="21">
        <v>0.76263400000000003</v>
      </c>
      <c r="L202">
        <f t="shared" si="32"/>
        <v>15.6952</v>
      </c>
      <c r="M202">
        <f t="shared" si="33"/>
        <v>11.979282924</v>
      </c>
      <c r="N202" s="9"/>
      <c r="O202" s="21">
        <v>0.86685199999999996</v>
      </c>
      <c r="P202" s="21">
        <v>98.280199999999994</v>
      </c>
      <c r="Q202" s="21">
        <v>-1.54968E-2</v>
      </c>
      <c r="R202" s="21">
        <v>192</v>
      </c>
      <c r="S202" s="21">
        <v>0.865784</v>
      </c>
      <c r="T202">
        <f t="shared" si="34"/>
        <v>15.4968</v>
      </c>
      <c r="U202">
        <f t="shared" si="35"/>
        <v>13.433432073599999</v>
      </c>
      <c r="X202" s="9"/>
      <c r="Y202" s="21">
        <v>0.76324499999999995</v>
      </c>
      <c r="Z202" s="21">
        <v>50.9818</v>
      </c>
      <c r="AA202" s="21">
        <v>-1.54083E-2</v>
      </c>
      <c r="AB202" s="21">
        <v>192</v>
      </c>
      <c r="AC202" s="21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1">
        <v>0.86685199999999996</v>
      </c>
      <c r="AH202" s="21">
        <v>75.966700000000003</v>
      </c>
      <c r="AI202" s="21">
        <v>-1.5081799999999999E-2</v>
      </c>
      <c r="AJ202" s="21">
        <v>192</v>
      </c>
      <c r="AK202" s="21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1">
        <v>0.76324499999999995</v>
      </c>
      <c r="AR202" s="21">
        <v>125.367</v>
      </c>
      <c r="AS202" s="21">
        <v>-1.5286299999999999E-2</v>
      </c>
      <c r="AT202" s="21">
        <v>192</v>
      </c>
      <c r="AU202" s="21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1">
        <v>0.86685199999999996</v>
      </c>
      <c r="AZ202" s="21">
        <v>174.654</v>
      </c>
      <c r="BA202" s="21">
        <v>-1.49719E-2</v>
      </c>
      <c r="BB202" s="21">
        <v>192</v>
      </c>
      <c r="BC202" s="21">
        <v>0.865479</v>
      </c>
      <c r="BD202">
        <f t="shared" si="42"/>
        <v>14.9719</v>
      </c>
      <c r="BE202">
        <f t="shared" si="43"/>
        <v>12.9784214588</v>
      </c>
      <c r="BH202" s="9"/>
      <c r="BI202" s="21">
        <v>0.76324499999999995</v>
      </c>
      <c r="BJ202" s="21">
        <v>224.00399999999999</v>
      </c>
      <c r="BK202" s="21">
        <v>-1.5197799999999999E-2</v>
      </c>
      <c r="BL202" s="21">
        <v>192</v>
      </c>
      <c r="BM202" s="21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1">
        <v>0.86685199999999996</v>
      </c>
      <c r="BR202" s="21">
        <v>273.209</v>
      </c>
      <c r="BS202" s="21">
        <v>-1.49353E-2</v>
      </c>
      <c r="BT202" s="21">
        <v>192</v>
      </c>
      <c r="BU202" s="21">
        <v>0.866089</v>
      </c>
      <c r="BV202">
        <f t="shared" si="46"/>
        <v>14.9353</v>
      </c>
      <c r="BW202">
        <f t="shared" si="47"/>
        <v>12.9466946756</v>
      </c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0.75820900000000002</v>
      </c>
      <c r="H203" s="21">
        <v>48.907800000000002</v>
      </c>
      <c r="I203" s="21">
        <v>-1.5698199999999999E-2</v>
      </c>
      <c r="J203" s="21">
        <v>193</v>
      </c>
      <c r="K203" s="21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1">
        <v>0.87188699999999997</v>
      </c>
      <c r="P203" s="21">
        <v>98.290199999999999</v>
      </c>
      <c r="Q203" s="21">
        <v>-1.54877E-2</v>
      </c>
      <c r="R203" s="21">
        <v>193</v>
      </c>
      <c r="S203" s="21">
        <v>0.87097199999999997</v>
      </c>
      <c r="T203">
        <f t="shared" si="34"/>
        <v>15.4877</v>
      </c>
      <c r="U203">
        <f t="shared" si="35"/>
        <v>13.5035242899</v>
      </c>
      <c r="X203" s="9"/>
      <c r="Y203" s="21">
        <v>0.75820900000000002</v>
      </c>
      <c r="Z203" s="21">
        <v>50.991799999999998</v>
      </c>
      <c r="AA203" s="21">
        <v>-1.53992E-2</v>
      </c>
      <c r="AB203" s="21">
        <v>193</v>
      </c>
      <c r="AC203" s="21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1">
        <v>0.87188699999999997</v>
      </c>
      <c r="AH203" s="21">
        <v>75.976799999999997</v>
      </c>
      <c r="AI203" s="21">
        <v>-1.5069600000000001E-2</v>
      </c>
      <c r="AJ203" s="21">
        <v>193</v>
      </c>
      <c r="AK203" s="21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1">
        <v>0.75820900000000002</v>
      </c>
      <c r="AR203" s="21">
        <v>125.377</v>
      </c>
      <c r="AS203" s="21">
        <v>-1.5301500000000001E-2</v>
      </c>
      <c r="AT203" s="21">
        <v>193</v>
      </c>
      <c r="AU203" s="21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1">
        <v>0.87188699999999997</v>
      </c>
      <c r="AZ203" s="21">
        <v>174.66399999999999</v>
      </c>
      <c r="BA203" s="21">
        <v>-1.49658E-2</v>
      </c>
      <c r="BB203" s="21">
        <v>193</v>
      </c>
      <c r="BC203" s="21">
        <v>0.87127699999999997</v>
      </c>
      <c r="BD203">
        <f t="shared" si="42"/>
        <v>14.9658</v>
      </c>
      <c r="BE203">
        <f t="shared" si="43"/>
        <v>13.0484864646</v>
      </c>
      <c r="BH203" s="9"/>
      <c r="BI203" s="21">
        <v>0.75820900000000002</v>
      </c>
      <c r="BJ203" s="21">
        <v>224.01400000000001</v>
      </c>
      <c r="BK203" s="21">
        <v>-1.52008E-2</v>
      </c>
      <c r="BL203" s="21">
        <v>193</v>
      </c>
      <c r="BM203" s="21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1">
        <v>0.87188699999999997</v>
      </c>
      <c r="BR203" s="21">
        <v>273.22000000000003</v>
      </c>
      <c r="BS203" s="21">
        <v>-1.4926099999999999E-2</v>
      </c>
      <c r="BT203" s="21">
        <v>193</v>
      </c>
      <c r="BU203" s="21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0.75317400000000001</v>
      </c>
      <c r="H204" s="21">
        <v>48.917900000000003</v>
      </c>
      <c r="I204" s="21">
        <v>-1.5704300000000001E-2</v>
      </c>
      <c r="J204" s="21">
        <v>194</v>
      </c>
      <c r="K204" s="21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1">
        <v>0.87692300000000001</v>
      </c>
      <c r="P204" s="21">
        <v>98.300299999999993</v>
      </c>
      <c r="Q204" s="21">
        <v>-1.54755E-2</v>
      </c>
      <c r="R204" s="21">
        <v>194</v>
      </c>
      <c r="S204" s="21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1">
        <v>0.75317400000000001</v>
      </c>
      <c r="Z204" s="21">
        <v>51.001899999999999</v>
      </c>
      <c r="AA204" s="21">
        <v>-1.5389999999999999E-2</v>
      </c>
      <c r="AB204" s="21">
        <v>194</v>
      </c>
      <c r="AC204" s="21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1">
        <v>0.87692300000000001</v>
      </c>
      <c r="AH204" s="21">
        <v>75.986900000000006</v>
      </c>
      <c r="AI204" s="21">
        <v>-1.50604E-2</v>
      </c>
      <c r="AJ204" s="21">
        <v>194</v>
      </c>
      <c r="AK204" s="21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1">
        <v>0.75317400000000001</v>
      </c>
      <c r="AR204" s="21">
        <v>125.387</v>
      </c>
      <c r="AS204" s="21">
        <v>-1.53137E-2</v>
      </c>
      <c r="AT204" s="21">
        <v>194</v>
      </c>
      <c r="AU204" s="21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1">
        <v>0.87692300000000001</v>
      </c>
      <c r="AZ204" s="21">
        <v>174.67400000000001</v>
      </c>
      <c r="BA204" s="21">
        <v>-1.4953599999999999E-2</v>
      </c>
      <c r="BB204" s="21">
        <v>194</v>
      </c>
      <c r="BC204" s="21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1">
        <v>0.75317400000000001</v>
      </c>
      <c r="BJ204" s="21">
        <v>224.024</v>
      </c>
      <c r="BK204" s="21">
        <v>-1.5213000000000001E-2</v>
      </c>
      <c r="BL204" s="21">
        <v>194</v>
      </c>
      <c r="BM204" s="21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1">
        <v>0.87692300000000001</v>
      </c>
      <c r="BR204" s="21">
        <v>273.23</v>
      </c>
      <c r="BS204" s="21">
        <v>-1.49231E-2</v>
      </c>
      <c r="BT204" s="21">
        <v>194</v>
      </c>
      <c r="BU204" s="21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0.74813799999999997</v>
      </c>
      <c r="H205" s="21">
        <v>48.927900000000001</v>
      </c>
      <c r="I205" s="21">
        <v>-1.5704300000000001E-2</v>
      </c>
      <c r="J205" s="21">
        <v>195</v>
      </c>
      <c r="K205" s="21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1">
        <v>0.88195800000000002</v>
      </c>
      <c r="P205" s="21">
        <v>98.310400000000001</v>
      </c>
      <c r="Q205" s="21">
        <v>-1.54602E-2</v>
      </c>
      <c r="R205" s="21">
        <v>195</v>
      </c>
      <c r="S205" s="21">
        <v>0.88134800000000002</v>
      </c>
      <c r="T205">
        <f t="shared" si="50"/>
        <v>15.4602</v>
      </c>
      <c r="U205">
        <f t="shared" si="51"/>
        <v>13.6352470716</v>
      </c>
      <c r="X205" s="9"/>
      <c r="Y205" s="21">
        <v>0.74813799999999997</v>
      </c>
      <c r="Z205" s="21">
        <v>51.012</v>
      </c>
      <c r="AA205" s="21">
        <v>-1.53931E-2</v>
      </c>
      <c r="AB205" s="21">
        <v>195</v>
      </c>
      <c r="AC205" s="21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1">
        <v>0.88195800000000002</v>
      </c>
      <c r="AH205" s="21">
        <v>75.997</v>
      </c>
      <c r="AI205" s="21">
        <v>-1.50452E-2</v>
      </c>
      <c r="AJ205" s="21">
        <v>195</v>
      </c>
      <c r="AK205" s="21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1">
        <v>0.74813799999999997</v>
      </c>
      <c r="AR205" s="21">
        <v>125.39700000000001</v>
      </c>
      <c r="AS205" s="21">
        <v>-1.5335100000000001E-2</v>
      </c>
      <c r="AT205" s="21">
        <v>195</v>
      </c>
      <c r="AU205" s="21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1">
        <v>0.88195800000000002</v>
      </c>
      <c r="AZ205" s="21">
        <v>174.684</v>
      </c>
      <c r="BA205" s="21">
        <v>-1.4941400000000001E-2</v>
      </c>
      <c r="BB205" s="21">
        <v>195</v>
      </c>
      <c r="BC205" s="21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1">
        <v>0.74813799999999997</v>
      </c>
      <c r="BJ205" s="21">
        <v>224.03399999999999</v>
      </c>
      <c r="BK205" s="21">
        <v>-1.5213000000000001E-2</v>
      </c>
      <c r="BL205" s="21">
        <v>195</v>
      </c>
      <c r="BM205" s="21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1">
        <v>0.88195800000000002</v>
      </c>
      <c r="BR205" s="21">
        <v>273.24</v>
      </c>
      <c r="BS205" s="21">
        <v>-1.49109E-2</v>
      </c>
      <c r="BT205" s="21">
        <v>195</v>
      </c>
      <c r="BU205" s="21">
        <v>0.88073699999999999</v>
      </c>
      <c r="BV205">
        <f t="shared" si="62"/>
        <v>14.9109</v>
      </c>
      <c r="BW205">
        <f t="shared" si="63"/>
        <v>13.1507875422</v>
      </c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0.74310299999999996</v>
      </c>
      <c r="H206" s="21">
        <v>48.938000000000002</v>
      </c>
      <c r="I206" s="21">
        <v>-1.57074E-2</v>
      </c>
      <c r="J206" s="21">
        <v>196</v>
      </c>
      <c r="K206" s="21">
        <v>0.74224900000000005</v>
      </c>
      <c r="L206">
        <f t="shared" si="48"/>
        <v>15.7074</v>
      </c>
      <c r="M206">
        <f t="shared" si="49"/>
        <v>11.672216062199999</v>
      </c>
      <c r="N206" s="9"/>
      <c r="O206" s="21">
        <v>0.88699300000000003</v>
      </c>
      <c r="P206" s="21">
        <v>98.320400000000006</v>
      </c>
      <c r="Q206" s="21">
        <v>-1.5450999999999999E-2</v>
      </c>
      <c r="R206" s="21">
        <v>196</v>
      </c>
      <c r="S206" s="21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1">
        <v>0.74310299999999996</v>
      </c>
      <c r="Z206" s="21">
        <v>51.022100000000002</v>
      </c>
      <c r="AA206" s="21">
        <v>-1.54083E-2</v>
      </c>
      <c r="AB206" s="21">
        <v>196</v>
      </c>
      <c r="AC206" s="21">
        <v>0.74234</v>
      </c>
      <c r="AD206">
        <f t="shared" si="52"/>
        <v>15.408300000000001</v>
      </c>
      <c r="AE206">
        <f t="shared" si="53"/>
        <v>11.4499539549</v>
      </c>
      <c r="AF206" s="9"/>
      <c r="AG206" s="21">
        <v>0.88699300000000003</v>
      </c>
      <c r="AH206" s="21">
        <v>76.007000000000005</v>
      </c>
      <c r="AI206" s="21">
        <v>-1.5042099999999999E-2</v>
      </c>
      <c r="AJ206" s="21">
        <v>196</v>
      </c>
      <c r="AK206" s="21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1">
        <v>0.74310299999999996</v>
      </c>
      <c r="AR206" s="21">
        <v>125.407</v>
      </c>
      <c r="AS206" s="21">
        <v>-1.5356399999999999E-2</v>
      </c>
      <c r="AT206" s="21">
        <v>196</v>
      </c>
      <c r="AU206" s="21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1">
        <v>0.88699300000000003</v>
      </c>
      <c r="AZ206" s="21">
        <v>174.69399999999999</v>
      </c>
      <c r="BA206" s="21">
        <v>-1.4919999999999999E-2</v>
      </c>
      <c r="BB206" s="21">
        <v>196</v>
      </c>
      <c r="BC206" s="21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1">
        <v>0.74310299999999996</v>
      </c>
      <c r="BJ206" s="21">
        <v>224.04400000000001</v>
      </c>
      <c r="BK206" s="21">
        <v>-1.5213000000000001E-2</v>
      </c>
      <c r="BL206" s="21">
        <v>196</v>
      </c>
      <c r="BM206" s="21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1">
        <v>0.88699300000000003</v>
      </c>
      <c r="BR206" s="21">
        <v>273.25</v>
      </c>
      <c r="BS206" s="21">
        <v>-1.49017E-2</v>
      </c>
      <c r="BT206" s="21">
        <v>196</v>
      </c>
      <c r="BU206" s="21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0.73806799999999995</v>
      </c>
      <c r="H207" s="21">
        <v>48.948099999999997</v>
      </c>
      <c r="I207" s="21">
        <v>-1.5713499999999998E-2</v>
      </c>
      <c r="J207" s="21">
        <v>197</v>
      </c>
      <c r="K207" s="21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1">
        <v>0.89202899999999996</v>
      </c>
      <c r="P207" s="21">
        <v>98.330500000000001</v>
      </c>
      <c r="Q207" s="21">
        <v>-1.5432700000000001E-2</v>
      </c>
      <c r="R207" s="21">
        <v>197</v>
      </c>
      <c r="S207" s="21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1">
        <v>0.73806799999999995</v>
      </c>
      <c r="Z207" s="21">
        <v>51.0321</v>
      </c>
      <c r="AA207" s="21">
        <v>-1.54205E-2</v>
      </c>
      <c r="AB207" s="21">
        <v>197</v>
      </c>
      <c r="AC207" s="21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1">
        <v>0.89202899999999996</v>
      </c>
      <c r="AH207" s="21">
        <v>76.017099999999999</v>
      </c>
      <c r="AI207" s="21">
        <v>-1.50391E-2</v>
      </c>
      <c r="AJ207" s="21">
        <v>197</v>
      </c>
      <c r="AK207" s="21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1">
        <v>0.73806799999999995</v>
      </c>
      <c r="AR207" s="21">
        <v>125.41800000000001</v>
      </c>
      <c r="AS207" s="21">
        <v>-1.53595E-2</v>
      </c>
      <c r="AT207" s="21">
        <v>197</v>
      </c>
      <c r="AU207" s="21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1">
        <v>0.89202899999999996</v>
      </c>
      <c r="AZ207" s="21">
        <v>174.70400000000001</v>
      </c>
      <c r="BA207" s="21">
        <v>-1.4904799999999999E-2</v>
      </c>
      <c r="BB207" s="21">
        <v>197</v>
      </c>
      <c r="BC207" s="21">
        <v>0.89141800000000004</v>
      </c>
      <c r="BD207">
        <f t="shared" si="58"/>
        <v>14.9048</v>
      </c>
      <c r="BE207">
        <f t="shared" si="59"/>
        <v>13.2955138392</v>
      </c>
      <c r="BH207" s="9"/>
      <c r="BI207" s="21">
        <v>0.73806799999999995</v>
      </c>
      <c r="BJ207" s="21">
        <v>224.054</v>
      </c>
      <c r="BK207" s="21">
        <v>-1.52283E-2</v>
      </c>
      <c r="BL207" s="21">
        <v>197</v>
      </c>
      <c r="BM207" s="21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1">
        <v>0.89202899999999996</v>
      </c>
      <c r="BR207" s="21">
        <v>273.26</v>
      </c>
      <c r="BS207" s="21">
        <v>-1.48956E-2</v>
      </c>
      <c r="BT207" s="21">
        <v>197</v>
      </c>
      <c r="BU207" s="21">
        <v>0.89141800000000004</v>
      </c>
      <c r="BV207">
        <f t="shared" si="62"/>
        <v>14.8956</v>
      </c>
      <c r="BW207">
        <f t="shared" si="63"/>
        <v>13.2873071724</v>
      </c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0.73303200000000002</v>
      </c>
      <c r="H208" s="21">
        <v>48.958199999999998</v>
      </c>
      <c r="I208" s="21">
        <v>-1.5713499999999998E-2</v>
      </c>
      <c r="J208" s="21">
        <v>198</v>
      </c>
      <c r="K208" s="21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1">
        <v>0.89706399999999997</v>
      </c>
      <c r="P208" s="21">
        <v>98.340599999999995</v>
      </c>
      <c r="Q208" s="21">
        <v>-1.54114E-2</v>
      </c>
      <c r="R208" s="21">
        <v>198</v>
      </c>
      <c r="S208" s="21">
        <v>0.89630100000000001</v>
      </c>
      <c r="T208">
        <f t="shared" si="50"/>
        <v>15.4114</v>
      </c>
      <c r="U208">
        <f t="shared" si="51"/>
        <v>13.825012129599999</v>
      </c>
      <c r="X208" s="9"/>
      <c r="Y208" s="21">
        <v>0.73303200000000002</v>
      </c>
      <c r="Z208" s="21">
        <v>51.042200000000001</v>
      </c>
      <c r="AA208" s="21">
        <v>-1.54358E-2</v>
      </c>
      <c r="AB208" s="21">
        <v>198</v>
      </c>
      <c r="AC208" s="21">
        <v>0.73214699999999999</v>
      </c>
      <c r="AD208">
        <f t="shared" si="52"/>
        <v>15.4358</v>
      </c>
      <c r="AE208">
        <f t="shared" si="53"/>
        <v>11.3149353456</v>
      </c>
      <c r="AF208" s="9"/>
      <c r="AG208" s="21">
        <v>0.89706399999999997</v>
      </c>
      <c r="AH208" s="21">
        <v>76.027199999999993</v>
      </c>
      <c r="AI208" s="21">
        <v>-1.5048199999999999E-2</v>
      </c>
      <c r="AJ208" s="21">
        <v>198</v>
      </c>
      <c r="AK208" s="21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1">
        <v>0.73303200000000002</v>
      </c>
      <c r="AR208" s="21">
        <v>125.428</v>
      </c>
      <c r="AS208" s="21">
        <v>-1.53656E-2</v>
      </c>
      <c r="AT208" s="21">
        <v>198</v>
      </c>
      <c r="AU208" s="21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1">
        <v>0.89706399999999997</v>
      </c>
      <c r="AZ208" s="21">
        <v>174.714</v>
      </c>
      <c r="BA208" s="21">
        <v>-1.4892600000000001E-2</v>
      </c>
      <c r="BB208" s="21">
        <v>198</v>
      </c>
      <c r="BC208" s="21">
        <v>0.89630100000000001</v>
      </c>
      <c r="BD208">
        <f t="shared" si="58"/>
        <v>14.8926</v>
      </c>
      <c r="BE208">
        <f t="shared" si="59"/>
        <v>13.3596153264</v>
      </c>
      <c r="BH208" s="9"/>
      <c r="BI208" s="21">
        <v>0.73303200000000002</v>
      </c>
      <c r="BJ208" s="21">
        <v>224.06399999999999</v>
      </c>
      <c r="BK208" s="21">
        <v>-1.52374E-2</v>
      </c>
      <c r="BL208" s="21">
        <v>198</v>
      </c>
      <c r="BM208" s="21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1">
        <v>0.89706399999999997</v>
      </c>
      <c r="BR208" s="21">
        <v>273.27</v>
      </c>
      <c r="BS208" s="21">
        <v>-1.48865E-2</v>
      </c>
      <c r="BT208" s="21">
        <v>198</v>
      </c>
      <c r="BU208" s="21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0.72799700000000001</v>
      </c>
      <c r="H209" s="21">
        <v>48.968200000000003</v>
      </c>
      <c r="I209" s="21">
        <v>-1.5725699999999999E-2</v>
      </c>
      <c r="J209" s="21">
        <v>199</v>
      </c>
      <c r="K209" s="21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1">
        <v>0.90210000000000001</v>
      </c>
      <c r="P209" s="21">
        <v>98.350700000000003</v>
      </c>
      <c r="Q209" s="21">
        <v>-1.5387E-2</v>
      </c>
      <c r="R209" s="21">
        <v>199</v>
      </c>
      <c r="S209" s="21">
        <v>0.90057399999999999</v>
      </c>
      <c r="T209">
        <f t="shared" si="50"/>
        <v>15.387</v>
      </c>
      <c r="U209">
        <f t="shared" si="51"/>
        <v>13.8806127</v>
      </c>
      <c r="X209" s="9"/>
      <c r="Y209" s="21">
        <v>0.72799700000000001</v>
      </c>
      <c r="Z209" s="21">
        <v>51.052300000000002</v>
      </c>
      <c r="AA209" s="21">
        <v>-1.5448E-2</v>
      </c>
      <c r="AB209" s="21">
        <v>199</v>
      </c>
      <c r="AC209" s="21">
        <v>0.72711199999999998</v>
      </c>
      <c r="AD209">
        <f t="shared" si="52"/>
        <v>15.448</v>
      </c>
      <c r="AE209">
        <f t="shared" si="53"/>
        <v>11.246097656</v>
      </c>
      <c r="AF209" s="9"/>
      <c r="AG209" s="21">
        <v>0.90210000000000001</v>
      </c>
      <c r="AH209" s="21">
        <v>76.037199999999999</v>
      </c>
      <c r="AI209" s="21">
        <v>-1.5048199999999999E-2</v>
      </c>
      <c r="AJ209" s="21">
        <v>199</v>
      </c>
      <c r="AK209" s="21">
        <v>0.90118399999999999</v>
      </c>
      <c r="AL209">
        <f t="shared" si="54"/>
        <v>15.0482</v>
      </c>
      <c r="AM209">
        <f t="shared" si="55"/>
        <v>13.57498122</v>
      </c>
      <c r="AP209" s="9"/>
      <c r="AQ209" s="21">
        <v>0.72799700000000001</v>
      </c>
      <c r="AR209" s="21">
        <v>125.438</v>
      </c>
      <c r="AS209" s="21">
        <v>-1.53778E-2</v>
      </c>
      <c r="AT209" s="21">
        <v>199</v>
      </c>
      <c r="AU209" s="21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1">
        <v>0.90210000000000001</v>
      </c>
      <c r="AZ209" s="21">
        <v>174.72399999999999</v>
      </c>
      <c r="BA209" s="21">
        <v>-1.48834E-2</v>
      </c>
      <c r="BB209" s="21">
        <v>199</v>
      </c>
      <c r="BC209" s="21">
        <v>0.90057399999999999</v>
      </c>
      <c r="BD209">
        <f t="shared" si="58"/>
        <v>14.8834</v>
      </c>
      <c r="BE209">
        <f t="shared" si="59"/>
        <v>13.42631514</v>
      </c>
      <c r="BH209" s="9"/>
      <c r="BI209" s="21">
        <v>0.72799700000000001</v>
      </c>
      <c r="BJ209" s="21">
        <v>224.07499999999999</v>
      </c>
      <c r="BK209" s="21">
        <v>-1.5252699999999999E-2</v>
      </c>
      <c r="BL209" s="21">
        <v>199</v>
      </c>
      <c r="BM209" s="21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1">
        <v>0.90210000000000001</v>
      </c>
      <c r="BR209" s="21">
        <v>273.27999999999997</v>
      </c>
      <c r="BS209" s="21">
        <v>-1.48804E-2</v>
      </c>
      <c r="BT209" s="21">
        <v>199</v>
      </c>
      <c r="BU209" s="21">
        <v>0.90148899999999998</v>
      </c>
      <c r="BV209">
        <f t="shared" si="62"/>
        <v>14.8804</v>
      </c>
      <c r="BW209">
        <f t="shared" si="63"/>
        <v>13.42360884</v>
      </c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0.72296099999999996</v>
      </c>
      <c r="H210" s="21">
        <v>48.978299999999997</v>
      </c>
      <c r="I210" s="21">
        <v>-1.5725699999999999E-2</v>
      </c>
      <c r="J210" s="21">
        <v>200</v>
      </c>
      <c r="K210" s="21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1">
        <v>0.90713500000000002</v>
      </c>
      <c r="P210" s="21">
        <v>98.360699999999994</v>
      </c>
      <c r="Q210" s="21">
        <v>-1.5374799999999999E-2</v>
      </c>
      <c r="R210" s="21">
        <v>200</v>
      </c>
      <c r="S210" s="21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1">
        <v>0.72296099999999996</v>
      </c>
      <c r="Z210" s="21">
        <v>51.0623</v>
      </c>
      <c r="AA210" s="21">
        <v>-1.5444899999999999E-2</v>
      </c>
      <c r="AB210" s="21">
        <v>200</v>
      </c>
      <c r="AC210" s="21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1">
        <v>0.90713500000000002</v>
      </c>
      <c r="AH210" s="21">
        <v>76.047300000000007</v>
      </c>
      <c r="AI210" s="21">
        <v>-1.5042099999999999E-2</v>
      </c>
      <c r="AJ210" s="21">
        <v>200</v>
      </c>
      <c r="AK210" s="21">
        <v>0.90606699999999996</v>
      </c>
      <c r="AL210">
        <f t="shared" si="54"/>
        <v>15.0421</v>
      </c>
      <c r="AM210">
        <f t="shared" si="55"/>
        <v>13.6452153835</v>
      </c>
      <c r="AP210" s="9"/>
      <c r="AQ210" s="21">
        <v>0.72296099999999996</v>
      </c>
      <c r="AR210" s="21">
        <v>125.44799999999999</v>
      </c>
      <c r="AS210" s="21">
        <v>-1.5380899999999999E-2</v>
      </c>
      <c r="AT210" s="21">
        <v>200</v>
      </c>
      <c r="AU210" s="21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1">
        <v>0.90713500000000002</v>
      </c>
      <c r="AZ210" s="21">
        <v>174.73400000000001</v>
      </c>
      <c r="BA210" s="21">
        <v>-1.48804E-2</v>
      </c>
      <c r="BB210" s="21">
        <v>200</v>
      </c>
      <c r="BC210" s="21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1">
        <v>0.72296099999999996</v>
      </c>
      <c r="BJ210" s="21">
        <v>224.08500000000001</v>
      </c>
      <c r="BK210" s="21">
        <v>-1.5261800000000001E-2</v>
      </c>
      <c r="BL210" s="21">
        <v>200</v>
      </c>
      <c r="BM210" s="21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1">
        <v>0.90713500000000002</v>
      </c>
      <c r="BR210" s="21">
        <v>273.29000000000002</v>
      </c>
      <c r="BS210" s="21">
        <v>-1.48743E-2</v>
      </c>
      <c r="BT210" s="21">
        <v>200</v>
      </c>
      <c r="BU210" s="21">
        <v>0.90576199999999996</v>
      </c>
      <c r="BV210">
        <f t="shared" si="62"/>
        <v>14.8743</v>
      </c>
      <c r="BW210">
        <f t="shared" si="63"/>
        <v>13.4929981305</v>
      </c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0.71792599999999995</v>
      </c>
      <c r="H211" s="21">
        <v>48.988399999999999</v>
      </c>
      <c r="I211" s="21">
        <v>-1.5728800000000001E-2</v>
      </c>
      <c r="J211" s="21">
        <v>201</v>
      </c>
      <c r="K211" s="21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1">
        <v>0.91217000000000004</v>
      </c>
      <c r="P211" s="21">
        <v>98.370800000000003</v>
      </c>
      <c r="Q211" s="21">
        <v>-1.53656E-2</v>
      </c>
      <c r="R211" s="21">
        <v>201</v>
      </c>
      <c r="S211" s="21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1">
        <v>0.71792599999999995</v>
      </c>
      <c r="Z211" s="21">
        <v>51.072400000000002</v>
      </c>
      <c r="AA211" s="21">
        <v>-1.54541E-2</v>
      </c>
      <c r="AB211" s="21">
        <v>201</v>
      </c>
      <c r="AC211" s="21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1">
        <v>0.91217000000000004</v>
      </c>
      <c r="AH211" s="21">
        <v>76.057400000000001</v>
      </c>
      <c r="AI211" s="21">
        <v>-1.5026899999999999E-2</v>
      </c>
      <c r="AJ211" s="21">
        <v>201</v>
      </c>
      <c r="AK211" s="21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1">
        <v>0.71792599999999995</v>
      </c>
      <c r="AR211" s="21">
        <v>125.458</v>
      </c>
      <c r="AS211" s="21">
        <v>-1.5396099999999999E-2</v>
      </c>
      <c r="AT211" s="21">
        <v>201</v>
      </c>
      <c r="AU211" s="21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1">
        <v>0.91217000000000004</v>
      </c>
      <c r="AZ211" s="21">
        <v>174.744</v>
      </c>
      <c r="BA211" s="21">
        <v>-1.4871199999999999E-2</v>
      </c>
      <c r="BB211" s="21">
        <v>201</v>
      </c>
      <c r="BC211" s="21">
        <v>0.91125500000000004</v>
      </c>
      <c r="BD211">
        <f t="shared" si="58"/>
        <v>14.8712</v>
      </c>
      <c r="BE211">
        <f t="shared" si="59"/>
        <v>13.565062504</v>
      </c>
      <c r="BH211" s="9"/>
      <c r="BI211" s="21">
        <v>0.71792599999999995</v>
      </c>
      <c r="BJ211" s="21">
        <v>224.095</v>
      </c>
      <c r="BK211" s="21">
        <v>-1.5273999999999999E-2</v>
      </c>
      <c r="BL211" s="21">
        <v>201</v>
      </c>
      <c r="BM211" s="21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1">
        <v>0.91217000000000004</v>
      </c>
      <c r="BR211" s="21">
        <v>273.3</v>
      </c>
      <c r="BS211" s="21">
        <v>-1.4865099999999999E-2</v>
      </c>
      <c r="BT211" s="21">
        <v>201</v>
      </c>
      <c r="BU211" s="21">
        <v>0.91156000000000004</v>
      </c>
      <c r="BV211">
        <f t="shared" si="62"/>
        <v>14.8651</v>
      </c>
      <c r="BW211">
        <f t="shared" si="63"/>
        <v>13.559498267</v>
      </c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0.71289100000000005</v>
      </c>
      <c r="H212" s="21">
        <v>48.998399999999997</v>
      </c>
      <c r="I212" s="21">
        <v>-1.57349E-2</v>
      </c>
      <c r="J212" s="21">
        <v>202</v>
      </c>
      <c r="K212" s="21">
        <v>0.71212799999999998</v>
      </c>
      <c r="L212">
        <f t="shared" si="48"/>
        <v>15.7349</v>
      </c>
      <c r="M212">
        <f t="shared" si="49"/>
        <v>11.2172685959</v>
      </c>
      <c r="N212" s="9"/>
      <c r="O212" s="21">
        <v>0.91720599999999997</v>
      </c>
      <c r="P212" s="21">
        <v>98.380899999999997</v>
      </c>
      <c r="Q212" s="21">
        <v>-1.5350300000000001E-2</v>
      </c>
      <c r="R212" s="21">
        <v>202</v>
      </c>
      <c r="S212" s="21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1">
        <v>0.71289100000000005</v>
      </c>
      <c r="Z212" s="21">
        <v>51.082500000000003</v>
      </c>
      <c r="AA212" s="21">
        <v>-1.5457200000000001E-2</v>
      </c>
      <c r="AB212" s="21">
        <v>202</v>
      </c>
      <c r="AC212" s="21">
        <v>0.712036</v>
      </c>
      <c r="AD212">
        <f t="shared" si="52"/>
        <v>15.4572</v>
      </c>
      <c r="AE212">
        <f t="shared" si="53"/>
        <v>11.0192987652</v>
      </c>
      <c r="AF212" s="9"/>
      <c r="AG212" s="21">
        <v>0.91720599999999997</v>
      </c>
      <c r="AH212" s="21">
        <v>76.067499999999995</v>
      </c>
      <c r="AI212" s="21">
        <v>-1.50177E-2</v>
      </c>
      <c r="AJ212" s="21">
        <v>202</v>
      </c>
      <c r="AK212" s="21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1">
        <v>0.71289100000000005</v>
      </c>
      <c r="AR212" s="21">
        <v>125.468</v>
      </c>
      <c r="AS212" s="21">
        <v>-1.53931E-2</v>
      </c>
      <c r="AT212" s="21">
        <v>202</v>
      </c>
      <c r="AU212" s="21">
        <v>0.712036</v>
      </c>
      <c r="AV212">
        <f t="shared" si="56"/>
        <v>15.3931</v>
      </c>
      <c r="AW212">
        <f t="shared" si="57"/>
        <v>10.973602452100002</v>
      </c>
      <c r="AX212" s="9"/>
      <c r="AY212" s="21">
        <v>0.91720599999999997</v>
      </c>
      <c r="AZ212" s="21">
        <v>174.75399999999999</v>
      </c>
      <c r="BA212" s="21">
        <v>-1.4859000000000001E-2</v>
      </c>
      <c r="BB212" s="21">
        <v>202</v>
      </c>
      <c r="BC212" s="21">
        <v>0.91613800000000001</v>
      </c>
      <c r="BD212">
        <f t="shared" si="58"/>
        <v>14.859</v>
      </c>
      <c r="BE212">
        <f t="shared" si="59"/>
        <v>13.628763954</v>
      </c>
      <c r="BH212" s="9"/>
      <c r="BI212" s="21">
        <v>0.71289100000000005</v>
      </c>
      <c r="BJ212" s="21">
        <v>224.10499999999999</v>
      </c>
      <c r="BK212" s="21">
        <v>-1.52771E-2</v>
      </c>
      <c r="BL212" s="21">
        <v>202</v>
      </c>
      <c r="BM212" s="21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1">
        <v>0.91720599999999997</v>
      </c>
      <c r="BR212" s="21">
        <v>273.31</v>
      </c>
      <c r="BS212" s="21">
        <v>-1.4871199999999999E-2</v>
      </c>
      <c r="BT212" s="21">
        <v>202</v>
      </c>
      <c r="BU212" s="21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0.70785500000000001</v>
      </c>
      <c r="H213" s="21">
        <v>49.008499999999998</v>
      </c>
      <c r="I213" s="21">
        <v>-1.57349E-2</v>
      </c>
      <c r="J213" s="21">
        <v>203</v>
      </c>
      <c r="K213" s="21">
        <v>0.70696999999999999</v>
      </c>
      <c r="L213">
        <f t="shared" si="48"/>
        <v>15.7349</v>
      </c>
      <c r="M213">
        <f t="shared" si="49"/>
        <v>11.138027639500001</v>
      </c>
      <c r="N213" s="9"/>
      <c r="O213" s="21">
        <v>0.92224099999999998</v>
      </c>
      <c r="P213" s="21">
        <v>98.390900000000002</v>
      </c>
      <c r="Q213" s="21">
        <v>-1.53534E-2</v>
      </c>
      <c r="R213" s="21">
        <v>203</v>
      </c>
      <c r="S213" s="21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1">
        <v>0.70785500000000001</v>
      </c>
      <c r="Z213" s="21">
        <v>51.092500000000001</v>
      </c>
      <c r="AA213" s="21">
        <v>-1.5450999999999999E-2</v>
      </c>
      <c r="AB213" s="21">
        <v>203</v>
      </c>
      <c r="AC213" s="21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1">
        <v>0.92224099999999998</v>
      </c>
      <c r="AH213" s="21">
        <v>76.077500000000001</v>
      </c>
      <c r="AI213" s="21">
        <v>-1.50055E-2</v>
      </c>
      <c r="AJ213" s="21">
        <v>203</v>
      </c>
      <c r="AK213" s="21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1">
        <v>0.70785500000000001</v>
      </c>
      <c r="AR213" s="21">
        <v>125.47799999999999</v>
      </c>
      <c r="AS213" s="21">
        <v>-1.5387E-2</v>
      </c>
      <c r="AT213" s="21">
        <v>203</v>
      </c>
      <c r="AU213" s="21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1">
        <v>0.92224099999999998</v>
      </c>
      <c r="AZ213" s="21">
        <v>174.76400000000001</v>
      </c>
      <c r="BA213" s="21">
        <v>-1.4837599999999999E-2</v>
      </c>
      <c r="BB213" s="21">
        <v>203</v>
      </c>
      <c r="BC213" s="21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1">
        <v>0.70785500000000001</v>
      </c>
      <c r="BJ213" s="21">
        <v>224.11500000000001</v>
      </c>
      <c r="BK213" s="21">
        <v>-1.5286299999999999E-2</v>
      </c>
      <c r="BL213" s="21">
        <v>203</v>
      </c>
      <c r="BM213" s="21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1">
        <v>0.92224099999999998</v>
      </c>
      <c r="BR213" s="21">
        <v>273.32</v>
      </c>
      <c r="BS213" s="21">
        <v>-1.48621E-2</v>
      </c>
      <c r="BT213" s="21">
        <v>203</v>
      </c>
      <c r="BU213" s="21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0.70282</v>
      </c>
      <c r="H214" s="21">
        <v>49.018599999999999</v>
      </c>
      <c r="I214" s="21">
        <v>-1.5741000000000002E-2</v>
      </c>
      <c r="J214" s="21">
        <v>204</v>
      </c>
      <c r="K214" s="21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1">
        <v>0.92727700000000002</v>
      </c>
      <c r="P214" s="21">
        <v>98.400999999999996</v>
      </c>
      <c r="Q214" s="21">
        <v>-1.53534E-2</v>
      </c>
      <c r="R214" s="21">
        <v>204</v>
      </c>
      <c r="S214" s="21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1">
        <v>0.70282</v>
      </c>
      <c r="Z214" s="21">
        <v>51.102600000000002</v>
      </c>
      <c r="AA214" s="21">
        <v>-1.54419E-2</v>
      </c>
      <c r="AB214" s="21">
        <v>204</v>
      </c>
      <c r="AC214" s="21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1">
        <v>0.92727700000000002</v>
      </c>
      <c r="AH214" s="21">
        <v>76.087599999999995</v>
      </c>
      <c r="AI214" s="21">
        <v>-1.50055E-2</v>
      </c>
      <c r="AJ214" s="21">
        <v>204</v>
      </c>
      <c r="AK214" s="21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1">
        <v>0.70282</v>
      </c>
      <c r="AR214" s="21">
        <v>125.488</v>
      </c>
      <c r="AS214" s="21">
        <v>-1.5387E-2</v>
      </c>
      <c r="AT214" s="21">
        <v>204</v>
      </c>
      <c r="AU214" s="21">
        <v>0.70202600000000004</v>
      </c>
      <c r="AV214">
        <f t="shared" si="56"/>
        <v>15.387</v>
      </c>
      <c r="AW214">
        <f t="shared" si="57"/>
        <v>10.81429134</v>
      </c>
      <c r="AX214" s="9"/>
      <c r="AY214" s="21">
        <v>0.92727700000000002</v>
      </c>
      <c r="AZ214" s="21">
        <v>174.774</v>
      </c>
      <c r="BA214" s="21">
        <v>-1.48285E-2</v>
      </c>
      <c r="BB214" s="21">
        <v>204</v>
      </c>
      <c r="BC214" s="21">
        <v>0.92620800000000003</v>
      </c>
      <c r="BD214">
        <f t="shared" si="58"/>
        <v>14.8285</v>
      </c>
      <c r="BE214">
        <f t="shared" si="59"/>
        <v>13.7501269945</v>
      </c>
      <c r="BH214" s="9"/>
      <c r="BI214" s="21">
        <v>0.70282</v>
      </c>
      <c r="BJ214" s="21">
        <v>224.125</v>
      </c>
      <c r="BK214" s="21">
        <v>-1.5280200000000001E-2</v>
      </c>
      <c r="BL214" s="21">
        <v>204</v>
      </c>
      <c r="BM214" s="21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1">
        <v>0.92727700000000002</v>
      </c>
      <c r="BR214" s="21">
        <v>273.33</v>
      </c>
      <c r="BS214" s="21">
        <v>-1.4849899999999999E-2</v>
      </c>
      <c r="BT214" s="21">
        <v>204</v>
      </c>
      <c r="BU214" s="21">
        <v>0.92590300000000003</v>
      </c>
      <c r="BV214">
        <f t="shared" si="62"/>
        <v>14.8499</v>
      </c>
      <c r="BW214">
        <f t="shared" si="63"/>
        <v>13.7699707223</v>
      </c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0.69778399999999996</v>
      </c>
      <c r="H215" s="21">
        <v>49.028599999999997</v>
      </c>
      <c r="I215" s="21">
        <v>-1.5737899999999999E-2</v>
      </c>
      <c r="J215" s="21">
        <v>205</v>
      </c>
      <c r="K215" s="21">
        <v>0.69699100000000003</v>
      </c>
      <c r="L215">
        <f t="shared" si="48"/>
        <v>15.7379</v>
      </c>
      <c r="M215">
        <f t="shared" si="49"/>
        <v>10.981654813599999</v>
      </c>
      <c r="N215" s="9"/>
      <c r="O215" s="21">
        <v>0.93231200000000003</v>
      </c>
      <c r="P215" s="21">
        <v>98.411100000000005</v>
      </c>
      <c r="Q215" s="21">
        <v>-1.5347299999999999E-2</v>
      </c>
      <c r="R215" s="21">
        <v>205</v>
      </c>
      <c r="S215" s="21">
        <v>0.931091</v>
      </c>
      <c r="T215">
        <f t="shared" si="50"/>
        <v>15.347299999999999</v>
      </c>
      <c r="U215">
        <f t="shared" si="51"/>
        <v>14.3084719576</v>
      </c>
      <c r="X215" s="9"/>
      <c r="Y215" s="21">
        <v>0.69778399999999996</v>
      </c>
      <c r="Z215" s="21">
        <v>51.112699999999997</v>
      </c>
      <c r="AA215" s="21">
        <v>-1.54419E-2</v>
      </c>
      <c r="AB215" s="21">
        <v>205</v>
      </c>
      <c r="AC215" s="21">
        <v>0.69693000000000005</v>
      </c>
      <c r="AD215">
        <f t="shared" si="52"/>
        <v>15.4419</v>
      </c>
      <c r="AE215">
        <f t="shared" si="53"/>
        <v>10.7751107496</v>
      </c>
      <c r="AF215" s="9"/>
      <c r="AG215" s="21">
        <v>0.93231200000000003</v>
      </c>
      <c r="AH215" s="21">
        <v>76.097700000000003</v>
      </c>
      <c r="AI215" s="21">
        <v>-1.49902E-2</v>
      </c>
      <c r="AJ215" s="21">
        <v>205</v>
      </c>
      <c r="AK215" s="21">
        <v>0.93170200000000003</v>
      </c>
      <c r="AL215">
        <f t="shared" si="54"/>
        <v>14.9902</v>
      </c>
      <c r="AM215">
        <f t="shared" si="55"/>
        <v>13.9755433424</v>
      </c>
      <c r="AP215" s="9"/>
      <c r="AQ215" s="21">
        <v>0.69778399999999996</v>
      </c>
      <c r="AR215" s="21">
        <v>125.498</v>
      </c>
      <c r="AS215" s="21">
        <v>-1.53992E-2</v>
      </c>
      <c r="AT215" s="21">
        <v>205</v>
      </c>
      <c r="AU215" s="21">
        <v>0.69686899999999996</v>
      </c>
      <c r="AV215">
        <f t="shared" si="56"/>
        <v>15.3992</v>
      </c>
      <c r="AW215">
        <f t="shared" si="57"/>
        <v>10.7453153728</v>
      </c>
      <c r="AX215" s="9"/>
      <c r="AY215" s="21">
        <v>0.93231200000000003</v>
      </c>
      <c r="AZ215" s="21">
        <v>174.785</v>
      </c>
      <c r="BA215" s="21">
        <v>-1.4819300000000001E-2</v>
      </c>
      <c r="BB215" s="21">
        <v>205</v>
      </c>
      <c r="BC215" s="21">
        <v>0.931396</v>
      </c>
      <c r="BD215">
        <f t="shared" si="58"/>
        <v>14.8193</v>
      </c>
      <c r="BE215">
        <f t="shared" si="59"/>
        <v>13.8162112216</v>
      </c>
      <c r="BH215" s="9"/>
      <c r="BI215" s="21">
        <v>0.69778399999999996</v>
      </c>
      <c r="BJ215" s="21">
        <v>224.13499999999999</v>
      </c>
      <c r="BK215" s="21">
        <v>-1.5286299999999999E-2</v>
      </c>
      <c r="BL215" s="21">
        <v>205</v>
      </c>
      <c r="BM215" s="21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1">
        <v>0.93231200000000003</v>
      </c>
      <c r="BR215" s="21">
        <v>273.33999999999997</v>
      </c>
      <c r="BS215" s="21">
        <v>-1.48346E-2</v>
      </c>
      <c r="BT215" s="21">
        <v>205</v>
      </c>
      <c r="BU215" s="21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0.69274899999999995</v>
      </c>
      <c r="H216" s="21">
        <v>49.038699999999999</v>
      </c>
      <c r="I216" s="21">
        <v>-1.5741000000000002E-2</v>
      </c>
      <c r="J216" s="21">
        <v>206</v>
      </c>
      <c r="K216" s="21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1">
        <v>0.93734700000000004</v>
      </c>
      <c r="P216" s="21">
        <v>98.421099999999996</v>
      </c>
      <c r="Q216" s="21">
        <v>-1.5341199999999999E-2</v>
      </c>
      <c r="R216" s="21">
        <v>206</v>
      </c>
      <c r="S216" s="21">
        <v>0.93689</v>
      </c>
      <c r="T216">
        <f t="shared" si="50"/>
        <v>15.341199999999999</v>
      </c>
      <c r="U216">
        <f t="shared" si="51"/>
        <v>14.3800277964</v>
      </c>
      <c r="X216" s="9"/>
      <c r="Y216" s="21">
        <v>0.69274899999999995</v>
      </c>
      <c r="Z216" s="21">
        <v>51.122799999999998</v>
      </c>
      <c r="AA216" s="21">
        <v>-1.5444899999999999E-2</v>
      </c>
      <c r="AB216" s="21">
        <v>206</v>
      </c>
      <c r="AC216" s="21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1">
        <v>0.93734700000000004</v>
      </c>
      <c r="AH216" s="21">
        <v>76.107699999999994</v>
      </c>
      <c r="AI216" s="21">
        <v>-1.49841E-2</v>
      </c>
      <c r="AJ216" s="21">
        <v>206</v>
      </c>
      <c r="AK216" s="21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1">
        <v>0.69274899999999995</v>
      </c>
      <c r="AR216" s="21">
        <v>125.508</v>
      </c>
      <c r="AS216" s="21">
        <v>-1.54083E-2</v>
      </c>
      <c r="AT216" s="21">
        <v>206</v>
      </c>
      <c r="AU216" s="21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1">
        <v>0.93734700000000004</v>
      </c>
      <c r="AZ216" s="21">
        <v>174.79499999999999</v>
      </c>
      <c r="BA216" s="21">
        <v>-1.4816299999999999E-2</v>
      </c>
      <c r="BB216" s="21">
        <v>206</v>
      </c>
      <c r="BC216" s="21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1">
        <v>0.69274899999999995</v>
      </c>
      <c r="BJ216" s="21">
        <v>224.14500000000001</v>
      </c>
      <c r="BK216" s="21">
        <v>-1.52893E-2</v>
      </c>
      <c r="BL216" s="21">
        <v>206</v>
      </c>
      <c r="BM216" s="21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1">
        <v>0.93734700000000004</v>
      </c>
      <c r="BR216" s="21">
        <v>273.35000000000002</v>
      </c>
      <c r="BS216" s="21">
        <v>-1.4825400000000001E-2</v>
      </c>
      <c r="BT216" s="21">
        <v>206</v>
      </c>
      <c r="BU216" s="21">
        <v>0.93658399999999997</v>
      </c>
      <c r="BV216">
        <f t="shared" si="62"/>
        <v>14.8254</v>
      </c>
      <c r="BW216">
        <f t="shared" si="63"/>
        <v>13.8965442138</v>
      </c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0.68771400000000005</v>
      </c>
      <c r="H217" s="21">
        <v>49.0488</v>
      </c>
      <c r="I217" s="21">
        <v>-1.57471E-2</v>
      </c>
      <c r="J217" s="21">
        <v>207</v>
      </c>
      <c r="K217" s="21">
        <v>0.68682900000000002</v>
      </c>
      <c r="L217">
        <f t="shared" si="48"/>
        <v>15.7471</v>
      </c>
      <c r="M217">
        <f t="shared" si="49"/>
        <v>10.829501129400001</v>
      </c>
      <c r="N217" s="9"/>
      <c r="O217" s="21">
        <v>0.94238299999999997</v>
      </c>
      <c r="P217" s="21">
        <v>98.431200000000004</v>
      </c>
      <c r="Q217" s="21">
        <v>-1.5341199999999999E-2</v>
      </c>
      <c r="R217" s="21">
        <v>207</v>
      </c>
      <c r="S217" s="21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1">
        <v>0.68771400000000005</v>
      </c>
      <c r="Z217" s="21">
        <v>51.132800000000003</v>
      </c>
      <c r="AA217" s="21">
        <v>-1.5450999999999999E-2</v>
      </c>
      <c r="AB217" s="21">
        <v>207</v>
      </c>
      <c r="AC217" s="21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1">
        <v>0.94238299999999997</v>
      </c>
      <c r="AH217" s="21">
        <v>76.117800000000003</v>
      </c>
      <c r="AI217" s="21">
        <v>-1.4975E-2</v>
      </c>
      <c r="AJ217" s="21">
        <v>207</v>
      </c>
      <c r="AK217" s="21">
        <v>0.94055200000000005</v>
      </c>
      <c r="AL217">
        <f t="shared" si="54"/>
        <v>14.975</v>
      </c>
      <c r="AM217">
        <f t="shared" si="55"/>
        <v>14.112185425</v>
      </c>
      <c r="AP217" s="9"/>
      <c r="AQ217" s="21">
        <v>0.68771400000000005</v>
      </c>
      <c r="AR217" s="21">
        <v>125.518</v>
      </c>
      <c r="AS217" s="21">
        <v>-1.54053E-2</v>
      </c>
      <c r="AT217" s="21">
        <v>207</v>
      </c>
      <c r="AU217" s="21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1">
        <v>0.94238299999999997</v>
      </c>
      <c r="AZ217" s="21">
        <v>174.80500000000001</v>
      </c>
      <c r="BA217" s="21">
        <v>-1.48132E-2</v>
      </c>
      <c r="BB217" s="21">
        <v>207</v>
      </c>
      <c r="BC217" s="21">
        <v>0.94177200000000005</v>
      </c>
      <c r="BD217">
        <f t="shared" si="58"/>
        <v>14.8132</v>
      </c>
      <c r="BE217">
        <f t="shared" si="59"/>
        <v>13.9597078556</v>
      </c>
      <c r="BH217" s="9"/>
      <c r="BI217" s="21">
        <v>0.68771400000000005</v>
      </c>
      <c r="BJ217" s="21">
        <v>224.155</v>
      </c>
      <c r="BK217" s="21">
        <v>-1.53046E-2</v>
      </c>
      <c r="BL217" s="21">
        <v>207</v>
      </c>
      <c r="BM217" s="21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1">
        <v>0.94238299999999997</v>
      </c>
      <c r="BR217" s="21">
        <v>273.36099999999999</v>
      </c>
      <c r="BS217" s="21">
        <v>-1.4819300000000001E-2</v>
      </c>
      <c r="BT217" s="21">
        <v>207</v>
      </c>
      <c r="BU217" s="21">
        <v>0.94085700000000005</v>
      </c>
      <c r="BV217">
        <f t="shared" si="62"/>
        <v>14.8193</v>
      </c>
      <c r="BW217">
        <f t="shared" si="63"/>
        <v>13.9654563919</v>
      </c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0.68267800000000001</v>
      </c>
      <c r="H218" s="21">
        <v>49.058900000000001</v>
      </c>
      <c r="I218" s="21">
        <v>-1.57471E-2</v>
      </c>
      <c r="J218" s="21">
        <v>208</v>
      </c>
      <c r="K218" s="21">
        <v>0.68179299999999998</v>
      </c>
      <c r="L218">
        <f t="shared" si="48"/>
        <v>15.7471</v>
      </c>
      <c r="M218">
        <f t="shared" si="49"/>
        <v>10.7501987338</v>
      </c>
      <c r="N218" s="9"/>
      <c r="O218" s="21">
        <v>0.94741799999999998</v>
      </c>
      <c r="P218" s="21">
        <v>98.441299999999998</v>
      </c>
      <c r="Q218" s="21">
        <v>-1.5344200000000001E-2</v>
      </c>
      <c r="R218" s="21">
        <v>208</v>
      </c>
      <c r="S218" s="21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1">
        <v>0.68267800000000001</v>
      </c>
      <c r="Z218" s="21">
        <v>51.142899999999997</v>
      </c>
      <c r="AA218" s="21">
        <v>-1.5466300000000001E-2</v>
      </c>
      <c r="AB218" s="21">
        <v>208</v>
      </c>
      <c r="AC218" s="21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1">
        <v>0.94741799999999998</v>
      </c>
      <c r="AH218" s="21">
        <v>76.127899999999997</v>
      </c>
      <c r="AI218" s="21">
        <v>-1.49719E-2</v>
      </c>
      <c r="AJ218" s="21">
        <v>208</v>
      </c>
      <c r="AK218" s="21">
        <v>0.94574000000000003</v>
      </c>
      <c r="AL218">
        <f t="shared" si="54"/>
        <v>14.9719</v>
      </c>
      <c r="AM218">
        <f t="shared" si="55"/>
        <v>14.1846475542</v>
      </c>
      <c r="AP218" s="9"/>
      <c r="AQ218" s="21">
        <v>0.68267800000000001</v>
      </c>
      <c r="AR218" s="21">
        <v>125.52800000000001</v>
      </c>
      <c r="AS218" s="21">
        <v>-1.54083E-2</v>
      </c>
      <c r="AT218" s="21">
        <v>208</v>
      </c>
      <c r="AU218" s="21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1">
        <v>0.94741799999999998</v>
      </c>
      <c r="AZ218" s="21">
        <v>174.815</v>
      </c>
      <c r="BA218" s="21">
        <v>-1.4804100000000001E-2</v>
      </c>
      <c r="BB218" s="21">
        <v>208</v>
      </c>
      <c r="BC218" s="21">
        <v>0.94665500000000002</v>
      </c>
      <c r="BD218">
        <f t="shared" si="58"/>
        <v>14.8041</v>
      </c>
      <c r="BE218">
        <f t="shared" si="59"/>
        <v>14.0256708138</v>
      </c>
      <c r="BH218" s="9"/>
      <c r="BI218" s="21">
        <v>0.68267800000000001</v>
      </c>
      <c r="BJ218" s="21">
        <v>224.16499999999999</v>
      </c>
      <c r="BK218" s="21">
        <v>-1.5307599999999999E-2</v>
      </c>
      <c r="BL218" s="21">
        <v>208</v>
      </c>
      <c r="BM218" s="21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1">
        <v>0.94741799999999998</v>
      </c>
      <c r="BR218" s="21">
        <v>273.37099999999998</v>
      </c>
      <c r="BS218" s="21">
        <v>-1.4801E-2</v>
      </c>
      <c r="BT218" s="21">
        <v>208</v>
      </c>
      <c r="BU218" s="21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0.677643</v>
      </c>
      <c r="H219" s="21">
        <v>49.068899999999999</v>
      </c>
      <c r="I219" s="21">
        <v>-1.5753199999999998E-2</v>
      </c>
      <c r="J219" s="21">
        <v>209</v>
      </c>
      <c r="K219" s="21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1">
        <v>0.95245400000000002</v>
      </c>
      <c r="P219" s="21">
        <v>98.451400000000007</v>
      </c>
      <c r="Q219" s="21">
        <v>-1.53229E-2</v>
      </c>
      <c r="R219" s="21">
        <v>209</v>
      </c>
      <c r="S219" s="21">
        <v>0.950928</v>
      </c>
      <c r="T219">
        <f t="shared" si="50"/>
        <v>15.322900000000001</v>
      </c>
      <c r="U219">
        <f t="shared" si="51"/>
        <v>14.594357396600001</v>
      </c>
      <c r="X219" s="9"/>
      <c r="Y219" s="21">
        <v>0.677643</v>
      </c>
      <c r="Z219" s="21">
        <v>51.152999999999999</v>
      </c>
      <c r="AA219" s="21">
        <v>-1.54816E-2</v>
      </c>
      <c r="AB219" s="21">
        <v>209</v>
      </c>
      <c r="AC219" s="21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1">
        <v>0.95245400000000002</v>
      </c>
      <c r="AH219" s="21">
        <v>76.137900000000002</v>
      </c>
      <c r="AI219" s="21">
        <v>-1.49628E-2</v>
      </c>
      <c r="AJ219" s="21">
        <v>209</v>
      </c>
      <c r="AK219" s="21">
        <v>0.951233</v>
      </c>
      <c r="AL219">
        <f t="shared" si="54"/>
        <v>14.9628</v>
      </c>
      <c r="AM219">
        <f t="shared" si="55"/>
        <v>14.251378711199999</v>
      </c>
      <c r="AP219" s="9"/>
      <c r="AQ219" s="21">
        <v>0.677643</v>
      </c>
      <c r="AR219" s="21">
        <v>125.538</v>
      </c>
      <c r="AS219" s="21">
        <v>-1.54053E-2</v>
      </c>
      <c r="AT219" s="21">
        <v>209</v>
      </c>
      <c r="AU219" s="21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1">
        <v>0.95245400000000002</v>
      </c>
      <c r="AZ219" s="21">
        <v>174.82499999999999</v>
      </c>
      <c r="BA219" s="21">
        <v>-1.47888E-2</v>
      </c>
      <c r="BB219" s="21">
        <v>209</v>
      </c>
      <c r="BC219" s="21">
        <v>0.951233</v>
      </c>
      <c r="BD219">
        <f t="shared" si="58"/>
        <v>14.7888</v>
      </c>
      <c r="BE219">
        <f t="shared" si="59"/>
        <v>14.085651715200001</v>
      </c>
      <c r="BH219" s="9"/>
      <c r="BI219" s="21">
        <v>0.677643</v>
      </c>
      <c r="BJ219" s="21">
        <v>224.17500000000001</v>
      </c>
      <c r="BK219" s="21">
        <v>-1.53137E-2</v>
      </c>
      <c r="BL219" s="21">
        <v>209</v>
      </c>
      <c r="BM219" s="21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1">
        <v>0.95245400000000002</v>
      </c>
      <c r="BR219" s="21">
        <v>273.38099999999997</v>
      </c>
      <c r="BS219" s="21">
        <v>-1.4782699999999999E-2</v>
      </c>
      <c r="BT219" s="21">
        <v>209</v>
      </c>
      <c r="BU219" s="21">
        <v>0.951233</v>
      </c>
      <c r="BV219">
        <f t="shared" si="62"/>
        <v>14.7827</v>
      </c>
      <c r="BW219">
        <f t="shared" si="63"/>
        <v>14.079841745800001</v>
      </c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0.67260699999999995</v>
      </c>
      <c r="H220" s="21">
        <v>49.079000000000001</v>
      </c>
      <c r="I220" s="21">
        <v>-1.5753199999999998E-2</v>
      </c>
      <c r="J220" s="21">
        <v>210</v>
      </c>
      <c r="K220" s="21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1">
        <v>0.95748900000000003</v>
      </c>
      <c r="P220" s="21">
        <v>98.461399999999998</v>
      </c>
      <c r="Q220" s="21">
        <v>-1.53046E-2</v>
      </c>
      <c r="R220" s="21">
        <v>210</v>
      </c>
      <c r="S220" s="21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1">
        <v>0.67260699999999995</v>
      </c>
      <c r="Z220" s="21">
        <v>51.162999999999997</v>
      </c>
      <c r="AA220" s="21">
        <v>-1.54999E-2</v>
      </c>
      <c r="AB220" s="21">
        <v>210</v>
      </c>
      <c r="AC220" s="21">
        <v>0.671844</v>
      </c>
      <c r="AD220">
        <f t="shared" si="52"/>
        <v>15.4999</v>
      </c>
      <c r="AE220">
        <f t="shared" si="53"/>
        <v>10.4253412393</v>
      </c>
      <c r="AF220" s="9"/>
      <c r="AG220" s="21">
        <v>0.95748900000000003</v>
      </c>
      <c r="AH220" s="21">
        <v>76.147999999999996</v>
      </c>
      <c r="AI220" s="21">
        <v>-1.49506E-2</v>
      </c>
      <c r="AJ220" s="21">
        <v>210</v>
      </c>
      <c r="AK220" s="21">
        <v>0.95611599999999997</v>
      </c>
      <c r="AL220">
        <f t="shared" si="54"/>
        <v>14.9506</v>
      </c>
      <c r="AM220">
        <f t="shared" si="55"/>
        <v>14.3150350434</v>
      </c>
      <c r="AP220" s="9"/>
      <c r="AQ220" s="21">
        <v>0.67260699999999995</v>
      </c>
      <c r="AR220" s="21">
        <v>125.548</v>
      </c>
      <c r="AS220" s="21">
        <v>-1.54114E-2</v>
      </c>
      <c r="AT220" s="21">
        <v>210</v>
      </c>
      <c r="AU220" s="21">
        <v>0.67175300000000004</v>
      </c>
      <c r="AV220">
        <f t="shared" si="56"/>
        <v>15.4114</v>
      </c>
      <c r="AW220">
        <f t="shared" si="57"/>
        <v>10.3658155198</v>
      </c>
      <c r="AX220" s="9"/>
      <c r="AY220" s="21">
        <v>0.95748900000000003</v>
      </c>
      <c r="AZ220" s="21">
        <v>174.83500000000001</v>
      </c>
      <c r="BA220" s="21">
        <v>-1.47797E-2</v>
      </c>
      <c r="BB220" s="21">
        <v>210</v>
      </c>
      <c r="BC220" s="21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1">
        <v>0.67260699999999995</v>
      </c>
      <c r="BJ220" s="21">
        <v>224.185</v>
      </c>
      <c r="BK220" s="21">
        <v>-1.53229E-2</v>
      </c>
      <c r="BL220" s="21">
        <v>210</v>
      </c>
      <c r="BM220" s="21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1">
        <v>0.95748900000000003</v>
      </c>
      <c r="BR220" s="21">
        <v>273.39100000000002</v>
      </c>
      <c r="BS220" s="21">
        <v>-1.4767499999999999E-2</v>
      </c>
      <c r="BT220" s="21">
        <v>210</v>
      </c>
      <c r="BU220" s="21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0.66757200000000005</v>
      </c>
      <c r="H221" s="21">
        <v>49.089100000000002</v>
      </c>
      <c r="I221" s="21">
        <v>-1.5756200000000001E-2</v>
      </c>
      <c r="J221" s="21">
        <v>211</v>
      </c>
      <c r="K221" s="21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1">
        <v>0.96252400000000005</v>
      </c>
      <c r="P221" s="21">
        <v>98.471500000000006</v>
      </c>
      <c r="Q221" s="21">
        <v>-1.5301500000000001E-2</v>
      </c>
      <c r="R221" s="21">
        <v>211</v>
      </c>
      <c r="S221" s="21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1">
        <v>0.66757200000000005</v>
      </c>
      <c r="Z221" s="21">
        <v>51.173099999999998</v>
      </c>
      <c r="AA221" s="21">
        <v>-1.55151E-2</v>
      </c>
      <c r="AB221" s="21">
        <v>211</v>
      </c>
      <c r="AC221" s="21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1">
        <v>0.96252400000000005</v>
      </c>
      <c r="AH221" s="21">
        <v>76.158100000000005</v>
      </c>
      <c r="AI221" s="21">
        <v>-1.49353E-2</v>
      </c>
      <c r="AJ221" s="21">
        <v>211</v>
      </c>
      <c r="AK221" s="21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1">
        <v>0.66757200000000005</v>
      </c>
      <c r="AR221" s="21">
        <v>125.559</v>
      </c>
      <c r="AS221" s="21">
        <v>-1.54083E-2</v>
      </c>
      <c r="AT221" s="21">
        <v>211</v>
      </c>
      <c r="AU221" s="21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1">
        <v>0.96252400000000005</v>
      </c>
      <c r="AZ221" s="21">
        <v>174.845</v>
      </c>
      <c r="BA221" s="21">
        <v>-1.4767499999999999E-2</v>
      </c>
      <c r="BB221" s="21">
        <v>211</v>
      </c>
      <c r="BC221" s="21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1">
        <v>0.66757200000000005</v>
      </c>
      <c r="BJ221" s="21">
        <v>224.19499999999999</v>
      </c>
      <c r="BK221" s="21">
        <v>-1.53259E-2</v>
      </c>
      <c r="BL221" s="21">
        <v>211</v>
      </c>
      <c r="BM221" s="21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1">
        <v>0.96252400000000005</v>
      </c>
      <c r="BR221" s="21">
        <v>273.40100000000001</v>
      </c>
      <c r="BS221" s="21">
        <v>-1.47522E-2</v>
      </c>
      <c r="BT221" s="21">
        <v>211</v>
      </c>
      <c r="BU221" s="21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0.66253700000000004</v>
      </c>
      <c r="H222" s="21">
        <v>49.0991</v>
      </c>
      <c r="I222" s="21">
        <v>-1.5756200000000001E-2</v>
      </c>
      <c r="J222" s="21">
        <v>212</v>
      </c>
      <c r="K222" s="21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1">
        <v>0.96755999999999998</v>
      </c>
      <c r="P222" s="21">
        <v>98.4816</v>
      </c>
      <c r="Q222" s="21">
        <v>-1.52832E-2</v>
      </c>
      <c r="R222" s="21">
        <v>212</v>
      </c>
      <c r="S222" s="21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1">
        <v>0.66253700000000004</v>
      </c>
      <c r="Z222" s="21">
        <v>51.183199999999999</v>
      </c>
      <c r="AA222" s="21">
        <v>-1.5518199999999999E-2</v>
      </c>
      <c r="AB222" s="21">
        <v>212</v>
      </c>
      <c r="AC222" s="21">
        <v>0.66180399999999995</v>
      </c>
      <c r="AD222">
        <f t="shared" si="52"/>
        <v>15.5182</v>
      </c>
      <c r="AE222">
        <f t="shared" si="53"/>
        <v>10.2813816734</v>
      </c>
      <c r="AF222" s="9"/>
      <c r="AG222" s="21">
        <v>0.96755999999999998</v>
      </c>
      <c r="AH222" s="21">
        <v>76.168199999999999</v>
      </c>
      <c r="AI222" s="21">
        <v>-1.4938399999999999E-2</v>
      </c>
      <c r="AJ222" s="21">
        <v>212</v>
      </c>
      <c r="AK222" s="21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1">
        <v>0.66253700000000004</v>
      </c>
      <c r="AR222" s="21">
        <v>125.569</v>
      </c>
      <c r="AS222" s="21">
        <v>-1.54114E-2</v>
      </c>
      <c r="AT222" s="21">
        <v>212</v>
      </c>
      <c r="AU222" s="21">
        <v>0.66174299999999997</v>
      </c>
      <c r="AV222">
        <f t="shared" si="56"/>
        <v>15.4114</v>
      </c>
      <c r="AW222">
        <f t="shared" si="57"/>
        <v>10.2106227218</v>
      </c>
      <c r="AX222" s="9"/>
      <c r="AY222" s="21">
        <v>0.96755999999999998</v>
      </c>
      <c r="AZ222" s="21">
        <v>174.85499999999999</v>
      </c>
      <c r="BA222" s="21">
        <v>-1.4767499999999999E-2</v>
      </c>
      <c r="BB222" s="21">
        <v>212</v>
      </c>
      <c r="BC222" s="21">
        <v>0.96618700000000002</v>
      </c>
      <c r="BD222">
        <f t="shared" si="58"/>
        <v>14.7675</v>
      </c>
      <c r="BE222">
        <f t="shared" si="59"/>
        <v>14.2884423</v>
      </c>
      <c r="BH222" s="9"/>
      <c r="BI222" s="21">
        <v>0.66253700000000004</v>
      </c>
      <c r="BJ222" s="21">
        <v>224.20500000000001</v>
      </c>
      <c r="BK222" s="21">
        <v>-1.53381E-2</v>
      </c>
      <c r="BL222" s="21">
        <v>212</v>
      </c>
      <c r="BM222" s="21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1">
        <v>0.96755999999999998</v>
      </c>
      <c r="BR222" s="21">
        <v>273.411</v>
      </c>
      <c r="BS222" s="21">
        <v>-1.4749099999999999E-2</v>
      </c>
      <c r="BT222" s="21">
        <v>212</v>
      </c>
      <c r="BU222" s="21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0.657501</v>
      </c>
      <c r="H223" s="21">
        <v>49.109200000000001</v>
      </c>
      <c r="I223" s="21">
        <v>-1.57593E-2</v>
      </c>
      <c r="J223" s="21">
        <v>213</v>
      </c>
      <c r="K223" s="21">
        <v>0.65664699999999998</v>
      </c>
      <c r="L223">
        <f t="shared" si="48"/>
        <v>15.7593</v>
      </c>
      <c r="M223">
        <f t="shared" si="49"/>
        <v>10.3617555093</v>
      </c>
      <c r="N223" s="9"/>
      <c r="O223" s="21">
        <v>0.97259499999999999</v>
      </c>
      <c r="P223" s="21">
        <v>98.491600000000005</v>
      </c>
      <c r="Q223" s="21">
        <v>-1.5273999999999999E-2</v>
      </c>
      <c r="R223" s="21">
        <v>213</v>
      </c>
      <c r="S223" s="21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1">
        <v>0.657501</v>
      </c>
      <c r="Z223" s="21">
        <v>51.193300000000001</v>
      </c>
      <c r="AA223" s="21">
        <v>-1.5512099999999999E-2</v>
      </c>
      <c r="AB223" s="21">
        <v>213</v>
      </c>
      <c r="AC223" s="21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1">
        <v>0.97259499999999999</v>
      </c>
      <c r="AH223" s="21">
        <v>76.178200000000004</v>
      </c>
      <c r="AI223" s="21">
        <v>-1.4944499999999999E-2</v>
      </c>
      <c r="AJ223" s="21">
        <v>213</v>
      </c>
      <c r="AK223" s="21">
        <v>0.97167999999999999</v>
      </c>
      <c r="AL223">
        <f t="shared" si="54"/>
        <v>14.9445</v>
      </c>
      <c r="AM223">
        <f t="shared" si="55"/>
        <v>14.5349459775</v>
      </c>
      <c r="AP223" s="9"/>
      <c r="AQ223" s="21">
        <v>0.657501</v>
      </c>
      <c r="AR223" s="21">
        <v>125.57899999999999</v>
      </c>
      <c r="AS223" s="21">
        <v>-1.54114E-2</v>
      </c>
      <c r="AT223" s="21">
        <v>213</v>
      </c>
      <c r="AU223" s="21">
        <v>0.65664699999999998</v>
      </c>
      <c r="AV223">
        <f t="shared" si="56"/>
        <v>15.4114</v>
      </c>
      <c r="AW223">
        <f t="shared" si="57"/>
        <v>10.1330109114</v>
      </c>
      <c r="AX223" s="9"/>
      <c r="AY223" s="21">
        <v>0.97259499999999999</v>
      </c>
      <c r="AZ223" s="21">
        <v>174.86500000000001</v>
      </c>
      <c r="BA223" s="21">
        <v>-1.47583E-2</v>
      </c>
      <c r="BB223" s="21">
        <v>213</v>
      </c>
      <c r="BC223" s="21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1">
        <v>0.657501</v>
      </c>
      <c r="BJ223" s="21">
        <v>224.21600000000001</v>
      </c>
      <c r="BK223" s="21">
        <v>-1.53534E-2</v>
      </c>
      <c r="BL223" s="21">
        <v>213</v>
      </c>
      <c r="BM223" s="21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1">
        <v>0.97259499999999999</v>
      </c>
      <c r="BR223" s="21">
        <v>273.42099999999999</v>
      </c>
      <c r="BS223" s="21">
        <v>-1.47522E-2</v>
      </c>
      <c r="BT223" s="21">
        <v>213</v>
      </c>
      <c r="BU223" s="21">
        <v>0.97137499999999999</v>
      </c>
      <c r="BV223">
        <f t="shared" si="62"/>
        <v>14.7522</v>
      </c>
      <c r="BW223">
        <f t="shared" si="63"/>
        <v>14.347915959</v>
      </c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0.65246599999999999</v>
      </c>
      <c r="H224" s="21">
        <v>49.119300000000003</v>
      </c>
      <c r="I224" s="21">
        <v>-1.57593E-2</v>
      </c>
      <c r="J224" s="21">
        <v>214</v>
      </c>
      <c r="K224" s="21">
        <v>0.65161100000000005</v>
      </c>
      <c r="L224">
        <f t="shared" si="48"/>
        <v>15.7593</v>
      </c>
      <c r="M224">
        <f t="shared" si="49"/>
        <v>10.2824074338</v>
      </c>
      <c r="N224" s="9"/>
      <c r="O224" s="21">
        <v>0.97763100000000003</v>
      </c>
      <c r="P224" s="21">
        <v>98.5017</v>
      </c>
      <c r="Q224" s="21">
        <v>-1.5255700000000001E-2</v>
      </c>
      <c r="R224" s="21">
        <v>214</v>
      </c>
      <c r="S224" s="21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1">
        <v>0.65246599999999999</v>
      </c>
      <c r="Z224" s="21">
        <v>51.203299999999999</v>
      </c>
      <c r="AA224" s="21">
        <v>-1.5506000000000001E-2</v>
      </c>
      <c r="AB224" s="21">
        <v>214</v>
      </c>
      <c r="AC224" s="21">
        <v>0.65158099999999997</v>
      </c>
      <c r="AD224">
        <f t="shared" si="52"/>
        <v>15.506</v>
      </c>
      <c r="AE224">
        <f t="shared" si="53"/>
        <v>10.117137796</v>
      </c>
      <c r="AF224" s="9"/>
      <c r="AG224" s="21">
        <v>0.97763100000000003</v>
      </c>
      <c r="AH224" s="21">
        <v>76.188299999999998</v>
      </c>
      <c r="AI224" s="21">
        <v>-1.49292E-2</v>
      </c>
      <c r="AJ224" s="21">
        <v>214</v>
      </c>
      <c r="AK224" s="21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1">
        <v>0.65246599999999999</v>
      </c>
      <c r="AR224" s="21">
        <v>125.589</v>
      </c>
      <c r="AS224" s="21">
        <v>-1.54083E-2</v>
      </c>
      <c r="AT224" s="21">
        <v>214</v>
      </c>
      <c r="AU224" s="21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1">
        <v>0.97763100000000003</v>
      </c>
      <c r="AZ224" s="21">
        <v>174.875</v>
      </c>
      <c r="BA224" s="21">
        <v>-1.47461E-2</v>
      </c>
      <c r="BB224" s="21">
        <v>214</v>
      </c>
      <c r="BC224" s="21">
        <v>0.97717299999999996</v>
      </c>
      <c r="BD224">
        <f t="shared" si="58"/>
        <v>14.7461</v>
      </c>
      <c r="BE224">
        <f t="shared" si="59"/>
        <v>14.4162444891</v>
      </c>
      <c r="BH224" s="9"/>
      <c r="BI224" s="21">
        <v>0.65246599999999999</v>
      </c>
      <c r="BJ224" s="21">
        <v>224.226</v>
      </c>
      <c r="BK224" s="21">
        <v>-1.53717E-2</v>
      </c>
      <c r="BL224" s="21">
        <v>214</v>
      </c>
      <c r="BM224" s="21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1">
        <v>0.97763100000000003</v>
      </c>
      <c r="BR224" s="21">
        <v>273.43099999999998</v>
      </c>
      <c r="BS224" s="21">
        <v>-1.4742999999999999E-2</v>
      </c>
      <c r="BT224" s="21">
        <v>214</v>
      </c>
      <c r="BU224" s="21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0.64742999999999995</v>
      </c>
      <c r="H225" s="21">
        <v>49.129399999999997</v>
      </c>
      <c r="I225" s="21">
        <v>-1.5768399999999998E-2</v>
      </c>
      <c r="J225" s="21">
        <v>215</v>
      </c>
      <c r="K225" s="21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1">
        <v>0.98266600000000004</v>
      </c>
      <c r="P225" s="21">
        <v>98.511799999999994</v>
      </c>
      <c r="Q225" s="21">
        <v>-1.52435E-2</v>
      </c>
      <c r="R225" s="21">
        <v>215</v>
      </c>
      <c r="S225" s="21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1">
        <v>0.64742999999999995</v>
      </c>
      <c r="Z225" s="21">
        <v>51.2134</v>
      </c>
      <c r="AA225" s="21">
        <v>-1.5506000000000001E-2</v>
      </c>
      <c r="AB225" s="21">
        <v>215</v>
      </c>
      <c r="AC225" s="21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1">
        <v>0.98266600000000004</v>
      </c>
      <c r="AH225" s="21">
        <v>76.198400000000007</v>
      </c>
      <c r="AI225" s="21">
        <v>-1.4907800000000001E-2</v>
      </c>
      <c r="AJ225" s="21">
        <v>215</v>
      </c>
      <c r="AK225" s="21">
        <v>0.98144500000000001</v>
      </c>
      <c r="AL225">
        <f t="shared" si="54"/>
        <v>14.9078</v>
      </c>
      <c r="AM225">
        <f t="shared" si="55"/>
        <v>14.6493881948</v>
      </c>
      <c r="AP225" s="9"/>
      <c r="AQ225" s="21">
        <v>0.64742999999999995</v>
      </c>
      <c r="AR225" s="21">
        <v>125.599</v>
      </c>
      <c r="AS225" s="21">
        <v>-1.54144E-2</v>
      </c>
      <c r="AT225" s="21">
        <v>215</v>
      </c>
      <c r="AU225" s="21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1">
        <v>0.98266600000000004</v>
      </c>
      <c r="AZ225" s="21">
        <v>174.88499999999999</v>
      </c>
      <c r="BA225" s="21">
        <v>-1.4727799999999999E-2</v>
      </c>
      <c r="BB225" s="21">
        <v>215</v>
      </c>
      <c r="BC225" s="21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1">
        <v>0.64742999999999995</v>
      </c>
      <c r="BJ225" s="21">
        <v>224.23599999999999</v>
      </c>
      <c r="BK225" s="21">
        <v>-1.5368700000000001E-2</v>
      </c>
      <c r="BL225" s="21">
        <v>215</v>
      </c>
      <c r="BM225" s="21">
        <v>0.64666699999999999</v>
      </c>
      <c r="BN225">
        <f t="shared" si="60"/>
        <v>15.3687</v>
      </c>
      <c r="BO225">
        <f t="shared" si="61"/>
        <v>9.950157441</v>
      </c>
      <c r="BP225" s="9"/>
      <c r="BQ225" s="21">
        <v>0.98266600000000004</v>
      </c>
      <c r="BR225" s="21">
        <v>273.44099999999997</v>
      </c>
      <c r="BS225" s="21">
        <v>-1.47247E-2</v>
      </c>
      <c r="BT225" s="21">
        <v>215</v>
      </c>
      <c r="BU225" s="21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0.64239500000000005</v>
      </c>
      <c r="H226" s="21">
        <v>49.139400000000002</v>
      </c>
      <c r="I226" s="21">
        <v>-1.5780599999999999E-2</v>
      </c>
      <c r="J226" s="21">
        <v>216</v>
      </c>
      <c r="K226" s="21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1">
        <v>0.98770100000000005</v>
      </c>
      <c r="P226" s="21">
        <v>98.521900000000002</v>
      </c>
      <c r="Q226" s="21">
        <v>-1.52283E-2</v>
      </c>
      <c r="R226" s="21">
        <v>216</v>
      </c>
      <c r="S226" s="21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1">
        <v>0.64239500000000005</v>
      </c>
      <c r="Z226" s="21">
        <v>51.223500000000001</v>
      </c>
      <c r="AA226" s="21">
        <v>-1.55029E-2</v>
      </c>
      <c r="AB226" s="21">
        <v>216</v>
      </c>
      <c r="AC226" s="21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1">
        <v>0.98770100000000005</v>
      </c>
      <c r="AH226" s="21">
        <v>76.208399999999997</v>
      </c>
      <c r="AI226" s="21">
        <v>-1.48834E-2</v>
      </c>
      <c r="AJ226" s="21">
        <v>216</v>
      </c>
      <c r="AK226" s="21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1">
        <v>0.64239500000000005</v>
      </c>
      <c r="AR226" s="21">
        <v>125.60899999999999</v>
      </c>
      <c r="AS226" s="21">
        <v>-1.5429699999999999E-2</v>
      </c>
      <c r="AT226" s="21">
        <v>216</v>
      </c>
      <c r="AU226" s="21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1">
        <v>0.98770100000000005</v>
      </c>
      <c r="AZ226" s="21">
        <v>174.89500000000001</v>
      </c>
      <c r="BA226" s="21">
        <v>-1.47125E-2</v>
      </c>
      <c r="BB226" s="21">
        <v>216</v>
      </c>
      <c r="BC226" s="21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1">
        <v>0.64239500000000005</v>
      </c>
      <c r="BJ226" s="21">
        <v>224.24600000000001</v>
      </c>
      <c r="BK226" s="21">
        <v>-1.5374799999999999E-2</v>
      </c>
      <c r="BL226" s="21">
        <v>216</v>
      </c>
      <c r="BM226" s="21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1">
        <v>0.98770100000000005</v>
      </c>
      <c r="BR226" s="21">
        <v>273.45100000000002</v>
      </c>
      <c r="BS226" s="21">
        <v>-1.47125E-2</v>
      </c>
      <c r="BT226" s="21">
        <v>216</v>
      </c>
      <c r="BU226" s="21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0.63736000000000004</v>
      </c>
      <c r="H227" s="21">
        <v>49.149500000000003</v>
      </c>
      <c r="I227" s="21">
        <v>-1.5780599999999999E-2</v>
      </c>
      <c r="J227" s="21">
        <v>217</v>
      </c>
      <c r="K227" s="21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1">
        <v>0.99273699999999998</v>
      </c>
      <c r="P227" s="21">
        <v>98.531899999999993</v>
      </c>
      <c r="Q227" s="21">
        <v>-1.521E-2</v>
      </c>
      <c r="R227" s="21">
        <v>217</v>
      </c>
      <c r="S227" s="21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1">
        <v>0.63736000000000004</v>
      </c>
      <c r="Z227" s="21">
        <v>51.233499999999999</v>
      </c>
      <c r="AA227" s="21">
        <v>-1.5509E-2</v>
      </c>
      <c r="AB227" s="21">
        <v>217</v>
      </c>
      <c r="AC227" s="21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1">
        <v>0.99273699999999998</v>
      </c>
      <c r="AH227" s="21">
        <v>76.218500000000006</v>
      </c>
      <c r="AI227" s="21">
        <v>-1.48529E-2</v>
      </c>
      <c r="AJ227" s="21">
        <v>217</v>
      </c>
      <c r="AK227" s="21">
        <v>0.99212599999999995</v>
      </c>
      <c r="AL227">
        <f t="shared" si="54"/>
        <v>14.8529</v>
      </c>
      <c r="AM227">
        <f t="shared" si="55"/>
        <v>14.7450233873</v>
      </c>
      <c r="AP227" s="9"/>
      <c r="AQ227" s="21">
        <v>0.63736000000000004</v>
      </c>
      <c r="AR227" s="21">
        <v>125.619</v>
      </c>
      <c r="AS227" s="21">
        <v>-1.5438800000000001E-2</v>
      </c>
      <c r="AT227" s="21">
        <v>217</v>
      </c>
      <c r="AU227" s="21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1">
        <v>0.99273699999999998</v>
      </c>
      <c r="AZ227" s="21">
        <v>174.905</v>
      </c>
      <c r="BA227" s="21">
        <v>-1.4700299999999999E-2</v>
      </c>
      <c r="BB227" s="21">
        <v>217</v>
      </c>
      <c r="BC227" s="21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1">
        <v>0.63736000000000004</v>
      </c>
      <c r="BJ227" s="21">
        <v>224.256</v>
      </c>
      <c r="BK227" s="21">
        <v>-1.5383900000000001E-2</v>
      </c>
      <c r="BL227" s="21">
        <v>217</v>
      </c>
      <c r="BM227" s="21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1">
        <v>0.99273699999999998</v>
      </c>
      <c r="BR227" s="21">
        <v>273.46100000000001</v>
      </c>
      <c r="BS227" s="21">
        <v>-1.47095E-2</v>
      </c>
      <c r="BT227" s="21">
        <v>217</v>
      </c>
      <c r="BU227" s="21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0.632324</v>
      </c>
      <c r="H228" s="21">
        <v>49.159599999999998</v>
      </c>
      <c r="I228" s="21">
        <v>-1.5777599999999999E-2</v>
      </c>
      <c r="J228" s="21">
        <v>218</v>
      </c>
      <c r="K228" s="21">
        <v>0.63146999999999998</v>
      </c>
      <c r="L228">
        <f t="shared" si="48"/>
        <v>15.7776</v>
      </c>
      <c r="M228">
        <f t="shared" si="49"/>
        <v>9.9765551424000005</v>
      </c>
      <c r="N228" s="9"/>
      <c r="O228" s="21">
        <v>0.99777199999999999</v>
      </c>
      <c r="P228" s="21">
        <v>98.542000000000002</v>
      </c>
      <c r="Q228" s="21">
        <v>-1.51886E-2</v>
      </c>
      <c r="R228" s="21">
        <v>218</v>
      </c>
      <c r="S228" s="21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1">
        <v>0.632324</v>
      </c>
      <c r="Z228" s="21">
        <v>51.243600000000001</v>
      </c>
      <c r="AA228" s="21">
        <v>-1.55243E-2</v>
      </c>
      <c r="AB228" s="21">
        <v>218</v>
      </c>
      <c r="AC228" s="21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1">
        <v>0.99777199999999999</v>
      </c>
      <c r="AH228" s="21">
        <v>76.2286</v>
      </c>
      <c r="AI228" s="21">
        <v>-1.48407E-2</v>
      </c>
      <c r="AJ228" s="21">
        <v>218</v>
      </c>
      <c r="AK228" s="21">
        <v>0.99670400000000003</v>
      </c>
      <c r="AL228">
        <f t="shared" si="54"/>
        <v>14.8407</v>
      </c>
      <c r="AM228">
        <f t="shared" si="55"/>
        <v>14.8076349204</v>
      </c>
      <c r="AP228" s="9"/>
      <c r="AQ228" s="21">
        <v>0.632324</v>
      </c>
      <c r="AR228" s="21">
        <v>125.629</v>
      </c>
      <c r="AS228" s="21">
        <v>-1.5448E-2</v>
      </c>
      <c r="AT228" s="21">
        <v>218</v>
      </c>
      <c r="AU228" s="21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1">
        <v>0.99777199999999999</v>
      </c>
      <c r="AZ228" s="21">
        <v>174.91499999999999</v>
      </c>
      <c r="BA228" s="21">
        <v>-1.46912E-2</v>
      </c>
      <c r="BB228" s="21">
        <v>218</v>
      </c>
      <c r="BC228" s="21">
        <v>0.99700900000000003</v>
      </c>
      <c r="BD228">
        <f t="shared" si="58"/>
        <v>14.6912</v>
      </c>
      <c r="BE228">
        <f t="shared" si="59"/>
        <v>14.6584680064</v>
      </c>
      <c r="BH228" s="9"/>
      <c r="BI228" s="21">
        <v>0.632324</v>
      </c>
      <c r="BJ228" s="21">
        <v>224.26599999999999</v>
      </c>
      <c r="BK228" s="21">
        <v>-1.5387E-2</v>
      </c>
      <c r="BL228" s="21">
        <v>218</v>
      </c>
      <c r="BM228" s="21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1">
        <v>0.99777199999999999</v>
      </c>
      <c r="BR228" s="21">
        <v>273.471</v>
      </c>
      <c r="BS228" s="21">
        <v>-1.4700299999999999E-2</v>
      </c>
      <c r="BT228" s="21">
        <v>218</v>
      </c>
      <c r="BU228" s="21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0.62728899999999999</v>
      </c>
      <c r="H229" s="21">
        <v>49.169600000000003</v>
      </c>
      <c r="I229" s="21">
        <v>-1.57745E-2</v>
      </c>
      <c r="J229" s="21">
        <v>219</v>
      </c>
      <c r="K229" s="21">
        <v>0.62652600000000003</v>
      </c>
      <c r="L229">
        <f t="shared" si="48"/>
        <v>15.7745</v>
      </c>
      <c r="M229">
        <f t="shared" si="49"/>
        <v>9.8951703304999992</v>
      </c>
      <c r="N229" s="9"/>
      <c r="O229" s="21">
        <v>1.00281</v>
      </c>
      <c r="P229" s="21">
        <v>98.552099999999996</v>
      </c>
      <c r="Q229" s="21">
        <v>-1.5170299999999999E-2</v>
      </c>
      <c r="R229" s="21">
        <v>219</v>
      </c>
      <c r="S229" s="21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1">
        <v>0.62728899999999999</v>
      </c>
      <c r="Z229" s="21">
        <v>51.253700000000002</v>
      </c>
      <c r="AA229" s="21">
        <v>-1.55365E-2</v>
      </c>
      <c r="AB229" s="21">
        <v>219</v>
      </c>
      <c r="AC229" s="21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1">
        <v>1.00281</v>
      </c>
      <c r="AH229" s="21">
        <v>76.238699999999994</v>
      </c>
      <c r="AI229" s="21">
        <v>-1.4822399999999999E-2</v>
      </c>
      <c r="AJ229" s="21">
        <v>219</v>
      </c>
      <c r="AK229" s="21">
        <v>1.00159</v>
      </c>
      <c r="AL229">
        <f t="shared" si="54"/>
        <v>14.8224</v>
      </c>
      <c r="AM229">
        <f t="shared" si="55"/>
        <v>14.864050944000001</v>
      </c>
      <c r="AP229" s="9"/>
      <c r="AQ229" s="21">
        <v>0.62728899999999999</v>
      </c>
      <c r="AR229" s="21">
        <v>125.639</v>
      </c>
      <c r="AS229" s="21">
        <v>-1.5450999999999999E-2</v>
      </c>
      <c r="AT229" s="21">
        <v>219</v>
      </c>
      <c r="AU229" s="21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1">
        <v>1.00281</v>
      </c>
      <c r="AZ229" s="21">
        <v>174.92599999999999</v>
      </c>
      <c r="BA229" s="21">
        <v>-1.46851E-2</v>
      </c>
      <c r="BB229" s="21">
        <v>219</v>
      </c>
      <c r="BC229" s="21">
        <v>1.00159</v>
      </c>
      <c r="BD229">
        <f t="shared" si="58"/>
        <v>14.6851</v>
      </c>
      <c r="BE229">
        <f t="shared" si="59"/>
        <v>14.726365131</v>
      </c>
      <c r="BH229" s="9"/>
      <c r="BI229" s="21">
        <v>0.62728899999999999</v>
      </c>
      <c r="BJ229" s="21">
        <v>224.27600000000001</v>
      </c>
      <c r="BK229" s="21">
        <v>-1.53992E-2</v>
      </c>
      <c r="BL229" s="21">
        <v>219</v>
      </c>
      <c r="BM229" s="21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1">
        <v>1.00281</v>
      </c>
      <c r="BR229" s="21">
        <v>273.48099999999999</v>
      </c>
      <c r="BS229" s="21">
        <v>-1.46851E-2</v>
      </c>
      <c r="BT229" s="21">
        <v>219</v>
      </c>
      <c r="BU229" s="21">
        <v>1.0018899999999999</v>
      </c>
      <c r="BV229">
        <f t="shared" si="62"/>
        <v>14.6851</v>
      </c>
      <c r="BW229">
        <f t="shared" si="63"/>
        <v>14.726365131</v>
      </c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0.62225299999999995</v>
      </c>
      <c r="H230" s="21">
        <v>49.179699999999997</v>
      </c>
      <c r="I230" s="21">
        <v>-1.57745E-2</v>
      </c>
      <c r="J230" s="21">
        <v>220</v>
      </c>
      <c r="K230" s="21">
        <v>0.62142900000000001</v>
      </c>
      <c r="L230">
        <f t="shared" si="48"/>
        <v>15.7745</v>
      </c>
      <c r="M230">
        <f t="shared" si="49"/>
        <v>9.8157299484999996</v>
      </c>
      <c r="N230" s="9"/>
      <c r="O230" s="21">
        <v>1.0078400000000001</v>
      </c>
      <c r="P230" s="21">
        <v>98.562100000000001</v>
      </c>
      <c r="Q230" s="21">
        <v>-1.5152000000000001E-2</v>
      </c>
      <c r="R230" s="21">
        <v>220</v>
      </c>
      <c r="S230" s="21">
        <v>1.00708</v>
      </c>
      <c r="T230">
        <f t="shared" si="50"/>
        <v>15.152000000000001</v>
      </c>
      <c r="U230">
        <f t="shared" si="51"/>
        <v>15.270791680000002</v>
      </c>
      <c r="X230" s="9"/>
      <c r="Y230" s="21">
        <v>0.62225299999999995</v>
      </c>
      <c r="Z230" s="21">
        <v>51.263800000000003</v>
      </c>
      <c r="AA230" s="21">
        <v>-1.55487E-2</v>
      </c>
      <c r="AB230" s="21">
        <v>220</v>
      </c>
      <c r="AC230" s="21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1">
        <v>1.0078400000000001</v>
      </c>
      <c r="AH230" s="21">
        <v>76.248699999999999</v>
      </c>
      <c r="AI230" s="21">
        <v>-1.4804100000000001E-2</v>
      </c>
      <c r="AJ230" s="21">
        <v>220</v>
      </c>
      <c r="AK230" s="21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1">
        <v>0.62225299999999995</v>
      </c>
      <c r="AR230" s="21">
        <v>125.649</v>
      </c>
      <c r="AS230" s="21">
        <v>-1.54602E-2</v>
      </c>
      <c r="AT230" s="21">
        <v>220</v>
      </c>
      <c r="AU230" s="21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1">
        <v>1.0078400000000001</v>
      </c>
      <c r="AZ230" s="21">
        <v>174.93600000000001</v>
      </c>
      <c r="BA230" s="21">
        <v>-1.46698E-2</v>
      </c>
      <c r="BB230" s="21">
        <v>220</v>
      </c>
      <c r="BC230" s="21">
        <v>1.00739</v>
      </c>
      <c r="BD230">
        <f t="shared" si="58"/>
        <v>14.6698</v>
      </c>
      <c r="BE230">
        <f t="shared" si="59"/>
        <v>14.784811232000001</v>
      </c>
      <c r="BH230" s="9"/>
      <c r="BI230" s="21">
        <v>0.62225299999999995</v>
      </c>
      <c r="BJ230" s="21">
        <v>224.286</v>
      </c>
      <c r="BK230" s="21">
        <v>-1.54022E-2</v>
      </c>
      <c r="BL230" s="21">
        <v>220</v>
      </c>
      <c r="BM230" s="21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1">
        <v>1.0078400000000001</v>
      </c>
      <c r="BR230" s="21">
        <v>273.49099999999999</v>
      </c>
      <c r="BS230" s="21">
        <v>-1.46698E-2</v>
      </c>
      <c r="BT230" s="21">
        <v>220</v>
      </c>
      <c r="BU230" s="21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0.61721800000000004</v>
      </c>
      <c r="H231" s="21">
        <v>49.189799999999998</v>
      </c>
      <c r="I231" s="21">
        <v>-1.57745E-2</v>
      </c>
      <c r="J231" s="21">
        <v>221</v>
      </c>
      <c r="K231" s="21">
        <v>0.616394</v>
      </c>
      <c r="L231">
        <f t="shared" si="48"/>
        <v>15.7745</v>
      </c>
      <c r="M231">
        <f t="shared" si="49"/>
        <v>9.7363053410000013</v>
      </c>
      <c r="N231" s="9"/>
      <c r="O231" s="21">
        <v>1.01288</v>
      </c>
      <c r="P231" s="21">
        <v>98.572199999999995</v>
      </c>
      <c r="Q231" s="21">
        <v>-1.51337E-2</v>
      </c>
      <c r="R231" s="21">
        <v>221</v>
      </c>
      <c r="S231" s="21">
        <v>1.01166</v>
      </c>
      <c r="T231">
        <f t="shared" si="50"/>
        <v>15.133699999999999</v>
      </c>
      <c r="U231">
        <f t="shared" si="51"/>
        <v>15.328622055999999</v>
      </c>
      <c r="X231" s="9"/>
      <c r="Y231" s="21">
        <v>0.61721800000000004</v>
      </c>
      <c r="Z231" s="21">
        <v>51.273800000000001</v>
      </c>
      <c r="AA231" s="21">
        <v>-1.55579E-2</v>
      </c>
      <c r="AB231" s="21">
        <v>221</v>
      </c>
      <c r="AC231" s="21">
        <v>0.61645499999999998</v>
      </c>
      <c r="AD231">
        <f t="shared" si="52"/>
        <v>15.5579</v>
      </c>
      <c r="AE231">
        <f t="shared" si="53"/>
        <v>9.6026159222</v>
      </c>
      <c r="AF231" s="9"/>
      <c r="AG231" s="21">
        <v>1.01288</v>
      </c>
      <c r="AH231" s="21">
        <v>76.258799999999994</v>
      </c>
      <c r="AI231" s="21">
        <v>-1.47858E-2</v>
      </c>
      <c r="AJ231" s="21">
        <v>221</v>
      </c>
      <c r="AK231" s="21">
        <v>1.01196</v>
      </c>
      <c r="AL231">
        <f t="shared" si="54"/>
        <v>14.7858</v>
      </c>
      <c r="AM231">
        <f t="shared" si="55"/>
        <v>14.976241104</v>
      </c>
      <c r="AP231" s="9"/>
      <c r="AQ231" s="21">
        <v>0.61721800000000004</v>
      </c>
      <c r="AR231" s="21">
        <v>125.65900000000001</v>
      </c>
      <c r="AS231" s="21">
        <v>-1.54541E-2</v>
      </c>
      <c r="AT231" s="21">
        <v>221</v>
      </c>
      <c r="AU231" s="21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1">
        <v>1.01288</v>
      </c>
      <c r="AZ231" s="21">
        <v>174.946</v>
      </c>
      <c r="BA231" s="21">
        <v>-1.46637E-2</v>
      </c>
      <c r="BB231" s="21">
        <v>221</v>
      </c>
      <c r="BC231" s="21">
        <v>1.01196</v>
      </c>
      <c r="BD231">
        <f t="shared" si="58"/>
        <v>14.6637</v>
      </c>
      <c r="BE231">
        <f t="shared" si="59"/>
        <v>14.852568456</v>
      </c>
      <c r="BH231" s="9"/>
      <c r="BI231" s="21">
        <v>0.61721800000000004</v>
      </c>
      <c r="BJ231" s="21">
        <v>224.29599999999999</v>
      </c>
      <c r="BK231" s="21">
        <v>-1.53992E-2</v>
      </c>
      <c r="BL231" s="21">
        <v>221</v>
      </c>
      <c r="BM231" s="21">
        <v>0.616394</v>
      </c>
      <c r="BN231">
        <f t="shared" si="60"/>
        <v>15.3992</v>
      </c>
      <c r="BO231">
        <f t="shared" si="61"/>
        <v>9.5046634256000004</v>
      </c>
      <c r="BP231" s="9"/>
      <c r="BQ231" s="21">
        <v>1.01288</v>
      </c>
      <c r="BR231" s="21">
        <v>273.50200000000001</v>
      </c>
      <c r="BS231" s="21">
        <v>-1.46667E-2</v>
      </c>
      <c r="BT231" s="21">
        <v>221</v>
      </c>
      <c r="BU231" s="21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0.61218300000000003</v>
      </c>
      <c r="H232" s="21">
        <v>49.1999</v>
      </c>
      <c r="I232" s="21">
        <v>-1.57745E-2</v>
      </c>
      <c r="J232" s="21">
        <v>222</v>
      </c>
      <c r="K232" s="21">
        <v>0.61135899999999999</v>
      </c>
      <c r="L232">
        <f t="shared" si="48"/>
        <v>15.7745</v>
      </c>
      <c r="M232">
        <f t="shared" si="49"/>
        <v>9.6568807334999995</v>
      </c>
      <c r="N232" s="9"/>
      <c r="O232" s="21">
        <v>1.0179100000000001</v>
      </c>
      <c r="P232" s="21">
        <v>98.582300000000004</v>
      </c>
      <c r="Q232" s="21">
        <v>-1.51123E-2</v>
      </c>
      <c r="R232" s="21">
        <v>222</v>
      </c>
      <c r="S232" s="21">
        <v>1.01654</v>
      </c>
      <c r="T232">
        <f t="shared" si="50"/>
        <v>15.112300000000001</v>
      </c>
      <c r="U232">
        <f t="shared" si="51"/>
        <v>15.382961293000003</v>
      </c>
      <c r="X232" s="9"/>
      <c r="Y232" s="21">
        <v>0.61218300000000003</v>
      </c>
      <c r="Z232" s="21">
        <v>51.283900000000003</v>
      </c>
      <c r="AA232" s="21">
        <v>-1.5564E-2</v>
      </c>
      <c r="AB232" s="21">
        <v>222</v>
      </c>
      <c r="AC232" s="21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1">
        <v>1.0179100000000001</v>
      </c>
      <c r="AH232" s="21">
        <v>76.268900000000002</v>
      </c>
      <c r="AI232" s="21">
        <v>-1.4770500000000001E-2</v>
      </c>
      <c r="AJ232" s="21">
        <v>222</v>
      </c>
      <c r="AK232" s="21">
        <v>1.01654</v>
      </c>
      <c r="AL232">
        <f t="shared" si="54"/>
        <v>14.7705</v>
      </c>
      <c r="AM232">
        <f t="shared" si="55"/>
        <v>15.035039655000002</v>
      </c>
      <c r="AP232" s="9"/>
      <c r="AQ232" s="21">
        <v>0.61218300000000003</v>
      </c>
      <c r="AR232" s="21">
        <v>125.669</v>
      </c>
      <c r="AS232" s="21">
        <v>-1.54541E-2</v>
      </c>
      <c r="AT232" s="21">
        <v>222</v>
      </c>
      <c r="AU232" s="21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1">
        <v>1.0179100000000001</v>
      </c>
      <c r="AZ232" s="21">
        <v>174.95599999999999</v>
      </c>
      <c r="BA232" s="21">
        <v>-1.46515E-2</v>
      </c>
      <c r="BB232" s="21">
        <v>222</v>
      </c>
      <c r="BC232" s="21">
        <v>1.01715</v>
      </c>
      <c r="BD232">
        <f t="shared" si="58"/>
        <v>14.6515</v>
      </c>
      <c r="BE232">
        <f t="shared" si="59"/>
        <v>14.913908365000001</v>
      </c>
      <c r="BH232" s="9"/>
      <c r="BI232" s="21">
        <v>0.61218300000000003</v>
      </c>
      <c r="BJ232" s="21">
        <v>224.30600000000001</v>
      </c>
      <c r="BK232" s="21">
        <v>-1.54022E-2</v>
      </c>
      <c r="BL232" s="21">
        <v>222</v>
      </c>
      <c r="BM232" s="21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1">
        <v>1.0179100000000001</v>
      </c>
      <c r="BR232" s="21">
        <v>273.512</v>
      </c>
      <c r="BS232" s="21">
        <v>-1.46576E-2</v>
      </c>
      <c r="BT232" s="21">
        <v>222</v>
      </c>
      <c r="BU232" s="21">
        <v>1.01685</v>
      </c>
      <c r="BV232">
        <f t="shared" si="62"/>
        <v>14.6576</v>
      </c>
      <c r="BW232">
        <f t="shared" si="63"/>
        <v>14.920117616000002</v>
      </c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0.60714699999999999</v>
      </c>
      <c r="H233" s="21">
        <v>49.209899999999998</v>
      </c>
      <c r="I233" s="21">
        <v>-1.5780599999999999E-2</v>
      </c>
      <c r="J233" s="21">
        <v>223</v>
      </c>
      <c r="K233" s="21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1">
        <v>1.02295</v>
      </c>
      <c r="P233" s="21">
        <v>98.592399999999998</v>
      </c>
      <c r="Q233" s="21">
        <v>-1.51031E-2</v>
      </c>
      <c r="R233" s="21">
        <v>223</v>
      </c>
      <c r="S233" s="21">
        <v>1.02203</v>
      </c>
      <c r="T233">
        <f t="shared" si="50"/>
        <v>15.1031</v>
      </c>
      <c r="U233">
        <f t="shared" si="51"/>
        <v>15.449716145</v>
      </c>
      <c r="X233" s="9"/>
      <c r="Y233" s="21">
        <v>0.60714699999999999</v>
      </c>
      <c r="Z233" s="21">
        <v>51.293999999999997</v>
      </c>
      <c r="AA233" s="21">
        <v>-1.5564E-2</v>
      </c>
      <c r="AB233" s="21">
        <v>223</v>
      </c>
      <c r="AC233" s="21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1">
        <v>1.02295</v>
      </c>
      <c r="AH233" s="21">
        <v>76.278899999999993</v>
      </c>
      <c r="AI233" s="21">
        <v>-1.4761399999999999E-2</v>
      </c>
      <c r="AJ233" s="21">
        <v>223</v>
      </c>
      <c r="AK233" s="21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1">
        <v>0.60714699999999999</v>
      </c>
      <c r="AR233" s="21">
        <v>125.679</v>
      </c>
      <c r="AS233" s="21">
        <v>-1.54602E-2</v>
      </c>
      <c r="AT233" s="21">
        <v>223</v>
      </c>
      <c r="AU233" s="21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1">
        <v>1.02295</v>
      </c>
      <c r="AZ233" s="21">
        <v>174.96600000000001</v>
      </c>
      <c r="BA233" s="21">
        <v>-1.4633200000000001E-2</v>
      </c>
      <c r="BB233" s="21">
        <v>223</v>
      </c>
      <c r="BC233" s="21">
        <v>1.02203</v>
      </c>
      <c r="BD233">
        <f t="shared" si="58"/>
        <v>14.6332</v>
      </c>
      <c r="BE233">
        <f t="shared" si="59"/>
        <v>14.969031940000001</v>
      </c>
      <c r="BH233" s="9"/>
      <c r="BI233" s="21">
        <v>0.60714699999999999</v>
      </c>
      <c r="BJ233" s="21">
        <v>224.316</v>
      </c>
      <c r="BK233" s="21">
        <v>-1.54022E-2</v>
      </c>
      <c r="BL233" s="21">
        <v>223</v>
      </c>
      <c r="BM233" s="21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1">
        <v>1.02295</v>
      </c>
      <c r="BR233" s="21">
        <v>273.52199999999999</v>
      </c>
      <c r="BS233" s="21">
        <v>-1.46515E-2</v>
      </c>
      <c r="BT233" s="21">
        <v>223</v>
      </c>
      <c r="BU233" s="21">
        <v>1.02173</v>
      </c>
      <c r="BV233">
        <f t="shared" si="62"/>
        <v>14.6515</v>
      </c>
      <c r="BW233">
        <f t="shared" si="63"/>
        <v>14.987751925000001</v>
      </c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0.60211199999999998</v>
      </c>
      <c r="H234" s="21">
        <v>49.22</v>
      </c>
      <c r="I234" s="21">
        <v>-1.5780599999999999E-2</v>
      </c>
      <c r="J234" s="21">
        <v>224</v>
      </c>
      <c r="K234" s="21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1">
        <v>1.0279799999999999</v>
      </c>
      <c r="P234" s="21">
        <v>98.602400000000003</v>
      </c>
      <c r="Q234" s="21">
        <v>-1.51062E-2</v>
      </c>
      <c r="R234" s="21">
        <v>224</v>
      </c>
      <c r="S234" s="21">
        <v>1.02722</v>
      </c>
      <c r="T234">
        <f t="shared" si="50"/>
        <v>15.106199999999999</v>
      </c>
      <c r="U234">
        <f t="shared" si="51"/>
        <v>15.528871475999997</v>
      </c>
      <c r="X234" s="9"/>
      <c r="Y234" s="21">
        <v>0.60211199999999998</v>
      </c>
      <c r="Z234" s="21">
        <v>51.304000000000002</v>
      </c>
      <c r="AA234" s="21">
        <v>-1.55579E-2</v>
      </c>
      <c r="AB234" s="21">
        <v>224</v>
      </c>
      <c r="AC234" s="21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1">
        <v>1.0279799999999999</v>
      </c>
      <c r="AH234" s="21">
        <v>76.289000000000001</v>
      </c>
      <c r="AI234" s="21">
        <v>-1.4761399999999999E-2</v>
      </c>
      <c r="AJ234" s="21">
        <v>224</v>
      </c>
      <c r="AK234" s="21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1">
        <v>0.60211199999999998</v>
      </c>
      <c r="AR234" s="21">
        <v>125.68899999999999</v>
      </c>
      <c r="AS234" s="21">
        <v>-1.54602E-2</v>
      </c>
      <c r="AT234" s="21">
        <v>224</v>
      </c>
      <c r="AU234" s="21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1">
        <v>1.0279799999999999</v>
      </c>
      <c r="AZ234" s="21">
        <v>174.976</v>
      </c>
      <c r="BA234" s="21">
        <v>-1.4633200000000001E-2</v>
      </c>
      <c r="BB234" s="21">
        <v>224</v>
      </c>
      <c r="BC234" s="21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1">
        <v>0.60211199999999998</v>
      </c>
      <c r="BJ234" s="21">
        <v>224.32599999999999</v>
      </c>
      <c r="BK234" s="21">
        <v>-1.5417500000000001E-2</v>
      </c>
      <c r="BL234" s="21">
        <v>224</v>
      </c>
      <c r="BM234" s="21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1">
        <v>1.0279799999999999</v>
      </c>
      <c r="BR234" s="21">
        <v>273.53199999999998</v>
      </c>
      <c r="BS234" s="21">
        <v>-1.4639299999999999E-2</v>
      </c>
      <c r="BT234" s="21">
        <v>224</v>
      </c>
      <c r="BU234" s="21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0.59707600000000005</v>
      </c>
      <c r="H235" s="21">
        <v>49.2301</v>
      </c>
      <c r="I235" s="21">
        <v>-1.5780599999999999E-2</v>
      </c>
      <c r="J235" s="21">
        <v>225</v>
      </c>
      <c r="K235" s="21">
        <v>0.596252</v>
      </c>
      <c r="L235">
        <f t="shared" si="48"/>
        <v>15.780599999999998</v>
      </c>
      <c r="M235">
        <f t="shared" si="49"/>
        <v>9.4222175255999989</v>
      </c>
      <c r="N235" s="9"/>
      <c r="O235" s="21">
        <v>1.03302</v>
      </c>
      <c r="P235" s="21">
        <v>98.612499999999997</v>
      </c>
      <c r="Q235" s="21">
        <v>-1.5094E-2</v>
      </c>
      <c r="R235" s="21">
        <v>225</v>
      </c>
      <c r="S235" s="21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1">
        <v>0.59707600000000005</v>
      </c>
      <c r="Z235" s="21">
        <v>51.314100000000003</v>
      </c>
      <c r="AA235" s="21">
        <v>-1.5564E-2</v>
      </c>
      <c r="AB235" s="21">
        <v>225</v>
      </c>
      <c r="AC235" s="21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1">
        <v>1.03302</v>
      </c>
      <c r="AH235" s="21">
        <v>76.299099999999996</v>
      </c>
      <c r="AI235" s="21">
        <v>-1.47552E-2</v>
      </c>
      <c r="AJ235" s="21">
        <v>225</v>
      </c>
      <c r="AK235" s="21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1">
        <v>0.59707600000000005</v>
      </c>
      <c r="AR235" s="21">
        <v>125.699</v>
      </c>
      <c r="AS235" s="21">
        <v>-1.54602E-2</v>
      </c>
      <c r="AT235" s="21">
        <v>225</v>
      </c>
      <c r="AU235" s="21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1">
        <v>1.03302</v>
      </c>
      <c r="AZ235" s="21">
        <v>174.98599999999999</v>
      </c>
      <c r="BA235" s="21">
        <v>-1.4624E-2</v>
      </c>
      <c r="BB235" s="21">
        <v>225</v>
      </c>
      <c r="BC235" s="21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1">
        <v>0.59707600000000005</v>
      </c>
      <c r="BJ235" s="21">
        <v>224.33600000000001</v>
      </c>
      <c r="BK235" s="21">
        <v>-1.5423600000000001E-2</v>
      </c>
      <c r="BL235" s="21">
        <v>225</v>
      </c>
      <c r="BM235" s="21">
        <v>0.596252</v>
      </c>
      <c r="BN235">
        <f t="shared" si="60"/>
        <v>15.4236</v>
      </c>
      <c r="BO235">
        <f t="shared" si="61"/>
        <v>9.2090613936000008</v>
      </c>
      <c r="BP235" s="9"/>
      <c r="BQ235" s="21">
        <v>1.03302</v>
      </c>
      <c r="BR235" s="21">
        <v>273.54199999999997</v>
      </c>
      <c r="BS235" s="21">
        <v>-1.4624E-2</v>
      </c>
      <c r="BT235" s="21">
        <v>225</v>
      </c>
      <c r="BU235" s="21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0.59204100000000004</v>
      </c>
      <c r="H236" s="21">
        <v>49.240099999999998</v>
      </c>
      <c r="I236" s="21">
        <v>-1.5786700000000001E-2</v>
      </c>
      <c r="J236" s="21">
        <v>226</v>
      </c>
      <c r="K236" s="21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1">
        <v>1.03806</v>
      </c>
      <c r="P236" s="21">
        <v>98.622600000000006</v>
      </c>
      <c r="Q236" s="21">
        <v>-1.5084800000000001E-2</v>
      </c>
      <c r="R236" s="21">
        <v>226</v>
      </c>
      <c r="S236" s="21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1">
        <v>0.59204100000000004</v>
      </c>
      <c r="Z236" s="21">
        <v>51.324199999999998</v>
      </c>
      <c r="AA236" s="21">
        <v>-1.55823E-2</v>
      </c>
      <c r="AB236" s="21">
        <v>226</v>
      </c>
      <c r="AC236" s="21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1">
        <v>1.03806</v>
      </c>
      <c r="AH236" s="21">
        <v>76.309200000000004</v>
      </c>
      <c r="AI236" s="21">
        <v>-1.4733899999999999E-2</v>
      </c>
      <c r="AJ236" s="21">
        <v>226</v>
      </c>
      <c r="AK236" s="21">
        <v>1.0369900000000001</v>
      </c>
      <c r="AL236">
        <f t="shared" si="54"/>
        <v>14.7339</v>
      </c>
      <c r="AM236">
        <f t="shared" si="55"/>
        <v>15.294672234</v>
      </c>
      <c r="AP236" s="9"/>
      <c r="AQ236" s="21">
        <v>0.59204100000000004</v>
      </c>
      <c r="AR236" s="21">
        <v>125.71</v>
      </c>
      <c r="AS236" s="21">
        <v>-1.54602E-2</v>
      </c>
      <c r="AT236" s="21">
        <v>226</v>
      </c>
      <c r="AU236" s="21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1">
        <v>1.03806</v>
      </c>
      <c r="AZ236" s="21">
        <v>174.99600000000001</v>
      </c>
      <c r="BA236" s="21">
        <v>-1.4621E-2</v>
      </c>
      <c r="BB236" s="21">
        <v>226</v>
      </c>
      <c r="BC236" s="21">
        <v>1.03668</v>
      </c>
      <c r="BD236">
        <f t="shared" si="58"/>
        <v>14.621</v>
      </c>
      <c r="BE236">
        <f t="shared" si="59"/>
        <v>15.17747526</v>
      </c>
      <c r="BH236" s="9"/>
      <c r="BI236" s="21">
        <v>0.59204100000000004</v>
      </c>
      <c r="BJ236" s="21">
        <v>224.346</v>
      </c>
      <c r="BK236" s="21">
        <v>-1.5432700000000001E-2</v>
      </c>
      <c r="BL236" s="21">
        <v>226</v>
      </c>
      <c r="BM236" s="21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1">
        <v>1.03806</v>
      </c>
      <c r="BR236" s="21">
        <v>273.55200000000002</v>
      </c>
      <c r="BS236" s="21">
        <v>-1.46149E-2</v>
      </c>
      <c r="BT236" s="21">
        <v>226</v>
      </c>
      <c r="BU236" s="21">
        <v>1.03729</v>
      </c>
      <c r="BV236">
        <f t="shared" si="62"/>
        <v>14.6149</v>
      </c>
      <c r="BW236">
        <f t="shared" si="63"/>
        <v>15.171143094</v>
      </c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0.58700600000000003</v>
      </c>
      <c r="H237" s="21">
        <v>49.2502</v>
      </c>
      <c r="I237" s="21">
        <v>-1.5786700000000001E-2</v>
      </c>
      <c r="J237" s="21">
        <v>227</v>
      </c>
      <c r="K237" s="21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1">
        <v>1.0430900000000001</v>
      </c>
      <c r="P237" s="21">
        <v>98.632599999999996</v>
      </c>
      <c r="Q237" s="21">
        <v>-1.5069600000000001E-2</v>
      </c>
      <c r="R237" s="21">
        <v>227</v>
      </c>
      <c r="S237" s="21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1">
        <v>0.58700600000000003</v>
      </c>
      <c r="Z237" s="21">
        <v>51.334299999999999</v>
      </c>
      <c r="AA237" s="21">
        <v>-1.55914E-2</v>
      </c>
      <c r="AB237" s="21">
        <v>227</v>
      </c>
      <c r="AC237" s="21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1">
        <v>1.0430900000000001</v>
      </c>
      <c r="AH237" s="21">
        <v>76.319199999999995</v>
      </c>
      <c r="AI237" s="21">
        <v>-1.47095E-2</v>
      </c>
      <c r="AJ237" s="21">
        <v>227</v>
      </c>
      <c r="AK237" s="21">
        <v>1.04156</v>
      </c>
      <c r="AL237">
        <f t="shared" si="54"/>
        <v>14.7095</v>
      </c>
      <c r="AM237">
        <f t="shared" si="55"/>
        <v>15.343332355000001</v>
      </c>
      <c r="AP237" s="9"/>
      <c r="AQ237" s="21">
        <v>0.58700600000000003</v>
      </c>
      <c r="AR237" s="21">
        <v>125.72</v>
      </c>
      <c r="AS237" s="21">
        <v>-1.54602E-2</v>
      </c>
      <c r="AT237" s="21">
        <v>227</v>
      </c>
      <c r="AU237" s="21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1">
        <v>1.0430900000000001</v>
      </c>
      <c r="AZ237" s="21">
        <v>175.006</v>
      </c>
      <c r="BA237" s="21">
        <v>-1.4599600000000001E-2</v>
      </c>
      <c r="BB237" s="21">
        <v>227</v>
      </c>
      <c r="BC237" s="21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1">
        <v>0.58700600000000003</v>
      </c>
      <c r="BJ237" s="21">
        <v>224.357</v>
      </c>
      <c r="BK237" s="21">
        <v>-1.54419E-2</v>
      </c>
      <c r="BL237" s="21">
        <v>227</v>
      </c>
      <c r="BM237" s="21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1">
        <v>1.0430900000000001</v>
      </c>
      <c r="BR237" s="21">
        <v>273.56200000000001</v>
      </c>
      <c r="BS237" s="21">
        <v>-1.4599600000000001E-2</v>
      </c>
      <c r="BT237" s="21">
        <v>227</v>
      </c>
      <c r="BU237" s="21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0.58196999999999999</v>
      </c>
      <c r="H238" s="21">
        <v>49.260300000000001</v>
      </c>
      <c r="I238" s="21">
        <v>-1.5792799999999999E-2</v>
      </c>
      <c r="J238" s="21">
        <v>228</v>
      </c>
      <c r="K238" s="21">
        <v>0.58111599999999997</v>
      </c>
      <c r="L238">
        <f t="shared" si="48"/>
        <v>15.7928</v>
      </c>
      <c r="M238">
        <f t="shared" si="49"/>
        <v>9.1909358159999996</v>
      </c>
      <c r="N238" s="9"/>
      <c r="O238" s="21">
        <v>1.04813</v>
      </c>
      <c r="P238" s="21">
        <v>98.642700000000005</v>
      </c>
      <c r="Q238" s="21">
        <v>-1.5048199999999999E-2</v>
      </c>
      <c r="R238" s="21">
        <v>228</v>
      </c>
      <c r="S238" s="21">
        <v>1.0467500000000001</v>
      </c>
      <c r="T238">
        <f t="shared" si="50"/>
        <v>15.0482</v>
      </c>
      <c r="U238">
        <f t="shared" si="51"/>
        <v>15.772469866</v>
      </c>
      <c r="X238" s="9"/>
      <c r="Y238" s="21">
        <v>0.58196999999999999</v>
      </c>
      <c r="Z238" s="21">
        <v>51.344299999999997</v>
      </c>
      <c r="AA238" s="21">
        <v>-1.55853E-2</v>
      </c>
      <c r="AB238" s="21">
        <v>228</v>
      </c>
      <c r="AC238" s="21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1">
        <v>1.04813</v>
      </c>
      <c r="AH238" s="21">
        <v>76.329300000000003</v>
      </c>
      <c r="AI238" s="21">
        <v>-1.4682000000000001E-2</v>
      </c>
      <c r="AJ238" s="21">
        <v>228</v>
      </c>
      <c r="AK238" s="21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1">
        <v>0.58196999999999999</v>
      </c>
      <c r="AR238" s="21">
        <v>125.73</v>
      </c>
      <c r="AS238" s="21">
        <v>-1.5463299999999999E-2</v>
      </c>
      <c r="AT238" s="21">
        <v>228</v>
      </c>
      <c r="AU238" s="21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1">
        <v>1.04813</v>
      </c>
      <c r="AZ238" s="21">
        <v>175.01599999999999</v>
      </c>
      <c r="BA238" s="21">
        <v>-1.4572099999999999E-2</v>
      </c>
      <c r="BB238" s="21">
        <v>228</v>
      </c>
      <c r="BC238" s="21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1">
        <v>0.58196999999999999</v>
      </c>
      <c r="BJ238" s="21">
        <v>224.36699999999999</v>
      </c>
      <c r="BK238" s="21">
        <v>-1.54419E-2</v>
      </c>
      <c r="BL238" s="21">
        <v>228</v>
      </c>
      <c r="BM238" s="21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1">
        <v>1.04813</v>
      </c>
      <c r="BR238" s="21">
        <v>273.572</v>
      </c>
      <c r="BS238" s="21">
        <v>-1.45874E-2</v>
      </c>
      <c r="BT238" s="21">
        <v>228</v>
      </c>
      <c r="BU238" s="21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0.57693499999999998</v>
      </c>
      <c r="H239" s="21">
        <v>49.270400000000002</v>
      </c>
      <c r="I239" s="21">
        <v>-1.5792799999999999E-2</v>
      </c>
      <c r="J239" s="21">
        <v>229</v>
      </c>
      <c r="K239" s="21">
        <v>0.57611100000000004</v>
      </c>
      <c r="L239">
        <f t="shared" si="48"/>
        <v>15.7928</v>
      </c>
      <c r="M239">
        <f t="shared" si="49"/>
        <v>9.111419068</v>
      </c>
      <c r="N239" s="9"/>
      <c r="O239" s="21">
        <v>1.0531600000000001</v>
      </c>
      <c r="P239" s="21">
        <v>98.652799999999999</v>
      </c>
      <c r="Q239" s="21">
        <v>-1.50238E-2</v>
      </c>
      <c r="R239" s="21">
        <v>229</v>
      </c>
      <c r="S239" s="21">
        <v>1.0522499999999999</v>
      </c>
      <c r="T239">
        <f t="shared" si="50"/>
        <v>15.0238</v>
      </c>
      <c r="U239">
        <f t="shared" si="51"/>
        <v>15.822465208000001</v>
      </c>
      <c r="X239" s="9"/>
      <c r="Y239" s="21">
        <v>0.57693499999999998</v>
      </c>
      <c r="Z239" s="21">
        <v>51.354399999999998</v>
      </c>
      <c r="AA239" s="21">
        <v>-1.5594500000000001E-2</v>
      </c>
      <c r="AB239" s="21">
        <v>229</v>
      </c>
      <c r="AC239" s="21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1">
        <v>1.0531600000000001</v>
      </c>
      <c r="AH239" s="21">
        <v>76.339399999999998</v>
      </c>
      <c r="AI239" s="21">
        <v>-1.46667E-2</v>
      </c>
      <c r="AJ239" s="21">
        <v>229</v>
      </c>
      <c r="AK239" s="21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1">
        <v>0.57693499999999998</v>
      </c>
      <c r="AR239" s="21">
        <v>125.74</v>
      </c>
      <c r="AS239" s="21">
        <v>-1.5469399999999999E-2</v>
      </c>
      <c r="AT239" s="21">
        <v>229</v>
      </c>
      <c r="AU239" s="21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1">
        <v>1.0531600000000001</v>
      </c>
      <c r="AZ239" s="21">
        <v>175.02600000000001</v>
      </c>
      <c r="BA239" s="21">
        <v>-1.4550799999999999E-2</v>
      </c>
      <c r="BB239" s="21">
        <v>229</v>
      </c>
      <c r="BC239" s="21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1">
        <v>0.57693499999999998</v>
      </c>
      <c r="BJ239" s="21">
        <v>224.37700000000001</v>
      </c>
      <c r="BK239" s="21">
        <v>-1.5450999999999999E-2</v>
      </c>
      <c r="BL239" s="21">
        <v>229</v>
      </c>
      <c r="BM239" s="21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1">
        <v>1.0531600000000001</v>
      </c>
      <c r="BR239" s="21">
        <v>273.58199999999999</v>
      </c>
      <c r="BS239" s="21">
        <v>-1.4578199999999999E-2</v>
      </c>
      <c r="BT239" s="21">
        <v>229</v>
      </c>
      <c r="BU239" s="21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0.57189900000000005</v>
      </c>
      <c r="H240" s="21">
        <v>49.2804</v>
      </c>
      <c r="I240" s="21">
        <v>-1.57898E-2</v>
      </c>
      <c r="J240" s="21">
        <v>230</v>
      </c>
      <c r="K240" s="21">
        <v>0.57116699999999998</v>
      </c>
      <c r="L240">
        <f t="shared" si="48"/>
        <v>15.7898</v>
      </c>
      <c r="M240">
        <f t="shared" si="49"/>
        <v>9.0301708302000012</v>
      </c>
      <c r="N240" s="9"/>
      <c r="O240" s="21">
        <v>1.0582</v>
      </c>
      <c r="P240" s="21">
        <v>98.662899999999993</v>
      </c>
      <c r="Q240" s="21">
        <v>-1.5002400000000001E-2</v>
      </c>
      <c r="R240" s="21">
        <v>230</v>
      </c>
      <c r="S240" s="21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1">
        <v>0.57189900000000005</v>
      </c>
      <c r="Z240" s="21">
        <v>51.3645</v>
      </c>
      <c r="AA240" s="21">
        <v>-1.5606699999999999E-2</v>
      </c>
      <c r="AB240" s="21">
        <v>230</v>
      </c>
      <c r="AC240" s="21">
        <v>0.57104500000000002</v>
      </c>
      <c r="AD240">
        <f t="shared" si="52"/>
        <v>15.6067</v>
      </c>
      <c r="AE240">
        <f t="shared" si="53"/>
        <v>8.9254561233</v>
      </c>
      <c r="AF240" s="9"/>
      <c r="AG240" s="21">
        <v>1.0582</v>
      </c>
      <c r="AH240" s="21">
        <v>76.349400000000003</v>
      </c>
      <c r="AI240" s="21">
        <v>-1.46576E-2</v>
      </c>
      <c r="AJ240" s="21">
        <v>230</v>
      </c>
      <c r="AK240" s="21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1">
        <v>0.57189900000000005</v>
      </c>
      <c r="AR240" s="21">
        <v>125.75</v>
      </c>
      <c r="AS240" s="21">
        <v>-1.5472400000000001E-2</v>
      </c>
      <c r="AT240" s="21">
        <v>230</v>
      </c>
      <c r="AU240" s="21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1">
        <v>1.0582</v>
      </c>
      <c r="AZ240" s="21">
        <v>175.036</v>
      </c>
      <c r="BA240" s="21">
        <v>-1.45355E-2</v>
      </c>
      <c r="BB240" s="21">
        <v>230</v>
      </c>
      <c r="BC240" s="21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1">
        <v>0.57189900000000005</v>
      </c>
      <c r="BJ240" s="21">
        <v>224.387</v>
      </c>
      <c r="BK240" s="21">
        <v>-1.54541E-2</v>
      </c>
      <c r="BL240" s="21">
        <v>230</v>
      </c>
      <c r="BM240" s="21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1">
        <v>1.0582</v>
      </c>
      <c r="BR240" s="21">
        <v>273.59199999999998</v>
      </c>
      <c r="BS240" s="21">
        <v>-1.4566000000000001E-2</v>
      </c>
      <c r="BT240" s="21">
        <v>230</v>
      </c>
      <c r="BU240" s="21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0.56686400000000003</v>
      </c>
      <c r="H241" s="21">
        <v>49.290500000000002</v>
      </c>
      <c r="I241" s="21">
        <v>-1.5783700000000001E-2</v>
      </c>
      <c r="J241" s="21">
        <v>231</v>
      </c>
      <c r="K241" s="21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1">
        <v>1.0632299999999999</v>
      </c>
      <c r="P241" s="21">
        <v>98.672899999999998</v>
      </c>
      <c r="Q241" s="21">
        <v>-1.4987199999999999E-2</v>
      </c>
      <c r="R241" s="21">
        <v>231</v>
      </c>
      <c r="S241" s="21">
        <v>1.0620099999999999</v>
      </c>
      <c r="T241">
        <f t="shared" si="50"/>
        <v>14.9872</v>
      </c>
      <c r="U241">
        <f t="shared" si="51"/>
        <v>15.934840655999999</v>
      </c>
      <c r="X241" s="9"/>
      <c r="Y241" s="21">
        <v>0.56686400000000003</v>
      </c>
      <c r="Z241" s="21">
        <v>51.374499999999998</v>
      </c>
      <c r="AA241" s="21">
        <v>-1.56128E-2</v>
      </c>
      <c r="AB241" s="21">
        <v>231</v>
      </c>
      <c r="AC241" s="21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1">
        <v>1.0632299999999999</v>
      </c>
      <c r="AH241" s="21">
        <v>76.359499999999997</v>
      </c>
      <c r="AI241" s="21">
        <v>-1.4639299999999999E-2</v>
      </c>
      <c r="AJ241" s="21">
        <v>231</v>
      </c>
      <c r="AK241" s="21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1">
        <v>0.56686400000000003</v>
      </c>
      <c r="AR241" s="21">
        <v>125.76</v>
      </c>
      <c r="AS241" s="21">
        <v>-1.5472400000000001E-2</v>
      </c>
      <c r="AT241" s="21">
        <v>231</v>
      </c>
      <c r="AU241" s="21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1">
        <v>1.0632299999999999</v>
      </c>
      <c r="AZ241" s="21">
        <v>175.04599999999999</v>
      </c>
      <c r="BA241" s="21">
        <v>-1.45203E-2</v>
      </c>
      <c r="BB241" s="21">
        <v>231</v>
      </c>
      <c r="BC241" s="21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1">
        <v>0.56686400000000003</v>
      </c>
      <c r="BJ241" s="21">
        <v>224.39699999999999</v>
      </c>
      <c r="BK241" s="21">
        <v>-1.54541E-2</v>
      </c>
      <c r="BL241" s="21">
        <v>231</v>
      </c>
      <c r="BM241" s="21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1">
        <v>1.0632299999999999</v>
      </c>
      <c r="BR241" s="21">
        <v>273.60199999999998</v>
      </c>
      <c r="BS241" s="21">
        <v>-1.45477E-2</v>
      </c>
      <c r="BT241" s="21">
        <v>231</v>
      </c>
      <c r="BU241" s="21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0.56182900000000002</v>
      </c>
      <c r="H242" s="21">
        <v>49.300600000000003</v>
      </c>
      <c r="I242" s="21">
        <v>-1.5786700000000001E-2</v>
      </c>
      <c r="J242" s="21">
        <v>232</v>
      </c>
      <c r="K242" s="21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1">
        <v>1.0682700000000001</v>
      </c>
      <c r="P242" s="21">
        <v>98.683000000000007</v>
      </c>
      <c r="Q242" s="21">
        <v>-1.49658E-2</v>
      </c>
      <c r="R242" s="21">
        <v>232</v>
      </c>
      <c r="S242" s="21">
        <v>1.0668899999999999</v>
      </c>
      <c r="T242">
        <f t="shared" si="50"/>
        <v>14.9658</v>
      </c>
      <c r="U242">
        <f t="shared" si="51"/>
        <v>15.987515166</v>
      </c>
      <c r="X242" s="9"/>
      <c r="Y242" s="21">
        <v>0.56182900000000002</v>
      </c>
      <c r="Z242" s="21">
        <v>51.384599999999999</v>
      </c>
      <c r="AA242" s="21">
        <v>-1.5615800000000001E-2</v>
      </c>
      <c r="AB242" s="21">
        <v>232</v>
      </c>
      <c r="AC242" s="21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1">
        <v>1.0682700000000001</v>
      </c>
      <c r="AH242" s="21">
        <v>76.369600000000005</v>
      </c>
      <c r="AI242" s="21">
        <v>-1.46179E-2</v>
      </c>
      <c r="AJ242" s="21">
        <v>232</v>
      </c>
      <c r="AK242" s="21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1">
        <v>0.56182900000000002</v>
      </c>
      <c r="AR242" s="21">
        <v>125.77</v>
      </c>
      <c r="AS242" s="21">
        <v>-1.54816E-2</v>
      </c>
      <c r="AT242" s="21">
        <v>232</v>
      </c>
      <c r="AU242" s="21">
        <v>0.560944</v>
      </c>
      <c r="AV242">
        <f t="shared" si="56"/>
        <v>15.4816</v>
      </c>
      <c r="AW242">
        <f t="shared" si="57"/>
        <v>8.6980118464</v>
      </c>
      <c r="AX242" s="9"/>
      <c r="AY242" s="21">
        <v>1.0682700000000001</v>
      </c>
      <c r="AZ242" s="21">
        <v>175.05600000000001</v>
      </c>
      <c r="BA242" s="21">
        <v>-1.4501999999999999E-2</v>
      </c>
      <c r="BB242" s="21">
        <v>232</v>
      </c>
      <c r="BC242" s="21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1">
        <v>0.56182900000000002</v>
      </c>
      <c r="BJ242" s="21">
        <v>224.40700000000001</v>
      </c>
      <c r="BK242" s="21">
        <v>-1.5450999999999999E-2</v>
      </c>
      <c r="BL242" s="21">
        <v>232</v>
      </c>
      <c r="BM242" s="21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1">
        <v>1.0682700000000001</v>
      </c>
      <c r="BR242" s="21">
        <v>273.61200000000002</v>
      </c>
      <c r="BS242" s="21">
        <v>-1.45203E-2</v>
      </c>
      <c r="BT242" s="21">
        <v>232</v>
      </c>
      <c r="BU242" s="21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0.55679299999999998</v>
      </c>
      <c r="H243" s="21">
        <v>49.310600000000001</v>
      </c>
      <c r="I243" s="21">
        <v>-1.5795900000000002E-2</v>
      </c>
      <c r="J243" s="21">
        <v>233</v>
      </c>
      <c r="K243" s="21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1">
        <v>1.0732999999999999</v>
      </c>
      <c r="P243" s="21">
        <v>98.693100000000001</v>
      </c>
      <c r="Q243" s="21">
        <v>-1.4938399999999999E-2</v>
      </c>
      <c r="R243" s="21">
        <v>233</v>
      </c>
      <c r="S243" s="21">
        <v>1.0726899999999999</v>
      </c>
      <c r="T243">
        <f t="shared" si="50"/>
        <v>14.9384</v>
      </c>
      <c r="U243">
        <f t="shared" si="51"/>
        <v>16.033384719999997</v>
      </c>
      <c r="X243" s="9"/>
      <c r="Y243" s="21">
        <v>0.55679299999999998</v>
      </c>
      <c r="Z243" s="21">
        <v>51.3947</v>
      </c>
      <c r="AA243" s="21">
        <v>-1.5615800000000001E-2</v>
      </c>
      <c r="AB243" s="21">
        <v>233</v>
      </c>
      <c r="AC243" s="21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1">
        <v>1.0732999999999999</v>
      </c>
      <c r="AH243" s="21">
        <v>76.3797</v>
      </c>
      <c r="AI243" s="21">
        <v>-1.4590499999999999E-2</v>
      </c>
      <c r="AJ243" s="21">
        <v>233</v>
      </c>
      <c r="AK243" s="21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1">
        <v>0.55679299999999998</v>
      </c>
      <c r="AR243" s="21">
        <v>125.78</v>
      </c>
      <c r="AS243" s="21">
        <v>-1.54907E-2</v>
      </c>
      <c r="AT243" s="21">
        <v>233</v>
      </c>
      <c r="AU243" s="21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1">
        <v>1.0732999999999999</v>
      </c>
      <c r="AZ243" s="21">
        <v>175.06700000000001</v>
      </c>
      <c r="BA243" s="21">
        <v>-1.44928E-2</v>
      </c>
      <c r="BB243" s="21">
        <v>233</v>
      </c>
      <c r="BC243" s="21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1">
        <v>0.55679299999999998</v>
      </c>
      <c r="BJ243" s="21">
        <v>224.417</v>
      </c>
      <c r="BK243" s="21">
        <v>-1.5466300000000001E-2</v>
      </c>
      <c r="BL243" s="21">
        <v>233</v>
      </c>
      <c r="BM243" s="21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1">
        <v>1.0732999999999999</v>
      </c>
      <c r="BR243" s="21">
        <v>273.62200000000001</v>
      </c>
      <c r="BS243" s="21">
        <v>-1.4508099999999999E-2</v>
      </c>
      <c r="BT243" s="21">
        <v>233</v>
      </c>
      <c r="BU243" s="21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0.55175799999999997</v>
      </c>
      <c r="H244" s="21">
        <v>49.320700000000002</v>
      </c>
      <c r="I244" s="21">
        <v>-1.5799000000000001E-2</v>
      </c>
      <c r="J244" s="21">
        <v>234</v>
      </c>
      <c r="K244" s="21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1">
        <v>1.0783400000000001</v>
      </c>
      <c r="P244" s="21">
        <v>98.703100000000006</v>
      </c>
      <c r="Q244" s="21">
        <v>-1.4913900000000001E-2</v>
      </c>
      <c r="R244" s="21">
        <v>234</v>
      </c>
      <c r="S244" s="21">
        <v>1.0772699999999999</v>
      </c>
      <c r="T244">
        <f t="shared" si="50"/>
        <v>14.9139</v>
      </c>
      <c r="U244">
        <f t="shared" si="51"/>
        <v>16.082254926000001</v>
      </c>
      <c r="X244" s="9"/>
      <c r="Y244" s="21">
        <v>0.55175799999999997</v>
      </c>
      <c r="Z244" s="21">
        <v>51.404699999999998</v>
      </c>
      <c r="AA244" s="21">
        <v>-1.56189E-2</v>
      </c>
      <c r="AB244" s="21">
        <v>234</v>
      </c>
      <c r="AC244" s="21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1">
        <v>1.0783400000000001</v>
      </c>
      <c r="AH244" s="21">
        <v>76.389700000000005</v>
      </c>
      <c r="AI244" s="21">
        <v>-1.4559900000000001E-2</v>
      </c>
      <c r="AJ244" s="21">
        <v>234</v>
      </c>
      <c r="AK244" s="21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1">
        <v>0.55175799999999997</v>
      </c>
      <c r="AR244" s="21">
        <v>125.79</v>
      </c>
      <c r="AS244" s="21">
        <v>-1.55029E-2</v>
      </c>
      <c r="AT244" s="21">
        <v>234</v>
      </c>
      <c r="AU244" s="21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1">
        <v>1.0783400000000001</v>
      </c>
      <c r="AZ244" s="21">
        <v>175.077</v>
      </c>
      <c r="BA244" s="21">
        <v>-1.44745E-2</v>
      </c>
      <c r="BB244" s="21">
        <v>234</v>
      </c>
      <c r="BC244" s="21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1">
        <v>0.55175799999999997</v>
      </c>
      <c r="BJ244" s="21">
        <v>224.42699999999999</v>
      </c>
      <c r="BK244" s="21">
        <v>-1.5478499999999999E-2</v>
      </c>
      <c r="BL244" s="21">
        <v>234</v>
      </c>
      <c r="BM244" s="21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1">
        <v>1.0783400000000001</v>
      </c>
      <c r="BR244" s="21">
        <v>273.63200000000001</v>
      </c>
      <c r="BS244" s="21">
        <v>-1.4501999999999999E-2</v>
      </c>
      <c r="BT244" s="21">
        <v>234</v>
      </c>
      <c r="BU244" s="21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0.54672200000000004</v>
      </c>
      <c r="H245" s="21">
        <v>49.330800000000004</v>
      </c>
      <c r="I245" s="21">
        <v>-1.5799000000000001E-2</v>
      </c>
      <c r="J245" s="21">
        <v>235</v>
      </c>
      <c r="K245" s="21">
        <v>0.545929</v>
      </c>
      <c r="L245">
        <f t="shared" si="48"/>
        <v>15.799000000000001</v>
      </c>
      <c r="M245">
        <f t="shared" si="49"/>
        <v>8.6376608780000019</v>
      </c>
      <c r="N245" s="9"/>
      <c r="O245" s="21">
        <v>1.0833699999999999</v>
      </c>
      <c r="P245" s="21">
        <v>98.713200000000001</v>
      </c>
      <c r="Q245" s="21">
        <v>-1.4892600000000001E-2</v>
      </c>
      <c r="R245" s="21">
        <v>235</v>
      </c>
      <c r="S245" s="21">
        <v>1.0821499999999999</v>
      </c>
      <c r="T245">
        <f t="shared" si="50"/>
        <v>14.8926</v>
      </c>
      <c r="U245">
        <f t="shared" si="51"/>
        <v>16.134196061999997</v>
      </c>
      <c r="X245" s="9"/>
      <c r="Y245" s="21">
        <v>0.54672200000000004</v>
      </c>
      <c r="Z245" s="21">
        <v>51.4148</v>
      </c>
      <c r="AA245" s="21">
        <v>-1.5625E-2</v>
      </c>
      <c r="AB245" s="21">
        <v>235</v>
      </c>
      <c r="AC245" s="21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1">
        <v>1.0833699999999999</v>
      </c>
      <c r="AH245" s="21">
        <v>76.399799999999999</v>
      </c>
      <c r="AI245" s="21">
        <v>-1.45416E-2</v>
      </c>
      <c r="AJ245" s="21">
        <v>235</v>
      </c>
      <c r="AK245" s="21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1">
        <v>0.54672200000000004</v>
      </c>
      <c r="AR245" s="21">
        <v>125.8</v>
      </c>
      <c r="AS245" s="21">
        <v>-1.5518199999999999E-2</v>
      </c>
      <c r="AT245" s="21">
        <v>235</v>
      </c>
      <c r="AU245" s="21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1">
        <v>1.0833699999999999</v>
      </c>
      <c r="AZ245" s="21">
        <v>175.08699999999999</v>
      </c>
      <c r="BA245" s="21">
        <v>-1.44531E-2</v>
      </c>
      <c r="BB245" s="21">
        <v>235</v>
      </c>
      <c r="BC245" s="21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1">
        <v>0.54672200000000004</v>
      </c>
      <c r="BJ245" s="21">
        <v>224.43700000000001</v>
      </c>
      <c r="BK245" s="21">
        <v>-1.54755E-2</v>
      </c>
      <c r="BL245" s="21">
        <v>235</v>
      </c>
      <c r="BM245" s="21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1">
        <v>1.0833699999999999</v>
      </c>
      <c r="BR245" s="21">
        <v>273.64299999999997</v>
      </c>
      <c r="BS245" s="21">
        <v>-1.4483599999999999E-2</v>
      </c>
      <c r="BT245" s="21">
        <v>235</v>
      </c>
      <c r="BU245" s="21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0.54168700000000003</v>
      </c>
      <c r="H246" s="21">
        <v>49.340899999999998</v>
      </c>
      <c r="I246" s="21">
        <v>-1.5792799999999999E-2</v>
      </c>
      <c r="J246" s="21">
        <v>236</v>
      </c>
      <c r="K246" s="21">
        <v>0.54074100000000003</v>
      </c>
      <c r="L246">
        <f t="shared" si="48"/>
        <v>15.7928</v>
      </c>
      <c r="M246">
        <f t="shared" si="49"/>
        <v>8.5547544536000011</v>
      </c>
      <c r="N246" s="9"/>
      <c r="O246" s="21">
        <v>1.0884100000000001</v>
      </c>
      <c r="P246" s="21">
        <v>98.723299999999995</v>
      </c>
      <c r="Q246" s="21">
        <v>-1.48682E-2</v>
      </c>
      <c r="R246" s="21">
        <v>236</v>
      </c>
      <c r="S246" s="21">
        <v>1.08704</v>
      </c>
      <c r="T246">
        <f t="shared" si="50"/>
        <v>14.8682</v>
      </c>
      <c r="U246">
        <f t="shared" si="51"/>
        <v>16.182697562000001</v>
      </c>
      <c r="X246" s="9"/>
      <c r="Y246" s="21">
        <v>0.54168700000000003</v>
      </c>
      <c r="Z246" s="21">
        <v>51.424900000000001</v>
      </c>
      <c r="AA246" s="21">
        <v>-1.56372E-2</v>
      </c>
      <c r="AB246" s="21">
        <v>236</v>
      </c>
      <c r="AC246" s="21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1">
        <v>1.0884100000000001</v>
      </c>
      <c r="AH246" s="21">
        <v>76.409899999999993</v>
      </c>
      <c r="AI246" s="21">
        <v>-1.45264E-2</v>
      </c>
      <c r="AJ246" s="21">
        <v>236</v>
      </c>
      <c r="AK246" s="21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1">
        <v>0.54168700000000003</v>
      </c>
      <c r="AR246" s="21">
        <v>125.81</v>
      </c>
      <c r="AS246" s="21">
        <v>-1.5533399999999999E-2</v>
      </c>
      <c r="AT246" s="21">
        <v>236</v>
      </c>
      <c r="AU246" s="21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1">
        <v>1.0884100000000001</v>
      </c>
      <c r="AZ246" s="21">
        <v>175.09700000000001</v>
      </c>
      <c r="BA246" s="21">
        <v>-1.44318E-2</v>
      </c>
      <c r="BB246" s="21">
        <v>236</v>
      </c>
      <c r="BC246" s="21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1">
        <v>0.54168700000000003</v>
      </c>
      <c r="BJ246" s="21">
        <v>224.447</v>
      </c>
      <c r="BK246" s="21">
        <v>-1.54755E-2</v>
      </c>
      <c r="BL246" s="21">
        <v>236</v>
      </c>
      <c r="BM246" s="21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1">
        <v>1.0884100000000001</v>
      </c>
      <c r="BR246" s="21">
        <v>273.65300000000002</v>
      </c>
      <c r="BS246" s="21">
        <v>-1.4462300000000001E-2</v>
      </c>
      <c r="BT246" s="21">
        <v>236</v>
      </c>
      <c r="BU246" s="21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0.53665200000000002</v>
      </c>
      <c r="H247" s="21">
        <v>49.350900000000003</v>
      </c>
      <c r="I247" s="21">
        <v>-1.5792799999999999E-2</v>
      </c>
      <c r="J247" s="21">
        <v>237</v>
      </c>
      <c r="K247" s="21">
        <v>0.53585799999999995</v>
      </c>
      <c r="L247">
        <f t="shared" si="48"/>
        <v>15.7928</v>
      </c>
      <c r="M247">
        <f t="shared" si="49"/>
        <v>8.4752377055999997</v>
      </c>
      <c r="N247" s="9"/>
      <c r="O247" s="21">
        <v>1.09344</v>
      </c>
      <c r="P247" s="21">
        <v>98.7333</v>
      </c>
      <c r="Q247" s="21">
        <v>-1.48468E-2</v>
      </c>
      <c r="R247" s="21">
        <v>237</v>
      </c>
      <c r="S247" s="21">
        <v>1.09222</v>
      </c>
      <c r="T247">
        <f t="shared" si="50"/>
        <v>14.8468</v>
      </c>
      <c r="U247">
        <f t="shared" si="51"/>
        <v>16.234084992</v>
      </c>
      <c r="X247" s="9"/>
      <c r="Y247" s="21">
        <v>0.53665200000000002</v>
      </c>
      <c r="Z247" s="21">
        <v>51.435000000000002</v>
      </c>
      <c r="AA247" s="21">
        <v>-1.5643299999999999E-2</v>
      </c>
      <c r="AB247" s="21">
        <v>237</v>
      </c>
      <c r="AC247" s="21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1">
        <v>1.09344</v>
      </c>
      <c r="AH247" s="21">
        <v>76.419899999999998</v>
      </c>
      <c r="AI247" s="21">
        <v>-1.4517199999999999E-2</v>
      </c>
      <c r="AJ247" s="21">
        <v>237</v>
      </c>
      <c r="AK247" s="21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1">
        <v>0.53665200000000002</v>
      </c>
      <c r="AR247" s="21">
        <v>125.82</v>
      </c>
      <c r="AS247" s="21">
        <v>-1.5545700000000001E-2</v>
      </c>
      <c r="AT247" s="21">
        <v>237</v>
      </c>
      <c r="AU247" s="21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1">
        <v>1.09344</v>
      </c>
      <c r="AZ247" s="21">
        <v>175.107</v>
      </c>
      <c r="BA247" s="21">
        <v>-1.44104E-2</v>
      </c>
      <c r="BB247" s="21">
        <v>237</v>
      </c>
      <c r="BC247" s="21">
        <v>1.09253</v>
      </c>
      <c r="BD247">
        <f t="shared" si="58"/>
        <v>14.410400000000001</v>
      </c>
      <c r="BE247">
        <f t="shared" si="59"/>
        <v>15.756907776</v>
      </c>
      <c r="BH247" s="9"/>
      <c r="BI247" s="21">
        <v>0.53665200000000002</v>
      </c>
      <c r="BJ247" s="21">
        <v>224.45699999999999</v>
      </c>
      <c r="BK247" s="21">
        <v>-1.54877E-2</v>
      </c>
      <c r="BL247" s="21">
        <v>237</v>
      </c>
      <c r="BM247" s="21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1">
        <v>1.09344</v>
      </c>
      <c r="BR247" s="21">
        <v>273.66300000000001</v>
      </c>
      <c r="BS247" s="21">
        <v>-1.4444E-2</v>
      </c>
      <c r="BT247" s="21">
        <v>237</v>
      </c>
      <c r="BU247" s="21">
        <v>1.09222</v>
      </c>
      <c r="BV247">
        <f t="shared" si="62"/>
        <v>14.444000000000001</v>
      </c>
      <c r="BW247">
        <f t="shared" si="63"/>
        <v>15.79364736</v>
      </c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0.53161599999999998</v>
      </c>
      <c r="H248" s="21">
        <v>49.360999999999997</v>
      </c>
      <c r="I248" s="21">
        <v>-1.5799000000000001E-2</v>
      </c>
      <c r="J248" s="21">
        <v>238</v>
      </c>
      <c r="K248" s="21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1">
        <v>1.0984799999999999</v>
      </c>
      <c r="P248" s="21">
        <v>98.743399999999994</v>
      </c>
      <c r="Q248" s="21">
        <v>-1.4822399999999999E-2</v>
      </c>
      <c r="R248" s="21">
        <v>238</v>
      </c>
      <c r="S248" s="21">
        <v>1.09741</v>
      </c>
      <c r="T248">
        <f t="shared" si="50"/>
        <v>14.8224</v>
      </c>
      <c r="U248">
        <f t="shared" si="51"/>
        <v>16.282109951999999</v>
      </c>
      <c r="X248" s="9"/>
      <c r="Y248" s="21">
        <v>0.53161599999999998</v>
      </c>
      <c r="Z248" s="21">
        <v>51.445</v>
      </c>
      <c r="AA248" s="21">
        <v>-1.56372E-2</v>
      </c>
      <c r="AB248" s="21">
        <v>238</v>
      </c>
      <c r="AC248" s="21">
        <v>0.53073099999999995</v>
      </c>
      <c r="AD248">
        <f t="shared" si="52"/>
        <v>15.6372</v>
      </c>
      <c r="AE248">
        <f t="shared" si="53"/>
        <v>8.3129857152</v>
      </c>
      <c r="AF248" s="9"/>
      <c r="AG248" s="21">
        <v>1.0984799999999999</v>
      </c>
      <c r="AH248" s="21">
        <v>76.430000000000007</v>
      </c>
      <c r="AI248" s="21">
        <v>-1.4501999999999999E-2</v>
      </c>
      <c r="AJ248" s="21">
        <v>238</v>
      </c>
      <c r="AK248" s="21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1">
        <v>0.53161599999999998</v>
      </c>
      <c r="AR248" s="21">
        <v>125.83</v>
      </c>
      <c r="AS248" s="21">
        <v>-1.5551799999999999E-2</v>
      </c>
      <c r="AT248" s="21">
        <v>238</v>
      </c>
      <c r="AU248" s="21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1">
        <v>1.0984799999999999</v>
      </c>
      <c r="AZ248" s="21">
        <v>175.11699999999999</v>
      </c>
      <c r="BA248" s="21">
        <v>-1.4389000000000001E-2</v>
      </c>
      <c r="BB248" s="21">
        <v>238</v>
      </c>
      <c r="BC248" s="21">
        <v>1.09741</v>
      </c>
      <c r="BD248">
        <f t="shared" si="58"/>
        <v>14.389000000000001</v>
      </c>
      <c r="BE248">
        <f t="shared" si="59"/>
        <v>15.80602872</v>
      </c>
      <c r="BH248" s="9"/>
      <c r="BI248" s="21">
        <v>0.53161599999999998</v>
      </c>
      <c r="BJ248" s="21">
        <v>224.46700000000001</v>
      </c>
      <c r="BK248" s="21">
        <v>-1.55029E-2</v>
      </c>
      <c r="BL248" s="21">
        <v>238</v>
      </c>
      <c r="BM248" s="21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1">
        <v>1.0984799999999999</v>
      </c>
      <c r="BR248" s="21">
        <v>273.673</v>
      </c>
      <c r="BS248" s="21">
        <v>-1.44257E-2</v>
      </c>
      <c r="BT248" s="21">
        <v>238</v>
      </c>
      <c r="BU248" s="21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0.52658099999999997</v>
      </c>
      <c r="H249" s="21">
        <v>49.371099999999998</v>
      </c>
      <c r="I249" s="21">
        <v>-1.5808099999999999E-2</v>
      </c>
      <c r="J249" s="21">
        <v>239</v>
      </c>
      <c r="K249" s="21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1">
        <v>1.1035200000000001</v>
      </c>
      <c r="P249" s="21">
        <v>98.753500000000003</v>
      </c>
      <c r="Q249" s="21">
        <v>-1.4804100000000001E-2</v>
      </c>
      <c r="R249" s="21">
        <v>239</v>
      </c>
      <c r="S249" s="21">
        <v>1.10229</v>
      </c>
      <c r="T249">
        <f t="shared" si="50"/>
        <v>14.8041</v>
      </c>
      <c r="U249">
        <f t="shared" si="51"/>
        <v>16.336620432</v>
      </c>
      <c r="X249" s="9"/>
      <c r="Y249" s="21">
        <v>0.52658099999999997</v>
      </c>
      <c r="Z249" s="21">
        <v>51.455100000000002</v>
      </c>
      <c r="AA249" s="21">
        <v>-1.5640299999999999E-2</v>
      </c>
      <c r="AB249" s="21">
        <v>239</v>
      </c>
      <c r="AC249" s="21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1">
        <v>1.1035200000000001</v>
      </c>
      <c r="AH249" s="21">
        <v>76.440100000000001</v>
      </c>
      <c r="AI249" s="21">
        <v>-1.44806E-2</v>
      </c>
      <c r="AJ249" s="21">
        <v>239</v>
      </c>
      <c r="AK249" s="21">
        <v>1.1026</v>
      </c>
      <c r="AL249">
        <f t="shared" si="54"/>
        <v>14.480599999999999</v>
      </c>
      <c r="AM249">
        <f t="shared" si="55"/>
        <v>15.979631712</v>
      </c>
      <c r="AP249" s="9"/>
      <c r="AQ249" s="21">
        <v>0.52658099999999997</v>
      </c>
      <c r="AR249" s="21">
        <v>125.84</v>
      </c>
      <c r="AS249" s="21">
        <v>-1.55579E-2</v>
      </c>
      <c r="AT249" s="21">
        <v>239</v>
      </c>
      <c r="AU249" s="21">
        <v>0.525787</v>
      </c>
      <c r="AV249">
        <f t="shared" si="56"/>
        <v>15.5579</v>
      </c>
      <c r="AW249">
        <f t="shared" si="57"/>
        <v>8.1924945399000002</v>
      </c>
      <c r="AX249" s="9"/>
      <c r="AY249" s="21">
        <v>1.1035200000000001</v>
      </c>
      <c r="AZ249" s="21">
        <v>175.12700000000001</v>
      </c>
      <c r="BA249" s="21">
        <v>-1.4367700000000001E-2</v>
      </c>
      <c r="BB249" s="21">
        <v>239</v>
      </c>
      <c r="BC249" s="21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1">
        <v>0.52658099999999997</v>
      </c>
      <c r="BJ249" s="21">
        <v>224.477</v>
      </c>
      <c r="BK249" s="21">
        <v>-1.5512099999999999E-2</v>
      </c>
      <c r="BL249" s="21">
        <v>239</v>
      </c>
      <c r="BM249" s="21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1">
        <v>1.1035200000000001</v>
      </c>
      <c r="BR249" s="21">
        <v>273.68299999999999</v>
      </c>
      <c r="BS249" s="21">
        <v>-1.4401199999999999E-2</v>
      </c>
      <c r="BT249" s="21">
        <v>239</v>
      </c>
      <c r="BU249" s="21">
        <v>1.10199</v>
      </c>
      <c r="BV249">
        <f t="shared" si="62"/>
        <v>14.401199999999999</v>
      </c>
      <c r="BW249">
        <f t="shared" si="63"/>
        <v>15.892012224</v>
      </c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0.52154500000000004</v>
      </c>
      <c r="H250" s="21">
        <v>49.381100000000004</v>
      </c>
      <c r="I250" s="21">
        <v>-1.5817299999999999E-2</v>
      </c>
      <c r="J250" s="21">
        <v>240</v>
      </c>
      <c r="K250" s="21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1">
        <v>1.1085499999999999</v>
      </c>
      <c r="P250" s="21">
        <v>98.763599999999997</v>
      </c>
      <c r="Q250" s="21">
        <v>-1.47797E-2</v>
      </c>
      <c r="R250" s="21">
        <v>240</v>
      </c>
      <c r="S250" s="21">
        <v>1.1077900000000001</v>
      </c>
      <c r="T250">
        <f t="shared" si="50"/>
        <v>14.7797</v>
      </c>
      <c r="U250">
        <f t="shared" si="51"/>
        <v>16.384036434999999</v>
      </c>
      <c r="X250" s="9"/>
      <c r="Y250" s="21">
        <v>0.52154500000000004</v>
      </c>
      <c r="Z250" s="21">
        <v>51.465200000000003</v>
      </c>
      <c r="AA250" s="21">
        <v>-1.5640299999999999E-2</v>
      </c>
      <c r="AB250" s="21">
        <v>240</v>
      </c>
      <c r="AC250" s="21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1">
        <v>1.1085499999999999</v>
      </c>
      <c r="AH250" s="21">
        <v>76.450100000000006</v>
      </c>
      <c r="AI250" s="21">
        <v>-1.44592E-2</v>
      </c>
      <c r="AJ250" s="21">
        <v>240</v>
      </c>
      <c r="AK250" s="21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1">
        <v>0.52154500000000004</v>
      </c>
      <c r="AR250" s="21">
        <v>125.851</v>
      </c>
      <c r="AS250" s="21">
        <v>-1.5566999999999999E-2</v>
      </c>
      <c r="AT250" s="21">
        <v>240</v>
      </c>
      <c r="AU250" s="21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1">
        <v>1.1085499999999999</v>
      </c>
      <c r="AZ250" s="21">
        <v>175.137</v>
      </c>
      <c r="BA250" s="21">
        <v>-1.43524E-2</v>
      </c>
      <c r="BB250" s="21">
        <v>240</v>
      </c>
      <c r="BC250" s="21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1">
        <v>0.52154500000000004</v>
      </c>
      <c r="BJ250" s="21">
        <v>224.48699999999999</v>
      </c>
      <c r="BK250" s="21">
        <v>-1.5518199999999999E-2</v>
      </c>
      <c r="BL250" s="21">
        <v>240</v>
      </c>
      <c r="BM250" s="21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1">
        <v>1.1085499999999999</v>
      </c>
      <c r="BR250" s="21">
        <v>273.69299999999998</v>
      </c>
      <c r="BS250" s="21">
        <v>-1.43768E-2</v>
      </c>
      <c r="BT250" s="21">
        <v>240</v>
      </c>
      <c r="BU250" s="21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0.51651000000000002</v>
      </c>
      <c r="H251" s="21">
        <v>49.391199999999998</v>
      </c>
      <c r="I251" s="21">
        <v>-1.5820299999999999E-2</v>
      </c>
      <c r="J251" s="21">
        <v>241</v>
      </c>
      <c r="K251" s="21">
        <v>0.515625</v>
      </c>
      <c r="L251">
        <f t="shared" si="48"/>
        <v>15.8203</v>
      </c>
      <c r="M251">
        <f t="shared" si="49"/>
        <v>8.1713431530000005</v>
      </c>
      <c r="N251" s="9"/>
      <c r="O251" s="21">
        <v>1.1135900000000001</v>
      </c>
      <c r="P251" s="21">
        <v>98.773600000000002</v>
      </c>
      <c r="Q251" s="21">
        <v>-1.47644E-2</v>
      </c>
      <c r="R251" s="21">
        <v>241</v>
      </c>
      <c r="S251" s="21">
        <v>1.11267</v>
      </c>
      <c r="T251">
        <f t="shared" si="50"/>
        <v>14.7644</v>
      </c>
      <c r="U251">
        <f t="shared" si="51"/>
        <v>16.441488196000002</v>
      </c>
      <c r="X251" s="9"/>
      <c r="Y251" s="21">
        <v>0.51651000000000002</v>
      </c>
      <c r="Z251" s="21">
        <v>51.475200000000001</v>
      </c>
      <c r="AA251" s="21">
        <v>-1.5640299999999999E-2</v>
      </c>
      <c r="AB251" s="21">
        <v>241</v>
      </c>
      <c r="AC251" s="21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1">
        <v>1.1135900000000001</v>
      </c>
      <c r="AH251" s="21">
        <v>76.4602</v>
      </c>
      <c r="AI251" s="21">
        <v>-1.44379E-2</v>
      </c>
      <c r="AJ251" s="21">
        <v>241</v>
      </c>
      <c r="AK251" s="21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1">
        <v>0.51651000000000002</v>
      </c>
      <c r="AR251" s="21">
        <v>125.861</v>
      </c>
      <c r="AS251" s="21">
        <v>-1.5573099999999999E-2</v>
      </c>
      <c r="AT251" s="21">
        <v>241</v>
      </c>
      <c r="AU251" s="21">
        <v>0.515625</v>
      </c>
      <c r="AV251">
        <f t="shared" si="56"/>
        <v>15.5731</v>
      </c>
      <c r="AW251">
        <f t="shared" si="57"/>
        <v>8.0436618810000002</v>
      </c>
      <c r="AX251" s="9"/>
      <c r="AY251" s="21">
        <v>1.1135900000000001</v>
      </c>
      <c r="AZ251" s="21">
        <v>175.14699999999999</v>
      </c>
      <c r="BA251" s="21">
        <v>-1.43372E-2</v>
      </c>
      <c r="BB251" s="21">
        <v>241</v>
      </c>
      <c r="BC251" s="21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1">
        <v>0.51651000000000002</v>
      </c>
      <c r="BJ251" s="21">
        <v>224.49799999999999</v>
      </c>
      <c r="BK251" s="21">
        <v>-1.5533399999999999E-2</v>
      </c>
      <c r="BL251" s="21">
        <v>241</v>
      </c>
      <c r="BM251" s="21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1">
        <v>1.1135900000000001</v>
      </c>
      <c r="BR251" s="21">
        <v>273.70299999999997</v>
      </c>
      <c r="BS251" s="21">
        <v>-1.43555E-2</v>
      </c>
      <c r="BT251" s="21">
        <v>241</v>
      </c>
      <c r="BU251" s="21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0.51147500000000001</v>
      </c>
      <c r="H252" s="21">
        <v>49.401299999999999</v>
      </c>
      <c r="I252" s="21">
        <v>-1.5823400000000001E-2</v>
      </c>
      <c r="J252" s="21">
        <v>242</v>
      </c>
      <c r="K252" s="21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1">
        <v>1.1186199999999999</v>
      </c>
      <c r="P252" s="21">
        <v>98.783699999999996</v>
      </c>
      <c r="Q252" s="21">
        <v>-1.4749099999999999E-2</v>
      </c>
      <c r="R252" s="21">
        <v>242</v>
      </c>
      <c r="S252" s="21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1">
        <v>0.51147500000000001</v>
      </c>
      <c r="Z252" s="21">
        <v>51.485300000000002</v>
      </c>
      <c r="AA252" s="21">
        <v>-1.5646400000000001E-2</v>
      </c>
      <c r="AB252" s="21">
        <v>242</v>
      </c>
      <c r="AC252" s="21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1">
        <v>1.1186199999999999</v>
      </c>
      <c r="AH252" s="21">
        <v>76.470299999999995</v>
      </c>
      <c r="AI252" s="21">
        <v>-1.4419599999999999E-2</v>
      </c>
      <c r="AJ252" s="21">
        <v>242</v>
      </c>
      <c r="AK252" s="21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1">
        <v>0.51147500000000001</v>
      </c>
      <c r="AR252" s="21">
        <v>125.871</v>
      </c>
      <c r="AS252" s="21">
        <v>-1.55792E-2</v>
      </c>
      <c r="AT252" s="21">
        <v>242</v>
      </c>
      <c r="AU252" s="21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1">
        <v>1.1186199999999999</v>
      </c>
      <c r="AZ252" s="21">
        <v>175.15700000000001</v>
      </c>
      <c r="BA252" s="21">
        <v>-1.4306599999999999E-2</v>
      </c>
      <c r="BB252" s="21">
        <v>242</v>
      </c>
      <c r="BC252" s="21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1">
        <v>0.51147500000000001</v>
      </c>
      <c r="BJ252" s="21">
        <v>224.50800000000001</v>
      </c>
      <c r="BK252" s="21">
        <v>-1.5539600000000001E-2</v>
      </c>
      <c r="BL252" s="21">
        <v>242</v>
      </c>
      <c r="BM252" s="21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1">
        <v>1.1186199999999999</v>
      </c>
      <c r="BR252" s="21">
        <v>273.71300000000002</v>
      </c>
      <c r="BS252" s="21">
        <v>-1.4331099999999999E-2</v>
      </c>
      <c r="BT252" s="21">
        <v>242</v>
      </c>
      <c r="BU252" s="21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0.50643899999999997</v>
      </c>
      <c r="H253" s="21">
        <v>49.411299999999997</v>
      </c>
      <c r="I253" s="21">
        <v>-1.58295E-2</v>
      </c>
      <c r="J253" s="21">
        <v>243</v>
      </c>
      <c r="K253" s="21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1">
        <v>1.1236600000000001</v>
      </c>
      <c r="P253" s="21">
        <v>98.793800000000005</v>
      </c>
      <c r="Q253" s="21">
        <v>-1.47308E-2</v>
      </c>
      <c r="R253" s="21">
        <v>243</v>
      </c>
      <c r="S253" s="21">
        <v>1.1221300000000001</v>
      </c>
      <c r="T253">
        <f t="shared" si="50"/>
        <v>14.7308</v>
      </c>
      <c r="U253">
        <f t="shared" si="51"/>
        <v>16.552410728000002</v>
      </c>
      <c r="X253" s="9"/>
      <c r="Y253" s="21">
        <v>0.50643899999999997</v>
      </c>
      <c r="Z253" s="21">
        <v>51.495399999999997</v>
      </c>
      <c r="AA253" s="21">
        <v>-1.5643299999999999E-2</v>
      </c>
      <c r="AB253" s="21">
        <v>243</v>
      </c>
      <c r="AC253" s="21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1">
        <v>1.1236600000000001</v>
      </c>
      <c r="AH253" s="21">
        <v>76.480400000000003</v>
      </c>
      <c r="AI253" s="21">
        <v>-1.43921E-2</v>
      </c>
      <c r="AJ253" s="21">
        <v>243</v>
      </c>
      <c r="AK253" s="21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1">
        <v>0.50643899999999997</v>
      </c>
      <c r="AR253" s="21">
        <v>125.881</v>
      </c>
      <c r="AS253" s="21">
        <v>-1.5573099999999999E-2</v>
      </c>
      <c r="AT253" s="21">
        <v>243</v>
      </c>
      <c r="AU253" s="21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1">
        <v>1.1236600000000001</v>
      </c>
      <c r="AZ253" s="21">
        <v>175.167</v>
      </c>
      <c r="BA253" s="21">
        <v>-1.42822E-2</v>
      </c>
      <c r="BB253" s="21">
        <v>243</v>
      </c>
      <c r="BC253" s="21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1">
        <v>0.50643899999999997</v>
      </c>
      <c r="BJ253" s="21">
        <v>224.518</v>
      </c>
      <c r="BK253" s="21">
        <v>-1.5545700000000001E-2</v>
      </c>
      <c r="BL253" s="21">
        <v>243</v>
      </c>
      <c r="BM253" s="21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1">
        <v>1.1236600000000001</v>
      </c>
      <c r="BR253" s="21">
        <v>273.72300000000001</v>
      </c>
      <c r="BS253" s="21">
        <v>-1.4312699999999999E-2</v>
      </c>
      <c r="BT253" s="21">
        <v>243</v>
      </c>
      <c r="BU253" s="21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0.50140399999999996</v>
      </c>
      <c r="H254" s="21">
        <v>49.421399999999998</v>
      </c>
      <c r="I254" s="21">
        <v>-1.58295E-2</v>
      </c>
      <c r="J254" s="21">
        <v>244</v>
      </c>
      <c r="K254" s="21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1">
        <v>1.12869</v>
      </c>
      <c r="P254" s="21">
        <v>98.803799999999995</v>
      </c>
      <c r="Q254" s="21">
        <v>-1.47095E-2</v>
      </c>
      <c r="R254" s="21">
        <v>244</v>
      </c>
      <c r="S254" s="21">
        <v>1.1279300000000001</v>
      </c>
      <c r="T254">
        <f t="shared" si="50"/>
        <v>14.7095</v>
      </c>
      <c r="U254">
        <f t="shared" si="51"/>
        <v>16.602465554999998</v>
      </c>
      <c r="X254" s="9"/>
      <c r="Y254" s="21">
        <v>0.50140399999999996</v>
      </c>
      <c r="Z254" s="21">
        <v>51.505499999999998</v>
      </c>
      <c r="AA254" s="21">
        <v>-1.5640299999999999E-2</v>
      </c>
      <c r="AB254" s="21">
        <v>244</v>
      </c>
      <c r="AC254" s="21">
        <v>0.50061</v>
      </c>
      <c r="AD254">
        <f t="shared" si="52"/>
        <v>15.6403</v>
      </c>
      <c r="AE254">
        <f t="shared" si="53"/>
        <v>7.8421089811999991</v>
      </c>
      <c r="AF254" s="9"/>
      <c r="AG254" s="21">
        <v>1.12869</v>
      </c>
      <c r="AH254" s="21">
        <v>76.490399999999994</v>
      </c>
      <c r="AI254" s="21">
        <v>-1.43707E-2</v>
      </c>
      <c r="AJ254" s="21">
        <v>244</v>
      </c>
      <c r="AK254" s="21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1">
        <v>0.50140399999999996</v>
      </c>
      <c r="AR254" s="21">
        <v>125.89100000000001</v>
      </c>
      <c r="AS254" s="21">
        <v>-1.55792E-2</v>
      </c>
      <c r="AT254" s="21">
        <v>244</v>
      </c>
      <c r="AU254" s="21">
        <v>0.500641</v>
      </c>
      <c r="AV254">
        <f t="shared" si="56"/>
        <v>15.5792</v>
      </c>
      <c r="AW254">
        <f t="shared" si="57"/>
        <v>7.8114731967999997</v>
      </c>
      <c r="AX254" s="9"/>
      <c r="AY254" s="21">
        <v>1.12869</v>
      </c>
      <c r="AZ254" s="21">
        <v>175.17699999999999</v>
      </c>
      <c r="BA254" s="21">
        <v>-1.42487E-2</v>
      </c>
      <c r="BB254" s="21">
        <v>244</v>
      </c>
      <c r="BC254" s="21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1">
        <v>0.50140399999999996</v>
      </c>
      <c r="BJ254" s="21">
        <v>224.52799999999999</v>
      </c>
      <c r="BK254" s="21">
        <v>-1.55579E-2</v>
      </c>
      <c r="BL254" s="21">
        <v>244</v>
      </c>
      <c r="BM254" s="21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1">
        <v>1.12869</v>
      </c>
      <c r="BR254" s="21">
        <v>273.733</v>
      </c>
      <c r="BS254" s="21">
        <v>-1.42822E-2</v>
      </c>
      <c r="BT254" s="21">
        <v>244</v>
      </c>
      <c r="BU254" s="21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0.49636799999999998</v>
      </c>
      <c r="H255" s="21">
        <v>49.4315</v>
      </c>
      <c r="I255" s="21">
        <v>-1.58417E-2</v>
      </c>
      <c r="J255" s="21">
        <v>245</v>
      </c>
      <c r="K255" s="21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1">
        <v>1.1337299999999999</v>
      </c>
      <c r="P255" s="21">
        <v>98.813900000000004</v>
      </c>
      <c r="Q255" s="21">
        <v>-1.4678999999999999E-2</v>
      </c>
      <c r="R255" s="21">
        <v>245</v>
      </c>
      <c r="S255" s="21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1">
        <v>0.49636799999999998</v>
      </c>
      <c r="Z255" s="21">
        <v>51.515500000000003</v>
      </c>
      <c r="AA255" s="21">
        <v>-1.56372E-2</v>
      </c>
      <c r="AB255" s="21">
        <v>245</v>
      </c>
      <c r="AC255" s="21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1">
        <v>1.1337299999999999</v>
      </c>
      <c r="AH255" s="21">
        <v>76.500500000000002</v>
      </c>
      <c r="AI255" s="21">
        <v>-1.43433E-2</v>
      </c>
      <c r="AJ255" s="21">
        <v>245</v>
      </c>
      <c r="AK255" s="21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1">
        <v>0.49636799999999998</v>
      </c>
      <c r="AR255" s="21">
        <v>125.901</v>
      </c>
      <c r="AS255" s="21">
        <v>-1.55914E-2</v>
      </c>
      <c r="AT255" s="21">
        <v>245</v>
      </c>
      <c r="AU255" s="21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1">
        <v>1.1337299999999999</v>
      </c>
      <c r="AZ255" s="21">
        <v>175.18700000000001</v>
      </c>
      <c r="BA255" s="21">
        <v>-1.42273E-2</v>
      </c>
      <c r="BB255" s="21">
        <v>245</v>
      </c>
      <c r="BC255" s="21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1">
        <v>0.49636799999999998</v>
      </c>
      <c r="BJ255" s="21">
        <v>224.53800000000001</v>
      </c>
      <c r="BK255" s="21">
        <v>-1.5564E-2</v>
      </c>
      <c r="BL255" s="21">
        <v>245</v>
      </c>
      <c r="BM255" s="21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1">
        <v>1.1337299999999999</v>
      </c>
      <c r="BR255" s="21">
        <v>273.74299999999999</v>
      </c>
      <c r="BS255" s="21">
        <v>-1.42548E-2</v>
      </c>
      <c r="BT255" s="21">
        <v>245</v>
      </c>
      <c r="BU255" s="21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0.49133300000000002</v>
      </c>
      <c r="H256" s="21">
        <v>49.441600000000001</v>
      </c>
      <c r="I256" s="21">
        <v>-1.5847799999999999E-2</v>
      </c>
      <c r="J256" s="21">
        <v>246</v>
      </c>
      <c r="K256" s="21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1">
        <v>1.13876</v>
      </c>
      <c r="P256" s="21">
        <v>98.823999999999998</v>
      </c>
      <c r="Q256" s="21">
        <v>-1.46515E-2</v>
      </c>
      <c r="R256" s="21">
        <v>246</v>
      </c>
      <c r="S256" s="21">
        <v>1.1379999999999999</v>
      </c>
      <c r="T256">
        <f t="shared" si="50"/>
        <v>14.6515</v>
      </c>
      <c r="U256">
        <f t="shared" si="51"/>
        <v>16.684542140000001</v>
      </c>
      <c r="X256" s="9"/>
      <c r="Y256" s="21">
        <v>0.49133300000000002</v>
      </c>
      <c r="Z256" s="21">
        <v>51.525599999999997</v>
      </c>
      <c r="AA256" s="21">
        <v>-1.5640299999999999E-2</v>
      </c>
      <c r="AB256" s="21">
        <v>246</v>
      </c>
      <c r="AC256" s="21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1">
        <v>1.13876</v>
      </c>
      <c r="AH256" s="21">
        <v>76.510599999999997</v>
      </c>
      <c r="AI256" s="21">
        <v>-1.4306599999999999E-2</v>
      </c>
      <c r="AJ256" s="21">
        <v>246</v>
      </c>
      <c r="AK256" s="21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1">
        <v>0.49133300000000002</v>
      </c>
      <c r="AR256" s="21">
        <v>125.911</v>
      </c>
      <c r="AS256" s="21">
        <v>-1.56036E-2</v>
      </c>
      <c r="AT256" s="21">
        <v>246</v>
      </c>
      <c r="AU256" s="21">
        <v>0.490479</v>
      </c>
      <c r="AV256">
        <f t="shared" si="56"/>
        <v>15.6036</v>
      </c>
      <c r="AW256">
        <f t="shared" si="57"/>
        <v>7.6665635988000007</v>
      </c>
      <c r="AX256" s="9"/>
      <c r="AY256" s="21">
        <v>1.13876</v>
      </c>
      <c r="AZ256" s="21">
        <v>175.197</v>
      </c>
      <c r="BA256" s="21">
        <v>-1.42059E-2</v>
      </c>
      <c r="BB256" s="21">
        <v>246</v>
      </c>
      <c r="BC256" s="21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1">
        <v>0.49133300000000002</v>
      </c>
      <c r="BJ256" s="21">
        <v>224.548</v>
      </c>
      <c r="BK256" s="21">
        <v>-1.5564E-2</v>
      </c>
      <c r="BL256" s="21">
        <v>246</v>
      </c>
      <c r="BM256" s="21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1">
        <v>1.13876</v>
      </c>
      <c r="BR256" s="21">
        <v>273.75299999999999</v>
      </c>
      <c r="BS256" s="21">
        <v>-1.42303E-2</v>
      </c>
      <c r="BT256" s="21">
        <v>246</v>
      </c>
      <c r="BU256" s="21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0.48629800000000001</v>
      </c>
      <c r="H257" s="21">
        <v>49.451599999999999</v>
      </c>
      <c r="I257" s="21">
        <v>-1.5853900000000001E-2</v>
      </c>
      <c r="J257" s="21">
        <v>247</v>
      </c>
      <c r="K257" s="21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1">
        <v>1.1437999999999999</v>
      </c>
      <c r="P257" s="21">
        <v>98.834100000000007</v>
      </c>
      <c r="Q257" s="21">
        <v>-1.4624E-2</v>
      </c>
      <c r="R257" s="21">
        <v>247</v>
      </c>
      <c r="S257" s="21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1">
        <v>0.48629800000000001</v>
      </c>
      <c r="Z257" s="21">
        <v>51.535699999999999</v>
      </c>
      <c r="AA257" s="21">
        <v>-1.5658600000000002E-2</v>
      </c>
      <c r="AB257" s="21">
        <v>247</v>
      </c>
      <c r="AC257" s="21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1">
        <v>1.1437999999999999</v>
      </c>
      <c r="AH257" s="21">
        <v>76.520600000000002</v>
      </c>
      <c r="AI257" s="21">
        <v>-1.42761E-2</v>
      </c>
      <c r="AJ257" s="21">
        <v>247</v>
      </c>
      <c r="AK257" s="21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1">
        <v>0.48629800000000001</v>
      </c>
      <c r="AR257" s="21">
        <v>125.92100000000001</v>
      </c>
      <c r="AS257" s="21">
        <v>-1.5621899999999999E-2</v>
      </c>
      <c r="AT257" s="21">
        <v>247</v>
      </c>
      <c r="AU257" s="21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1">
        <v>1.1437999999999999</v>
      </c>
      <c r="AZ257" s="21">
        <v>175.208</v>
      </c>
      <c r="BA257" s="21">
        <v>-1.41876E-2</v>
      </c>
      <c r="BB257" s="21">
        <v>247</v>
      </c>
      <c r="BC257" s="21">
        <v>1.1431899999999999</v>
      </c>
      <c r="BD257">
        <f t="shared" si="58"/>
        <v>14.1876</v>
      </c>
      <c r="BE257">
        <f t="shared" si="59"/>
        <v>16.22777688</v>
      </c>
      <c r="BH257" s="9"/>
      <c r="BI257" s="21">
        <v>0.48629800000000001</v>
      </c>
      <c r="BJ257" s="21">
        <v>224.55799999999999</v>
      </c>
      <c r="BK257" s="21">
        <v>-1.5566999999999999E-2</v>
      </c>
      <c r="BL257" s="21">
        <v>247</v>
      </c>
      <c r="BM257" s="21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1">
        <v>1.1437999999999999</v>
      </c>
      <c r="BR257" s="21">
        <v>273.76299999999998</v>
      </c>
      <c r="BS257" s="21">
        <v>-1.42059E-2</v>
      </c>
      <c r="BT257" s="21">
        <v>247</v>
      </c>
      <c r="BU257" s="21">
        <v>1.1425799999999999</v>
      </c>
      <c r="BV257">
        <f t="shared" si="62"/>
        <v>14.2059</v>
      </c>
      <c r="BW257">
        <f t="shared" si="63"/>
        <v>16.24870842</v>
      </c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0.48126200000000002</v>
      </c>
      <c r="H258" s="21">
        <v>49.4617</v>
      </c>
      <c r="I258" s="21">
        <v>-1.5853900000000001E-2</v>
      </c>
      <c r="J258" s="21">
        <v>248</v>
      </c>
      <c r="K258" s="21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1">
        <v>1.14883</v>
      </c>
      <c r="P258" s="21">
        <v>98.844099999999997</v>
      </c>
      <c r="Q258" s="21">
        <v>-1.45874E-2</v>
      </c>
      <c r="R258" s="21">
        <v>248</v>
      </c>
      <c r="S258" s="21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1">
        <v>0.48126200000000002</v>
      </c>
      <c r="Z258" s="21">
        <v>51.545699999999997</v>
      </c>
      <c r="AA258" s="21">
        <v>-1.5661600000000001E-2</v>
      </c>
      <c r="AB258" s="21">
        <v>248</v>
      </c>
      <c r="AC258" s="21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1">
        <v>1.14883</v>
      </c>
      <c r="AH258" s="21">
        <v>76.530699999999996</v>
      </c>
      <c r="AI258" s="21">
        <v>-1.42548E-2</v>
      </c>
      <c r="AJ258" s="21">
        <v>248</v>
      </c>
      <c r="AK258" s="21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1">
        <v>0.48126200000000002</v>
      </c>
      <c r="AR258" s="21">
        <v>125.931</v>
      </c>
      <c r="AS258" s="21">
        <v>-1.5631099999999998E-2</v>
      </c>
      <c r="AT258" s="21">
        <v>248</v>
      </c>
      <c r="AU258" s="21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1">
        <v>1.14883</v>
      </c>
      <c r="AZ258" s="21">
        <v>175.21799999999999</v>
      </c>
      <c r="BA258" s="21">
        <v>-1.41663E-2</v>
      </c>
      <c r="BB258" s="21">
        <v>248</v>
      </c>
      <c r="BC258" s="21">
        <v>1.1480699999999999</v>
      </c>
      <c r="BD258">
        <f t="shared" si="58"/>
        <v>14.1663</v>
      </c>
      <c r="BE258">
        <f t="shared" si="59"/>
        <v>16.274670429</v>
      </c>
      <c r="BH258" s="9"/>
      <c r="BI258" s="21">
        <v>0.48126200000000002</v>
      </c>
      <c r="BJ258" s="21">
        <v>224.56800000000001</v>
      </c>
      <c r="BK258" s="21">
        <v>-1.5573099999999999E-2</v>
      </c>
      <c r="BL258" s="21">
        <v>248</v>
      </c>
      <c r="BM258" s="21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1">
        <v>1.14883</v>
      </c>
      <c r="BR258" s="21">
        <v>273.77300000000002</v>
      </c>
      <c r="BS258" s="21">
        <v>-1.41815E-2</v>
      </c>
      <c r="BT258" s="21">
        <v>248</v>
      </c>
      <c r="BU258" s="21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0.47622700000000001</v>
      </c>
      <c r="H259" s="21">
        <v>49.471800000000002</v>
      </c>
      <c r="I259" s="21">
        <v>-1.5850800000000002E-2</v>
      </c>
      <c r="J259" s="21">
        <v>249</v>
      </c>
      <c r="K259" s="21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1">
        <v>1.15387</v>
      </c>
      <c r="P259" s="21">
        <v>98.854200000000006</v>
      </c>
      <c r="Q259" s="21">
        <v>-1.45477E-2</v>
      </c>
      <c r="R259" s="21">
        <v>249</v>
      </c>
      <c r="S259" s="21">
        <v>1.15326</v>
      </c>
      <c r="T259">
        <f t="shared" si="50"/>
        <v>14.547700000000001</v>
      </c>
      <c r="U259">
        <f t="shared" si="51"/>
        <v>16.786154599</v>
      </c>
      <c r="X259" s="9"/>
      <c r="Y259" s="21">
        <v>0.47622700000000001</v>
      </c>
      <c r="Z259" s="21">
        <v>51.555799999999998</v>
      </c>
      <c r="AA259" s="21">
        <v>-1.5661600000000001E-2</v>
      </c>
      <c r="AB259" s="21">
        <v>249</v>
      </c>
      <c r="AC259" s="21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1">
        <v>1.15387</v>
      </c>
      <c r="AH259" s="21">
        <v>76.540800000000004</v>
      </c>
      <c r="AI259" s="21">
        <v>-1.4236499999999999E-2</v>
      </c>
      <c r="AJ259" s="21">
        <v>249</v>
      </c>
      <c r="AK259" s="21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1">
        <v>0.47622700000000001</v>
      </c>
      <c r="AR259" s="21">
        <v>125.941</v>
      </c>
      <c r="AS259" s="21">
        <v>-1.5634200000000001E-2</v>
      </c>
      <c r="AT259" s="21">
        <v>249</v>
      </c>
      <c r="AU259" s="21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1">
        <v>1.15387</v>
      </c>
      <c r="AZ259" s="21">
        <v>175.22800000000001</v>
      </c>
      <c r="BA259" s="21">
        <v>-1.41418E-2</v>
      </c>
      <c r="BB259" s="21">
        <v>249</v>
      </c>
      <c r="BC259" s="21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1">
        <v>0.47622700000000001</v>
      </c>
      <c r="BJ259" s="21">
        <v>224.578</v>
      </c>
      <c r="BK259" s="21">
        <v>-1.5566999999999999E-2</v>
      </c>
      <c r="BL259" s="21">
        <v>249</v>
      </c>
      <c r="BM259" s="21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1">
        <v>1.15387</v>
      </c>
      <c r="BR259" s="21">
        <v>273.78399999999999</v>
      </c>
      <c r="BS259" s="21">
        <v>-1.41602E-2</v>
      </c>
      <c r="BT259" s="21">
        <v>249</v>
      </c>
      <c r="BU259" s="21">
        <v>1.15326</v>
      </c>
      <c r="BV259">
        <f t="shared" si="62"/>
        <v>14.1602</v>
      </c>
      <c r="BW259">
        <f t="shared" si="63"/>
        <v>16.339029973999999</v>
      </c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0.47119100000000003</v>
      </c>
      <c r="H260" s="21">
        <v>49.4818</v>
      </c>
      <c r="I260" s="21">
        <v>-1.58447E-2</v>
      </c>
      <c r="J260" s="21">
        <v>250</v>
      </c>
      <c r="K260" s="21">
        <v>0.47049000000000002</v>
      </c>
      <c r="L260">
        <f t="shared" si="48"/>
        <v>15.8447</v>
      </c>
      <c r="M260">
        <f t="shared" si="49"/>
        <v>7.4658800376999999</v>
      </c>
      <c r="N260" s="9"/>
      <c r="O260" s="21">
        <v>1.1589100000000001</v>
      </c>
      <c r="P260" s="21">
        <v>98.8643</v>
      </c>
      <c r="Q260" s="21">
        <v>-1.4508099999999999E-2</v>
      </c>
      <c r="R260" s="21">
        <v>250</v>
      </c>
      <c r="S260" s="21">
        <v>1.15784</v>
      </c>
      <c r="T260">
        <f t="shared" si="50"/>
        <v>14.508099999999999</v>
      </c>
      <c r="U260">
        <f t="shared" si="51"/>
        <v>16.813582171</v>
      </c>
      <c r="X260" s="9"/>
      <c r="Y260" s="21">
        <v>0.47119100000000003</v>
      </c>
      <c r="Z260" s="21">
        <v>51.565899999999999</v>
      </c>
      <c r="AA260" s="21">
        <v>-1.5661600000000001E-2</v>
      </c>
      <c r="AB260" s="21">
        <v>250</v>
      </c>
      <c r="AC260" s="21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1">
        <v>1.1589100000000001</v>
      </c>
      <c r="AH260" s="21">
        <v>76.550899999999999</v>
      </c>
      <c r="AI260" s="21">
        <v>-1.4202899999999999E-2</v>
      </c>
      <c r="AJ260" s="21">
        <v>250</v>
      </c>
      <c r="AK260" s="21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1">
        <v>0.47119100000000003</v>
      </c>
      <c r="AR260" s="21">
        <v>125.95099999999999</v>
      </c>
      <c r="AS260" s="21">
        <v>-1.56372E-2</v>
      </c>
      <c r="AT260" s="21">
        <v>250</v>
      </c>
      <c r="AU260" s="21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1">
        <v>1.1589100000000001</v>
      </c>
      <c r="AZ260" s="21">
        <v>175.238</v>
      </c>
      <c r="BA260" s="21">
        <v>-1.41266E-2</v>
      </c>
      <c r="BB260" s="21">
        <v>250</v>
      </c>
      <c r="BC260" s="21">
        <v>1.15784</v>
      </c>
      <c r="BD260">
        <f t="shared" si="58"/>
        <v>14.1266</v>
      </c>
      <c r="BE260">
        <f t="shared" si="59"/>
        <v>16.371458006000001</v>
      </c>
      <c r="BH260" s="9"/>
      <c r="BI260" s="21">
        <v>0.47119100000000003</v>
      </c>
      <c r="BJ260" s="21">
        <v>224.58799999999999</v>
      </c>
      <c r="BK260" s="21">
        <v>-1.5566999999999999E-2</v>
      </c>
      <c r="BL260" s="21">
        <v>250</v>
      </c>
      <c r="BM260" s="21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1">
        <v>1.1589100000000001</v>
      </c>
      <c r="BR260" s="21">
        <v>273.79399999999998</v>
      </c>
      <c r="BS260" s="21">
        <v>-1.41388E-2</v>
      </c>
      <c r="BT260" s="21">
        <v>250</v>
      </c>
      <c r="BU260" s="21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0.46615600000000001</v>
      </c>
      <c r="H261" s="21">
        <v>49.491900000000001</v>
      </c>
      <c r="I261" s="21">
        <v>-1.58447E-2</v>
      </c>
      <c r="J261" s="21">
        <v>251</v>
      </c>
      <c r="K261" s="21">
        <v>0.46536300000000003</v>
      </c>
      <c r="L261">
        <f t="shared" si="48"/>
        <v>15.8447</v>
      </c>
      <c r="M261">
        <f t="shared" si="49"/>
        <v>7.3861019731999997</v>
      </c>
      <c r="N261" s="9"/>
      <c r="O261" s="21">
        <v>1.16394</v>
      </c>
      <c r="P261" s="21">
        <v>98.874300000000005</v>
      </c>
      <c r="Q261" s="21">
        <v>-1.44806E-2</v>
      </c>
      <c r="R261" s="21">
        <v>251</v>
      </c>
      <c r="S261" s="21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1">
        <v>0.46615600000000001</v>
      </c>
      <c r="Z261" s="21">
        <v>51.576000000000001</v>
      </c>
      <c r="AA261" s="21">
        <v>-1.5658600000000002E-2</v>
      </c>
      <c r="AB261" s="21">
        <v>251</v>
      </c>
      <c r="AC261" s="21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1">
        <v>1.16394</v>
      </c>
      <c r="AH261" s="21">
        <v>76.560900000000004</v>
      </c>
      <c r="AI261" s="21">
        <v>-1.41876E-2</v>
      </c>
      <c r="AJ261" s="21">
        <v>251</v>
      </c>
      <c r="AK261" s="21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1">
        <v>0.46615600000000001</v>
      </c>
      <c r="AR261" s="21">
        <v>125.961</v>
      </c>
      <c r="AS261" s="21">
        <v>-1.5631099999999998E-2</v>
      </c>
      <c r="AT261" s="21">
        <v>251</v>
      </c>
      <c r="AU261" s="21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1">
        <v>1.16394</v>
      </c>
      <c r="AZ261" s="21">
        <v>175.24799999999999</v>
      </c>
      <c r="BA261" s="21">
        <v>-1.4108300000000001E-2</v>
      </c>
      <c r="BB261" s="21">
        <v>251</v>
      </c>
      <c r="BC261" s="21">
        <v>1.16272</v>
      </c>
      <c r="BD261">
        <f t="shared" si="58"/>
        <v>14.1083</v>
      </c>
      <c r="BE261">
        <f t="shared" si="59"/>
        <v>16.421214702</v>
      </c>
      <c r="BH261" s="9"/>
      <c r="BI261" s="21">
        <v>0.46615600000000001</v>
      </c>
      <c r="BJ261" s="21">
        <v>224.59800000000001</v>
      </c>
      <c r="BK261" s="21">
        <v>-1.55701E-2</v>
      </c>
      <c r="BL261" s="21">
        <v>251</v>
      </c>
      <c r="BM261" s="21">
        <v>0.465393</v>
      </c>
      <c r="BN261">
        <f t="shared" si="60"/>
        <v>15.5701</v>
      </c>
      <c r="BO261">
        <f t="shared" si="61"/>
        <v>7.2580955355999999</v>
      </c>
      <c r="BP261" s="9"/>
      <c r="BQ261" s="21">
        <v>1.16394</v>
      </c>
      <c r="BR261" s="21">
        <v>273.80399999999997</v>
      </c>
      <c r="BS261" s="21">
        <v>-1.41174E-2</v>
      </c>
      <c r="BT261" s="21">
        <v>251</v>
      </c>
      <c r="BU261" s="21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0.461121</v>
      </c>
      <c r="H262" s="21">
        <v>49.502000000000002</v>
      </c>
      <c r="I262" s="21">
        <v>-1.5847799999999999E-2</v>
      </c>
      <c r="J262" s="21">
        <v>252</v>
      </c>
      <c r="K262" s="21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1">
        <v>1.1689799999999999</v>
      </c>
      <c r="P262" s="21">
        <v>98.884399999999999</v>
      </c>
      <c r="Q262" s="21">
        <v>-1.44592E-2</v>
      </c>
      <c r="R262" s="21">
        <v>252</v>
      </c>
      <c r="S262" s="21">
        <v>1.16791</v>
      </c>
      <c r="T262">
        <f t="shared" si="50"/>
        <v>14.459200000000001</v>
      </c>
      <c r="U262">
        <f t="shared" si="51"/>
        <v>16.902515615999999</v>
      </c>
      <c r="X262" s="9"/>
      <c r="Y262" s="21">
        <v>0.461121</v>
      </c>
      <c r="Z262" s="21">
        <v>51.585999999999999</v>
      </c>
      <c r="AA262" s="21">
        <v>-1.5670799999999999E-2</v>
      </c>
      <c r="AB262" s="21">
        <v>252</v>
      </c>
      <c r="AC262" s="21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1">
        <v>1.1689799999999999</v>
      </c>
      <c r="AH262" s="21">
        <v>76.570999999999998</v>
      </c>
      <c r="AI262" s="21">
        <v>-1.4169299999999999E-2</v>
      </c>
      <c r="AJ262" s="21">
        <v>252</v>
      </c>
      <c r="AK262" s="21">
        <v>1.16791</v>
      </c>
      <c r="AL262">
        <f t="shared" si="54"/>
        <v>14.1693</v>
      </c>
      <c r="AM262">
        <f t="shared" si="55"/>
        <v>16.563628313999999</v>
      </c>
      <c r="AP262" s="9"/>
      <c r="AQ262" s="21">
        <v>0.461121</v>
      </c>
      <c r="AR262" s="21">
        <v>125.971</v>
      </c>
      <c r="AS262" s="21">
        <v>-1.56189E-2</v>
      </c>
      <c r="AT262" s="21">
        <v>252</v>
      </c>
      <c r="AU262" s="21">
        <v>0.46029700000000001</v>
      </c>
      <c r="AV262">
        <f t="shared" si="56"/>
        <v>15.6189</v>
      </c>
      <c r="AW262">
        <f t="shared" si="57"/>
        <v>7.2022027869</v>
      </c>
      <c r="AX262" s="9"/>
      <c r="AY262" s="21">
        <v>1.1689799999999999</v>
      </c>
      <c r="AZ262" s="21">
        <v>175.25800000000001</v>
      </c>
      <c r="BA262" s="21">
        <v>-1.4086899999999999E-2</v>
      </c>
      <c r="BB262" s="21">
        <v>252</v>
      </c>
      <c r="BC262" s="21">
        <v>1.1676</v>
      </c>
      <c r="BD262">
        <f t="shared" si="58"/>
        <v>14.0869</v>
      </c>
      <c r="BE262">
        <f t="shared" si="59"/>
        <v>16.467304362</v>
      </c>
      <c r="BH262" s="9"/>
      <c r="BI262" s="21">
        <v>0.461121</v>
      </c>
      <c r="BJ262" s="21">
        <v>224.608</v>
      </c>
      <c r="BK262" s="21">
        <v>-1.55792E-2</v>
      </c>
      <c r="BL262" s="21">
        <v>252</v>
      </c>
      <c r="BM262" s="21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1">
        <v>1.1689799999999999</v>
      </c>
      <c r="BR262" s="21">
        <v>273.81400000000002</v>
      </c>
      <c r="BS262" s="21">
        <v>-1.40839E-2</v>
      </c>
      <c r="BT262" s="21">
        <v>252</v>
      </c>
      <c r="BU262" s="21">
        <v>1.1676</v>
      </c>
      <c r="BV262">
        <f t="shared" si="62"/>
        <v>14.0839</v>
      </c>
      <c r="BW262">
        <f t="shared" si="63"/>
        <v>16.463797421999999</v>
      </c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0.45608500000000002</v>
      </c>
      <c r="H263" s="21">
        <v>49.512099999999997</v>
      </c>
      <c r="I263" s="21">
        <v>-1.5850800000000002E-2</v>
      </c>
      <c r="J263" s="21">
        <v>253</v>
      </c>
      <c r="K263" s="21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1">
        <v>1.17401</v>
      </c>
      <c r="P263" s="21">
        <v>98.894499999999994</v>
      </c>
      <c r="Q263" s="21">
        <v>-1.4434799999999999E-2</v>
      </c>
      <c r="R263" s="21">
        <v>253</v>
      </c>
      <c r="S263" s="21">
        <v>1.17249</v>
      </c>
      <c r="T263">
        <f t="shared" si="50"/>
        <v>14.434799999999999</v>
      </c>
      <c r="U263">
        <f t="shared" si="51"/>
        <v>16.946599547999998</v>
      </c>
      <c r="X263" s="9"/>
      <c r="Y263" s="21">
        <v>0.45608500000000002</v>
      </c>
      <c r="Z263" s="21">
        <v>51.5961</v>
      </c>
      <c r="AA263" s="21">
        <v>-1.5676900000000001E-2</v>
      </c>
      <c r="AB263" s="21">
        <v>253</v>
      </c>
      <c r="AC263" s="21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1">
        <v>1.17401</v>
      </c>
      <c r="AH263" s="21">
        <v>76.581100000000006</v>
      </c>
      <c r="AI263" s="21">
        <v>-1.41266E-2</v>
      </c>
      <c r="AJ263" s="21">
        <v>253</v>
      </c>
      <c r="AK263" s="21">
        <v>1.1731</v>
      </c>
      <c r="AL263">
        <f t="shared" si="54"/>
        <v>14.1266</v>
      </c>
      <c r="AM263">
        <f t="shared" si="55"/>
        <v>16.584769666</v>
      </c>
      <c r="AP263" s="9"/>
      <c r="AQ263" s="21">
        <v>0.45608500000000002</v>
      </c>
      <c r="AR263" s="21">
        <v>125.98099999999999</v>
      </c>
      <c r="AS263" s="21">
        <v>-1.56189E-2</v>
      </c>
      <c r="AT263" s="21">
        <v>253</v>
      </c>
      <c r="AU263" s="21">
        <v>0.455322</v>
      </c>
      <c r="AV263">
        <f t="shared" si="56"/>
        <v>15.6189</v>
      </c>
      <c r="AW263">
        <f t="shared" si="57"/>
        <v>7.1235460065000007</v>
      </c>
      <c r="AX263" s="9"/>
      <c r="AY263" s="21">
        <v>1.17401</v>
      </c>
      <c r="AZ263" s="21">
        <v>175.268</v>
      </c>
      <c r="BA263" s="21">
        <v>-1.40594E-2</v>
      </c>
      <c r="BB263" s="21">
        <v>253</v>
      </c>
      <c r="BC263" s="21">
        <v>1.17218</v>
      </c>
      <c r="BD263">
        <f t="shared" si="58"/>
        <v>14.0594</v>
      </c>
      <c r="BE263">
        <f t="shared" si="59"/>
        <v>16.505876193999999</v>
      </c>
      <c r="BH263" s="9"/>
      <c r="BI263" s="21">
        <v>0.45608500000000002</v>
      </c>
      <c r="BJ263" s="21">
        <v>224.61799999999999</v>
      </c>
      <c r="BK263" s="21">
        <v>-1.5588400000000001E-2</v>
      </c>
      <c r="BL263" s="21">
        <v>253</v>
      </c>
      <c r="BM263" s="21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1">
        <v>1.17401</v>
      </c>
      <c r="BR263" s="21">
        <v>273.82400000000001</v>
      </c>
      <c r="BS263" s="21">
        <v>-1.4047199999999999E-2</v>
      </c>
      <c r="BT263" s="21">
        <v>253</v>
      </c>
      <c r="BU263" s="21">
        <v>1.1734</v>
      </c>
      <c r="BV263">
        <f t="shared" si="62"/>
        <v>14.0472</v>
      </c>
      <c r="BW263">
        <f t="shared" si="63"/>
        <v>16.491553272000001</v>
      </c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0.45105000000000001</v>
      </c>
      <c r="H264" s="21">
        <v>49.522100000000002</v>
      </c>
      <c r="I264" s="21">
        <v>-1.5850800000000002E-2</v>
      </c>
      <c r="J264" s="21">
        <v>254</v>
      </c>
      <c r="K264" s="21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1">
        <v>1.1790499999999999</v>
      </c>
      <c r="P264" s="21">
        <v>98.904600000000002</v>
      </c>
      <c r="Q264" s="21">
        <v>-1.44043E-2</v>
      </c>
      <c r="R264" s="21">
        <v>254</v>
      </c>
      <c r="S264" s="21">
        <v>1.17828</v>
      </c>
      <c r="T264">
        <f t="shared" si="50"/>
        <v>14.404299999999999</v>
      </c>
      <c r="U264">
        <f t="shared" si="51"/>
        <v>16.983389914999997</v>
      </c>
      <c r="X264" s="9"/>
      <c r="Y264" s="21">
        <v>0.45105000000000001</v>
      </c>
      <c r="Z264" s="21">
        <v>51.606200000000001</v>
      </c>
      <c r="AA264" s="21">
        <v>-1.5682999999999999E-2</v>
      </c>
      <c r="AB264" s="21">
        <v>254</v>
      </c>
      <c r="AC264" s="21">
        <v>0.45022600000000002</v>
      </c>
      <c r="AD264">
        <f t="shared" si="52"/>
        <v>15.683</v>
      </c>
      <c r="AE264">
        <f t="shared" si="53"/>
        <v>7.07381715</v>
      </c>
      <c r="AF264" s="9"/>
      <c r="AG264" s="21">
        <v>1.1790499999999999</v>
      </c>
      <c r="AH264" s="21">
        <v>76.591099999999997</v>
      </c>
      <c r="AI264" s="21">
        <v>-1.4093E-2</v>
      </c>
      <c r="AJ264" s="21">
        <v>254</v>
      </c>
      <c r="AK264" s="21">
        <v>1.17828</v>
      </c>
      <c r="AL264">
        <f t="shared" si="54"/>
        <v>14.093</v>
      </c>
      <c r="AM264">
        <f t="shared" si="55"/>
        <v>16.616351649999999</v>
      </c>
      <c r="AP264" s="9"/>
      <c r="AQ264" s="21">
        <v>0.45105000000000001</v>
      </c>
      <c r="AR264" s="21">
        <v>125.992</v>
      </c>
      <c r="AS264" s="21">
        <v>-1.5634200000000001E-2</v>
      </c>
      <c r="AT264" s="21">
        <v>254</v>
      </c>
      <c r="AU264" s="21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1">
        <v>1.1790499999999999</v>
      </c>
      <c r="AZ264" s="21">
        <v>175.27799999999999</v>
      </c>
      <c r="BA264" s="21">
        <v>-1.4025900000000001E-2</v>
      </c>
      <c r="BB264" s="21">
        <v>254</v>
      </c>
      <c r="BC264" s="21">
        <v>1.17828</v>
      </c>
      <c r="BD264">
        <f t="shared" si="58"/>
        <v>14.0259</v>
      </c>
      <c r="BE264">
        <f t="shared" si="59"/>
        <v>16.537237394999998</v>
      </c>
      <c r="BH264" s="9"/>
      <c r="BI264" s="21">
        <v>0.45105000000000001</v>
      </c>
      <c r="BJ264" s="21">
        <v>224.62799999999999</v>
      </c>
      <c r="BK264" s="21">
        <v>-1.55792E-2</v>
      </c>
      <c r="BL264" s="21">
        <v>254</v>
      </c>
      <c r="BM264" s="21">
        <v>0.450378</v>
      </c>
      <c r="BN264">
        <f t="shared" si="60"/>
        <v>15.5792</v>
      </c>
      <c r="BO264">
        <f t="shared" si="61"/>
        <v>7.0269981599999998</v>
      </c>
      <c r="BP264" s="9"/>
      <c r="BQ264" s="21">
        <v>1.1790499999999999</v>
      </c>
      <c r="BR264" s="21">
        <v>273.834</v>
      </c>
      <c r="BS264" s="21">
        <v>-1.4019800000000001E-2</v>
      </c>
      <c r="BT264" s="21">
        <v>254</v>
      </c>
      <c r="BU264" s="21">
        <v>1.17828</v>
      </c>
      <c r="BV264">
        <f t="shared" si="62"/>
        <v>14.0198</v>
      </c>
      <c r="BW264">
        <f t="shared" si="63"/>
        <v>16.530045189999999</v>
      </c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0.44601400000000002</v>
      </c>
      <c r="H265" s="21">
        <v>49.532200000000003</v>
      </c>
      <c r="I265" s="21">
        <v>-1.5850800000000002E-2</v>
      </c>
      <c r="J265" s="21">
        <v>255</v>
      </c>
      <c r="K265" s="21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1">
        <v>1.18408</v>
      </c>
      <c r="P265" s="21">
        <v>98.914599999999993</v>
      </c>
      <c r="Q265" s="21">
        <v>-1.43707E-2</v>
      </c>
      <c r="R265" s="21">
        <v>255</v>
      </c>
      <c r="S265" s="21">
        <v>1.18347</v>
      </c>
      <c r="T265">
        <f t="shared" si="50"/>
        <v>14.370699999999999</v>
      </c>
      <c r="U265">
        <f t="shared" si="51"/>
        <v>17.016058456</v>
      </c>
      <c r="X265" s="9"/>
      <c r="Y265" s="21">
        <v>0.44601400000000002</v>
      </c>
      <c r="Z265" s="21">
        <v>51.616199999999999</v>
      </c>
      <c r="AA265" s="21">
        <v>-1.5689100000000001E-2</v>
      </c>
      <c r="AB265" s="21">
        <v>255</v>
      </c>
      <c r="AC265" s="21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1">
        <v>1.18408</v>
      </c>
      <c r="AH265" s="21">
        <v>76.601200000000006</v>
      </c>
      <c r="AI265" s="21">
        <v>-1.40594E-2</v>
      </c>
      <c r="AJ265" s="21">
        <v>255</v>
      </c>
      <c r="AK265" s="21">
        <v>1.1831700000000001</v>
      </c>
      <c r="AL265">
        <f t="shared" si="54"/>
        <v>14.0594</v>
      </c>
      <c r="AM265">
        <f t="shared" si="55"/>
        <v>16.647454352</v>
      </c>
      <c r="AP265" s="9"/>
      <c r="AQ265" s="21">
        <v>0.44601400000000002</v>
      </c>
      <c r="AR265" s="21">
        <v>126.002</v>
      </c>
      <c r="AS265" s="21">
        <v>-1.56372E-2</v>
      </c>
      <c r="AT265" s="21">
        <v>255</v>
      </c>
      <c r="AU265" s="21">
        <v>0.44518999999999997</v>
      </c>
      <c r="AV265">
        <f t="shared" si="56"/>
        <v>15.6372</v>
      </c>
      <c r="AW265">
        <f t="shared" si="57"/>
        <v>6.9744101208</v>
      </c>
      <c r="AX265" s="9"/>
      <c r="AY265" s="21">
        <v>1.18408</v>
      </c>
      <c r="AZ265" s="21">
        <v>175.28800000000001</v>
      </c>
      <c r="BA265" s="21">
        <v>-1.40045E-2</v>
      </c>
      <c r="BB265" s="21">
        <v>255</v>
      </c>
      <c r="BC265" s="21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1">
        <v>0.44601400000000002</v>
      </c>
      <c r="BJ265" s="21">
        <v>224.63900000000001</v>
      </c>
      <c r="BK265" s="21">
        <v>-1.55853E-2</v>
      </c>
      <c r="BL265" s="21">
        <v>255</v>
      </c>
      <c r="BM265" s="21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1">
        <v>1.18408</v>
      </c>
      <c r="BR265" s="21">
        <v>273.84399999999999</v>
      </c>
      <c r="BS265" s="21">
        <v>-1.3992299999999999E-2</v>
      </c>
      <c r="BT265" s="21">
        <v>255</v>
      </c>
      <c r="BU265" s="21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0.44097900000000001</v>
      </c>
      <c r="H266" s="21">
        <v>49.542299999999997</v>
      </c>
      <c r="I266" s="21">
        <v>-1.58417E-2</v>
      </c>
      <c r="J266" s="21">
        <v>256</v>
      </c>
      <c r="K266" s="21">
        <v>0.440247</v>
      </c>
      <c r="L266">
        <f t="shared" si="48"/>
        <v>15.841699999999999</v>
      </c>
      <c r="M266">
        <f t="shared" si="49"/>
        <v>6.9858570242999996</v>
      </c>
      <c r="N266" s="9"/>
      <c r="O266" s="21">
        <v>1.18912</v>
      </c>
      <c r="P266" s="21">
        <v>98.924700000000001</v>
      </c>
      <c r="Q266" s="21">
        <v>-1.4340200000000001E-2</v>
      </c>
      <c r="R266" s="21">
        <v>256</v>
      </c>
      <c r="S266" s="21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1">
        <v>0.44097900000000001</v>
      </c>
      <c r="Z266" s="21">
        <v>51.626300000000001</v>
      </c>
      <c r="AA266" s="21">
        <v>-1.5695199999999999E-2</v>
      </c>
      <c r="AB266" s="21">
        <v>256</v>
      </c>
      <c r="AC266" s="21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1">
        <v>1.18912</v>
      </c>
      <c r="AH266" s="21">
        <v>76.6113</v>
      </c>
      <c r="AI266" s="21">
        <v>-1.4031999999999999E-2</v>
      </c>
      <c r="AJ266" s="21">
        <v>256</v>
      </c>
      <c r="AK266" s="21">
        <v>1.18774</v>
      </c>
      <c r="AL266">
        <f t="shared" si="54"/>
        <v>14.032</v>
      </c>
      <c r="AM266">
        <f t="shared" si="55"/>
        <v>16.685731839999999</v>
      </c>
      <c r="AP266" s="9"/>
      <c r="AQ266" s="21">
        <v>0.44097900000000001</v>
      </c>
      <c r="AR266" s="21">
        <v>126.012</v>
      </c>
      <c r="AS266" s="21">
        <v>-1.5655499999999999E-2</v>
      </c>
      <c r="AT266" s="21">
        <v>256</v>
      </c>
      <c r="AU266" s="21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1">
        <v>1.18912</v>
      </c>
      <c r="AZ266" s="21">
        <v>175.298</v>
      </c>
      <c r="BA266" s="21">
        <v>-1.3974E-2</v>
      </c>
      <c r="BB266" s="21">
        <v>256</v>
      </c>
      <c r="BC266" s="21">
        <v>1.1880500000000001</v>
      </c>
      <c r="BD266">
        <f t="shared" si="58"/>
        <v>13.974</v>
      </c>
      <c r="BE266">
        <f t="shared" si="59"/>
        <v>16.61676288</v>
      </c>
      <c r="BH266" s="9"/>
      <c r="BI266" s="21">
        <v>0.44097900000000001</v>
      </c>
      <c r="BJ266" s="21">
        <v>224.649</v>
      </c>
      <c r="BK266" s="21">
        <v>-1.55914E-2</v>
      </c>
      <c r="BL266" s="21">
        <v>256</v>
      </c>
      <c r="BM266" s="21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1">
        <v>1.18912</v>
      </c>
      <c r="BR266" s="21">
        <v>273.85399999999998</v>
      </c>
      <c r="BS266" s="21">
        <v>-1.39557E-2</v>
      </c>
      <c r="BT266" s="21">
        <v>256</v>
      </c>
      <c r="BU266" s="21">
        <v>1.18774</v>
      </c>
      <c r="BV266">
        <f t="shared" si="62"/>
        <v>13.9557</v>
      </c>
      <c r="BW266">
        <f t="shared" si="63"/>
        <v>16.595001984</v>
      </c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0.435944</v>
      </c>
      <c r="H267" s="21">
        <v>49.552300000000002</v>
      </c>
      <c r="I267" s="21">
        <v>-1.58447E-2</v>
      </c>
      <c r="J267" s="21">
        <v>257</v>
      </c>
      <c r="K267" s="21">
        <v>0.43512000000000001</v>
      </c>
      <c r="L267">
        <f t="shared" si="48"/>
        <v>15.8447</v>
      </c>
      <c r="M267">
        <f t="shared" si="49"/>
        <v>6.9074018967999997</v>
      </c>
      <c r="N267" s="9"/>
      <c r="O267" s="21">
        <v>1.19415</v>
      </c>
      <c r="P267" s="21">
        <v>98.934799999999996</v>
      </c>
      <c r="Q267" s="21">
        <v>-1.4306599999999999E-2</v>
      </c>
      <c r="R267" s="21">
        <v>257</v>
      </c>
      <c r="S267" s="21">
        <v>1.1932400000000001</v>
      </c>
      <c r="T267">
        <f t="shared" si="50"/>
        <v>14.3066</v>
      </c>
      <c r="U267">
        <f t="shared" si="51"/>
        <v>17.084226390000001</v>
      </c>
      <c r="X267" s="9"/>
      <c r="Y267" s="21">
        <v>0.435944</v>
      </c>
      <c r="Z267" s="21">
        <v>51.636400000000002</v>
      </c>
      <c r="AA267" s="21">
        <v>-1.5704300000000001E-2</v>
      </c>
      <c r="AB267" s="21">
        <v>257</v>
      </c>
      <c r="AC267" s="21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1">
        <v>1.19415</v>
      </c>
      <c r="AH267" s="21">
        <v>76.621399999999994</v>
      </c>
      <c r="AI267" s="21">
        <v>-1.40045E-2</v>
      </c>
      <c r="AJ267" s="21">
        <v>257</v>
      </c>
      <c r="AK267" s="21">
        <v>1.19293</v>
      </c>
      <c r="AL267">
        <f t="shared" si="54"/>
        <v>14.0045</v>
      </c>
      <c r="AM267">
        <f t="shared" si="55"/>
        <v>16.723473675000001</v>
      </c>
      <c r="AP267" s="9"/>
      <c r="AQ267" s="21">
        <v>0.435944</v>
      </c>
      <c r="AR267" s="21">
        <v>126.02200000000001</v>
      </c>
      <c r="AS267" s="21">
        <v>-1.56647E-2</v>
      </c>
      <c r="AT267" s="21">
        <v>257</v>
      </c>
      <c r="AU267" s="21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1">
        <v>1.19415</v>
      </c>
      <c r="AZ267" s="21">
        <v>175.30799999999999</v>
      </c>
      <c r="BA267" s="21">
        <v>-1.39343E-2</v>
      </c>
      <c r="BB267" s="21">
        <v>257</v>
      </c>
      <c r="BC267" s="21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1">
        <v>0.435944</v>
      </c>
      <c r="BJ267" s="21">
        <v>224.65899999999999</v>
      </c>
      <c r="BK267" s="21">
        <v>-1.55975E-2</v>
      </c>
      <c r="BL267" s="21">
        <v>257</v>
      </c>
      <c r="BM267" s="21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1">
        <v>1.19415</v>
      </c>
      <c r="BR267" s="21">
        <v>273.86399999999998</v>
      </c>
      <c r="BS267" s="21">
        <v>-1.39191E-2</v>
      </c>
      <c r="BT267" s="21">
        <v>257</v>
      </c>
      <c r="BU267" s="21">
        <v>1.19293</v>
      </c>
      <c r="BV267">
        <f t="shared" si="62"/>
        <v>13.9191</v>
      </c>
      <c r="BW267">
        <f t="shared" si="63"/>
        <v>16.621493265000002</v>
      </c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0.43090800000000001</v>
      </c>
      <c r="H268" s="21">
        <v>49.562399999999997</v>
      </c>
      <c r="I268" s="21">
        <v>-1.58447E-2</v>
      </c>
      <c r="J268" s="21">
        <v>258</v>
      </c>
      <c r="K268" s="21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1">
        <v>1.19919</v>
      </c>
      <c r="P268" s="21">
        <v>98.944800000000001</v>
      </c>
      <c r="Q268" s="21">
        <v>-1.4267E-2</v>
      </c>
      <c r="R268" s="21">
        <v>258</v>
      </c>
      <c r="S268" s="21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1">
        <v>0.43090800000000001</v>
      </c>
      <c r="Z268" s="21">
        <v>51.646500000000003</v>
      </c>
      <c r="AA268" s="21">
        <v>-1.5713499999999998E-2</v>
      </c>
      <c r="AB268" s="21">
        <v>258</v>
      </c>
      <c r="AC268" s="21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1">
        <v>1.19919</v>
      </c>
      <c r="AH268" s="21">
        <v>76.631399999999999</v>
      </c>
      <c r="AI268" s="21">
        <v>-1.39709E-2</v>
      </c>
      <c r="AJ268" s="21">
        <v>258</v>
      </c>
      <c r="AK268" s="21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1">
        <v>0.43090800000000001</v>
      </c>
      <c r="AR268" s="21">
        <v>126.032</v>
      </c>
      <c r="AS268" s="21">
        <v>-1.5676900000000001E-2</v>
      </c>
      <c r="AT268" s="21">
        <v>258</v>
      </c>
      <c r="AU268" s="21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1">
        <v>1.19919</v>
      </c>
      <c r="AZ268" s="21">
        <v>175.31800000000001</v>
      </c>
      <c r="BA268" s="21">
        <v>-1.3903799999999999E-2</v>
      </c>
      <c r="BB268" s="21">
        <v>258</v>
      </c>
      <c r="BC268" s="21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1">
        <v>0.43090800000000001</v>
      </c>
      <c r="BJ268" s="21">
        <v>224.66900000000001</v>
      </c>
      <c r="BK268" s="21">
        <v>-1.5606699999999999E-2</v>
      </c>
      <c r="BL268" s="21">
        <v>258</v>
      </c>
      <c r="BM268" s="21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1">
        <v>1.19919</v>
      </c>
      <c r="BR268" s="21">
        <v>273.87400000000002</v>
      </c>
      <c r="BS268" s="21">
        <v>-1.38916E-2</v>
      </c>
      <c r="BT268" s="21">
        <v>258</v>
      </c>
      <c r="BU268" s="21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0.425873</v>
      </c>
      <c r="H269" s="21">
        <v>49.572499999999998</v>
      </c>
      <c r="I269" s="21">
        <v>-1.58447E-2</v>
      </c>
      <c r="J269" s="21">
        <v>259</v>
      </c>
      <c r="K269" s="21">
        <v>0.42510999999999999</v>
      </c>
      <c r="L269">
        <f t="shared" si="64"/>
        <v>15.8447</v>
      </c>
      <c r="M269">
        <f t="shared" si="65"/>
        <v>6.7478299230999994</v>
      </c>
      <c r="N269" s="9"/>
      <c r="O269" s="21">
        <v>1.2042200000000001</v>
      </c>
      <c r="P269" s="21">
        <v>98.954899999999995</v>
      </c>
      <c r="Q269" s="21">
        <v>-1.4224199999999999E-2</v>
      </c>
      <c r="R269" s="21">
        <v>259</v>
      </c>
      <c r="S269" s="21">
        <v>1.2030000000000001</v>
      </c>
      <c r="T269">
        <f t="shared" si="66"/>
        <v>14.2242</v>
      </c>
      <c r="U269">
        <f t="shared" si="67"/>
        <v>17.129066124000001</v>
      </c>
      <c r="X269" s="9"/>
      <c r="Y269" s="21">
        <v>0.425873</v>
      </c>
      <c r="Z269" s="21">
        <v>51.656500000000001</v>
      </c>
      <c r="AA269" s="21">
        <v>-1.5722699999999999E-2</v>
      </c>
      <c r="AB269" s="21">
        <v>259</v>
      </c>
      <c r="AC269" s="21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1">
        <v>1.2042200000000001</v>
      </c>
      <c r="AH269" s="21">
        <v>76.641499999999994</v>
      </c>
      <c r="AI269" s="21">
        <v>-1.3937400000000001E-2</v>
      </c>
      <c r="AJ269" s="21">
        <v>259</v>
      </c>
      <c r="AK269" s="21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1">
        <v>0.425873</v>
      </c>
      <c r="AR269" s="21">
        <v>126.042</v>
      </c>
      <c r="AS269" s="21">
        <v>-1.56921E-2</v>
      </c>
      <c r="AT269" s="21">
        <v>259</v>
      </c>
      <c r="AU269" s="21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1">
        <v>1.2042200000000001</v>
      </c>
      <c r="AZ269" s="21">
        <v>175.328</v>
      </c>
      <c r="BA269" s="21">
        <v>-1.3861099999999999E-2</v>
      </c>
      <c r="BB269" s="21">
        <v>259</v>
      </c>
      <c r="BC269" s="21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1">
        <v>0.425873</v>
      </c>
      <c r="BJ269" s="21">
        <v>224.679</v>
      </c>
      <c r="BK269" s="21">
        <v>-1.5615800000000001E-2</v>
      </c>
      <c r="BL269" s="21">
        <v>259</v>
      </c>
      <c r="BM269" s="21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1">
        <v>1.2042200000000001</v>
      </c>
      <c r="BR269" s="21">
        <v>273.88400000000001</v>
      </c>
      <c r="BS269" s="21">
        <v>-1.38672E-2</v>
      </c>
      <c r="BT269" s="21">
        <v>259</v>
      </c>
      <c r="BU269" s="21">
        <v>1.2033100000000001</v>
      </c>
      <c r="BV269">
        <f t="shared" si="78"/>
        <v>13.8672</v>
      </c>
      <c r="BW269">
        <f t="shared" si="79"/>
        <v>16.699159584</v>
      </c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0.42083700000000002</v>
      </c>
      <c r="H270" s="21">
        <v>49.582599999999999</v>
      </c>
      <c r="I270" s="21">
        <v>-1.58417E-2</v>
      </c>
      <c r="J270" s="21">
        <v>260</v>
      </c>
      <c r="K270" s="21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1">
        <v>1.20926</v>
      </c>
      <c r="P270" s="21">
        <v>98.965000000000003</v>
      </c>
      <c r="Q270" s="21">
        <v>-1.41876E-2</v>
      </c>
      <c r="R270" s="21">
        <v>260</v>
      </c>
      <c r="S270" s="21">
        <v>1.2081900000000001</v>
      </c>
      <c r="T270">
        <f t="shared" si="66"/>
        <v>14.1876</v>
      </c>
      <c r="U270">
        <f t="shared" si="67"/>
        <v>17.156497175999998</v>
      </c>
      <c r="X270" s="9"/>
      <c r="Y270" s="21">
        <v>0.42083700000000002</v>
      </c>
      <c r="Z270" s="21">
        <v>51.666600000000003</v>
      </c>
      <c r="AA270" s="21">
        <v>-1.5728800000000001E-2</v>
      </c>
      <c r="AB270" s="21">
        <v>260</v>
      </c>
      <c r="AC270" s="21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1">
        <v>1.20926</v>
      </c>
      <c r="AH270" s="21">
        <v>76.651600000000002</v>
      </c>
      <c r="AI270" s="21">
        <v>-1.3897700000000001E-2</v>
      </c>
      <c r="AJ270" s="21">
        <v>260</v>
      </c>
      <c r="AK270" s="21">
        <v>1.2084999999999999</v>
      </c>
      <c r="AL270">
        <f t="shared" si="70"/>
        <v>13.8977</v>
      </c>
      <c r="AM270">
        <f t="shared" si="71"/>
        <v>16.805932702</v>
      </c>
      <c r="AP270" s="9"/>
      <c r="AQ270" s="21">
        <v>0.42083700000000002</v>
      </c>
      <c r="AR270" s="21">
        <v>126.05200000000001</v>
      </c>
      <c r="AS270" s="21">
        <v>-1.56921E-2</v>
      </c>
      <c r="AT270" s="21">
        <v>260</v>
      </c>
      <c r="AU270" s="21">
        <v>0.42010500000000001</v>
      </c>
      <c r="AV270">
        <f t="shared" si="72"/>
        <v>15.6921</v>
      </c>
      <c r="AW270">
        <f t="shared" si="73"/>
        <v>6.6038162877</v>
      </c>
      <c r="AX270" s="9"/>
      <c r="AY270" s="21">
        <v>1.20926</v>
      </c>
      <c r="AZ270" s="21">
        <v>175.33799999999999</v>
      </c>
      <c r="BA270" s="21">
        <v>-1.38245E-2</v>
      </c>
      <c r="BB270" s="21">
        <v>260</v>
      </c>
      <c r="BC270" s="21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1">
        <v>0.42083700000000002</v>
      </c>
      <c r="BJ270" s="21">
        <v>224.68899999999999</v>
      </c>
      <c r="BK270" s="21">
        <v>-1.5628099999999999E-2</v>
      </c>
      <c r="BL270" s="21">
        <v>260</v>
      </c>
      <c r="BM270" s="21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1">
        <v>1.20926</v>
      </c>
      <c r="BR270" s="21">
        <v>273.89400000000001</v>
      </c>
      <c r="BS270" s="21">
        <v>-1.3848900000000001E-2</v>
      </c>
      <c r="BT270" s="21">
        <v>260</v>
      </c>
      <c r="BU270" s="21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0.415802</v>
      </c>
      <c r="H271" s="21">
        <v>49.592599999999997</v>
      </c>
      <c r="I271" s="21">
        <v>-1.58417E-2</v>
      </c>
      <c r="J271" s="21">
        <v>261</v>
      </c>
      <c r="K271" s="21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1">
        <v>1.2142900000000001</v>
      </c>
      <c r="P271" s="21">
        <v>98.975099999999998</v>
      </c>
      <c r="Q271" s="21">
        <v>-1.4151E-2</v>
      </c>
      <c r="R271" s="21">
        <v>261</v>
      </c>
      <c r="S271" s="21">
        <v>1.2133799999999999</v>
      </c>
      <c r="T271">
        <f t="shared" si="66"/>
        <v>14.151</v>
      </c>
      <c r="U271">
        <f t="shared" si="67"/>
        <v>17.18341779</v>
      </c>
      <c r="X271" s="9"/>
      <c r="Y271" s="21">
        <v>0.415802</v>
      </c>
      <c r="Z271" s="21">
        <v>51.676699999999997</v>
      </c>
      <c r="AA271" s="21">
        <v>-1.5731800000000001E-2</v>
      </c>
      <c r="AB271" s="21">
        <v>261</v>
      </c>
      <c r="AC271" s="21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1">
        <v>1.2142900000000001</v>
      </c>
      <c r="AH271" s="21">
        <v>76.661600000000007</v>
      </c>
      <c r="AI271" s="21">
        <v>-1.3861099999999999E-2</v>
      </c>
      <c r="AJ271" s="21">
        <v>261</v>
      </c>
      <c r="AK271" s="21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1">
        <v>0.415802</v>
      </c>
      <c r="AR271" s="21">
        <v>126.062</v>
      </c>
      <c r="AS271" s="21">
        <v>-1.5695199999999999E-2</v>
      </c>
      <c r="AT271" s="21">
        <v>261</v>
      </c>
      <c r="AU271" s="21">
        <v>0.41510000000000002</v>
      </c>
      <c r="AV271">
        <f t="shared" si="72"/>
        <v>15.6952</v>
      </c>
      <c r="AW271">
        <f t="shared" si="73"/>
        <v>6.5260955504</v>
      </c>
      <c r="AX271" s="9"/>
      <c r="AY271" s="21">
        <v>1.2142900000000001</v>
      </c>
      <c r="AZ271" s="21">
        <v>175.34899999999999</v>
      </c>
      <c r="BA271" s="21">
        <v>-1.37848E-2</v>
      </c>
      <c r="BB271" s="21">
        <v>261</v>
      </c>
      <c r="BC271" s="21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1">
        <v>0.415802</v>
      </c>
      <c r="BJ271" s="21">
        <v>224.69900000000001</v>
      </c>
      <c r="BK271" s="21">
        <v>-1.5640299999999999E-2</v>
      </c>
      <c r="BL271" s="21">
        <v>261</v>
      </c>
      <c r="BM271" s="21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1">
        <v>1.2142900000000001</v>
      </c>
      <c r="BR271" s="21">
        <v>273.904</v>
      </c>
      <c r="BS271" s="21">
        <v>-1.3821399999999999E-2</v>
      </c>
      <c r="BT271" s="21">
        <v>261</v>
      </c>
      <c r="BU271" s="21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0.41076699999999999</v>
      </c>
      <c r="H272" s="21">
        <v>49.602699999999999</v>
      </c>
      <c r="I272" s="21">
        <v>-1.5850800000000002E-2</v>
      </c>
      <c r="J272" s="21">
        <v>262</v>
      </c>
      <c r="K272" s="21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1">
        <v>1.21933</v>
      </c>
      <c r="P272" s="21">
        <v>98.985100000000003</v>
      </c>
      <c r="Q272" s="21">
        <v>-1.41052E-2</v>
      </c>
      <c r="R272" s="21">
        <v>262</v>
      </c>
      <c r="S272" s="21">
        <v>1.2182599999999999</v>
      </c>
      <c r="T272">
        <f t="shared" si="66"/>
        <v>14.1052</v>
      </c>
      <c r="U272">
        <f t="shared" si="67"/>
        <v>17.198893516000002</v>
      </c>
      <c r="X272" s="9"/>
      <c r="Y272" s="21">
        <v>0.41076699999999999</v>
      </c>
      <c r="Z272" s="21">
        <v>51.686700000000002</v>
      </c>
      <c r="AA272" s="21">
        <v>-1.5737899999999999E-2</v>
      </c>
      <c r="AB272" s="21">
        <v>262</v>
      </c>
      <c r="AC272" s="21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1">
        <v>1.21933</v>
      </c>
      <c r="AH272" s="21">
        <v>76.671700000000001</v>
      </c>
      <c r="AI272" s="21">
        <v>-1.3821399999999999E-2</v>
      </c>
      <c r="AJ272" s="21">
        <v>262</v>
      </c>
      <c r="AK272" s="21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1">
        <v>0.41076699999999999</v>
      </c>
      <c r="AR272" s="21">
        <v>126.072</v>
      </c>
      <c r="AS272" s="21">
        <v>-1.5689100000000001E-2</v>
      </c>
      <c r="AT272" s="21">
        <v>262</v>
      </c>
      <c r="AU272" s="21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1">
        <v>1.21933</v>
      </c>
      <c r="AZ272" s="21">
        <v>175.35900000000001</v>
      </c>
      <c r="BA272" s="21">
        <v>-1.37451E-2</v>
      </c>
      <c r="BB272" s="21">
        <v>262</v>
      </c>
      <c r="BC272" s="21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1">
        <v>0.41076699999999999</v>
      </c>
      <c r="BJ272" s="21">
        <v>224.709</v>
      </c>
      <c r="BK272" s="21">
        <v>-1.5655499999999999E-2</v>
      </c>
      <c r="BL272" s="21">
        <v>262</v>
      </c>
      <c r="BM272" s="21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1">
        <v>1.21933</v>
      </c>
      <c r="BR272" s="21">
        <v>273.91399999999999</v>
      </c>
      <c r="BS272" s="21">
        <v>-1.3797E-2</v>
      </c>
      <c r="BT272" s="21">
        <v>262</v>
      </c>
      <c r="BU272" s="21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0.40573100000000001</v>
      </c>
      <c r="H273" s="21">
        <v>49.6128</v>
      </c>
      <c r="I273" s="21">
        <v>-1.5862999999999999E-2</v>
      </c>
      <c r="J273" s="21">
        <v>263</v>
      </c>
      <c r="K273" s="21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1">
        <v>1.22437</v>
      </c>
      <c r="P273" s="21">
        <v>98.995199999999997</v>
      </c>
      <c r="Q273" s="21">
        <v>-1.40594E-2</v>
      </c>
      <c r="R273" s="21">
        <v>263</v>
      </c>
      <c r="S273" s="21">
        <v>1.2231399999999999</v>
      </c>
      <c r="T273">
        <f t="shared" si="66"/>
        <v>14.0594</v>
      </c>
      <c r="U273">
        <f t="shared" si="67"/>
        <v>17.213907578000001</v>
      </c>
      <c r="X273" s="9"/>
      <c r="Y273" s="21">
        <v>0.40573100000000001</v>
      </c>
      <c r="Z273" s="21">
        <v>51.696800000000003</v>
      </c>
      <c r="AA273" s="21">
        <v>-1.5741000000000002E-2</v>
      </c>
      <c r="AB273" s="21">
        <v>263</v>
      </c>
      <c r="AC273" s="21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1">
        <v>1.22437</v>
      </c>
      <c r="AH273" s="21">
        <v>76.681799999999996</v>
      </c>
      <c r="AI273" s="21">
        <v>-1.37909E-2</v>
      </c>
      <c r="AJ273" s="21">
        <v>263</v>
      </c>
      <c r="AK273" s="21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1">
        <v>0.40573100000000001</v>
      </c>
      <c r="AR273" s="21">
        <v>126.08199999999999</v>
      </c>
      <c r="AS273" s="21">
        <v>-1.5698199999999999E-2</v>
      </c>
      <c r="AT273" s="21">
        <v>263</v>
      </c>
      <c r="AU273" s="21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1">
        <v>1.22437</v>
      </c>
      <c r="AZ273" s="21">
        <v>175.369</v>
      </c>
      <c r="BA273" s="21">
        <v>-1.37085E-2</v>
      </c>
      <c r="BB273" s="21">
        <v>263</v>
      </c>
      <c r="BC273" s="21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1">
        <v>0.40573100000000001</v>
      </c>
      <c r="BJ273" s="21">
        <v>224.71899999999999</v>
      </c>
      <c r="BK273" s="21">
        <v>-1.5658600000000002E-2</v>
      </c>
      <c r="BL273" s="21">
        <v>263</v>
      </c>
      <c r="BM273" s="21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1">
        <v>1.22437</v>
      </c>
      <c r="BR273" s="21">
        <v>273.92500000000001</v>
      </c>
      <c r="BS273" s="21">
        <v>-1.37573E-2</v>
      </c>
      <c r="BT273" s="21">
        <v>263</v>
      </c>
      <c r="BU273" s="21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0.400696</v>
      </c>
      <c r="H274" s="21">
        <v>49.622799999999998</v>
      </c>
      <c r="I274" s="21">
        <v>-1.5869100000000001E-2</v>
      </c>
      <c r="J274" s="21">
        <v>264</v>
      </c>
      <c r="K274" s="21">
        <v>0.399841</v>
      </c>
      <c r="L274">
        <f t="shared" si="64"/>
        <v>15.869100000000001</v>
      </c>
      <c r="M274">
        <f t="shared" si="65"/>
        <v>6.3586848936000004</v>
      </c>
      <c r="N274" s="9"/>
      <c r="O274" s="21">
        <v>1.2294</v>
      </c>
      <c r="P274" s="21">
        <v>99.005300000000005</v>
      </c>
      <c r="Q274" s="21">
        <v>-1.40015E-2</v>
      </c>
      <c r="R274" s="21">
        <v>264</v>
      </c>
      <c r="S274" s="21">
        <v>1.22803</v>
      </c>
      <c r="T274">
        <f t="shared" si="66"/>
        <v>14.0015</v>
      </c>
      <c r="U274">
        <f t="shared" si="67"/>
        <v>17.2134441</v>
      </c>
      <c r="X274" s="9"/>
      <c r="Y274" s="21">
        <v>0.400696</v>
      </c>
      <c r="Z274" s="21">
        <v>51.706899999999997</v>
      </c>
      <c r="AA274" s="21">
        <v>-1.5744000000000001E-2</v>
      </c>
      <c r="AB274" s="21">
        <v>264</v>
      </c>
      <c r="AC274" s="21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1">
        <v>1.2294</v>
      </c>
      <c r="AH274" s="21">
        <v>76.691900000000004</v>
      </c>
      <c r="AI274" s="21">
        <v>-1.37573E-2</v>
      </c>
      <c r="AJ274" s="21">
        <v>264</v>
      </c>
      <c r="AK274" s="21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1">
        <v>0.400696</v>
      </c>
      <c r="AR274" s="21">
        <v>126.092</v>
      </c>
      <c r="AS274" s="21">
        <v>-1.5704300000000001E-2</v>
      </c>
      <c r="AT274" s="21">
        <v>264</v>
      </c>
      <c r="AU274" s="21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1">
        <v>1.2294</v>
      </c>
      <c r="AZ274" s="21">
        <v>175.37899999999999</v>
      </c>
      <c r="BA274" s="21">
        <v>-1.3665800000000001E-2</v>
      </c>
      <c r="BB274" s="21">
        <v>264</v>
      </c>
      <c r="BC274" s="21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1">
        <v>0.400696</v>
      </c>
      <c r="BJ274" s="21">
        <v>224.72900000000001</v>
      </c>
      <c r="BK274" s="21">
        <v>-1.5655499999999999E-2</v>
      </c>
      <c r="BL274" s="21">
        <v>264</v>
      </c>
      <c r="BM274" s="21">
        <v>0.39990199999999998</v>
      </c>
      <c r="BN274">
        <f t="shared" si="76"/>
        <v>15.6555</v>
      </c>
      <c r="BO274">
        <f t="shared" si="77"/>
        <v>6.273096228</v>
      </c>
      <c r="BP274" s="9"/>
      <c r="BQ274" s="21">
        <v>1.2294</v>
      </c>
      <c r="BR274" s="21">
        <v>273.935</v>
      </c>
      <c r="BS274" s="21">
        <v>-1.37146E-2</v>
      </c>
      <c r="BT274" s="21">
        <v>264</v>
      </c>
      <c r="BU274" s="21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1">
        <v>0.39566000000000001</v>
      </c>
      <c r="H275" s="21">
        <v>49.632899999999999</v>
      </c>
      <c r="I275" s="21">
        <v>-1.58722E-2</v>
      </c>
      <c r="J275" s="21">
        <v>265</v>
      </c>
      <c r="K275" s="21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1">
        <v>1.23444</v>
      </c>
      <c r="P275" s="21">
        <v>99.015299999999996</v>
      </c>
      <c r="Q275" s="21">
        <v>-1.3946500000000001E-2</v>
      </c>
      <c r="R275" s="21">
        <v>265</v>
      </c>
      <c r="S275" s="21">
        <v>1.23322</v>
      </c>
      <c r="T275">
        <f t="shared" si="66"/>
        <v>13.9465</v>
      </c>
      <c r="U275">
        <f t="shared" si="67"/>
        <v>17.21611746</v>
      </c>
      <c r="X275" s="9"/>
      <c r="Y275" s="21">
        <v>0.39566000000000001</v>
      </c>
      <c r="Z275" s="21">
        <v>51.716900000000003</v>
      </c>
      <c r="AA275" s="21">
        <v>-1.5744000000000001E-2</v>
      </c>
      <c r="AB275" s="21">
        <v>265</v>
      </c>
      <c r="AC275" s="21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1">
        <v>1.23444</v>
      </c>
      <c r="AH275" s="21">
        <v>76.701899999999995</v>
      </c>
      <c r="AI275" s="21">
        <v>-1.37238E-2</v>
      </c>
      <c r="AJ275" s="21">
        <v>265</v>
      </c>
      <c r="AK275" s="21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1">
        <v>0.39566000000000001</v>
      </c>
      <c r="AR275" s="21">
        <v>126.102</v>
      </c>
      <c r="AS275" s="21">
        <v>-1.57074E-2</v>
      </c>
      <c r="AT275" s="21">
        <v>265</v>
      </c>
      <c r="AU275" s="21">
        <v>0.394928</v>
      </c>
      <c r="AV275">
        <f t="shared" si="72"/>
        <v>15.7074</v>
      </c>
      <c r="AW275">
        <f t="shared" si="73"/>
        <v>6.214789884</v>
      </c>
      <c r="AX275" s="9"/>
      <c r="AY275" s="21">
        <v>1.23444</v>
      </c>
      <c r="AZ275" s="21">
        <v>175.38900000000001</v>
      </c>
      <c r="BA275" s="21">
        <v>-1.3616899999999999E-2</v>
      </c>
      <c r="BB275" s="21">
        <v>265</v>
      </c>
      <c r="BC275" s="21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1">
        <v>0.39566000000000001</v>
      </c>
      <c r="BJ275" s="21">
        <v>224.739</v>
      </c>
      <c r="BK275" s="21">
        <v>-1.5661600000000001E-2</v>
      </c>
      <c r="BL275" s="21">
        <v>265</v>
      </c>
      <c r="BM275" s="21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1">
        <v>1.23444</v>
      </c>
      <c r="BR275" s="21">
        <v>273.94499999999999</v>
      </c>
      <c r="BS275" s="21">
        <v>-1.3687100000000001E-2</v>
      </c>
      <c r="BT275" s="21">
        <v>265</v>
      </c>
      <c r="BU275" s="21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1">
        <v>0.390625</v>
      </c>
      <c r="H276" s="21">
        <v>49.643000000000001</v>
      </c>
      <c r="I276" s="21">
        <v>-1.58722E-2</v>
      </c>
      <c r="J276" s="21">
        <v>266</v>
      </c>
      <c r="K276" s="21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1">
        <v>1.2394700000000001</v>
      </c>
      <c r="P276" s="21">
        <v>99.025400000000005</v>
      </c>
      <c r="Q276" s="21">
        <v>-1.38916E-2</v>
      </c>
      <c r="R276" s="21">
        <v>266</v>
      </c>
      <c r="S276" s="21">
        <v>1.2381</v>
      </c>
      <c r="T276">
        <f t="shared" si="66"/>
        <v>13.8916</v>
      </c>
      <c r="U276">
        <f t="shared" si="67"/>
        <v>17.218221452000002</v>
      </c>
      <c r="X276" s="9"/>
      <c r="Y276" s="21">
        <v>0.390625</v>
      </c>
      <c r="Z276" s="21">
        <v>51.726999999999997</v>
      </c>
      <c r="AA276" s="21">
        <v>-1.5753199999999998E-2</v>
      </c>
      <c r="AB276" s="21">
        <v>266</v>
      </c>
      <c r="AC276" s="21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1">
        <v>1.2394700000000001</v>
      </c>
      <c r="AH276" s="21">
        <v>76.712000000000003</v>
      </c>
      <c r="AI276" s="21">
        <v>-1.3677999999999999E-2</v>
      </c>
      <c r="AJ276" s="21">
        <v>266</v>
      </c>
      <c r="AK276" s="21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1">
        <v>0.390625</v>
      </c>
      <c r="AR276" s="21">
        <v>126.11199999999999</v>
      </c>
      <c r="AS276" s="21">
        <v>-1.5713499999999998E-2</v>
      </c>
      <c r="AT276" s="21">
        <v>266</v>
      </c>
      <c r="AU276" s="21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1">
        <v>1.2394700000000001</v>
      </c>
      <c r="AZ276" s="21">
        <v>175.399</v>
      </c>
      <c r="BA276" s="21">
        <v>-1.35773E-2</v>
      </c>
      <c r="BB276" s="21">
        <v>266</v>
      </c>
      <c r="BC276" s="21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1">
        <v>0.390625</v>
      </c>
      <c r="BJ276" s="21">
        <v>224.749</v>
      </c>
      <c r="BK276" s="21">
        <v>-1.5658600000000002E-2</v>
      </c>
      <c r="BL276" s="21">
        <v>266</v>
      </c>
      <c r="BM276" s="21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1">
        <v>1.2394700000000001</v>
      </c>
      <c r="BR276" s="21">
        <v>273.95499999999998</v>
      </c>
      <c r="BS276" s="21">
        <v>-1.36536E-2</v>
      </c>
      <c r="BT276" s="21">
        <v>266</v>
      </c>
      <c r="BU276" s="21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1">
        <v>0.38558999999999999</v>
      </c>
      <c r="H277" s="21">
        <v>49.653100000000002</v>
      </c>
      <c r="I277" s="21">
        <v>-1.5875199999999999E-2</v>
      </c>
      <c r="J277" s="21">
        <v>267</v>
      </c>
      <c r="K277" s="21">
        <v>0.384857</v>
      </c>
      <c r="L277">
        <f t="shared" si="64"/>
        <v>15.8752</v>
      </c>
      <c r="M277">
        <f t="shared" si="65"/>
        <v>6.1213183679999998</v>
      </c>
      <c r="N277" s="9"/>
      <c r="O277" s="21">
        <v>1.24451</v>
      </c>
      <c r="P277" s="21">
        <v>99.035499999999999</v>
      </c>
      <c r="Q277" s="21">
        <v>-1.3842800000000001E-2</v>
      </c>
      <c r="R277" s="21">
        <v>267</v>
      </c>
      <c r="S277" s="21">
        <v>1.24268</v>
      </c>
      <c r="T277">
        <f t="shared" si="66"/>
        <v>13.8428</v>
      </c>
      <c r="U277">
        <f t="shared" si="67"/>
        <v>17.227503028000001</v>
      </c>
      <c r="X277" s="9"/>
      <c r="Y277" s="21">
        <v>0.38558999999999999</v>
      </c>
      <c r="Z277" s="21">
        <v>51.737099999999998</v>
      </c>
      <c r="AA277" s="21">
        <v>-1.5756200000000001E-2</v>
      </c>
      <c r="AB277" s="21">
        <v>267</v>
      </c>
      <c r="AC277" s="21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1">
        <v>1.24451</v>
      </c>
      <c r="AH277" s="21">
        <v>76.722099999999998</v>
      </c>
      <c r="AI277" s="21">
        <v>-1.3638300000000001E-2</v>
      </c>
      <c r="AJ277" s="21">
        <v>267</v>
      </c>
      <c r="AK277" s="21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1">
        <v>0.38558999999999999</v>
      </c>
      <c r="AR277" s="21">
        <v>126.122</v>
      </c>
      <c r="AS277" s="21">
        <v>-1.57196E-2</v>
      </c>
      <c r="AT277" s="21">
        <v>267</v>
      </c>
      <c r="AU277" s="21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1">
        <v>1.24451</v>
      </c>
      <c r="AZ277" s="21">
        <v>175.40899999999999</v>
      </c>
      <c r="BA277" s="21">
        <v>-1.3549800000000001E-2</v>
      </c>
      <c r="BB277" s="21">
        <v>267</v>
      </c>
      <c r="BC277" s="21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1">
        <v>0.38558999999999999</v>
      </c>
      <c r="BJ277" s="21">
        <v>224.75899999999999</v>
      </c>
      <c r="BK277" s="21">
        <v>-1.5676900000000001E-2</v>
      </c>
      <c r="BL277" s="21">
        <v>267</v>
      </c>
      <c r="BM277" s="21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1">
        <v>1.24451</v>
      </c>
      <c r="BR277" s="21">
        <v>273.96499999999997</v>
      </c>
      <c r="BS277" s="21">
        <v>-1.362E-2</v>
      </c>
      <c r="BT277" s="21">
        <v>267</v>
      </c>
      <c r="BU277" s="21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1">
        <v>0.380554</v>
      </c>
      <c r="H278" s="21">
        <v>49.6631</v>
      </c>
      <c r="I278" s="21">
        <v>-1.58722E-2</v>
      </c>
      <c r="J278" s="21">
        <v>268</v>
      </c>
      <c r="K278" s="21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1">
        <v>1.2495400000000001</v>
      </c>
      <c r="P278" s="21">
        <v>99.045599999999993</v>
      </c>
      <c r="Q278" s="21">
        <v>-1.3797E-2</v>
      </c>
      <c r="R278" s="21">
        <v>268</v>
      </c>
      <c r="S278" s="21">
        <v>1.24847</v>
      </c>
      <c r="T278">
        <f t="shared" si="66"/>
        <v>13.797000000000001</v>
      </c>
      <c r="U278">
        <f t="shared" si="67"/>
        <v>17.239903380000001</v>
      </c>
      <c r="X278" s="9"/>
      <c r="Y278" s="21">
        <v>0.380554</v>
      </c>
      <c r="Z278" s="21">
        <v>51.747199999999999</v>
      </c>
      <c r="AA278" s="21">
        <v>-1.57593E-2</v>
      </c>
      <c r="AB278" s="21">
        <v>268</v>
      </c>
      <c r="AC278" s="21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1">
        <v>1.2495400000000001</v>
      </c>
      <c r="AH278" s="21">
        <v>76.732100000000003</v>
      </c>
      <c r="AI278" s="21">
        <v>-1.3604700000000001E-2</v>
      </c>
      <c r="AJ278" s="21">
        <v>268</v>
      </c>
      <c r="AK278" s="21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1">
        <v>0.380554</v>
      </c>
      <c r="AR278" s="21">
        <v>126.133</v>
      </c>
      <c r="AS278" s="21">
        <v>-1.5728800000000001E-2</v>
      </c>
      <c r="AT278" s="21">
        <v>268</v>
      </c>
      <c r="AU278" s="21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1">
        <v>1.2495400000000001</v>
      </c>
      <c r="AZ278" s="21">
        <v>175.41900000000001</v>
      </c>
      <c r="BA278" s="21">
        <v>-1.35132E-2</v>
      </c>
      <c r="BB278" s="21">
        <v>268</v>
      </c>
      <c r="BC278" s="21">
        <v>1.24817</v>
      </c>
      <c r="BD278">
        <f t="shared" si="74"/>
        <v>13.513199999999999</v>
      </c>
      <c r="BE278">
        <f t="shared" si="75"/>
        <v>16.885283928</v>
      </c>
      <c r="BH278" s="9"/>
      <c r="BI278" s="21">
        <v>0.380554</v>
      </c>
      <c r="BJ278" s="21">
        <v>224.76900000000001</v>
      </c>
      <c r="BK278" s="21">
        <v>-1.5682999999999999E-2</v>
      </c>
      <c r="BL278" s="21">
        <v>268</v>
      </c>
      <c r="BM278" s="21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1">
        <v>1.2495400000000001</v>
      </c>
      <c r="BR278" s="21">
        <v>273.97500000000002</v>
      </c>
      <c r="BS278" s="21">
        <v>-1.35773E-2</v>
      </c>
      <c r="BT278" s="21">
        <v>268</v>
      </c>
      <c r="BU278" s="21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1">
        <v>0.37551899999999999</v>
      </c>
      <c r="H279" s="21">
        <v>49.673200000000001</v>
      </c>
      <c r="I279" s="21">
        <v>-1.5869100000000001E-2</v>
      </c>
      <c r="J279" s="21">
        <v>269</v>
      </c>
      <c r="K279" s="21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1">
        <v>1.25458</v>
      </c>
      <c r="P279" s="21">
        <v>99.055599999999998</v>
      </c>
      <c r="Q279" s="21">
        <v>-1.37451E-2</v>
      </c>
      <c r="R279" s="21">
        <v>269</v>
      </c>
      <c r="S279" s="21">
        <v>1.25305</v>
      </c>
      <c r="T279">
        <f t="shared" si="66"/>
        <v>13.745099999999999</v>
      </c>
      <c r="U279">
        <f t="shared" si="67"/>
        <v>17.244327557999998</v>
      </c>
      <c r="X279" s="9"/>
      <c r="Y279" s="21">
        <v>0.37551899999999999</v>
      </c>
      <c r="Z279" s="21">
        <v>51.757199999999997</v>
      </c>
      <c r="AA279" s="21">
        <v>-1.5768399999999998E-2</v>
      </c>
      <c r="AB279" s="21">
        <v>269</v>
      </c>
      <c r="AC279" s="21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1">
        <v>1.25458</v>
      </c>
      <c r="AH279" s="21">
        <v>76.742199999999997</v>
      </c>
      <c r="AI279" s="21">
        <v>-1.35712E-2</v>
      </c>
      <c r="AJ279" s="21">
        <v>269</v>
      </c>
      <c r="AK279" s="21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1">
        <v>0.37551899999999999</v>
      </c>
      <c r="AR279" s="21">
        <v>126.143</v>
      </c>
      <c r="AS279" s="21">
        <v>-1.5731800000000001E-2</v>
      </c>
      <c r="AT279" s="21">
        <v>269</v>
      </c>
      <c r="AU279" s="21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1">
        <v>1.25458</v>
      </c>
      <c r="AZ279" s="21">
        <v>175.429</v>
      </c>
      <c r="BA279" s="21">
        <v>-1.34796E-2</v>
      </c>
      <c r="BB279" s="21">
        <v>269</v>
      </c>
      <c r="BC279" s="21">
        <v>1.25336</v>
      </c>
      <c r="BD279">
        <f t="shared" si="74"/>
        <v>13.4796</v>
      </c>
      <c r="BE279">
        <f t="shared" si="75"/>
        <v>16.911236568</v>
      </c>
      <c r="BH279" s="9"/>
      <c r="BI279" s="21">
        <v>0.37551899999999999</v>
      </c>
      <c r="BJ279" s="21">
        <v>224.78</v>
      </c>
      <c r="BK279" s="21">
        <v>-1.5685999999999999E-2</v>
      </c>
      <c r="BL279" s="21">
        <v>269</v>
      </c>
      <c r="BM279" s="21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1">
        <v>1.25458</v>
      </c>
      <c r="BR279" s="21">
        <v>273.98500000000001</v>
      </c>
      <c r="BS279" s="21">
        <v>-1.35406E-2</v>
      </c>
      <c r="BT279" s="21">
        <v>269</v>
      </c>
      <c r="BU279" s="21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1">
        <v>0.37048300000000001</v>
      </c>
      <c r="H280" s="21">
        <v>49.683300000000003</v>
      </c>
      <c r="I280" s="21">
        <v>-1.5866100000000001E-2</v>
      </c>
      <c r="J280" s="21">
        <v>270</v>
      </c>
      <c r="K280" s="21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1">
        <v>1.2596099999999999</v>
      </c>
      <c r="P280" s="21">
        <v>99.065700000000007</v>
      </c>
      <c r="Q280" s="21">
        <v>-1.36902E-2</v>
      </c>
      <c r="R280" s="21">
        <v>270</v>
      </c>
      <c r="S280" s="21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1">
        <v>0.37048300000000001</v>
      </c>
      <c r="Z280" s="21">
        <v>51.767299999999999</v>
      </c>
      <c r="AA280" s="21">
        <v>-1.5777599999999999E-2</v>
      </c>
      <c r="AB280" s="21">
        <v>270</v>
      </c>
      <c r="AC280" s="21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1">
        <v>1.2596099999999999</v>
      </c>
      <c r="AH280" s="21">
        <v>76.752300000000005</v>
      </c>
      <c r="AI280" s="21">
        <v>-1.3528399999999999E-2</v>
      </c>
      <c r="AJ280" s="21">
        <v>270</v>
      </c>
      <c r="AK280" s="21">
        <v>1.25885</v>
      </c>
      <c r="AL280">
        <f t="shared" si="70"/>
        <v>13.5284</v>
      </c>
      <c r="AM280">
        <f t="shared" si="71"/>
        <v>17.040507923999996</v>
      </c>
      <c r="AP280" s="9"/>
      <c r="AQ280" s="21">
        <v>0.37048300000000001</v>
      </c>
      <c r="AR280" s="21">
        <v>126.15300000000001</v>
      </c>
      <c r="AS280" s="21">
        <v>-1.57349E-2</v>
      </c>
      <c r="AT280" s="21">
        <v>270</v>
      </c>
      <c r="AU280" s="21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1">
        <v>1.2596099999999999</v>
      </c>
      <c r="AZ280" s="21">
        <v>175.43899999999999</v>
      </c>
      <c r="BA280" s="21">
        <v>-1.34308E-2</v>
      </c>
      <c r="BB280" s="21">
        <v>270</v>
      </c>
      <c r="BC280" s="21">
        <v>1.25885</v>
      </c>
      <c r="BD280">
        <f t="shared" si="74"/>
        <v>13.4308</v>
      </c>
      <c r="BE280">
        <f t="shared" si="75"/>
        <v>16.917569987999997</v>
      </c>
      <c r="BH280" s="9"/>
      <c r="BI280" s="21">
        <v>0.37048300000000001</v>
      </c>
      <c r="BJ280" s="21">
        <v>224.79</v>
      </c>
      <c r="BK280" s="21">
        <v>-1.5685999999999999E-2</v>
      </c>
      <c r="BL280" s="21">
        <v>270</v>
      </c>
      <c r="BM280" s="21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1">
        <v>1.2596099999999999</v>
      </c>
      <c r="BR280" s="21">
        <v>273.995</v>
      </c>
      <c r="BS280" s="21">
        <v>-1.3494900000000001E-2</v>
      </c>
      <c r="BT280" s="21">
        <v>270</v>
      </c>
      <c r="BU280" s="21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1">
        <v>0.365448</v>
      </c>
      <c r="H281" s="21">
        <v>49.693300000000001</v>
      </c>
      <c r="I281" s="21">
        <v>-1.5866100000000001E-2</v>
      </c>
      <c r="J281" s="21">
        <v>271</v>
      </c>
      <c r="K281" s="21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1">
        <v>1.2646500000000001</v>
      </c>
      <c r="P281" s="21">
        <v>99.075800000000001</v>
      </c>
      <c r="Q281" s="21">
        <v>-1.36139E-2</v>
      </c>
      <c r="R281" s="21">
        <v>271</v>
      </c>
      <c r="S281" s="21">
        <v>1.26373</v>
      </c>
      <c r="T281">
        <f t="shared" si="66"/>
        <v>13.613899999999999</v>
      </c>
      <c r="U281">
        <f t="shared" si="67"/>
        <v>17.216818634999999</v>
      </c>
      <c r="X281" s="9"/>
      <c r="Y281" s="21">
        <v>0.365448</v>
      </c>
      <c r="Z281" s="21">
        <v>51.7774</v>
      </c>
      <c r="AA281" s="21">
        <v>-1.57898E-2</v>
      </c>
      <c r="AB281" s="21">
        <v>271</v>
      </c>
      <c r="AC281" s="21">
        <v>0.36468499999999998</v>
      </c>
      <c r="AD281">
        <f t="shared" si="68"/>
        <v>15.7898</v>
      </c>
      <c r="AE281">
        <f t="shared" si="69"/>
        <v>5.7703508304</v>
      </c>
      <c r="AF281" s="9"/>
      <c r="AG281" s="21">
        <v>1.2646500000000001</v>
      </c>
      <c r="AH281" s="21">
        <v>76.762299999999996</v>
      </c>
      <c r="AI281" s="21">
        <v>-1.34918E-2</v>
      </c>
      <c r="AJ281" s="21">
        <v>271</v>
      </c>
      <c r="AK281" s="21">
        <v>1.26312</v>
      </c>
      <c r="AL281">
        <f t="shared" si="70"/>
        <v>13.4918</v>
      </c>
      <c r="AM281">
        <f t="shared" si="71"/>
        <v>17.062404870000002</v>
      </c>
      <c r="AP281" s="9"/>
      <c r="AQ281" s="21">
        <v>0.365448</v>
      </c>
      <c r="AR281" s="21">
        <v>126.163</v>
      </c>
      <c r="AS281" s="21">
        <v>-1.5737899999999999E-2</v>
      </c>
      <c r="AT281" s="21">
        <v>271</v>
      </c>
      <c r="AU281" s="21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1">
        <v>1.2646500000000001</v>
      </c>
      <c r="AZ281" s="21">
        <v>175.44900000000001</v>
      </c>
      <c r="BA281" s="21">
        <v>-1.33911E-2</v>
      </c>
      <c r="BB281" s="21">
        <v>271</v>
      </c>
      <c r="BC281" s="21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1">
        <v>0.365448</v>
      </c>
      <c r="BJ281" s="21">
        <v>224.8</v>
      </c>
      <c r="BK281" s="21">
        <v>-1.5685999999999999E-2</v>
      </c>
      <c r="BL281" s="21">
        <v>271</v>
      </c>
      <c r="BM281" s="21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1">
        <v>1.2646500000000001</v>
      </c>
      <c r="BR281" s="21">
        <v>274.005</v>
      </c>
      <c r="BS281" s="21">
        <v>-1.3446E-2</v>
      </c>
      <c r="BT281" s="21">
        <v>271</v>
      </c>
      <c r="BU281" s="21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1">
        <v>0.36041299999999998</v>
      </c>
      <c r="H282" s="21">
        <v>49.703400000000002</v>
      </c>
      <c r="I282" s="21">
        <v>-1.5862999999999999E-2</v>
      </c>
      <c r="J282" s="21">
        <v>272</v>
      </c>
      <c r="K282" s="21">
        <v>0.35968</v>
      </c>
      <c r="L282">
        <f t="shared" si="64"/>
        <v>15.862999999999998</v>
      </c>
      <c r="M282">
        <f t="shared" si="65"/>
        <v>5.7172314189999991</v>
      </c>
      <c r="N282" s="9"/>
      <c r="O282" s="21">
        <v>1.2696799999999999</v>
      </c>
      <c r="P282" s="21">
        <v>99.085800000000006</v>
      </c>
      <c r="Q282" s="21">
        <v>-1.35529E-2</v>
      </c>
      <c r="R282" s="21">
        <v>272</v>
      </c>
      <c r="S282" s="21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1">
        <v>0.36041299999999998</v>
      </c>
      <c r="Z282" s="21">
        <v>51.787399999999998</v>
      </c>
      <c r="AA282" s="21">
        <v>-1.57898E-2</v>
      </c>
      <c r="AB282" s="21">
        <v>272</v>
      </c>
      <c r="AC282" s="21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1">
        <v>1.2696799999999999</v>
      </c>
      <c r="AH282" s="21">
        <v>76.772400000000005</v>
      </c>
      <c r="AI282" s="21">
        <v>-1.34521E-2</v>
      </c>
      <c r="AJ282" s="21">
        <v>272</v>
      </c>
      <c r="AK282" s="21">
        <v>1.26892</v>
      </c>
      <c r="AL282">
        <f t="shared" si="70"/>
        <v>13.4521</v>
      </c>
      <c r="AM282">
        <f t="shared" si="71"/>
        <v>17.079862327999997</v>
      </c>
      <c r="AP282" s="9"/>
      <c r="AQ282" s="21">
        <v>0.36041299999999998</v>
      </c>
      <c r="AR282" s="21">
        <v>126.173</v>
      </c>
      <c r="AS282" s="21">
        <v>-1.5753199999999998E-2</v>
      </c>
      <c r="AT282" s="21">
        <v>272</v>
      </c>
      <c r="AU282" s="21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1">
        <v>1.2696799999999999</v>
      </c>
      <c r="AZ282" s="21">
        <v>175.459</v>
      </c>
      <c r="BA282" s="21">
        <v>-1.33484E-2</v>
      </c>
      <c r="BB282" s="21">
        <v>272</v>
      </c>
      <c r="BC282" s="21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1">
        <v>0.36041299999999998</v>
      </c>
      <c r="BJ282" s="21">
        <v>224.81</v>
      </c>
      <c r="BK282" s="21">
        <v>-1.5689100000000001E-2</v>
      </c>
      <c r="BL282" s="21">
        <v>272</v>
      </c>
      <c r="BM282" s="21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1">
        <v>1.2696799999999999</v>
      </c>
      <c r="BR282" s="21">
        <v>274.01499999999999</v>
      </c>
      <c r="BS282" s="21">
        <v>-1.33881E-2</v>
      </c>
      <c r="BT282" s="21">
        <v>272</v>
      </c>
      <c r="BU282" s="21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1">
        <v>0.355377</v>
      </c>
      <c r="H283" s="21">
        <v>49.713500000000003</v>
      </c>
      <c r="I283" s="21">
        <v>-1.58722E-2</v>
      </c>
      <c r="J283" s="21">
        <v>273</v>
      </c>
      <c r="K283" s="21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1">
        <v>1.2747200000000001</v>
      </c>
      <c r="P283" s="21">
        <v>99.0959</v>
      </c>
      <c r="Q283" s="21">
        <v>-1.3494900000000001E-2</v>
      </c>
      <c r="R283" s="21">
        <v>273</v>
      </c>
      <c r="S283" s="21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1">
        <v>0.355377</v>
      </c>
      <c r="Z283" s="21">
        <v>51.797499999999999</v>
      </c>
      <c r="AA283" s="21">
        <v>-1.5783700000000001E-2</v>
      </c>
      <c r="AB283" s="21">
        <v>273</v>
      </c>
      <c r="AC283" s="21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1">
        <v>1.2747200000000001</v>
      </c>
      <c r="AH283" s="21">
        <v>76.782499999999999</v>
      </c>
      <c r="AI283" s="21">
        <v>-1.3412500000000001E-2</v>
      </c>
      <c r="AJ283" s="21">
        <v>273</v>
      </c>
      <c r="AK283" s="21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1">
        <v>0.355377</v>
      </c>
      <c r="AR283" s="21">
        <v>126.18300000000001</v>
      </c>
      <c r="AS283" s="21">
        <v>-1.5756200000000001E-2</v>
      </c>
      <c r="AT283" s="21">
        <v>273</v>
      </c>
      <c r="AU283" s="21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1">
        <v>1.2747200000000001</v>
      </c>
      <c r="AZ283" s="21">
        <v>175.46899999999999</v>
      </c>
      <c r="BA283" s="21">
        <v>-1.3296499999999999E-2</v>
      </c>
      <c r="BB283" s="21">
        <v>273</v>
      </c>
      <c r="BC283" s="21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1">
        <v>0.355377</v>
      </c>
      <c r="BJ283" s="21">
        <v>224.82</v>
      </c>
      <c r="BK283" s="21">
        <v>-1.5698199999999999E-2</v>
      </c>
      <c r="BL283" s="21">
        <v>273</v>
      </c>
      <c r="BM283" s="21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1">
        <v>1.2747200000000001</v>
      </c>
      <c r="BR283" s="21">
        <v>274.02499999999998</v>
      </c>
      <c r="BS283" s="21">
        <v>-1.3339200000000001E-2</v>
      </c>
      <c r="BT283" s="21">
        <v>273</v>
      </c>
      <c r="BU283" s="21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1">
        <v>0.35034199999999999</v>
      </c>
      <c r="H284" s="21">
        <v>49.723500000000001</v>
      </c>
      <c r="I284" s="21">
        <v>-1.5875199999999999E-2</v>
      </c>
      <c r="J284" s="21">
        <v>274</v>
      </c>
      <c r="K284" s="21">
        <v>0.349609</v>
      </c>
      <c r="L284">
        <f t="shared" si="64"/>
        <v>15.8752</v>
      </c>
      <c r="M284">
        <f t="shared" si="65"/>
        <v>5.5617493183999995</v>
      </c>
      <c r="N284" s="9"/>
      <c r="O284" s="21">
        <v>1.2797499999999999</v>
      </c>
      <c r="P284" s="21">
        <v>99.105999999999995</v>
      </c>
      <c r="Q284" s="21">
        <v>-1.3439899999999999E-2</v>
      </c>
      <c r="R284" s="21">
        <v>274</v>
      </c>
      <c r="S284" s="21">
        <v>1.2783800000000001</v>
      </c>
      <c r="T284">
        <f t="shared" si="66"/>
        <v>13.4399</v>
      </c>
      <c r="U284">
        <f t="shared" si="67"/>
        <v>17.199712025</v>
      </c>
      <c r="X284" s="9"/>
      <c r="Y284" s="21">
        <v>0.35034199999999999</v>
      </c>
      <c r="Z284" s="21">
        <v>51.807600000000001</v>
      </c>
      <c r="AA284" s="21">
        <v>-1.5780599999999999E-2</v>
      </c>
      <c r="AB284" s="21">
        <v>274</v>
      </c>
      <c r="AC284" s="21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1">
        <v>1.2797499999999999</v>
      </c>
      <c r="AH284" s="21">
        <v>76.792599999999993</v>
      </c>
      <c r="AI284" s="21">
        <v>-1.33575E-2</v>
      </c>
      <c r="AJ284" s="21">
        <v>274</v>
      </c>
      <c r="AK284" s="21">
        <v>1.2786900000000001</v>
      </c>
      <c r="AL284">
        <f t="shared" si="70"/>
        <v>13.3575</v>
      </c>
      <c r="AM284">
        <f t="shared" si="71"/>
        <v>17.094260625</v>
      </c>
      <c r="AP284" s="9"/>
      <c r="AQ284" s="21">
        <v>0.35034199999999999</v>
      </c>
      <c r="AR284" s="21">
        <v>126.193</v>
      </c>
      <c r="AS284" s="21">
        <v>-1.57623E-2</v>
      </c>
      <c r="AT284" s="21">
        <v>274</v>
      </c>
      <c r="AU284" s="21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1">
        <v>1.2797499999999999</v>
      </c>
      <c r="AZ284" s="21">
        <v>175.47900000000001</v>
      </c>
      <c r="BA284" s="21">
        <v>-1.3256799999999999E-2</v>
      </c>
      <c r="BB284" s="21">
        <v>274</v>
      </c>
      <c r="BC284" s="21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1">
        <v>0.35034199999999999</v>
      </c>
      <c r="BJ284" s="21">
        <v>224.83</v>
      </c>
      <c r="BK284" s="21">
        <v>-1.57074E-2</v>
      </c>
      <c r="BL284" s="21">
        <v>274</v>
      </c>
      <c r="BM284" s="21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1">
        <v>1.2797499999999999</v>
      </c>
      <c r="BR284" s="21">
        <v>274.03500000000003</v>
      </c>
      <c r="BS284" s="21">
        <v>-1.32996E-2</v>
      </c>
      <c r="BT284" s="21">
        <v>274</v>
      </c>
      <c r="BU284" s="21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1">
        <v>0.345306</v>
      </c>
      <c r="H285" s="21">
        <v>49.733600000000003</v>
      </c>
      <c r="I285" s="21">
        <v>-1.5878300000000001E-2</v>
      </c>
      <c r="J285" s="21">
        <v>275</v>
      </c>
      <c r="K285" s="21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1">
        <v>1.2847900000000001</v>
      </c>
      <c r="P285" s="21">
        <v>99.116</v>
      </c>
      <c r="Q285" s="21">
        <v>-1.3384999999999999E-2</v>
      </c>
      <c r="R285" s="21">
        <v>275</v>
      </c>
      <c r="S285" s="21">
        <v>1.2841800000000001</v>
      </c>
      <c r="T285">
        <f t="shared" si="66"/>
        <v>13.385</v>
      </c>
      <c r="U285">
        <f t="shared" si="67"/>
        <v>17.196914150000001</v>
      </c>
      <c r="X285" s="9"/>
      <c r="Y285" s="21">
        <v>0.345306</v>
      </c>
      <c r="Z285" s="21">
        <v>51.817700000000002</v>
      </c>
      <c r="AA285" s="21">
        <v>-1.5786700000000001E-2</v>
      </c>
      <c r="AB285" s="21">
        <v>275</v>
      </c>
      <c r="AC285" s="21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1">
        <v>1.2847900000000001</v>
      </c>
      <c r="AH285" s="21">
        <v>76.802599999999998</v>
      </c>
      <c r="AI285" s="21">
        <v>-1.3296499999999999E-2</v>
      </c>
      <c r="AJ285" s="21">
        <v>275</v>
      </c>
      <c r="AK285" s="21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1">
        <v>0.345306</v>
      </c>
      <c r="AR285" s="21">
        <v>126.203</v>
      </c>
      <c r="AS285" s="21">
        <v>-1.5771500000000001E-2</v>
      </c>
      <c r="AT285" s="21">
        <v>275</v>
      </c>
      <c r="AU285" s="21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1">
        <v>1.2847900000000001</v>
      </c>
      <c r="AZ285" s="21">
        <v>175.49</v>
      </c>
      <c r="BA285" s="21">
        <v>-1.3205E-2</v>
      </c>
      <c r="BB285" s="21">
        <v>275</v>
      </c>
      <c r="BC285" s="21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1">
        <v>0.345306</v>
      </c>
      <c r="BJ285" s="21">
        <v>224.84</v>
      </c>
      <c r="BK285" s="21">
        <v>-1.5698199999999999E-2</v>
      </c>
      <c r="BL285" s="21">
        <v>275</v>
      </c>
      <c r="BM285" s="21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1">
        <v>1.2847900000000001</v>
      </c>
      <c r="BR285" s="21">
        <v>274.04500000000002</v>
      </c>
      <c r="BS285" s="21">
        <v>-1.32599E-2</v>
      </c>
      <c r="BT285" s="21">
        <v>275</v>
      </c>
      <c r="BU285" s="21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1">
        <v>0.34027099999999999</v>
      </c>
      <c r="H286" s="21">
        <v>49.743699999999997</v>
      </c>
      <c r="I286" s="21">
        <v>-1.5881300000000001E-2</v>
      </c>
      <c r="J286" s="21">
        <v>276</v>
      </c>
      <c r="K286" s="21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1">
        <v>1.28983</v>
      </c>
      <c r="P286" s="21">
        <v>99.126099999999994</v>
      </c>
      <c r="Q286" s="21">
        <v>-1.3317900000000001E-2</v>
      </c>
      <c r="R286" s="21">
        <v>276</v>
      </c>
      <c r="S286" s="21">
        <v>1.2884500000000001</v>
      </c>
      <c r="T286">
        <f t="shared" si="66"/>
        <v>13.3179</v>
      </c>
      <c r="U286">
        <f t="shared" si="67"/>
        <v>17.177826957000001</v>
      </c>
      <c r="X286" s="9"/>
      <c r="Y286" s="21">
        <v>0.34027099999999999</v>
      </c>
      <c r="Z286" s="21">
        <v>51.8277</v>
      </c>
      <c r="AA286" s="21">
        <v>-1.5792799999999999E-2</v>
      </c>
      <c r="AB286" s="21">
        <v>276</v>
      </c>
      <c r="AC286" s="21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1">
        <v>1.28983</v>
      </c>
      <c r="AH286" s="21">
        <v>76.812700000000007</v>
      </c>
      <c r="AI286" s="21">
        <v>-1.32385E-2</v>
      </c>
      <c r="AJ286" s="21">
        <v>276</v>
      </c>
      <c r="AK286" s="21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1">
        <v>0.34027099999999999</v>
      </c>
      <c r="AR286" s="21">
        <v>126.21299999999999</v>
      </c>
      <c r="AS286" s="21">
        <v>-1.5780599999999999E-2</v>
      </c>
      <c r="AT286" s="21">
        <v>276</v>
      </c>
      <c r="AU286" s="21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1">
        <v>1.28983</v>
      </c>
      <c r="AZ286" s="21">
        <v>175.5</v>
      </c>
      <c r="BA286" s="21">
        <v>-1.31439E-2</v>
      </c>
      <c r="BB286" s="21">
        <v>276</v>
      </c>
      <c r="BC286" s="21">
        <v>1.2893699999999999</v>
      </c>
      <c r="BD286">
        <f t="shared" si="74"/>
        <v>13.1439</v>
      </c>
      <c r="BE286">
        <f t="shared" si="75"/>
        <v>16.953396537</v>
      </c>
      <c r="BH286" s="9"/>
      <c r="BI286" s="21">
        <v>0.34027099999999999</v>
      </c>
      <c r="BJ286" s="21">
        <v>224.85</v>
      </c>
      <c r="BK286" s="21">
        <v>-1.5704300000000001E-2</v>
      </c>
      <c r="BL286" s="21">
        <v>276</v>
      </c>
      <c r="BM286" s="21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1">
        <v>1.28983</v>
      </c>
      <c r="BR286" s="21">
        <v>274.05500000000001</v>
      </c>
      <c r="BS286" s="21">
        <v>-1.32263E-2</v>
      </c>
      <c r="BT286" s="21">
        <v>276</v>
      </c>
      <c r="BU286" s="21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1">
        <v>0.33523599999999998</v>
      </c>
      <c r="H287" s="21">
        <v>49.753799999999998</v>
      </c>
      <c r="I287" s="21">
        <v>-1.5887499999999999E-2</v>
      </c>
      <c r="J287" s="21">
        <v>277</v>
      </c>
      <c r="K287" s="21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1">
        <v>1.2948599999999999</v>
      </c>
      <c r="P287" s="21">
        <v>99.136200000000002</v>
      </c>
      <c r="Q287" s="21">
        <v>-1.3247699999999999E-2</v>
      </c>
      <c r="R287" s="21">
        <v>277</v>
      </c>
      <c r="S287" s="21">
        <v>1.2936399999999999</v>
      </c>
      <c r="T287">
        <f t="shared" si="66"/>
        <v>13.2477</v>
      </c>
      <c r="U287">
        <f t="shared" si="67"/>
        <v>17.153916821999999</v>
      </c>
      <c r="X287" s="9"/>
      <c r="Y287" s="21">
        <v>0.33523599999999998</v>
      </c>
      <c r="Z287" s="21">
        <v>51.837800000000001</v>
      </c>
      <c r="AA287" s="21">
        <v>-1.5792799999999999E-2</v>
      </c>
      <c r="AB287" s="21">
        <v>277</v>
      </c>
      <c r="AC287" s="21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1">
        <v>1.2948599999999999</v>
      </c>
      <c r="AH287" s="21">
        <v>76.822800000000001</v>
      </c>
      <c r="AI287" s="21">
        <v>-1.3174399999999999E-2</v>
      </c>
      <c r="AJ287" s="21">
        <v>277</v>
      </c>
      <c r="AK287" s="21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1">
        <v>0.33523599999999998</v>
      </c>
      <c r="AR287" s="21">
        <v>126.223</v>
      </c>
      <c r="AS287" s="21">
        <v>-1.5786700000000001E-2</v>
      </c>
      <c r="AT287" s="21">
        <v>277</v>
      </c>
      <c r="AU287" s="21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1">
        <v>1.2948599999999999</v>
      </c>
      <c r="AZ287" s="21">
        <v>175.51</v>
      </c>
      <c r="BA287" s="21">
        <v>-1.3089E-2</v>
      </c>
      <c r="BB287" s="21">
        <v>277</v>
      </c>
      <c r="BC287" s="21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1">
        <v>0.33523599999999998</v>
      </c>
      <c r="BJ287" s="21">
        <v>224.86</v>
      </c>
      <c r="BK287" s="21">
        <v>-1.5713499999999998E-2</v>
      </c>
      <c r="BL287" s="21">
        <v>277</v>
      </c>
      <c r="BM287" s="21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1">
        <v>1.2948599999999999</v>
      </c>
      <c r="BR287" s="21">
        <v>274.06599999999997</v>
      </c>
      <c r="BS287" s="21">
        <v>-1.31836E-2</v>
      </c>
      <c r="BT287" s="21">
        <v>277</v>
      </c>
      <c r="BU287" s="21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1">
        <v>0.33019999999999999</v>
      </c>
      <c r="H288" s="21">
        <v>49.763800000000003</v>
      </c>
      <c r="I288" s="21">
        <v>-1.5893600000000001E-2</v>
      </c>
      <c r="J288" s="21">
        <v>278</v>
      </c>
      <c r="K288" s="21">
        <v>0.329376</v>
      </c>
      <c r="L288">
        <f t="shared" si="64"/>
        <v>15.893600000000001</v>
      </c>
      <c r="M288">
        <f t="shared" si="65"/>
        <v>5.2480667200000006</v>
      </c>
      <c r="N288" s="9"/>
      <c r="O288" s="21">
        <v>1.2999000000000001</v>
      </c>
      <c r="P288" s="21">
        <v>99.146299999999997</v>
      </c>
      <c r="Q288" s="21">
        <v>-1.31836E-2</v>
      </c>
      <c r="R288" s="21">
        <v>278</v>
      </c>
      <c r="S288" s="21">
        <v>1.2991299999999999</v>
      </c>
      <c r="T288">
        <f t="shared" si="66"/>
        <v>13.1836</v>
      </c>
      <c r="U288">
        <f t="shared" si="67"/>
        <v>17.137361640000002</v>
      </c>
      <c r="X288" s="9"/>
      <c r="Y288" s="21">
        <v>0.33019999999999999</v>
      </c>
      <c r="Z288" s="21">
        <v>51.847900000000003</v>
      </c>
      <c r="AA288" s="21">
        <v>-1.5795900000000002E-2</v>
      </c>
      <c r="AB288" s="21">
        <v>278</v>
      </c>
      <c r="AC288" s="21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1">
        <v>1.2999000000000001</v>
      </c>
      <c r="AH288" s="21">
        <v>76.832800000000006</v>
      </c>
      <c r="AI288" s="21">
        <v>-1.3107300000000001E-2</v>
      </c>
      <c r="AJ288" s="21">
        <v>278</v>
      </c>
      <c r="AK288" s="21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1">
        <v>0.33019999999999999</v>
      </c>
      <c r="AR288" s="21">
        <v>126.233</v>
      </c>
      <c r="AS288" s="21">
        <v>-1.5792799999999999E-2</v>
      </c>
      <c r="AT288" s="21">
        <v>278</v>
      </c>
      <c r="AU288" s="21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1">
        <v>1.2999000000000001</v>
      </c>
      <c r="AZ288" s="21">
        <v>175.52</v>
      </c>
      <c r="BA288" s="21">
        <v>-1.3028E-2</v>
      </c>
      <c r="BB288" s="21">
        <v>278</v>
      </c>
      <c r="BC288" s="21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1">
        <v>0.33019999999999999</v>
      </c>
      <c r="BJ288" s="21">
        <v>224.87</v>
      </c>
      <c r="BK288" s="21">
        <v>-1.5716600000000001E-2</v>
      </c>
      <c r="BL288" s="21">
        <v>278</v>
      </c>
      <c r="BM288" s="21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1">
        <v>1.2999000000000001</v>
      </c>
      <c r="BR288" s="21">
        <v>274.07600000000002</v>
      </c>
      <c r="BS288" s="21">
        <v>-1.3125599999999999E-2</v>
      </c>
      <c r="BT288" s="21">
        <v>278</v>
      </c>
      <c r="BU288" s="21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1">
        <v>0.32516499999999998</v>
      </c>
      <c r="H289" s="21">
        <v>49.773899999999998</v>
      </c>
      <c r="I289" s="21">
        <v>-1.5905800000000001E-2</v>
      </c>
      <c r="J289" s="21">
        <v>279</v>
      </c>
      <c r="K289" s="21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1">
        <v>1.3049299999999999</v>
      </c>
      <c r="P289" s="21">
        <v>99.156300000000002</v>
      </c>
      <c r="Q289" s="21">
        <v>-1.3110399999999999E-2</v>
      </c>
      <c r="R289" s="21">
        <v>279</v>
      </c>
      <c r="S289" s="21">
        <v>1.3030999999999999</v>
      </c>
      <c r="T289">
        <f t="shared" si="66"/>
        <v>13.1104</v>
      </c>
      <c r="U289">
        <f t="shared" si="67"/>
        <v>17.108154272</v>
      </c>
      <c r="X289" s="9"/>
      <c r="Y289" s="21">
        <v>0.32516499999999998</v>
      </c>
      <c r="Z289" s="21">
        <v>51.857900000000001</v>
      </c>
      <c r="AA289" s="21">
        <v>-1.5802E-2</v>
      </c>
      <c r="AB289" s="21">
        <v>279</v>
      </c>
      <c r="AC289" s="21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1">
        <v>1.3049299999999999</v>
      </c>
      <c r="AH289" s="21">
        <v>76.8429</v>
      </c>
      <c r="AI289" s="21">
        <v>-1.30402E-2</v>
      </c>
      <c r="AJ289" s="21">
        <v>279</v>
      </c>
      <c r="AK289" s="21">
        <v>1.30341</v>
      </c>
      <c r="AL289">
        <f t="shared" si="70"/>
        <v>13.0402</v>
      </c>
      <c r="AM289">
        <f t="shared" si="71"/>
        <v>17.016548185999998</v>
      </c>
      <c r="AP289" s="9"/>
      <c r="AQ289" s="21">
        <v>0.32516499999999998</v>
      </c>
      <c r="AR289" s="21">
        <v>126.24299999999999</v>
      </c>
      <c r="AS289" s="21">
        <v>-1.5792799999999999E-2</v>
      </c>
      <c r="AT289" s="21">
        <v>279</v>
      </c>
      <c r="AU289" s="21">
        <v>0.324432</v>
      </c>
      <c r="AV289">
        <f t="shared" si="72"/>
        <v>15.7928</v>
      </c>
      <c r="AW289">
        <f t="shared" si="73"/>
        <v>5.1352658119999992</v>
      </c>
      <c r="AX289" s="9"/>
      <c r="AY289" s="21">
        <v>1.3049299999999999</v>
      </c>
      <c r="AZ289" s="21">
        <v>175.53</v>
      </c>
      <c r="BA289" s="21">
        <v>-1.2988299999999999E-2</v>
      </c>
      <c r="BB289" s="21">
        <v>279</v>
      </c>
      <c r="BC289" s="21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1">
        <v>0.32516499999999998</v>
      </c>
      <c r="BJ289" s="21">
        <v>224.88</v>
      </c>
      <c r="BK289" s="21">
        <v>-1.5722699999999999E-2</v>
      </c>
      <c r="BL289" s="21">
        <v>279</v>
      </c>
      <c r="BM289" s="21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1">
        <v>1.3049299999999999</v>
      </c>
      <c r="BR289" s="21">
        <v>274.08600000000001</v>
      </c>
      <c r="BS289" s="21">
        <v>-1.3064600000000001E-2</v>
      </c>
      <c r="BT289" s="21">
        <v>279</v>
      </c>
      <c r="BU289" s="21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1">
        <v>0.320129</v>
      </c>
      <c r="H290" s="21">
        <v>49.783999999999999</v>
      </c>
      <c r="I290" s="21">
        <v>-1.5908800000000001E-2</v>
      </c>
      <c r="J290" s="21">
        <v>280</v>
      </c>
      <c r="K290" s="21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1">
        <v>1.3099700000000001</v>
      </c>
      <c r="P290" s="21">
        <v>99.166399999999996</v>
      </c>
      <c r="Q290" s="21">
        <v>-1.3037099999999999E-2</v>
      </c>
      <c r="R290" s="21">
        <v>280</v>
      </c>
      <c r="S290" s="21">
        <v>1.3089</v>
      </c>
      <c r="T290">
        <f t="shared" si="66"/>
        <v>13.037099999999999</v>
      </c>
      <c r="U290">
        <f t="shared" si="67"/>
        <v>17.078209887</v>
      </c>
      <c r="X290" s="9"/>
      <c r="Y290" s="21">
        <v>0.320129</v>
      </c>
      <c r="Z290" s="21">
        <v>51.868000000000002</v>
      </c>
      <c r="AA290" s="21">
        <v>-1.5802E-2</v>
      </c>
      <c r="AB290" s="21">
        <v>280</v>
      </c>
      <c r="AC290" s="21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1">
        <v>1.3099700000000001</v>
      </c>
      <c r="AH290" s="21">
        <v>76.852999999999994</v>
      </c>
      <c r="AI290" s="21">
        <v>-1.2982199999999999E-2</v>
      </c>
      <c r="AJ290" s="21">
        <v>280</v>
      </c>
      <c r="AK290" s="21">
        <v>1.30829</v>
      </c>
      <c r="AL290">
        <f t="shared" si="70"/>
        <v>12.982199999999999</v>
      </c>
      <c r="AM290">
        <f t="shared" si="71"/>
        <v>17.006292534</v>
      </c>
      <c r="AP290" s="9"/>
      <c r="AQ290" s="21">
        <v>0.320129</v>
      </c>
      <c r="AR290" s="21">
        <v>126.253</v>
      </c>
      <c r="AS290" s="21">
        <v>-1.5799000000000001E-2</v>
      </c>
      <c r="AT290" s="21">
        <v>280</v>
      </c>
      <c r="AU290" s="21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1">
        <v>1.3099700000000001</v>
      </c>
      <c r="AZ290" s="21">
        <v>175.54</v>
      </c>
      <c r="BA290" s="21">
        <v>-1.29303E-2</v>
      </c>
      <c r="BB290" s="21">
        <v>280</v>
      </c>
      <c r="BC290" s="21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1">
        <v>0.320129</v>
      </c>
      <c r="BJ290" s="21">
        <v>224.89</v>
      </c>
      <c r="BK290" s="21">
        <v>-1.57349E-2</v>
      </c>
      <c r="BL290" s="21">
        <v>280</v>
      </c>
      <c r="BM290" s="21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1">
        <v>1.3099700000000001</v>
      </c>
      <c r="BR290" s="21">
        <v>274.096</v>
      </c>
      <c r="BS290" s="21">
        <v>-1.30005E-2</v>
      </c>
      <c r="BT290" s="21">
        <v>280</v>
      </c>
      <c r="BU290" s="21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1">
        <v>0.31509399999999999</v>
      </c>
      <c r="H291" s="21">
        <v>49.793999999999997</v>
      </c>
      <c r="I291" s="21">
        <v>-1.5921000000000001E-2</v>
      </c>
      <c r="J291" s="21">
        <v>281</v>
      </c>
      <c r="K291" s="21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1">
        <v>1.3149999999999999</v>
      </c>
      <c r="P291" s="21">
        <v>99.176500000000004</v>
      </c>
      <c r="Q291" s="21">
        <v>-1.29578E-2</v>
      </c>
      <c r="R291" s="21">
        <v>281</v>
      </c>
      <c r="S291" s="21">
        <v>1.31348</v>
      </c>
      <c r="T291">
        <f t="shared" si="66"/>
        <v>12.957800000000001</v>
      </c>
      <c r="U291">
        <f t="shared" si="67"/>
        <v>17.039507</v>
      </c>
      <c r="X291" s="9"/>
      <c r="Y291" s="21">
        <v>0.31509399999999999</v>
      </c>
      <c r="Z291" s="21">
        <v>51.878100000000003</v>
      </c>
      <c r="AA291" s="21">
        <v>-1.5799000000000001E-2</v>
      </c>
      <c r="AB291" s="21">
        <v>281</v>
      </c>
      <c r="AC291" s="21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1">
        <v>1.3149999999999999</v>
      </c>
      <c r="AH291" s="21">
        <v>76.863100000000003</v>
      </c>
      <c r="AI291" s="21">
        <v>-1.29272E-2</v>
      </c>
      <c r="AJ291" s="21">
        <v>281</v>
      </c>
      <c r="AK291" s="21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1">
        <v>0.31509399999999999</v>
      </c>
      <c r="AR291" s="21">
        <v>126.26300000000001</v>
      </c>
      <c r="AS291" s="21">
        <v>-1.5802E-2</v>
      </c>
      <c r="AT291" s="21">
        <v>281</v>
      </c>
      <c r="AU291" s="21">
        <v>0.314392</v>
      </c>
      <c r="AV291">
        <f t="shared" si="72"/>
        <v>15.802</v>
      </c>
      <c r="AW291">
        <f t="shared" si="73"/>
        <v>4.9791153879999994</v>
      </c>
      <c r="AX291" s="9"/>
      <c r="AY291" s="21">
        <v>1.3149999999999999</v>
      </c>
      <c r="AZ291" s="21">
        <v>175.55</v>
      </c>
      <c r="BA291" s="21">
        <v>-1.28784E-2</v>
      </c>
      <c r="BB291" s="21">
        <v>281</v>
      </c>
      <c r="BC291" s="21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1">
        <v>0.31509399999999999</v>
      </c>
      <c r="BJ291" s="21">
        <v>224.9</v>
      </c>
      <c r="BK291" s="21">
        <v>-1.5731800000000001E-2</v>
      </c>
      <c r="BL291" s="21">
        <v>281</v>
      </c>
      <c r="BM291" s="21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1">
        <v>1.3149999999999999</v>
      </c>
      <c r="BR291" s="21">
        <v>274.10599999999999</v>
      </c>
      <c r="BS291" s="21">
        <v>-1.29456E-2</v>
      </c>
      <c r="BT291" s="21">
        <v>281</v>
      </c>
      <c r="BU291" s="21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1">
        <v>0.31005899999999997</v>
      </c>
      <c r="H292" s="21">
        <v>49.804099999999998</v>
      </c>
      <c r="I292" s="21">
        <v>-1.59241E-2</v>
      </c>
      <c r="J292" s="21">
        <v>282</v>
      </c>
      <c r="K292" s="21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1">
        <v>1.3200400000000001</v>
      </c>
      <c r="P292" s="21">
        <v>99.186499999999995</v>
      </c>
      <c r="Q292" s="21">
        <v>-1.28754E-2</v>
      </c>
      <c r="R292" s="21">
        <v>282</v>
      </c>
      <c r="S292" s="21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1">
        <v>0.31005899999999997</v>
      </c>
      <c r="Z292" s="21">
        <v>51.888199999999998</v>
      </c>
      <c r="AA292" s="21">
        <v>-1.5805099999999999E-2</v>
      </c>
      <c r="AB292" s="21">
        <v>282</v>
      </c>
      <c r="AC292" s="21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1">
        <v>1.3200400000000001</v>
      </c>
      <c r="AH292" s="21">
        <v>76.873099999999994</v>
      </c>
      <c r="AI292" s="21">
        <v>-1.28693E-2</v>
      </c>
      <c r="AJ292" s="21">
        <v>282</v>
      </c>
      <c r="AK292" s="21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1">
        <v>0.31005899999999997</v>
      </c>
      <c r="AR292" s="21">
        <v>126.274</v>
      </c>
      <c r="AS292" s="21">
        <v>-1.5805099999999999E-2</v>
      </c>
      <c r="AT292" s="21">
        <v>282</v>
      </c>
      <c r="AU292" s="21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1">
        <v>1.3200400000000001</v>
      </c>
      <c r="AZ292" s="21">
        <v>175.56</v>
      </c>
      <c r="BA292" s="21">
        <v>-1.2820399999999999E-2</v>
      </c>
      <c r="BB292" s="21">
        <v>282</v>
      </c>
      <c r="BC292" s="21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1">
        <v>0.31005899999999997</v>
      </c>
      <c r="BJ292" s="21">
        <v>224.91</v>
      </c>
      <c r="BK292" s="21">
        <v>-1.5731800000000001E-2</v>
      </c>
      <c r="BL292" s="21">
        <v>282</v>
      </c>
      <c r="BM292" s="21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1">
        <v>1.3200400000000001</v>
      </c>
      <c r="BR292" s="21">
        <v>274.11599999999999</v>
      </c>
      <c r="BS292" s="21">
        <v>-1.2887600000000001E-2</v>
      </c>
      <c r="BT292" s="21">
        <v>282</v>
      </c>
      <c r="BU292" s="21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1">
        <v>0.30502299999999999</v>
      </c>
      <c r="H293" s="21">
        <v>49.8142</v>
      </c>
      <c r="I293" s="21">
        <v>-1.59271E-2</v>
      </c>
      <c r="J293" s="21">
        <v>283</v>
      </c>
      <c r="K293" s="21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1">
        <v>1.32507</v>
      </c>
      <c r="P293" s="21">
        <v>99.196600000000004</v>
      </c>
      <c r="Q293" s="21">
        <v>-1.27899E-2</v>
      </c>
      <c r="R293" s="21">
        <v>283</v>
      </c>
      <c r="S293" s="21">
        <v>1.32416</v>
      </c>
      <c r="T293">
        <f t="shared" si="66"/>
        <v>12.789899999999999</v>
      </c>
      <c r="U293">
        <f t="shared" si="67"/>
        <v>16.947512792999998</v>
      </c>
      <c r="X293" s="9"/>
      <c r="Y293" s="21">
        <v>0.30502299999999999</v>
      </c>
      <c r="Z293" s="21">
        <v>51.898200000000003</v>
      </c>
      <c r="AA293" s="21">
        <v>-1.5811200000000001E-2</v>
      </c>
      <c r="AB293" s="21">
        <v>283</v>
      </c>
      <c r="AC293" s="21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1">
        <v>1.32507</v>
      </c>
      <c r="AH293" s="21">
        <v>76.883200000000002</v>
      </c>
      <c r="AI293" s="21">
        <v>-1.2811299999999999E-2</v>
      </c>
      <c r="AJ293" s="21">
        <v>283</v>
      </c>
      <c r="AK293" s="21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1">
        <v>0.30502299999999999</v>
      </c>
      <c r="AR293" s="21">
        <v>126.28400000000001</v>
      </c>
      <c r="AS293" s="21">
        <v>-1.5799000000000001E-2</v>
      </c>
      <c r="AT293" s="21">
        <v>283</v>
      </c>
      <c r="AU293" s="21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1">
        <v>1.32507</v>
      </c>
      <c r="AZ293" s="21">
        <v>175.57</v>
      </c>
      <c r="BA293" s="21">
        <v>-1.27533E-2</v>
      </c>
      <c r="BB293" s="21">
        <v>283</v>
      </c>
      <c r="BC293" s="21">
        <v>1.32416</v>
      </c>
      <c r="BD293">
        <f t="shared" si="74"/>
        <v>12.753300000000001</v>
      </c>
      <c r="BE293">
        <f t="shared" si="75"/>
        <v>16.899015231</v>
      </c>
      <c r="BH293" s="9"/>
      <c r="BI293" s="21">
        <v>0.30502299999999999</v>
      </c>
      <c r="BJ293" s="21">
        <v>224.92</v>
      </c>
      <c r="BK293" s="21">
        <v>-1.5731800000000001E-2</v>
      </c>
      <c r="BL293" s="21">
        <v>283</v>
      </c>
      <c r="BM293" s="21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1">
        <v>1.32507</v>
      </c>
      <c r="BR293" s="21">
        <v>274.12599999999998</v>
      </c>
      <c r="BS293" s="21">
        <v>-1.28296E-2</v>
      </c>
      <c r="BT293" s="21">
        <v>283</v>
      </c>
      <c r="BU293" s="21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1">
        <v>0.29998799999999998</v>
      </c>
      <c r="H294" s="21">
        <v>49.824300000000001</v>
      </c>
      <c r="I294" s="21">
        <v>-1.5930199999999999E-2</v>
      </c>
      <c r="J294" s="21">
        <v>284</v>
      </c>
      <c r="K294" s="21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1">
        <v>1.3301099999999999</v>
      </c>
      <c r="P294" s="21">
        <v>99.206699999999998</v>
      </c>
      <c r="Q294" s="21">
        <v>-1.27014E-2</v>
      </c>
      <c r="R294" s="21">
        <v>284</v>
      </c>
      <c r="S294" s="21">
        <v>1.32935</v>
      </c>
      <c r="T294">
        <f t="shared" si="66"/>
        <v>12.7014</v>
      </c>
      <c r="U294">
        <f t="shared" si="67"/>
        <v>16.894259153999997</v>
      </c>
      <c r="X294" s="9"/>
      <c r="Y294" s="21">
        <v>0.29998799999999998</v>
      </c>
      <c r="Z294" s="21">
        <v>51.908299999999997</v>
      </c>
      <c r="AA294" s="21">
        <v>-1.5811200000000001E-2</v>
      </c>
      <c r="AB294" s="21">
        <v>284</v>
      </c>
      <c r="AC294" s="21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1">
        <v>1.3301099999999999</v>
      </c>
      <c r="AH294" s="21">
        <v>76.893299999999996</v>
      </c>
      <c r="AI294" s="21">
        <v>-1.27411E-2</v>
      </c>
      <c r="AJ294" s="21">
        <v>284</v>
      </c>
      <c r="AK294" s="21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1">
        <v>0.29998799999999998</v>
      </c>
      <c r="AR294" s="21">
        <v>126.294</v>
      </c>
      <c r="AS294" s="21">
        <v>-1.5799000000000001E-2</v>
      </c>
      <c r="AT294" s="21">
        <v>284</v>
      </c>
      <c r="AU294" s="21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1">
        <v>1.3301099999999999</v>
      </c>
      <c r="AZ294" s="21">
        <v>175.58</v>
      </c>
      <c r="BA294" s="21">
        <v>-1.2689199999999999E-2</v>
      </c>
      <c r="BB294" s="21">
        <v>284</v>
      </c>
      <c r="BC294" s="21">
        <v>1.32965</v>
      </c>
      <c r="BD294">
        <f t="shared" si="74"/>
        <v>12.6892</v>
      </c>
      <c r="BE294">
        <f t="shared" si="75"/>
        <v>16.878031812</v>
      </c>
      <c r="BH294" s="9"/>
      <c r="BI294" s="21">
        <v>0.29998799999999998</v>
      </c>
      <c r="BJ294" s="21">
        <v>224.93100000000001</v>
      </c>
      <c r="BK294" s="21">
        <v>-1.5744000000000001E-2</v>
      </c>
      <c r="BL294" s="21">
        <v>284</v>
      </c>
      <c r="BM294" s="21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1">
        <v>1.3301099999999999</v>
      </c>
      <c r="BR294" s="21">
        <v>274.13600000000002</v>
      </c>
      <c r="BS294" s="21">
        <v>-1.27686E-2</v>
      </c>
      <c r="BT294" s="21">
        <v>284</v>
      </c>
      <c r="BU294" s="21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1">
        <v>0.29495199999999999</v>
      </c>
      <c r="H295" s="21">
        <v>49.834299999999999</v>
      </c>
      <c r="I295" s="21">
        <v>-1.59271E-2</v>
      </c>
      <c r="J295" s="21">
        <v>285</v>
      </c>
      <c r="K295" s="21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1">
        <v>1.33514</v>
      </c>
      <c r="P295" s="21">
        <v>99.216800000000006</v>
      </c>
      <c r="Q295" s="21">
        <v>-1.2619E-2</v>
      </c>
      <c r="R295" s="21">
        <v>285</v>
      </c>
      <c r="S295" s="21">
        <v>1.33423</v>
      </c>
      <c r="T295">
        <f t="shared" si="66"/>
        <v>12.619</v>
      </c>
      <c r="U295">
        <f t="shared" si="67"/>
        <v>16.84813166</v>
      </c>
      <c r="X295" s="9"/>
      <c r="Y295" s="21">
        <v>0.29495199999999999</v>
      </c>
      <c r="Z295" s="21">
        <v>51.918399999999998</v>
      </c>
      <c r="AA295" s="21">
        <v>-1.5820299999999999E-2</v>
      </c>
      <c r="AB295" s="21">
        <v>285</v>
      </c>
      <c r="AC295" s="21">
        <v>0.294128</v>
      </c>
      <c r="AD295">
        <f t="shared" si="68"/>
        <v>15.8203</v>
      </c>
      <c r="AE295">
        <f t="shared" si="69"/>
        <v>4.6662291256000001</v>
      </c>
      <c r="AF295" s="9"/>
      <c r="AG295" s="21">
        <v>1.33514</v>
      </c>
      <c r="AH295" s="21">
        <v>76.903300000000002</v>
      </c>
      <c r="AI295" s="21">
        <v>-1.2674E-2</v>
      </c>
      <c r="AJ295" s="21">
        <v>285</v>
      </c>
      <c r="AK295" s="21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1">
        <v>0.29495199999999999</v>
      </c>
      <c r="AR295" s="21">
        <v>126.304</v>
      </c>
      <c r="AS295" s="21">
        <v>-1.5802E-2</v>
      </c>
      <c r="AT295" s="21">
        <v>285</v>
      </c>
      <c r="AU295" s="21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1">
        <v>1.33514</v>
      </c>
      <c r="AZ295" s="21">
        <v>175.59</v>
      </c>
      <c r="BA295" s="21">
        <v>-1.26251E-2</v>
      </c>
      <c r="BB295" s="21">
        <v>285</v>
      </c>
      <c r="BC295" s="21">
        <v>1.33362</v>
      </c>
      <c r="BD295">
        <f t="shared" si="74"/>
        <v>12.6251</v>
      </c>
      <c r="BE295">
        <f t="shared" si="75"/>
        <v>16.856276013999999</v>
      </c>
      <c r="BH295" s="9"/>
      <c r="BI295" s="21">
        <v>0.29495199999999999</v>
      </c>
      <c r="BJ295" s="21">
        <v>224.941</v>
      </c>
      <c r="BK295" s="21">
        <v>-1.57623E-2</v>
      </c>
      <c r="BL295" s="21">
        <v>285</v>
      </c>
      <c r="BM295" s="21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1">
        <v>1.33514</v>
      </c>
      <c r="BR295" s="21">
        <v>274.14600000000002</v>
      </c>
      <c r="BS295" s="21">
        <v>-1.27014E-2</v>
      </c>
      <c r="BT295" s="21">
        <v>285</v>
      </c>
      <c r="BU295" s="21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1">
        <v>0.28991699999999998</v>
      </c>
      <c r="H296" s="21">
        <v>49.8444</v>
      </c>
      <c r="I296" s="21">
        <v>-1.59271E-2</v>
      </c>
      <c r="J296" s="21">
        <v>286</v>
      </c>
      <c r="K296" s="21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1">
        <v>1.3401799999999999</v>
      </c>
      <c r="P296" s="21">
        <v>99.226799999999997</v>
      </c>
      <c r="Q296" s="21">
        <v>-1.25427E-2</v>
      </c>
      <c r="R296" s="21">
        <v>286</v>
      </c>
      <c r="S296" s="21">
        <v>1.33911</v>
      </c>
      <c r="T296">
        <f t="shared" si="66"/>
        <v>12.5427</v>
      </c>
      <c r="U296">
        <f t="shared" si="67"/>
        <v>16.809475685999999</v>
      </c>
      <c r="X296" s="9"/>
      <c r="Y296" s="21">
        <v>0.28991699999999998</v>
      </c>
      <c r="Z296" s="21">
        <v>51.928400000000003</v>
      </c>
      <c r="AA296" s="21">
        <v>-1.5820299999999999E-2</v>
      </c>
      <c r="AB296" s="21">
        <v>286</v>
      </c>
      <c r="AC296" s="21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1">
        <v>1.3401799999999999</v>
      </c>
      <c r="AH296" s="21">
        <v>76.913399999999996</v>
      </c>
      <c r="AI296" s="21">
        <v>-1.2600699999999999E-2</v>
      </c>
      <c r="AJ296" s="21">
        <v>286</v>
      </c>
      <c r="AK296" s="21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1">
        <v>0.28991699999999998</v>
      </c>
      <c r="AR296" s="21">
        <v>126.31399999999999</v>
      </c>
      <c r="AS296" s="21">
        <v>-1.5795900000000002E-2</v>
      </c>
      <c r="AT296" s="21">
        <v>286</v>
      </c>
      <c r="AU296" s="21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1">
        <v>1.3401799999999999</v>
      </c>
      <c r="AZ296" s="21">
        <v>175.6</v>
      </c>
      <c r="BA296" s="21">
        <v>-1.2554900000000001E-2</v>
      </c>
      <c r="BB296" s="21">
        <v>286</v>
      </c>
      <c r="BC296" s="21">
        <v>1.3394200000000001</v>
      </c>
      <c r="BD296">
        <f t="shared" si="74"/>
        <v>12.5549</v>
      </c>
      <c r="BE296">
        <f t="shared" si="75"/>
        <v>16.825825882</v>
      </c>
      <c r="BH296" s="9"/>
      <c r="BI296" s="21">
        <v>0.28991699999999998</v>
      </c>
      <c r="BJ296" s="21">
        <v>224.95099999999999</v>
      </c>
      <c r="BK296" s="21">
        <v>-1.57745E-2</v>
      </c>
      <c r="BL296" s="21">
        <v>286</v>
      </c>
      <c r="BM296" s="21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1">
        <v>1.3401799999999999</v>
      </c>
      <c r="BR296" s="21">
        <v>274.15600000000001</v>
      </c>
      <c r="BS296" s="21">
        <v>-1.2634299999999999E-2</v>
      </c>
      <c r="BT296" s="21">
        <v>286</v>
      </c>
      <c r="BU296" s="21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1">
        <v>0.28488200000000002</v>
      </c>
      <c r="H297" s="21">
        <v>49.854500000000002</v>
      </c>
      <c r="I297" s="21">
        <v>-1.59241E-2</v>
      </c>
      <c r="J297" s="21">
        <v>287</v>
      </c>
      <c r="K297" s="21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1">
        <v>1.34521</v>
      </c>
      <c r="P297" s="21">
        <v>99.236900000000006</v>
      </c>
      <c r="Q297" s="21">
        <v>-1.2457299999999999E-2</v>
      </c>
      <c r="R297" s="21">
        <v>287</v>
      </c>
      <c r="S297" s="21">
        <v>1.3446</v>
      </c>
      <c r="T297">
        <f t="shared" si="66"/>
        <v>12.4573</v>
      </c>
      <c r="U297">
        <f t="shared" si="67"/>
        <v>16.757684532999999</v>
      </c>
      <c r="X297" s="9"/>
      <c r="Y297" s="21">
        <v>0.28488200000000002</v>
      </c>
      <c r="Z297" s="21">
        <v>51.938499999999998</v>
      </c>
      <c r="AA297" s="21">
        <v>-1.5817299999999999E-2</v>
      </c>
      <c r="AB297" s="21">
        <v>287</v>
      </c>
      <c r="AC297" s="21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1">
        <v>1.34521</v>
      </c>
      <c r="AH297" s="21">
        <v>76.923500000000004</v>
      </c>
      <c r="AI297" s="21">
        <v>-1.25305E-2</v>
      </c>
      <c r="AJ297" s="21">
        <v>287</v>
      </c>
      <c r="AK297" s="21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1">
        <v>0.28488200000000002</v>
      </c>
      <c r="AR297" s="21">
        <v>126.324</v>
      </c>
      <c r="AS297" s="21">
        <v>-1.5792799999999999E-2</v>
      </c>
      <c r="AT297" s="21">
        <v>287</v>
      </c>
      <c r="AU297" s="21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1">
        <v>1.34521</v>
      </c>
      <c r="AZ297" s="21">
        <v>175.61</v>
      </c>
      <c r="BA297" s="21">
        <v>-1.2478599999999999E-2</v>
      </c>
      <c r="BB297" s="21">
        <v>287</v>
      </c>
      <c r="BC297" s="21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1">
        <v>0.28488200000000002</v>
      </c>
      <c r="BJ297" s="21">
        <v>224.96100000000001</v>
      </c>
      <c r="BK297" s="21">
        <v>-1.5786700000000001E-2</v>
      </c>
      <c r="BL297" s="21">
        <v>287</v>
      </c>
      <c r="BM297" s="21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1">
        <v>1.34521</v>
      </c>
      <c r="BR297" s="21">
        <v>274.166</v>
      </c>
      <c r="BS297" s="21">
        <v>-1.25641E-2</v>
      </c>
      <c r="BT297" s="21">
        <v>287</v>
      </c>
      <c r="BU297" s="21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1">
        <v>0.27984599999999998</v>
      </c>
      <c r="H298" s="21">
        <v>49.8645</v>
      </c>
      <c r="I298" s="21">
        <v>-1.5921000000000001E-2</v>
      </c>
      <c r="J298" s="21">
        <v>288</v>
      </c>
      <c r="K298" s="21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1">
        <v>1.35025</v>
      </c>
      <c r="P298" s="21">
        <v>99.247</v>
      </c>
      <c r="Q298" s="21">
        <v>-1.2374899999999999E-2</v>
      </c>
      <c r="R298" s="21">
        <v>288</v>
      </c>
      <c r="S298" s="21">
        <v>1.34918</v>
      </c>
      <c r="T298">
        <f t="shared" si="66"/>
        <v>12.3749</v>
      </c>
      <c r="U298">
        <f t="shared" si="67"/>
        <v>16.709208725</v>
      </c>
      <c r="X298" s="9"/>
      <c r="Y298" s="21">
        <v>0.27984599999999998</v>
      </c>
      <c r="Z298" s="21">
        <v>51.948599999999999</v>
      </c>
      <c r="AA298" s="21">
        <v>-1.5820299999999999E-2</v>
      </c>
      <c r="AB298" s="21">
        <v>288</v>
      </c>
      <c r="AC298" s="21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1">
        <v>1.35025</v>
      </c>
      <c r="AH298" s="21">
        <v>76.933599999999998</v>
      </c>
      <c r="AI298" s="21">
        <v>-1.2451200000000001E-2</v>
      </c>
      <c r="AJ298" s="21">
        <v>288</v>
      </c>
      <c r="AK298" s="21">
        <v>1.34918</v>
      </c>
      <c r="AL298">
        <f t="shared" si="70"/>
        <v>12.4512</v>
      </c>
      <c r="AM298">
        <f t="shared" si="71"/>
        <v>16.8122328</v>
      </c>
      <c r="AP298" s="9"/>
      <c r="AQ298" s="21">
        <v>0.27984599999999998</v>
      </c>
      <c r="AR298" s="21">
        <v>126.334</v>
      </c>
      <c r="AS298" s="21">
        <v>-1.5802E-2</v>
      </c>
      <c r="AT298" s="21">
        <v>288</v>
      </c>
      <c r="AU298" s="21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1">
        <v>1.35025</v>
      </c>
      <c r="AZ298" s="21">
        <v>175.62</v>
      </c>
      <c r="BA298" s="21">
        <v>-1.24084E-2</v>
      </c>
      <c r="BB298" s="21">
        <v>288</v>
      </c>
      <c r="BC298" s="21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1">
        <v>0.27984599999999998</v>
      </c>
      <c r="BJ298" s="21">
        <v>224.971</v>
      </c>
      <c r="BK298" s="21">
        <v>-1.57898E-2</v>
      </c>
      <c r="BL298" s="21">
        <v>288</v>
      </c>
      <c r="BM298" s="21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1">
        <v>1.35025</v>
      </c>
      <c r="BR298" s="21">
        <v>274.17599999999999</v>
      </c>
      <c r="BS298" s="21">
        <v>-1.24939E-2</v>
      </c>
      <c r="BT298" s="21">
        <v>288</v>
      </c>
      <c r="BU298" s="21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1">
        <v>0.27481100000000003</v>
      </c>
      <c r="H299" s="21">
        <v>49.874600000000001</v>
      </c>
      <c r="I299" s="21">
        <v>-1.5914899999999999E-2</v>
      </c>
      <c r="J299" s="21">
        <v>289</v>
      </c>
      <c r="K299" s="21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1">
        <v>1.3552900000000001</v>
      </c>
      <c r="P299" s="21">
        <v>99.257000000000005</v>
      </c>
      <c r="Q299" s="21">
        <v>-1.22925E-2</v>
      </c>
      <c r="R299" s="21">
        <v>289</v>
      </c>
      <c r="S299" s="21">
        <v>1.3543700000000001</v>
      </c>
      <c r="T299">
        <f t="shared" si="66"/>
        <v>12.2925</v>
      </c>
      <c r="U299">
        <f t="shared" si="67"/>
        <v>16.659902325000001</v>
      </c>
      <c r="X299" s="9"/>
      <c r="Y299" s="21">
        <v>0.27481100000000003</v>
      </c>
      <c r="Z299" s="21">
        <v>51.9587</v>
      </c>
      <c r="AA299" s="21">
        <v>-1.58295E-2</v>
      </c>
      <c r="AB299" s="21">
        <v>289</v>
      </c>
      <c r="AC299" s="21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1">
        <v>1.3552900000000001</v>
      </c>
      <c r="AH299" s="21">
        <v>76.943600000000004</v>
      </c>
      <c r="AI299" s="21">
        <v>-1.23657E-2</v>
      </c>
      <c r="AJ299" s="21">
        <v>289</v>
      </c>
      <c r="AK299" s="21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1">
        <v>0.27481100000000003</v>
      </c>
      <c r="AR299" s="21">
        <v>126.34399999999999</v>
      </c>
      <c r="AS299" s="21">
        <v>-1.5808099999999999E-2</v>
      </c>
      <c r="AT299" s="21">
        <v>289</v>
      </c>
      <c r="AU299" s="21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1">
        <v>1.3552900000000001</v>
      </c>
      <c r="AZ299" s="21">
        <v>175.631</v>
      </c>
      <c r="BA299" s="21">
        <v>-1.23322E-2</v>
      </c>
      <c r="BB299" s="21">
        <v>289</v>
      </c>
      <c r="BC299" s="21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1">
        <v>0.27481100000000003</v>
      </c>
      <c r="BJ299" s="21">
        <v>224.98099999999999</v>
      </c>
      <c r="BK299" s="21">
        <v>-1.5795900000000002E-2</v>
      </c>
      <c r="BL299" s="21">
        <v>289</v>
      </c>
      <c r="BM299" s="21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1">
        <v>1.3552900000000001</v>
      </c>
      <c r="BR299" s="21">
        <v>274.18599999999998</v>
      </c>
      <c r="BS299" s="21">
        <v>-1.24146E-2</v>
      </c>
      <c r="BT299" s="21">
        <v>289</v>
      </c>
      <c r="BU299" s="21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1">
        <v>0.26977499999999999</v>
      </c>
      <c r="H300" s="21">
        <v>49.884700000000002</v>
      </c>
      <c r="I300" s="21">
        <v>-1.5914899999999999E-2</v>
      </c>
      <c r="J300" s="21">
        <v>290</v>
      </c>
      <c r="K300" s="21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1">
        <v>1.36032</v>
      </c>
      <c r="P300" s="21">
        <v>99.267099999999999</v>
      </c>
      <c r="Q300" s="21">
        <v>-1.2200900000000001E-2</v>
      </c>
      <c r="R300" s="21">
        <v>290</v>
      </c>
      <c r="S300" s="21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1">
        <v>0.26977499999999999</v>
      </c>
      <c r="Z300" s="21">
        <v>51.968699999999998</v>
      </c>
      <c r="AA300" s="21">
        <v>-1.5838600000000001E-2</v>
      </c>
      <c r="AB300" s="21">
        <v>290</v>
      </c>
      <c r="AC300" s="21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1">
        <v>1.36032</v>
      </c>
      <c r="AH300" s="21">
        <v>76.953699999999998</v>
      </c>
      <c r="AI300" s="21">
        <v>-1.22833E-2</v>
      </c>
      <c r="AJ300" s="21">
        <v>290</v>
      </c>
      <c r="AK300" s="21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1">
        <v>0.26977499999999999</v>
      </c>
      <c r="AR300" s="21">
        <v>126.354</v>
      </c>
      <c r="AS300" s="21">
        <v>-1.5823400000000001E-2</v>
      </c>
      <c r="AT300" s="21">
        <v>290</v>
      </c>
      <c r="AU300" s="21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1">
        <v>1.36032</v>
      </c>
      <c r="AZ300" s="21">
        <v>175.64099999999999</v>
      </c>
      <c r="BA300" s="21">
        <v>-1.22437E-2</v>
      </c>
      <c r="BB300" s="21">
        <v>290</v>
      </c>
      <c r="BC300" s="21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1">
        <v>0.26977499999999999</v>
      </c>
      <c r="BJ300" s="21">
        <v>224.99100000000001</v>
      </c>
      <c r="BK300" s="21">
        <v>-1.5799000000000001E-2</v>
      </c>
      <c r="BL300" s="21">
        <v>290</v>
      </c>
      <c r="BM300" s="21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1">
        <v>1.36032</v>
      </c>
      <c r="BR300" s="21">
        <v>274.19600000000003</v>
      </c>
      <c r="BS300" s="21">
        <v>-1.2335199999999999E-2</v>
      </c>
      <c r="BT300" s="21">
        <v>290</v>
      </c>
      <c r="BU300" s="21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1">
        <v>0.26473999999999998</v>
      </c>
      <c r="H301" s="21">
        <v>49.894799999999996</v>
      </c>
      <c r="I301" s="21">
        <v>-1.5914899999999999E-2</v>
      </c>
      <c r="J301" s="21">
        <v>291</v>
      </c>
      <c r="K301" s="21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1">
        <v>1.3653599999999999</v>
      </c>
      <c r="P301" s="21">
        <v>99.277199999999993</v>
      </c>
      <c r="Q301" s="21">
        <v>-1.2109399999999999E-2</v>
      </c>
      <c r="R301" s="21">
        <v>291</v>
      </c>
      <c r="S301" s="21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1">
        <v>0.26473999999999998</v>
      </c>
      <c r="Z301" s="21">
        <v>51.9788</v>
      </c>
      <c r="AA301" s="21">
        <v>-1.5847799999999999E-2</v>
      </c>
      <c r="AB301" s="21">
        <v>291</v>
      </c>
      <c r="AC301" s="21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1">
        <v>1.3653599999999999</v>
      </c>
      <c r="AH301" s="21">
        <v>76.963800000000006</v>
      </c>
      <c r="AI301" s="21">
        <v>-1.21948E-2</v>
      </c>
      <c r="AJ301" s="21">
        <v>291</v>
      </c>
      <c r="AK301" s="21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1">
        <v>0.26473999999999998</v>
      </c>
      <c r="AR301" s="21">
        <v>126.364</v>
      </c>
      <c r="AS301" s="21">
        <v>-1.58295E-2</v>
      </c>
      <c r="AT301" s="21">
        <v>291</v>
      </c>
      <c r="AU301" s="21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1">
        <v>1.3653599999999999</v>
      </c>
      <c r="AZ301" s="21">
        <v>175.65100000000001</v>
      </c>
      <c r="BA301" s="21">
        <v>-1.21613E-2</v>
      </c>
      <c r="BB301" s="21">
        <v>291</v>
      </c>
      <c r="BC301" s="21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1">
        <v>0.26473999999999998</v>
      </c>
      <c r="BJ301" s="21">
        <v>225.001</v>
      </c>
      <c r="BK301" s="21">
        <v>-1.5802E-2</v>
      </c>
      <c r="BL301" s="21">
        <v>291</v>
      </c>
      <c r="BM301" s="21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1">
        <v>1.3653599999999999</v>
      </c>
      <c r="BR301" s="21">
        <v>274.20600000000002</v>
      </c>
      <c r="BS301" s="21">
        <v>-1.2252799999999999E-2</v>
      </c>
      <c r="BT301" s="21">
        <v>291</v>
      </c>
      <c r="BU301" s="21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1">
        <v>0.25970500000000002</v>
      </c>
      <c r="H302" s="21">
        <v>49.904800000000002</v>
      </c>
      <c r="I302" s="21">
        <v>-1.59119E-2</v>
      </c>
      <c r="J302" s="21">
        <v>292</v>
      </c>
      <c r="K302" s="21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1">
        <v>1.37039</v>
      </c>
      <c r="P302" s="21">
        <v>99.287300000000002</v>
      </c>
      <c r="Q302" s="21">
        <v>-1.2014800000000001E-2</v>
      </c>
      <c r="R302" s="21">
        <v>292</v>
      </c>
      <c r="S302" s="21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1">
        <v>0.25970500000000002</v>
      </c>
      <c r="Z302" s="21">
        <v>51.988900000000001</v>
      </c>
      <c r="AA302" s="21">
        <v>-1.5853900000000001E-2</v>
      </c>
      <c r="AB302" s="21">
        <v>292</v>
      </c>
      <c r="AC302" s="21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1">
        <v>1.37039</v>
      </c>
      <c r="AH302" s="21">
        <v>76.973799999999997</v>
      </c>
      <c r="AI302" s="21">
        <v>-1.2112400000000001E-2</v>
      </c>
      <c r="AJ302" s="21">
        <v>292</v>
      </c>
      <c r="AK302" s="21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1">
        <v>0.25970500000000002</v>
      </c>
      <c r="AR302" s="21">
        <v>126.374</v>
      </c>
      <c r="AS302" s="21">
        <v>-1.5832499999999999E-2</v>
      </c>
      <c r="AT302" s="21">
        <v>292</v>
      </c>
      <c r="AU302" s="21">
        <v>0.258911</v>
      </c>
      <c r="AV302">
        <f t="shared" si="72"/>
        <v>15.8325</v>
      </c>
      <c r="AW302">
        <f t="shared" si="73"/>
        <v>4.1117794124999998</v>
      </c>
      <c r="AX302" s="9"/>
      <c r="AY302" s="21">
        <v>1.37039</v>
      </c>
      <c r="AZ302" s="21">
        <v>175.661</v>
      </c>
      <c r="BA302" s="21">
        <v>-1.20728E-2</v>
      </c>
      <c r="BB302" s="21">
        <v>292</v>
      </c>
      <c r="BC302" s="21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1">
        <v>0.25970500000000002</v>
      </c>
      <c r="BJ302" s="21">
        <v>225.011</v>
      </c>
      <c r="BK302" s="21">
        <v>-1.5805099999999999E-2</v>
      </c>
      <c r="BL302" s="21">
        <v>292</v>
      </c>
      <c r="BM302" s="21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1">
        <v>1.37039</v>
      </c>
      <c r="BR302" s="21">
        <v>274.21699999999998</v>
      </c>
      <c r="BS302" s="21">
        <v>-1.2158199999999999E-2</v>
      </c>
      <c r="BT302" s="21">
        <v>292</v>
      </c>
      <c r="BU302" s="21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1">
        <v>0.25466899999999998</v>
      </c>
      <c r="H303" s="21">
        <v>49.914900000000003</v>
      </c>
      <c r="I303" s="21">
        <v>-1.5914899999999999E-2</v>
      </c>
      <c r="J303" s="21">
        <v>293</v>
      </c>
      <c r="K303" s="21">
        <v>0.253998</v>
      </c>
      <c r="L303">
        <f t="shared" si="64"/>
        <v>15.914899999999999</v>
      </c>
      <c r="M303">
        <f t="shared" si="65"/>
        <v>4.0530316680999992</v>
      </c>
      <c r="N303" s="9"/>
      <c r="O303" s="21">
        <v>1.3754299999999999</v>
      </c>
      <c r="P303" s="21">
        <v>99.297300000000007</v>
      </c>
      <c r="Q303" s="21">
        <v>-1.19141E-2</v>
      </c>
      <c r="R303" s="21">
        <v>293</v>
      </c>
      <c r="S303" s="21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1">
        <v>0.25466899999999998</v>
      </c>
      <c r="Z303" s="21">
        <v>51.998899999999999</v>
      </c>
      <c r="AA303" s="21">
        <v>-1.58569E-2</v>
      </c>
      <c r="AB303" s="21">
        <v>293</v>
      </c>
      <c r="AC303" s="21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1">
        <v>1.3754299999999999</v>
      </c>
      <c r="AH303" s="21">
        <v>76.983900000000006</v>
      </c>
      <c r="AI303" s="21">
        <v>-1.20331E-2</v>
      </c>
      <c r="AJ303" s="21">
        <v>293</v>
      </c>
      <c r="AK303" s="21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1">
        <v>0.25466899999999998</v>
      </c>
      <c r="AR303" s="21">
        <v>126.384</v>
      </c>
      <c r="AS303" s="21">
        <v>-1.5838600000000001E-2</v>
      </c>
      <c r="AT303" s="21">
        <v>293</v>
      </c>
      <c r="AU303" s="21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1">
        <v>1.3754299999999999</v>
      </c>
      <c r="AZ303" s="21">
        <v>175.67099999999999</v>
      </c>
      <c r="BA303" s="21">
        <v>-1.19965E-2</v>
      </c>
      <c r="BB303" s="21">
        <v>293</v>
      </c>
      <c r="BC303" s="21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1">
        <v>0.25466899999999998</v>
      </c>
      <c r="BJ303" s="21">
        <v>225.02099999999999</v>
      </c>
      <c r="BK303" s="21">
        <v>-1.5808099999999999E-2</v>
      </c>
      <c r="BL303" s="21">
        <v>293</v>
      </c>
      <c r="BM303" s="21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1">
        <v>1.3754299999999999</v>
      </c>
      <c r="BR303" s="21">
        <v>274.22699999999998</v>
      </c>
      <c r="BS303" s="21">
        <v>-1.2069699999999999E-2</v>
      </c>
      <c r="BT303" s="21">
        <v>293</v>
      </c>
      <c r="BU303" s="21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1">
        <v>0.24963399999999999</v>
      </c>
      <c r="H304" s="21">
        <v>49.924999999999997</v>
      </c>
      <c r="I304" s="21">
        <v>-1.5914899999999999E-2</v>
      </c>
      <c r="J304" s="21">
        <v>294</v>
      </c>
      <c r="K304" s="21">
        <v>0.24881</v>
      </c>
      <c r="L304">
        <f t="shared" si="64"/>
        <v>15.914899999999999</v>
      </c>
      <c r="M304">
        <f t="shared" si="65"/>
        <v>3.9729001465999998</v>
      </c>
      <c r="N304" s="9"/>
      <c r="O304" s="21">
        <v>1.38046</v>
      </c>
      <c r="P304" s="21">
        <v>99.307400000000001</v>
      </c>
      <c r="Q304" s="21">
        <v>-1.1816399999999999E-2</v>
      </c>
      <c r="R304" s="21">
        <v>294</v>
      </c>
      <c r="S304" s="21">
        <v>1.38</v>
      </c>
      <c r="T304">
        <f t="shared" si="66"/>
        <v>11.8164</v>
      </c>
      <c r="U304">
        <f t="shared" si="67"/>
        <v>16.312067544000001</v>
      </c>
      <c r="X304" s="9"/>
      <c r="Y304" s="21">
        <v>0.24963399999999999</v>
      </c>
      <c r="Z304" s="21">
        <v>52.009</v>
      </c>
      <c r="AA304" s="21">
        <v>-1.5853900000000001E-2</v>
      </c>
      <c r="AB304" s="21">
        <v>294</v>
      </c>
      <c r="AC304" s="21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1">
        <v>1.38046</v>
      </c>
      <c r="AH304" s="21">
        <v>76.994</v>
      </c>
      <c r="AI304" s="21">
        <v>-1.19446E-2</v>
      </c>
      <c r="AJ304" s="21">
        <v>294</v>
      </c>
      <c r="AK304" s="21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1">
        <v>0.24963399999999999</v>
      </c>
      <c r="AR304" s="21">
        <v>126.39400000000001</v>
      </c>
      <c r="AS304" s="21">
        <v>-1.58417E-2</v>
      </c>
      <c r="AT304" s="21">
        <v>294</v>
      </c>
      <c r="AU304" s="21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1">
        <v>1.38046</v>
      </c>
      <c r="AZ304" s="21">
        <v>175.68100000000001</v>
      </c>
      <c r="BA304" s="21">
        <v>-1.19171E-2</v>
      </c>
      <c r="BB304" s="21">
        <v>294</v>
      </c>
      <c r="BC304" s="21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1">
        <v>0.24963399999999999</v>
      </c>
      <c r="BJ304" s="21">
        <v>225.03100000000001</v>
      </c>
      <c r="BK304" s="21">
        <v>-1.5808099999999999E-2</v>
      </c>
      <c r="BL304" s="21">
        <v>294</v>
      </c>
      <c r="BM304" s="21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1">
        <v>1.38046</v>
      </c>
      <c r="BR304" s="21">
        <v>274.23700000000002</v>
      </c>
      <c r="BS304" s="21">
        <v>-1.1975100000000001E-2</v>
      </c>
      <c r="BT304" s="21">
        <v>294</v>
      </c>
      <c r="BU304" s="21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1">
        <v>0.24459800000000001</v>
      </c>
      <c r="H305" s="21">
        <v>49.935000000000002</v>
      </c>
      <c r="I305" s="21">
        <v>-1.5921000000000001E-2</v>
      </c>
      <c r="J305" s="21">
        <v>295</v>
      </c>
      <c r="K305" s="21">
        <v>0.243835</v>
      </c>
      <c r="L305">
        <f t="shared" si="64"/>
        <v>15.921000000000001</v>
      </c>
      <c r="M305">
        <f t="shared" si="65"/>
        <v>3.8942447580000006</v>
      </c>
      <c r="N305" s="9"/>
      <c r="O305" s="21">
        <v>1.3855</v>
      </c>
      <c r="P305" s="21">
        <v>99.317499999999995</v>
      </c>
      <c r="Q305" s="21">
        <v>-1.17035E-2</v>
      </c>
      <c r="R305" s="21">
        <v>295</v>
      </c>
      <c r="S305" s="21">
        <v>1.3845799999999999</v>
      </c>
      <c r="T305">
        <f t="shared" si="66"/>
        <v>11.7035</v>
      </c>
      <c r="U305">
        <f t="shared" si="67"/>
        <v>16.215199249999998</v>
      </c>
      <c r="X305" s="9"/>
      <c r="Y305" s="21">
        <v>0.24459800000000001</v>
      </c>
      <c r="Z305" s="21">
        <v>52.019100000000002</v>
      </c>
      <c r="AA305" s="21">
        <v>-1.5859999999999999E-2</v>
      </c>
      <c r="AB305" s="21">
        <v>295</v>
      </c>
      <c r="AC305" s="21">
        <v>0.243896</v>
      </c>
      <c r="AD305">
        <f t="shared" si="68"/>
        <v>15.86</v>
      </c>
      <c r="AE305">
        <f t="shared" si="69"/>
        <v>3.8793242800000001</v>
      </c>
      <c r="AF305" s="9"/>
      <c r="AG305" s="21">
        <v>1.3855</v>
      </c>
      <c r="AH305" s="21">
        <v>77.004099999999994</v>
      </c>
      <c r="AI305" s="21">
        <v>-1.18561E-2</v>
      </c>
      <c r="AJ305" s="21">
        <v>295</v>
      </c>
      <c r="AK305" s="21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1">
        <v>0.24459800000000001</v>
      </c>
      <c r="AR305" s="21">
        <v>126.404</v>
      </c>
      <c r="AS305" s="21">
        <v>-1.58417E-2</v>
      </c>
      <c r="AT305" s="21">
        <v>295</v>
      </c>
      <c r="AU305" s="21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1">
        <v>1.3855</v>
      </c>
      <c r="AZ305" s="21">
        <v>175.691</v>
      </c>
      <c r="BA305" s="21">
        <v>-1.18408E-2</v>
      </c>
      <c r="BB305" s="21">
        <v>295</v>
      </c>
      <c r="BC305" s="21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1">
        <v>0.24459800000000001</v>
      </c>
      <c r="BJ305" s="21">
        <v>225.041</v>
      </c>
      <c r="BK305" s="21">
        <v>-1.5811200000000001E-2</v>
      </c>
      <c r="BL305" s="21">
        <v>295</v>
      </c>
      <c r="BM305" s="21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1">
        <v>1.3855</v>
      </c>
      <c r="BR305" s="21">
        <v>274.24700000000001</v>
      </c>
      <c r="BS305" s="21">
        <v>-1.1892700000000001E-2</v>
      </c>
      <c r="BT305" s="21">
        <v>295</v>
      </c>
      <c r="BU305" s="21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1">
        <v>0.239563</v>
      </c>
      <c r="H306" s="21">
        <v>49.945099999999996</v>
      </c>
      <c r="I306" s="21">
        <v>-1.5930199999999999E-2</v>
      </c>
      <c r="J306" s="21">
        <v>296</v>
      </c>
      <c r="K306" s="21">
        <v>0.238922</v>
      </c>
      <c r="L306">
        <f t="shared" si="64"/>
        <v>15.930199999999999</v>
      </c>
      <c r="M306">
        <f t="shared" si="65"/>
        <v>3.8162865025999997</v>
      </c>
      <c r="N306" s="9"/>
      <c r="O306" s="21">
        <v>1.39053</v>
      </c>
      <c r="P306" s="21">
        <v>99.327500000000001</v>
      </c>
      <c r="Q306" s="21">
        <v>-1.15906E-2</v>
      </c>
      <c r="R306" s="21">
        <v>296</v>
      </c>
      <c r="S306" s="21">
        <v>1.3888499999999999</v>
      </c>
      <c r="T306">
        <f t="shared" si="66"/>
        <v>11.5906</v>
      </c>
      <c r="U306">
        <f t="shared" si="67"/>
        <v>16.117077018</v>
      </c>
      <c r="X306" s="9"/>
      <c r="Y306" s="21">
        <v>0.239563</v>
      </c>
      <c r="Z306" s="21">
        <v>52.029200000000003</v>
      </c>
      <c r="AA306" s="21">
        <v>-1.5859999999999999E-2</v>
      </c>
      <c r="AB306" s="21">
        <v>296</v>
      </c>
      <c r="AC306" s="21">
        <v>0.23883099999999999</v>
      </c>
      <c r="AD306">
        <f t="shared" si="68"/>
        <v>15.86</v>
      </c>
      <c r="AE306">
        <f t="shared" si="69"/>
        <v>3.79946918</v>
      </c>
      <c r="AF306" s="9"/>
      <c r="AG306" s="21">
        <v>1.39053</v>
      </c>
      <c r="AH306" s="21">
        <v>77.014099999999999</v>
      </c>
      <c r="AI306" s="21">
        <v>-1.1761499999999999E-2</v>
      </c>
      <c r="AJ306" s="21">
        <v>296</v>
      </c>
      <c r="AK306" s="21">
        <v>1.38947</v>
      </c>
      <c r="AL306">
        <f t="shared" si="70"/>
        <v>11.7615</v>
      </c>
      <c r="AM306">
        <f t="shared" si="71"/>
        <v>16.354718595000001</v>
      </c>
      <c r="AP306" s="9"/>
      <c r="AQ306" s="21">
        <v>0.239563</v>
      </c>
      <c r="AR306" s="21">
        <v>126.41500000000001</v>
      </c>
      <c r="AS306" s="21">
        <v>-1.58417E-2</v>
      </c>
      <c r="AT306" s="21">
        <v>296</v>
      </c>
      <c r="AU306" s="21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1">
        <v>1.39053</v>
      </c>
      <c r="AZ306" s="21">
        <v>175.70099999999999</v>
      </c>
      <c r="BA306" s="21">
        <v>-1.1749300000000001E-2</v>
      </c>
      <c r="BB306" s="21">
        <v>296</v>
      </c>
      <c r="BC306" s="21">
        <v>1.38947</v>
      </c>
      <c r="BD306">
        <f t="shared" si="74"/>
        <v>11.7493</v>
      </c>
      <c r="BE306">
        <f t="shared" si="75"/>
        <v>16.337754129</v>
      </c>
      <c r="BH306" s="9"/>
      <c r="BI306" s="21">
        <v>0.239563</v>
      </c>
      <c r="BJ306" s="21">
        <v>225.05099999999999</v>
      </c>
      <c r="BK306" s="21">
        <v>-1.5817299999999999E-2</v>
      </c>
      <c r="BL306" s="21">
        <v>296</v>
      </c>
      <c r="BM306" s="21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1">
        <v>1.39053</v>
      </c>
      <c r="BR306" s="21">
        <v>274.25700000000001</v>
      </c>
      <c r="BS306" s="21">
        <v>-1.1795E-2</v>
      </c>
      <c r="BT306" s="21">
        <v>296</v>
      </c>
      <c r="BU306" s="21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1">
        <v>0.23452799999999999</v>
      </c>
      <c r="H307" s="21">
        <v>49.955199999999998</v>
      </c>
      <c r="I307" s="21">
        <v>-1.59363E-2</v>
      </c>
      <c r="J307" s="21">
        <v>297</v>
      </c>
      <c r="K307" s="21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1">
        <v>1.39557</v>
      </c>
      <c r="P307" s="21">
        <v>99.337599999999995</v>
      </c>
      <c r="Q307" s="21">
        <v>-1.14777E-2</v>
      </c>
      <c r="R307" s="21">
        <v>297</v>
      </c>
      <c r="S307" s="21">
        <v>1.39435</v>
      </c>
      <c r="T307">
        <f t="shared" si="66"/>
        <v>11.4777</v>
      </c>
      <c r="U307">
        <f t="shared" si="67"/>
        <v>16.017933789000001</v>
      </c>
      <c r="X307" s="9"/>
      <c r="Y307" s="21">
        <v>0.23452799999999999</v>
      </c>
      <c r="Z307" s="21">
        <v>52.039200000000001</v>
      </c>
      <c r="AA307" s="21">
        <v>-1.5859999999999999E-2</v>
      </c>
      <c r="AB307" s="21">
        <v>297</v>
      </c>
      <c r="AC307" s="21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1">
        <v>1.39557</v>
      </c>
      <c r="AH307" s="21">
        <v>77.024199999999993</v>
      </c>
      <c r="AI307" s="21">
        <v>-1.16638E-2</v>
      </c>
      <c r="AJ307" s="21">
        <v>297</v>
      </c>
      <c r="AK307" s="21">
        <v>1.39435</v>
      </c>
      <c r="AL307">
        <f t="shared" si="70"/>
        <v>11.6638</v>
      </c>
      <c r="AM307">
        <f t="shared" si="71"/>
        <v>16.277649365999999</v>
      </c>
      <c r="AP307" s="9"/>
      <c r="AQ307" s="21">
        <v>0.23452799999999999</v>
      </c>
      <c r="AR307" s="21">
        <v>126.425</v>
      </c>
      <c r="AS307" s="21">
        <v>-1.58447E-2</v>
      </c>
      <c r="AT307" s="21">
        <v>297</v>
      </c>
      <c r="AU307" s="21">
        <v>0.233765</v>
      </c>
      <c r="AV307">
        <f t="shared" si="72"/>
        <v>15.8447</v>
      </c>
      <c r="AW307">
        <f t="shared" si="73"/>
        <v>3.7160258015999998</v>
      </c>
      <c r="AX307" s="9"/>
      <c r="AY307" s="21">
        <v>1.39557</v>
      </c>
      <c r="AZ307" s="21">
        <v>175.71100000000001</v>
      </c>
      <c r="BA307" s="21">
        <v>-1.16547E-2</v>
      </c>
      <c r="BB307" s="21">
        <v>297</v>
      </c>
      <c r="BC307" s="21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1">
        <v>0.23452799999999999</v>
      </c>
      <c r="BJ307" s="21">
        <v>225.06100000000001</v>
      </c>
      <c r="BK307" s="21">
        <v>-1.5817299999999999E-2</v>
      </c>
      <c r="BL307" s="21">
        <v>297</v>
      </c>
      <c r="BM307" s="21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1">
        <v>1.39557</v>
      </c>
      <c r="BR307" s="21">
        <v>274.267</v>
      </c>
      <c r="BS307" s="21">
        <v>-1.17065E-2</v>
      </c>
      <c r="BT307" s="21">
        <v>297</v>
      </c>
      <c r="BU307" s="21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1">
        <v>0.229492</v>
      </c>
      <c r="H308" s="21">
        <v>49.965299999999999</v>
      </c>
      <c r="I308" s="21">
        <v>-1.59393E-2</v>
      </c>
      <c r="J308" s="21">
        <v>298</v>
      </c>
      <c r="K308" s="21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1">
        <v>1.4006000000000001</v>
      </c>
      <c r="P308" s="21">
        <v>99.347700000000003</v>
      </c>
      <c r="Q308" s="21">
        <v>-1.13556E-2</v>
      </c>
      <c r="R308" s="21">
        <v>298</v>
      </c>
      <c r="S308" s="21">
        <v>1.39954</v>
      </c>
      <c r="T308">
        <f t="shared" si="66"/>
        <v>11.355600000000001</v>
      </c>
      <c r="U308">
        <f t="shared" si="67"/>
        <v>15.904653360000001</v>
      </c>
      <c r="X308" s="9"/>
      <c r="Y308" s="21">
        <v>0.229492</v>
      </c>
      <c r="Z308" s="21">
        <v>52.049300000000002</v>
      </c>
      <c r="AA308" s="21">
        <v>-1.5862999999999999E-2</v>
      </c>
      <c r="AB308" s="21">
        <v>298</v>
      </c>
      <c r="AC308" s="21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1">
        <v>1.4006000000000001</v>
      </c>
      <c r="AH308" s="21">
        <v>77.034300000000002</v>
      </c>
      <c r="AI308" s="21">
        <v>-1.15631E-2</v>
      </c>
      <c r="AJ308" s="21">
        <v>298</v>
      </c>
      <c r="AK308" s="21">
        <v>1.39984</v>
      </c>
      <c r="AL308">
        <f t="shared" si="70"/>
        <v>11.5631</v>
      </c>
      <c r="AM308">
        <f t="shared" si="71"/>
        <v>16.195277860000001</v>
      </c>
      <c r="AP308" s="9"/>
      <c r="AQ308" s="21">
        <v>0.229492</v>
      </c>
      <c r="AR308" s="21">
        <v>126.435</v>
      </c>
      <c r="AS308" s="21">
        <v>-1.5847799999999999E-2</v>
      </c>
      <c r="AT308" s="21">
        <v>298</v>
      </c>
      <c r="AU308" s="21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1">
        <v>1.4006000000000001</v>
      </c>
      <c r="AZ308" s="21">
        <v>175.721</v>
      </c>
      <c r="BA308" s="21">
        <v>-1.1554E-2</v>
      </c>
      <c r="BB308" s="21">
        <v>298</v>
      </c>
      <c r="BC308" s="21">
        <v>1.39923</v>
      </c>
      <c r="BD308">
        <f t="shared" si="74"/>
        <v>11.554</v>
      </c>
      <c r="BE308">
        <f t="shared" si="75"/>
        <v>16.182532399999999</v>
      </c>
      <c r="BH308" s="9"/>
      <c r="BI308" s="21">
        <v>0.229492</v>
      </c>
      <c r="BJ308" s="21">
        <v>225.072</v>
      </c>
      <c r="BK308" s="21">
        <v>-1.5820299999999999E-2</v>
      </c>
      <c r="BL308" s="21">
        <v>298</v>
      </c>
      <c r="BM308" s="21">
        <v>0.228882</v>
      </c>
      <c r="BN308">
        <f t="shared" si="76"/>
        <v>15.8203</v>
      </c>
      <c r="BO308">
        <f t="shared" si="77"/>
        <v>3.6306322876000001</v>
      </c>
      <c r="BP308" s="9"/>
      <c r="BQ308" s="21">
        <v>1.4006000000000001</v>
      </c>
      <c r="BR308" s="21">
        <v>274.27699999999999</v>
      </c>
      <c r="BS308" s="21">
        <v>-1.16119E-2</v>
      </c>
      <c r="BT308" s="21">
        <v>298</v>
      </c>
      <c r="BU308" s="21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1">
        <v>0.22445699999999999</v>
      </c>
      <c r="H309" s="21">
        <v>49.975299999999997</v>
      </c>
      <c r="I309" s="21">
        <v>-1.5945399999999998E-2</v>
      </c>
      <c r="J309" s="21">
        <v>299</v>
      </c>
      <c r="K309" s="21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1">
        <v>1.40564</v>
      </c>
      <c r="P309" s="21">
        <v>99.357799999999997</v>
      </c>
      <c r="Q309" s="21">
        <v>-1.1236599999999999E-2</v>
      </c>
      <c r="R309" s="21">
        <v>299</v>
      </c>
      <c r="S309" s="21">
        <v>1.40503</v>
      </c>
      <c r="T309">
        <f t="shared" si="66"/>
        <v>11.236599999999999</v>
      </c>
      <c r="U309">
        <f t="shared" si="67"/>
        <v>15.794614423999999</v>
      </c>
      <c r="X309" s="9"/>
      <c r="Y309" s="21">
        <v>0.22445699999999999</v>
      </c>
      <c r="Z309" s="21">
        <v>52.059399999999997</v>
      </c>
      <c r="AA309" s="21">
        <v>-1.5869100000000001E-2</v>
      </c>
      <c r="AB309" s="21">
        <v>299</v>
      </c>
      <c r="AC309" s="21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1">
        <v>1.40564</v>
      </c>
      <c r="AH309" s="21">
        <v>77.044300000000007</v>
      </c>
      <c r="AI309" s="21">
        <v>-1.1456300000000001E-2</v>
      </c>
      <c r="AJ309" s="21">
        <v>299</v>
      </c>
      <c r="AK309" s="21">
        <v>1.40472</v>
      </c>
      <c r="AL309">
        <f t="shared" si="70"/>
        <v>11.456300000000001</v>
      </c>
      <c r="AM309">
        <f t="shared" si="71"/>
        <v>16.103433532</v>
      </c>
      <c r="AP309" s="9"/>
      <c r="AQ309" s="21">
        <v>0.22445699999999999</v>
      </c>
      <c r="AR309" s="21">
        <v>126.44499999999999</v>
      </c>
      <c r="AS309" s="21">
        <v>-1.5850800000000002E-2</v>
      </c>
      <c r="AT309" s="21">
        <v>299</v>
      </c>
      <c r="AU309" s="21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1">
        <v>1.40564</v>
      </c>
      <c r="AZ309" s="21">
        <v>175.73099999999999</v>
      </c>
      <c r="BA309" s="21">
        <v>-1.14471E-2</v>
      </c>
      <c r="BB309" s="21">
        <v>299</v>
      </c>
      <c r="BC309" s="21">
        <v>1.40472</v>
      </c>
      <c r="BD309">
        <f t="shared" si="74"/>
        <v>11.447100000000001</v>
      </c>
      <c r="BE309">
        <f t="shared" si="75"/>
        <v>16.090501644</v>
      </c>
      <c r="BH309" s="9"/>
      <c r="BI309" s="21">
        <v>0.22445699999999999</v>
      </c>
      <c r="BJ309" s="21">
        <v>225.08199999999999</v>
      </c>
      <c r="BK309" s="21">
        <v>-1.5823400000000001E-2</v>
      </c>
      <c r="BL309" s="21">
        <v>299</v>
      </c>
      <c r="BM309" s="21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1">
        <v>1.40564</v>
      </c>
      <c r="BR309" s="21">
        <v>274.28699999999998</v>
      </c>
      <c r="BS309" s="21">
        <v>-1.15143E-2</v>
      </c>
      <c r="BT309" s="21">
        <v>299</v>
      </c>
      <c r="BU309" s="21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1">
        <v>0.219421</v>
      </c>
      <c r="H310" s="21">
        <v>49.985399999999998</v>
      </c>
      <c r="I310" s="21">
        <v>-1.5960700000000001E-2</v>
      </c>
      <c r="J310" s="21">
        <v>300</v>
      </c>
      <c r="K310" s="21">
        <v>0.218719</v>
      </c>
      <c r="L310">
        <f t="shared" si="64"/>
        <v>15.960700000000001</v>
      </c>
      <c r="M310">
        <f t="shared" si="65"/>
        <v>3.5021127547000002</v>
      </c>
      <c r="N310" s="9"/>
      <c r="O310" s="21">
        <v>1.4106799999999999</v>
      </c>
      <c r="P310" s="21">
        <v>99.367800000000003</v>
      </c>
      <c r="Q310" s="21">
        <v>-1.11115E-2</v>
      </c>
      <c r="R310" s="21">
        <v>300</v>
      </c>
      <c r="S310" s="21">
        <v>1.41022</v>
      </c>
      <c r="T310">
        <f t="shared" si="66"/>
        <v>11.111499999999999</v>
      </c>
      <c r="U310">
        <f t="shared" si="67"/>
        <v>15.674770819999999</v>
      </c>
      <c r="X310" s="9"/>
      <c r="Y310" s="21">
        <v>0.219421</v>
      </c>
      <c r="Z310" s="21">
        <v>52.069400000000002</v>
      </c>
      <c r="AA310" s="21">
        <v>-1.5869100000000001E-2</v>
      </c>
      <c r="AB310" s="21">
        <v>300</v>
      </c>
      <c r="AC310" s="21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1">
        <v>1.4106799999999999</v>
      </c>
      <c r="AH310" s="21">
        <v>77.054400000000001</v>
      </c>
      <c r="AI310" s="21">
        <v>-1.13586E-2</v>
      </c>
      <c r="AJ310" s="21">
        <v>300</v>
      </c>
      <c r="AK310" s="21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1">
        <v>0.219421</v>
      </c>
      <c r="AR310" s="21">
        <v>126.455</v>
      </c>
      <c r="AS310" s="21">
        <v>-1.5847799999999999E-2</v>
      </c>
      <c r="AT310" s="21">
        <v>300</v>
      </c>
      <c r="AU310" s="21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1">
        <v>1.4106799999999999</v>
      </c>
      <c r="AZ310" s="21">
        <v>175.74100000000001</v>
      </c>
      <c r="BA310" s="21">
        <v>-1.13373E-2</v>
      </c>
      <c r="BB310" s="21">
        <v>300</v>
      </c>
      <c r="BC310" s="21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1">
        <v>0.219421</v>
      </c>
      <c r="BJ310" s="21">
        <v>225.09200000000001</v>
      </c>
      <c r="BK310" s="21">
        <v>-1.5826400000000001E-2</v>
      </c>
      <c r="BL310" s="21">
        <v>300</v>
      </c>
      <c r="BM310" s="21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1">
        <v>1.4106799999999999</v>
      </c>
      <c r="BR310" s="21">
        <v>274.29700000000003</v>
      </c>
      <c r="BS310" s="21">
        <v>-1.1416600000000001E-2</v>
      </c>
      <c r="BT310" s="21">
        <v>300</v>
      </c>
      <c r="BU310" s="21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1">
        <v>0.21438599999999999</v>
      </c>
      <c r="H311" s="21">
        <v>49.9955</v>
      </c>
      <c r="I311" s="21">
        <v>-1.5960700000000001E-2</v>
      </c>
      <c r="J311" s="21">
        <v>301</v>
      </c>
      <c r="K311" s="21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1">
        <v>1.41571</v>
      </c>
      <c r="P311" s="21">
        <v>99.377899999999997</v>
      </c>
      <c r="Q311" s="21">
        <v>-1.0980200000000001E-2</v>
      </c>
      <c r="R311" s="21">
        <v>301</v>
      </c>
      <c r="S311" s="21">
        <v>1.41449</v>
      </c>
      <c r="T311">
        <f t="shared" si="66"/>
        <v>10.9802</v>
      </c>
      <c r="U311">
        <f t="shared" si="67"/>
        <v>15.544778942000001</v>
      </c>
      <c r="X311" s="9"/>
      <c r="Y311" s="21">
        <v>0.21438599999999999</v>
      </c>
      <c r="Z311" s="21">
        <v>52.079500000000003</v>
      </c>
      <c r="AA311" s="21">
        <v>-1.58722E-2</v>
      </c>
      <c r="AB311" s="21">
        <v>301</v>
      </c>
      <c r="AC311" s="21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1">
        <v>1.41571</v>
      </c>
      <c r="AH311" s="21">
        <v>77.064499999999995</v>
      </c>
      <c r="AI311" s="21">
        <v>-1.1251799999999999E-2</v>
      </c>
      <c r="AJ311" s="21">
        <v>301</v>
      </c>
      <c r="AK311" s="21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1">
        <v>0.21438599999999999</v>
      </c>
      <c r="AR311" s="21">
        <v>126.465</v>
      </c>
      <c r="AS311" s="21">
        <v>-1.5847799999999999E-2</v>
      </c>
      <c r="AT311" s="21">
        <v>301</v>
      </c>
      <c r="AU311" s="21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1">
        <v>1.41571</v>
      </c>
      <c r="AZ311" s="21">
        <v>175.751</v>
      </c>
      <c r="BA311" s="21">
        <v>-1.12335E-2</v>
      </c>
      <c r="BB311" s="21">
        <v>301</v>
      </c>
      <c r="BC311" s="21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1">
        <v>0.21438599999999999</v>
      </c>
      <c r="BJ311" s="21">
        <v>225.102</v>
      </c>
      <c r="BK311" s="21">
        <v>-1.58295E-2</v>
      </c>
      <c r="BL311" s="21">
        <v>301</v>
      </c>
      <c r="BM311" s="21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1">
        <v>1.41571</v>
      </c>
      <c r="BR311" s="21">
        <v>274.30700000000002</v>
      </c>
      <c r="BS311" s="21">
        <v>-1.1306800000000001E-2</v>
      </c>
      <c r="BT311" s="21">
        <v>301</v>
      </c>
      <c r="BU311" s="21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1">
        <v>0.20935100000000001</v>
      </c>
      <c r="H312" s="21">
        <v>50.005499999999998</v>
      </c>
      <c r="I312" s="21">
        <v>-1.5957599999999999E-2</v>
      </c>
      <c r="J312" s="21">
        <v>302</v>
      </c>
      <c r="K312" s="21">
        <v>0.208679</v>
      </c>
      <c r="L312">
        <f t="shared" si="64"/>
        <v>15.957599999999999</v>
      </c>
      <c r="M312">
        <f t="shared" si="65"/>
        <v>3.3407395175999999</v>
      </c>
      <c r="N312" s="9"/>
      <c r="O312" s="21">
        <v>1.42075</v>
      </c>
      <c r="P312" s="21">
        <v>99.388000000000005</v>
      </c>
      <c r="Q312" s="21">
        <v>-1.0855099999999999E-2</v>
      </c>
      <c r="R312" s="21">
        <v>302</v>
      </c>
      <c r="S312" s="21">
        <v>1.41998</v>
      </c>
      <c r="T312">
        <f t="shared" si="66"/>
        <v>10.8551</v>
      </c>
      <c r="U312">
        <f t="shared" si="67"/>
        <v>15.422383325</v>
      </c>
      <c r="X312" s="9"/>
      <c r="Y312" s="21">
        <v>0.20935100000000001</v>
      </c>
      <c r="Z312" s="21">
        <v>52.089599999999997</v>
      </c>
      <c r="AA312" s="21">
        <v>-1.5878300000000001E-2</v>
      </c>
      <c r="AB312" s="21">
        <v>302</v>
      </c>
      <c r="AC312" s="21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1">
        <v>1.42075</v>
      </c>
      <c r="AH312" s="21">
        <v>77.074600000000004</v>
      </c>
      <c r="AI312" s="21">
        <v>-1.1135900000000001E-2</v>
      </c>
      <c r="AJ312" s="21">
        <v>302</v>
      </c>
      <c r="AK312" s="21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1">
        <v>0.20935100000000001</v>
      </c>
      <c r="AR312" s="21">
        <v>126.47499999999999</v>
      </c>
      <c r="AS312" s="21">
        <v>-1.5853900000000001E-2</v>
      </c>
      <c r="AT312" s="21">
        <v>302</v>
      </c>
      <c r="AU312" s="21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1">
        <v>1.42075</v>
      </c>
      <c r="AZ312" s="21">
        <v>175.761</v>
      </c>
      <c r="BA312" s="21">
        <v>-1.11267E-2</v>
      </c>
      <c r="BB312" s="21">
        <v>302</v>
      </c>
      <c r="BC312" s="21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1">
        <v>0.20935100000000001</v>
      </c>
      <c r="BJ312" s="21">
        <v>225.11199999999999</v>
      </c>
      <c r="BK312" s="21">
        <v>-1.5835599999999998E-2</v>
      </c>
      <c r="BL312" s="21">
        <v>302</v>
      </c>
      <c r="BM312" s="21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1">
        <v>1.42075</v>
      </c>
      <c r="BR312" s="21">
        <v>274.31700000000001</v>
      </c>
      <c r="BS312" s="21">
        <v>-1.1184700000000001E-2</v>
      </c>
      <c r="BT312" s="21">
        <v>302</v>
      </c>
      <c r="BU312" s="21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1">
        <v>0.204315</v>
      </c>
      <c r="H313" s="21">
        <v>50.015599999999999</v>
      </c>
      <c r="I313" s="21">
        <v>-1.5957599999999999E-2</v>
      </c>
      <c r="J313" s="21">
        <v>303</v>
      </c>
      <c r="K313" s="21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1">
        <v>1.42578</v>
      </c>
      <c r="P313" s="21">
        <v>99.397999999999996</v>
      </c>
      <c r="Q313" s="21">
        <v>-1.07178E-2</v>
      </c>
      <c r="R313" s="21">
        <v>303</v>
      </c>
      <c r="S313" s="21">
        <v>1.4248700000000001</v>
      </c>
      <c r="T313">
        <f t="shared" si="66"/>
        <v>10.7178</v>
      </c>
      <c r="U313">
        <f t="shared" si="67"/>
        <v>15.281224884000002</v>
      </c>
      <c r="X313" s="9"/>
      <c r="Y313" s="21">
        <v>0.204315</v>
      </c>
      <c r="Z313" s="21">
        <v>52.099600000000002</v>
      </c>
      <c r="AA313" s="21">
        <v>-1.5878300000000001E-2</v>
      </c>
      <c r="AB313" s="21">
        <v>303</v>
      </c>
      <c r="AC313" s="21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1">
        <v>1.42578</v>
      </c>
      <c r="AH313" s="21">
        <v>77.084599999999995</v>
      </c>
      <c r="AI313" s="21">
        <v>-1.10229E-2</v>
      </c>
      <c r="AJ313" s="21">
        <v>303</v>
      </c>
      <c r="AK313" s="21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1">
        <v>0.204315</v>
      </c>
      <c r="AR313" s="21">
        <v>126.485</v>
      </c>
      <c r="AS313" s="21">
        <v>-1.58569E-2</v>
      </c>
      <c r="AT313" s="21">
        <v>303</v>
      </c>
      <c r="AU313" s="21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1">
        <v>1.42578</v>
      </c>
      <c r="AZ313" s="21">
        <v>175.77199999999999</v>
      </c>
      <c r="BA313" s="21">
        <v>-1.10229E-2</v>
      </c>
      <c r="BB313" s="21">
        <v>303</v>
      </c>
      <c r="BC313" s="21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1">
        <v>0.204315</v>
      </c>
      <c r="BJ313" s="21">
        <v>225.12200000000001</v>
      </c>
      <c r="BK313" s="21">
        <v>-1.58447E-2</v>
      </c>
      <c r="BL313" s="21">
        <v>303</v>
      </c>
      <c r="BM313" s="21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1">
        <v>1.42578</v>
      </c>
      <c r="BR313" s="21">
        <v>274.327</v>
      </c>
      <c r="BS313" s="21">
        <v>-1.10718E-2</v>
      </c>
      <c r="BT313" s="21">
        <v>303</v>
      </c>
      <c r="BU313" s="21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1">
        <v>0.19928000000000001</v>
      </c>
      <c r="H314" s="21">
        <v>50.025700000000001</v>
      </c>
      <c r="I314" s="21">
        <v>-1.5957599999999999E-2</v>
      </c>
      <c r="J314" s="21">
        <v>304</v>
      </c>
      <c r="K314" s="21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1">
        <v>1.43082</v>
      </c>
      <c r="P314" s="21">
        <v>99.408100000000005</v>
      </c>
      <c r="Q314" s="21">
        <v>-1.05927E-2</v>
      </c>
      <c r="R314" s="21">
        <v>304</v>
      </c>
      <c r="S314" s="21">
        <v>1.42944</v>
      </c>
      <c r="T314">
        <f t="shared" si="66"/>
        <v>10.592700000000001</v>
      </c>
      <c r="U314">
        <f t="shared" si="67"/>
        <v>15.156247014000002</v>
      </c>
      <c r="X314" s="9"/>
      <c r="Y314" s="21">
        <v>0.19928000000000001</v>
      </c>
      <c r="Z314" s="21">
        <v>52.109699999999997</v>
      </c>
      <c r="AA314" s="21">
        <v>-1.5881300000000001E-2</v>
      </c>
      <c r="AB314" s="21">
        <v>304</v>
      </c>
      <c r="AC314" s="21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1">
        <v>1.43082</v>
      </c>
      <c r="AH314" s="21">
        <v>77.094700000000003</v>
      </c>
      <c r="AI314" s="21">
        <v>-1.08948E-2</v>
      </c>
      <c r="AJ314" s="21">
        <v>304</v>
      </c>
      <c r="AK314" s="21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1">
        <v>0.19928000000000001</v>
      </c>
      <c r="AR314" s="21">
        <v>126.495</v>
      </c>
      <c r="AS314" s="21">
        <v>-1.5862999999999999E-2</v>
      </c>
      <c r="AT314" s="21">
        <v>304</v>
      </c>
      <c r="AU314" s="21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1">
        <v>1.43082</v>
      </c>
      <c r="AZ314" s="21">
        <v>175.78200000000001</v>
      </c>
      <c r="BA314" s="21">
        <v>-1.0897799999999999E-2</v>
      </c>
      <c r="BB314" s="21">
        <v>304</v>
      </c>
      <c r="BC314" s="21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1">
        <v>0.19928000000000001</v>
      </c>
      <c r="BJ314" s="21">
        <v>225.13200000000001</v>
      </c>
      <c r="BK314" s="21">
        <v>-1.58447E-2</v>
      </c>
      <c r="BL314" s="21">
        <v>304</v>
      </c>
      <c r="BM314" s="21">
        <v>0.198547</v>
      </c>
      <c r="BN314">
        <f t="shared" si="76"/>
        <v>15.8447</v>
      </c>
      <c r="BO314">
        <f t="shared" si="77"/>
        <v>3.1575318160000001</v>
      </c>
      <c r="BP314" s="9"/>
      <c r="BQ314" s="21">
        <v>1.43082</v>
      </c>
      <c r="BR314" s="21">
        <v>274.33699999999999</v>
      </c>
      <c r="BS314" s="21">
        <v>-1.09528E-2</v>
      </c>
      <c r="BT314" s="21">
        <v>304</v>
      </c>
      <c r="BU314" s="21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1">
        <v>0.194244</v>
      </c>
      <c r="H315" s="21">
        <v>50.035699999999999</v>
      </c>
      <c r="I315" s="21">
        <v>-1.5963700000000001E-2</v>
      </c>
      <c r="J315" s="21">
        <v>305</v>
      </c>
      <c r="K315" s="21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1">
        <v>1.4358500000000001</v>
      </c>
      <c r="P315" s="21">
        <v>99.418199999999999</v>
      </c>
      <c r="Q315" s="21">
        <v>-1.04584E-2</v>
      </c>
      <c r="R315" s="21">
        <v>305</v>
      </c>
      <c r="S315" s="21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1">
        <v>0.194244</v>
      </c>
      <c r="Z315" s="21">
        <v>52.119799999999998</v>
      </c>
      <c r="AA315" s="21">
        <v>-1.5887499999999999E-2</v>
      </c>
      <c r="AB315" s="21">
        <v>305</v>
      </c>
      <c r="AC315" s="21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1">
        <v>1.4358500000000001</v>
      </c>
      <c r="AH315" s="21">
        <v>77.104799999999997</v>
      </c>
      <c r="AI315" s="21">
        <v>-1.07635E-2</v>
      </c>
      <c r="AJ315" s="21">
        <v>305</v>
      </c>
      <c r="AK315" s="21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1">
        <v>0.194244</v>
      </c>
      <c r="AR315" s="21">
        <v>126.505</v>
      </c>
      <c r="AS315" s="21">
        <v>-1.5862999999999999E-2</v>
      </c>
      <c r="AT315" s="21">
        <v>305</v>
      </c>
      <c r="AU315" s="21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1">
        <v>1.4358500000000001</v>
      </c>
      <c r="AZ315" s="21">
        <v>175.792</v>
      </c>
      <c r="BA315" s="21">
        <v>-1.0781900000000001E-2</v>
      </c>
      <c r="BB315" s="21">
        <v>305</v>
      </c>
      <c r="BC315" s="21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1">
        <v>0.194244</v>
      </c>
      <c r="BJ315" s="21">
        <v>225.142</v>
      </c>
      <c r="BK315" s="21">
        <v>-1.58417E-2</v>
      </c>
      <c r="BL315" s="21">
        <v>305</v>
      </c>
      <c r="BM315" s="21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1">
        <v>1.4358500000000001</v>
      </c>
      <c r="BR315" s="21">
        <v>274.34699999999998</v>
      </c>
      <c r="BS315" s="21">
        <v>-1.0836800000000001E-2</v>
      </c>
      <c r="BT315" s="21">
        <v>305</v>
      </c>
      <c r="BU315" s="21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1">
        <v>0.18920899999999999</v>
      </c>
      <c r="H316" s="21">
        <v>50.0458</v>
      </c>
      <c r="I316" s="21">
        <v>-1.59668E-2</v>
      </c>
      <c r="J316" s="21">
        <v>306</v>
      </c>
      <c r="K316" s="21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1">
        <v>1.44089</v>
      </c>
      <c r="P316" s="21">
        <v>99.428200000000004</v>
      </c>
      <c r="Q316" s="21">
        <v>-1.0318000000000001E-2</v>
      </c>
      <c r="R316" s="21">
        <v>306</v>
      </c>
      <c r="S316" s="21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1">
        <v>0.18920899999999999</v>
      </c>
      <c r="Z316" s="21">
        <v>52.129899999999999</v>
      </c>
      <c r="AA316" s="21">
        <v>-1.58966E-2</v>
      </c>
      <c r="AB316" s="21">
        <v>306</v>
      </c>
      <c r="AC316" s="21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1">
        <v>1.44089</v>
      </c>
      <c r="AH316" s="21">
        <v>77.114800000000002</v>
      </c>
      <c r="AI316" s="21">
        <v>-1.0632300000000001E-2</v>
      </c>
      <c r="AJ316" s="21">
        <v>306</v>
      </c>
      <c r="AK316" s="21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1">
        <v>0.18920899999999999</v>
      </c>
      <c r="AR316" s="21">
        <v>126.515</v>
      </c>
      <c r="AS316" s="21">
        <v>-1.5866100000000001E-2</v>
      </c>
      <c r="AT316" s="21">
        <v>306</v>
      </c>
      <c r="AU316" s="21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1">
        <v>1.44089</v>
      </c>
      <c r="AZ316" s="21">
        <v>175.80199999999999</v>
      </c>
      <c r="BA316" s="21">
        <v>-1.06537E-2</v>
      </c>
      <c r="BB316" s="21">
        <v>306</v>
      </c>
      <c r="BC316" s="21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1">
        <v>0.18920899999999999</v>
      </c>
      <c r="BJ316" s="21">
        <v>225.15199999999999</v>
      </c>
      <c r="BK316" s="21">
        <v>-1.58447E-2</v>
      </c>
      <c r="BL316" s="21">
        <v>306</v>
      </c>
      <c r="BM316" s="21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1">
        <v>1.44089</v>
      </c>
      <c r="BR316" s="21">
        <v>274.358</v>
      </c>
      <c r="BS316" s="21">
        <v>-1.0714700000000001E-2</v>
      </c>
      <c r="BT316" s="21">
        <v>306</v>
      </c>
      <c r="BU316" s="21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1">
        <v>0.184174</v>
      </c>
      <c r="H317" s="21">
        <v>50.055900000000001</v>
      </c>
      <c r="I317" s="21">
        <v>-1.5972900000000002E-2</v>
      </c>
      <c r="J317" s="21">
        <v>307</v>
      </c>
      <c r="K317" s="21">
        <v>0.183472</v>
      </c>
      <c r="L317">
        <f t="shared" si="64"/>
        <v>15.972900000000001</v>
      </c>
      <c r="M317">
        <f t="shared" si="65"/>
        <v>2.9417928846000003</v>
      </c>
      <c r="N317" s="9"/>
      <c r="O317" s="21">
        <v>1.4459200000000001</v>
      </c>
      <c r="P317" s="21">
        <v>99.438299999999998</v>
      </c>
      <c r="Q317" s="21">
        <v>-1.01715E-2</v>
      </c>
      <c r="R317" s="21">
        <v>307</v>
      </c>
      <c r="S317" s="21">
        <v>1.4450099999999999</v>
      </c>
      <c r="T317">
        <f t="shared" si="66"/>
        <v>10.1715</v>
      </c>
      <c r="U317">
        <f t="shared" si="67"/>
        <v>14.707175280000001</v>
      </c>
      <c r="X317" s="9"/>
      <c r="Y317" s="21">
        <v>0.184174</v>
      </c>
      <c r="Z317" s="21">
        <v>52.139899999999997</v>
      </c>
      <c r="AA317" s="21">
        <v>-1.5905800000000001E-2</v>
      </c>
      <c r="AB317" s="21">
        <v>307</v>
      </c>
      <c r="AC317" s="21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1">
        <v>1.4459200000000001</v>
      </c>
      <c r="AH317" s="21">
        <v>77.124899999999997</v>
      </c>
      <c r="AI317" s="21">
        <v>-1.05042E-2</v>
      </c>
      <c r="AJ317" s="21">
        <v>307</v>
      </c>
      <c r="AK317" s="21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1">
        <v>0.184174</v>
      </c>
      <c r="AR317" s="21">
        <v>126.52500000000001</v>
      </c>
      <c r="AS317" s="21">
        <v>-1.58722E-2</v>
      </c>
      <c r="AT317" s="21">
        <v>307</v>
      </c>
      <c r="AU317" s="21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1">
        <v>1.4459200000000001</v>
      </c>
      <c r="AZ317" s="21">
        <v>175.81200000000001</v>
      </c>
      <c r="BA317" s="21">
        <v>-1.05255E-2</v>
      </c>
      <c r="BB317" s="21">
        <v>307</v>
      </c>
      <c r="BC317" s="21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1">
        <v>0.184174</v>
      </c>
      <c r="BJ317" s="21">
        <v>225.16200000000001</v>
      </c>
      <c r="BK317" s="21">
        <v>-1.5847799999999999E-2</v>
      </c>
      <c r="BL317" s="21">
        <v>307</v>
      </c>
      <c r="BM317" s="21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1">
        <v>1.4459200000000001</v>
      </c>
      <c r="BR317" s="21">
        <v>274.36799999999999</v>
      </c>
      <c r="BS317" s="21">
        <v>-1.0589599999999999E-2</v>
      </c>
      <c r="BT317" s="21">
        <v>307</v>
      </c>
      <c r="BU317" s="21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1">
        <v>0.17913799999999999</v>
      </c>
      <c r="H318" s="21">
        <v>50.066000000000003</v>
      </c>
      <c r="I318" s="21">
        <v>-1.5969799999999999E-2</v>
      </c>
      <c r="J318" s="21">
        <v>308</v>
      </c>
      <c r="K318" s="21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1">
        <v>1.45096</v>
      </c>
      <c r="P318" s="21">
        <v>99.448400000000007</v>
      </c>
      <c r="Q318" s="21">
        <v>-1.0024999999999999E-2</v>
      </c>
      <c r="R318" s="21">
        <v>308</v>
      </c>
      <c r="S318" s="21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1">
        <v>0.17913799999999999</v>
      </c>
      <c r="Z318" s="21">
        <v>52.15</v>
      </c>
      <c r="AA318" s="21">
        <v>-1.5908800000000001E-2</v>
      </c>
      <c r="AB318" s="21">
        <v>308</v>
      </c>
      <c r="AC318" s="21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1">
        <v>1.45096</v>
      </c>
      <c r="AH318" s="21">
        <v>77.135000000000005</v>
      </c>
      <c r="AI318" s="21">
        <v>-1.0366800000000001E-2</v>
      </c>
      <c r="AJ318" s="21">
        <v>308</v>
      </c>
      <c r="AK318" s="21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1">
        <v>0.17913799999999999</v>
      </c>
      <c r="AR318" s="21">
        <v>126.535</v>
      </c>
      <c r="AS318" s="21">
        <v>-1.58722E-2</v>
      </c>
      <c r="AT318" s="21">
        <v>308</v>
      </c>
      <c r="AU318" s="21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1">
        <v>1.45096</v>
      </c>
      <c r="AZ318" s="21">
        <v>175.822</v>
      </c>
      <c r="BA318" s="21">
        <v>-1.03973E-2</v>
      </c>
      <c r="BB318" s="21">
        <v>308</v>
      </c>
      <c r="BC318" s="21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1">
        <v>0.17913799999999999</v>
      </c>
      <c r="BJ318" s="21">
        <v>225.172</v>
      </c>
      <c r="BK318" s="21">
        <v>-1.5853900000000001E-2</v>
      </c>
      <c r="BL318" s="21">
        <v>308</v>
      </c>
      <c r="BM318" s="21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1">
        <v>1.45096</v>
      </c>
      <c r="BR318" s="21">
        <v>274.37799999999999</v>
      </c>
      <c r="BS318" s="21">
        <v>-1.04584E-2</v>
      </c>
      <c r="BT318" s="21">
        <v>308</v>
      </c>
      <c r="BU318" s="21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1">
        <v>0.17410300000000001</v>
      </c>
      <c r="H319" s="21">
        <v>50.076000000000001</v>
      </c>
      <c r="I319" s="21">
        <v>-1.59668E-2</v>
      </c>
      <c r="J319" s="21">
        <v>309</v>
      </c>
      <c r="K319" s="21">
        <v>0.173401</v>
      </c>
      <c r="L319">
        <f t="shared" si="64"/>
        <v>15.966799999999999</v>
      </c>
      <c r="M319">
        <f t="shared" si="65"/>
        <v>2.7798677804</v>
      </c>
      <c r="N319" s="9"/>
      <c r="O319" s="21">
        <v>1.4559899999999999</v>
      </c>
      <c r="P319" s="21">
        <v>99.458500000000001</v>
      </c>
      <c r="Q319" s="21">
        <v>-9.8724399999999997E-3</v>
      </c>
      <c r="R319" s="21">
        <v>309</v>
      </c>
      <c r="S319" s="21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1">
        <v>0.17410300000000001</v>
      </c>
      <c r="Z319" s="21">
        <v>52.1601</v>
      </c>
      <c r="AA319" s="21">
        <v>-1.5914899999999999E-2</v>
      </c>
      <c r="AB319" s="21">
        <v>309</v>
      </c>
      <c r="AC319" s="21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1">
        <v>1.4559899999999999</v>
      </c>
      <c r="AH319" s="21">
        <v>77.144999999999996</v>
      </c>
      <c r="AI319" s="21">
        <v>-1.02386E-2</v>
      </c>
      <c r="AJ319" s="21">
        <v>309</v>
      </c>
      <c r="AK319" s="21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1">
        <v>0.17410300000000001</v>
      </c>
      <c r="AR319" s="21">
        <v>126.545</v>
      </c>
      <c r="AS319" s="21">
        <v>-1.58722E-2</v>
      </c>
      <c r="AT319" s="21">
        <v>309</v>
      </c>
      <c r="AU319" s="21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1">
        <v>1.4559899999999999</v>
      </c>
      <c r="AZ319" s="21">
        <v>175.83199999999999</v>
      </c>
      <c r="BA319" s="21">
        <v>-1.0263100000000001E-2</v>
      </c>
      <c r="BB319" s="21">
        <v>309</v>
      </c>
      <c r="BC319" s="21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1">
        <v>0.17410300000000001</v>
      </c>
      <c r="BJ319" s="21">
        <v>225.18199999999999</v>
      </c>
      <c r="BK319" s="21">
        <v>-1.5853900000000001E-2</v>
      </c>
      <c r="BL319" s="21">
        <v>309</v>
      </c>
      <c r="BM319" s="21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1">
        <v>1.4559899999999999</v>
      </c>
      <c r="BR319" s="21">
        <v>274.38799999999998</v>
      </c>
      <c r="BS319" s="21">
        <v>-1.0327100000000001E-2</v>
      </c>
      <c r="BT319" s="21">
        <v>309</v>
      </c>
      <c r="BU319" s="21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1">
        <v>0.169067</v>
      </c>
      <c r="H320" s="21">
        <v>50.086100000000002</v>
      </c>
      <c r="I320" s="21">
        <v>-1.5963700000000001E-2</v>
      </c>
      <c r="J320" s="21">
        <v>310</v>
      </c>
      <c r="K320" s="21">
        <v>0.168457</v>
      </c>
      <c r="L320">
        <f t="shared" si="64"/>
        <v>15.963700000000001</v>
      </c>
      <c r="M320">
        <f t="shared" si="65"/>
        <v>2.6989348679000003</v>
      </c>
      <c r="N320" s="9"/>
      <c r="O320" s="21">
        <v>1.4610300000000001</v>
      </c>
      <c r="P320" s="21">
        <v>99.468500000000006</v>
      </c>
      <c r="Q320" s="21">
        <v>-9.7137500000000002E-3</v>
      </c>
      <c r="R320" s="21">
        <v>310</v>
      </c>
      <c r="S320" s="21">
        <v>1.46088</v>
      </c>
      <c r="T320">
        <f t="shared" si="66"/>
        <v>9.713750000000001</v>
      </c>
      <c r="U320">
        <f t="shared" si="67"/>
        <v>14.192080162500002</v>
      </c>
      <c r="X320" s="9"/>
      <c r="Y320" s="21">
        <v>0.169067</v>
      </c>
      <c r="Z320" s="21">
        <v>52.170099999999998</v>
      </c>
      <c r="AA320" s="21">
        <v>-1.5914899999999999E-2</v>
      </c>
      <c r="AB320" s="21">
        <v>310</v>
      </c>
      <c r="AC320" s="21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1">
        <v>1.4610300000000001</v>
      </c>
      <c r="AH320" s="21">
        <v>77.155100000000004</v>
      </c>
      <c r="AI320" s="21">
        <v>-1.0092200000000001E-2</v>
      </c>
      <c r="AJ320" s="21">
        <v>310</v>
      </c>
      <c r="AK320" s="21">
        <v>1.46027</v>
      </c>
      <c r="AL320">
        <f t="shared" si="70"/>
        <v>10.0922</v>
      </c>
      <c r="AM320">
        <f t="shared" si="71"/>
        <v>14.745006966</v>
      </c>
      <c r="AP320" s="9"/>
      <c r="AQ320" s="21">
        <v>0.169067</v>
      </c>
      <c r="AR320" s="21">
        <v>126.556</v>
      </c>
      <c r="AS320" s="21">
        <v>-1.58722E-2</v>
      </c>
      <c r="AT320" s="21">
        <v>310</v>
      </c>
      <c r="AU320" s="21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1">
        <v>1.4610300000000001</v>
      </c>
      <c r="AZ320" s="21">
        <v>175.84200000000001</v>
      </c>
      <c r="BA320" s="21">
        <v>-1.0119599999999999E-2</v>
      </c>
      <c r="BB320" s="21">
        <v>310</v>
      </c>
      <c r="BC320" s="21">
        <v>1.46027</v>
      </c>
      <c r="BD320">
        <f t="shared" si="74"/>
        <v>10.1196</v>
      </c>
      <c r="BE320">
        <f t="shared" si="75"/>
        <v>14.785039188000001</v>
      </c>
      <c r="BH320" s="9"/>
      <c r="BI320" s="21">
        <v>0.169067</v>
      </c>
      <c r="BJ320" s="21">
        <v>225.19200000000001</v>
      </c>
      <c r="BK320" s="21">
        <v>-1.5862999999999999E-2</v>
      </c>
      <c r="BL320" s="21">
        <v>310</v>
      </c>
      <c r="BM320" s="21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1">
        <v>1.4610300000000001</v>
      </c>
      <c r="BR320" s="21">
        <v>274.39800000000002</v>
      </c>
      <c r="BS320" s="21">
        <v>-1.0189800000000001E-2</v>
      </c>
      <c r="BT320" s="21">
        <v>310</v>
      </c>
      <c r="BU320" s="21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1">
        <v>0.16403200000000001</v>
      </c>
      <c r="H321" s="21">
        <v>50.096200000000003</v>
      </c>
      <c r="I321" s="21">
        <v>-1.5957599999999999E-2</v>
      </c>
      <c r="J321" s="21">
        <v>311</v>
      </c>
      <c r="K321" s="21">
        <v>0.163239</v>
      </c>
      <c r="L321">
        <f t="shared" si="64"/>
        <v>15.957599999999999</v>
      </c>
      <c r="M321">
        <f t="shared" si="65"/>
        <v>2.6175570432000002</v>
      </c>
      <c r="N321" s="9"/>
      <c r="O321" s="21">
        <v>1.4660599999999999</v>
      </c>
      <c r="P321" s="21">
        <v>99.4786</v>
      </c>
      <c r="Q321" s="21">
        <v>-9.5519999999999997E-3</v>
      </c>
      <c r="R321" s="21">
        <v>311</v>
      </c>
      <c r="S321" s="21">
        <v>1.46515</v>
      </c>
      <c r="T321">
        <f t="shared" si="66"/>
        <v>9.5519999999999996</v>
      </c>
      <c r="U321">
        <f t="shared" si="67"/>
        <v>14.003805119999999</v>
      </c>
      <c r="X321" s="9"/>
      <c r="Y321" s="21">
        <v>0.16403200000000001</v>
      </c>
      <c r="Z321" s="21">
        <v>52.180199999999999</v>
      </c>
      <c r="AA321" s="21">
        <v>-1.5918000000000002E-2</v>
      </c>
      <c r="AB321" s="21">
        <v>311</v>
      </c>
      <c r="AC321" s="21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1">
        <v>1.4660599999999999</v>
      </c>
      <c r="AH321" s="21">
        <v>77.165199999999999</v>
      </c>
      <c r="AI321" s="21">
        <v>-9.9487299999999994E-3</v>
      </c>
      <c r="AJ321" s="21">
        <v>311</v>
      </c>
      <c r="AK321" s="21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1">
        <v>0.16403200000000001</v>
      </c>
      <c r="AR321" s="21">
        <v>126.566</v>
      </c>
      <c r="AS321" s="21">
        <v>-1.5869100000000001E-2</v>
      </c>
      <c r="AT321" s="21">
        <v>311</v>
      </c>
      <c r="AU321" s="21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1">
        <v>1.4660599999999999</v>
      </c>
      <c r="AZ321" s="21">
        <v>175.852</v>
      </c>
      <c r="BA321" s="21">
        <v>-9.9792500000000003E-3</v>
      </c>
      <c r="BB321" s="21">
        <v>311</v>
      </c>
      <c r="BC321" s="21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1">
        <v>0.16403200000000001</v>
      </c>
      <c r="BJ321" s="21">
        <v>225.202</v>
      </c>
      <c r="BK321" s="21">
        <v>-1.5869100000000001E-2</v>
      </c>
      <c r="BL321" s="21">
        <v>311</v>
      </c>
      <c r="BM321" s="21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1">
        <v>1.4660599999999999</v>
      </c>
      <c r="BR321" s="21">
        <v>274.40800000000002</v>
      </c>
      <c r="BS321" s="21">
        <v>-1.00464E-2</v>
      </c>
      <c r="BT321" s="21">
        <v>311</v>
      </c>
      <c r="BU321" s="21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1">
        <v>0.158997</v>
      </c>
      <c r="H322" s="21">
        <v>50.106200000000001</v>
      </c>
      <c r="I322" s="21">
        <v>-1.5960700000000001E-2</v>
      </c>
      <c r="J322" s="21">
        <v>312</v>
      </c>
      <c r="K322" s="21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1">
        <v>1.4711000000000001</v>
      </c>
      <c r="P322" s="21">
        <v>99.488699999999994</v>
      </c>
      <c r="Q322" s="21">
        <v>-9.3902599999999992E-3</v>
      </c>
      <c r="R322" s="21">
        <v>312</v>
      </c>
      <c r="S322" s="21">
        <v>1.47034</v>
      </c>
      <c r="T322">
        <f t="shared" si="66"/>
        <v>9.3902599999999996</v>
      </c>
      <c r="U322">
        <f t="shared" si="67"/>
        <v>13.814011486</v>
      </c>
      <c r="X322" s="9"/>
      <c r="Y322" s="21">
        <v>0.158997</v>
      </c>
      <c r="Z322" s="21">
        <v>52.190300000000001</v>
      </c>
      <c r="AA322" s="21">
        <v>-1.59271E-2</v>
      </c>
      <c r="AB322" s="21">
        <v>312</v>
      </c>
      <c r="AC322" s="21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1">
        <v>1.4711000000000001</v>
      </c>
      <c r="AH322" s="21">
        <v>77.175299999999993</v>
      </c>
      <c r="AI322" s="21">
        <v>-9.7961400000000001E-3</v>
      </c>
      <c r="AJ322" s="21">
        <v>312</v>
      </c>
      <c r="AK322" s="21">
        <v>1.47095</v>
      </c>
      <c r="AL322">
        <f t="shared" si="70"/>
        <v>9.7961399999999994</v>
      </c>
      <c r="AM322">
        <f t="shared" si="71"/>
        <v>14.411101554</v>
      </c>
      <c r="AP322" s="9"/>
      <c r="AQ322" s="21">
        <v>0.158997</v>
      </c>
      <c r="AR322" s="21">
        <v>126.57599999999999</v>
      </c>
      <c r="AS322" s="21">
        <v>-1.5869100000000001E-2</v>
      </c>
      <c r="AT322" s="21">
        <v>312</v>
      </c>
      <c r="AU322" s="21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1">
        <v>1.4711000000000001</v>
      </c>
      <c r="AZ322" s="21">
        <v>175.86199999999999</v>
      </c>
      <c r="BA322" s="21">
        <v>-9.8327599999999994E-3</v>
      </c>
      <c r="BB322" s="21">
        <v>312</v>
      </c>
      <c r="BC322" s="21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1">
        <v>0.158997</v>
      </c>
      <c r="BJ322" s="21">
        <v>225.21299999999999</v>
      </c>
      <c r="BK322" s="21">
        <v>-1.58722E-2</v>
      </c>
      <c r="BL322" s="21">
        <v>312</v>
      </c>
      <c r="BM322" s="21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1">
        <v>1.4711000000000001</v>
      </c>
      <c r="BR322" s="21">
        <v>274.41800000000001</v>
      </c>
      <c r="BS322" s="21">
        <v>-9.9029500000000006E-3</v>
      </c>
      <c r="BT322" s="21">
        <v>312</v>
      </c>
      <c r="BU322" s="21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1">
        <v>0.15396099999999999</v>
      </c>
      <c r="H323" s="21">
        <v>50.116300000000003</v>
      </c>
      <c r="I323" s="21">
        <v>-1.5957599999999999E-2</v>
      </c>
      <c r="J323" s="21">
        <v>313</v>
      </c>
      <c r="K323" s="21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1">
        <v>1.47614</v>
      </c>
      <c r="P323" s="21">
        <v>99.498699999999999</v>
      </c>
      <c r="Q323" s="21">
        <v>-9.2193599999999994E-3</v>
      </c>
      <c r="R323" s="21">
        <v>313</v>
      </c>
      <c r="S323" s="21">
        <v>1.47522</v>
      </c>
      <c r="T323">
        <f t="shared" si="66"/>
        <v>9.21936</v>
      </c>
      <c r="U323">
        <f t="shared" si="67"/>
        <v>13.609066070400001</v>
      </c>
      <c r="X323" s="9"/>
      <c r="Y323" s="21">
        <v>0.15396099999999999</v>
      </c>
      <c r="Z323" s="21">
        <v>52.200400000000002</v>
      </c>
      <c r="AA323" s="21">
        <v>-1.59271E-2</v>
      </c>
      <c r="AB323" s="21">
        <v>313</v>
      </c>
      <c r="AC323" s="21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1">
        <v>1.47614</v>
      </c>
      <c r="AH323" s="21">
        <v>77.185299999999998</v>
      </c>
      <c r="AI323" s="21">
        <v>-9.6313500000000003E-3</v>
      </c>
      <c r="AJ323" s="21">
        <v>313</v>
      </c>
      <c r="AK323" s="21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1">
        <v>0.15396099999999999</v>
      </c>
      <c r="AR323" s="21">
        <v>126.586</v>
      </c>
      <c r="AS323" s="21">
        <v>-1.5878300000000001E-2</v>
      </c>
      <c r="AT323" s="21">
        <v>313</v>
      </c>
      <c r="AU323" s="21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1">
        <v>1.47614</v>
      </c>
      <c r="AZ323" s="21">
        <v>175.87200000000001</v>
      </c>
      <c r="BA323" s="21">
        <v>-9.6862800000000002E-3</v>
      </c>
      <c r="BB323" s="21">
        <v>313</v>
      </c>
      <c r="BC323" s="21">
        <v>1.47522</v>
      </c>
      <c r="BD323">
        <f t="shared" si="74"/>
        <v>9.68628</v>
      </c>
      <c r="BE323">
        <f t="shared" si="75"/>
        <v>14.2983053592</v>
      </c>
      <c r="BH323" s="9"/>
      <c r="BI323" s="21">
        <v>0.15396099999999999</v>
      </c>
      <c r="BJ323" s="21">
        <v>225.22300000000001</v>
      </c>
      <c r="BK323" s="21">
        <v>-1.5869100000000001E-2</v>
      </c>
      <c r="BL323" s="21">
        <v>313</v>
      </c>
      <c r="BM323" s="21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1">
        <v>1.47614</v>
      </c>
      <c r="BR323" s="21">
        <v>274.428</v>
      </c>
      <c r="BS323" s="21">
        <v>-9.7503699999999995E-3</v>
      </c>
      <c r="BT323" s="21">
        <v>313</v>
      </c>
      <c r="BU323" s="21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1">
        <v>0.148926</v>
      </c>
      <c r="H324" s="21">
        <v>50.126399999999997</v>
      </c>
      <c r="I324" s="21">
        <v>-1.5960700000000001E-2</v>
      </c>
      <c r="J324" s="21">
        <v>314</v>
      </c>
      <c r="K324" s="21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1">
        <v>1.4811700000000001</v>
      </c>
      <c r="P324" s="21">
        <v>99.508799999999994</v>
      </c>
      <c r="Q324" s="21">
        <v>-9.0423599999999993E-3</v>
      </c>
      <c r="R324" s="21">
        <v>314</v>
      </c>
      <c r="S324" s="21">
        <v>1.4801</v>
      </c>
      <c r="T324">
        <f t="shared" si="66"/>
        <v>9.0423599999999986</v>
      </c>
      <c r="U324">
        <f t="shared" si="67"/>
        <v>13.393272361199999</v>
      </c>
      <c r="X324" s="9"/>
      <c r="Y324" s="21">
        <v>0.148926</v>
      </c>
      <c r="Z324" s="21">
        <v>52.2104</v>
      </c>
      <c r="AA324" s="21">
        <v>-1.59271E-2</v>
      </c>
      <c r="AB324" s="21">
        <v>314</v>
      </c>
      <c r="AC324" s="21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1">
        <v>1.4811700000000001</v>
      </c>
      <c r="AH324" s="21">
        <v>77.195400000000006</v>
      </c>
      <c r="AI324" s="21">
        <v>-9.4726600000000008E-3</v>
      </c>
      <c r="AJ324" s="21">
        <v>314</v>
      </c>
      <c r="AK324" s="21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1">
        <v>0.148926</v>
      </c>
      <c r="AR324" s="21">
        <v>126.596</v>
      </c>
      <c r="AS324" s="21">
        <v>-1.5890499999999998E-2</v>
      </c>
      <c r="AT324" s="21">
        <v>314</v>
      </c>
      <c r="AU324" s="21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1">
        <v>1.4811700000000001</v>
      </c>
      <c r="AZ324" s="21">
        <v>175.88200000000001</v>
      </c>
      <c r="BA324" s="21">
        <v>-9.5275900000000007E-3</v>
      </c>
      <c r="BB324" s="21">
        <v>314</v>
      </c>
      <c r="BC324" s="21">
        <v>1.4801</v>
      </c>
      <c r="BD324">
        <f t="shared" si="74"/>
        <v>9.52759</v>
      </c>
      <c r="BE324">
        <f t="shared" si="75"/>
        <v>14.111980480300002</v>
      </c>
      <c r="BH324" s="9"/>
      <c r="BI324" s="21">
        <v>0.148926</v>
      </c>
      <c r="BJ324" s="21">
        <v>225.233</v>
      </c>
      <c r="BK324" s="21">
        <v>-1.58722E-2</v>
      </c>
      <c r="BL324" s="21">
        <v>314</v>
      </c>
      <c r="BM324" s="21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1">
        <v>1.4811700000000001</v>
      </c>
      <c r="BR324" s="21">
        <v>274.43799999999999</v>
      </c>
      <c r="BS324" s="21">
        <v>-9.5977800000000002E-3</v>
      </c>
      <c r="BT324" s="21">
        <v>314</v>
      </c>
      <c r="BU324" s="21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1">
        <v>0.14388999999999999</v>
      </c>
      <c r="H325" s="21">
        <v>50.136499999999998</v>
      </c>
      <c r="I325" s="21">
        <v>-1.59668E-2</v>
      </c>
      <c r="J325" s="21">
        <v>315</v>
      </c>
      <c r="K325" s="21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1">
        <v>1.48621</v>
      </c>
      <c r="P325" s="21">
        <v>99.518900000000002</v>
      </c>
      <c r="Q325" s="21">
        <v>-8.8653599999999992E-3</v>
      </c>
      <c r="R325" s="21">
        <v>315</v>
      </c>
      <c r="S325" s="21">
        <v>1.48499</v>
      </c>
      <c r="T325">
        <f t="shared" si="66"/>
        <v>8.865359999999999</v>
      </c>
      <c r="U325">
        <f t="shared" si="67"/>
        <v>13.175786685599999</v>
      </c>
      <c r="X325" s="9"/>
      <c r="Y325" s="21">
        <v>0.14388999999999999</v>
      </c>
      <c r="Z325" s="21">
        <v>52.220500000000001</v>
      </c>
      <c r="AA325" s="21">
        <v>-1.59241E-2</v>
      </c>
      <c r="AB325" s="21">
        <v>315</v>
      </c>
      <c r="AC325" s="21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1">
        <v>1.48621</v>
      </c>
      <c r="AH325" s="21">
        <v>77.205500000000001</v>
      </c>
      <c r="AI325" s="21">
        <v>-9.3109100000000004E-3</v>
      </c>
      <c r="AJ325" s="21">
        <v>315</v>
      </c>
      <c r="AK325" s="21">
        <v>1.48468</v>
      </c>
      <c r="AL325">
        <f t="shared" si="70"/>
        <v>9.3109099999999998</v>
      </c>
      <c r="AM325">
        <f t="shared" si="71"/>
        <v>13.8379675511</v>
      </c>
      <c r="AP325" s="9"/>
      <c r="AQ325" s="21">
        <v>0.14388999999999999</v>
      </c>
      <c r="AR325" s="21">
        <v>126.60599999999999</v>
      </c>
      <c r="AS325" s="21">
        <v>-1.5893600000000001E-2</v>
      </c>
      <c r="AT325" s="21">
        <v>315</v>
      </c>
      <c r="AU325" s="21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1">
        <v>1.48621</v>
      </c>
      <c r="AZ325" s="21">
        <v>175.892</v>
      </c>
      <c r="BA325" s="21">
        <v>-9.3749999999999997E-3</v>
      </c>
      <c r="BB325" s="21">
        <v>315</v>
      </c>
      <c r="BC325" s="21">
        <v>1.48499</v>
      </c>
      <c r="BD325">
        <f t="shared" si="74"/>
        <v>9.375</v>
      </c>
      <c r="BE325">
        <f t="shared" si="75"/>
        <v>13.93321875</v>
      </c>
      <c r="BH325" s="9"/>
      <c r="BI325" s="21">
        <v>0.14388999999999999</v>
      </c>
      <c r="BJ325" s="21">
        <v>225.24299999999999</v>
      </c>
      <c r="BK325" s="21">
        <v>-1.5881300000000001E-2</v>
      </c>
      <c r="BL325" s="21">
        <v>315</v>
      </c>
      <c r="BM325" s="21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1">
        <v>1.48621</v>
      </c>
      <c r="BR325" s="21">
        <v>274.44799999999998</v>
      </c>
      <c r="BS325" s="21">
        <v>-9.4329800000000005E-3</v>
      </c>
      <c r="BT325" s="21">
        <v>315</v>
      </c>
      <c r="BU325" s="21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1">
        <v>0.13885500000000001</v>
      </c>
      <c r="H326" s="21">
        <v>50.146500000000003</v>
      </c>
      <c r="I326" s="21">
        <v>-1.5972900000000002E-2</v>
      </c>
      <c r="J326" s="21">
        <v>316</v>
      </c>
      <c r="K326" s="21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1">
        <v>1.4912399999999999</v>
      </c>
      <c r="P326" s="21">
        <v>99.528999999999996</v>
      </c>
      <c r="Q326" s="21">
        <v>-8.6883499999999992E-3</v>
      </c>
      <c r="R326" s="21">
        <v>316</v>
      </c>
      <c r="S326" s="21">
        <v>1.49017</v>
      </c>
      <c r="T326">
        <f t="shared" si="66"/>
        <v>8.6883499999999998</v>
      </c>
      <c r="U326">
        <f t="shared" si="67"/>
        <v>12.956415053999999</v>
      </c>
      <c r="X326" s="9"/>
      <c r="Y326" s="21">
        <v>0.13885500000000001</v>
      </c>
      <c r="Z326" s="21">
        <v>52.230600000000003</v>
      </c>
      <c r="AA326" s="21">
        <v>-1.5914899999999999E-2</v>
      </c>
      <c r="AB326" s="21">
        <v>316</v>
      </c>
      <c r="AC326" s="21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1">
        <v>1.4912399999999999</v>
      </c>
      <c r="AH326" s="21">
        <v>77.215500000000006</v>
      </c>
      <c r="AI326" s="21">
        <v>-9.1491699999999999E-3</v>
      </c>
      <c r="AJ326" s="21">
        <v>316</v>
      </c>
      <c r="AK326" s="21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1">
        <v>0.13885500000000001</v>
      </c>
      <c r="AR326" s="21">
        <v>126.616</v>
      </c>
      <c r="AS326" s="21">
        <v>-1.5902699999999999E-2</v>
      </c>
      <c r="AT326" s="21">
        <v>316</v>
      </c>
      <c r="AU326" s="21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1">
        <v>1.4912399999999999</v>
      </c>
      <c r="AZ326" s="21">
        <v>175.90199999999999</v>
      </c>
      <c r="BA326" s="21">
        <v>-9.2010500000000005E-3</v>
      </c>
      <c r="BB326" s="21">
        <v>316</v>
      </c>
      <c r="BC326" s="21">
        <v>1.49017</v>
      </c>
      <c r="BD326">
        <f t="shared" si="74"/>
        <v>9.2010500000000004</v>
      </c>
      <c r="BE326">
        <f t="shared" si="75"/>
        <v>13.720973802</v>
      </c>
      <c r="BH326" s="9"/>
      <c r="BI326" s="21">
        <v>0.13885500000000001</v>
      </c>
      <c r="BJ326" s="21">
        <v>225.25299999999999</v>
      </c>
      <c r="BK326" s="21">
        <v>-1.5881300000000001E-2</v>
      </c>
      <c r="BL326" s="21">
        <v>316</v>
      </c>
      <c r="BM326" s="21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1">
        <v>1.4912399999999999</v>
      </c>
      <c r="BR326" s="21">
        <v>274.45800000000003</v>
      </c>
      <c r="BS326" s="21">
        <v>-9.2742899999999993E-3</v>
      </c>
      <c r="BT326" s="21">
        <v>316</v>
      </c>
      <c r="BU326" s="21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1">
        <v>0.13381999999999999</v>
      </c>
      <c r="H327" s="21">
        <v>50.156599999999997</v>
      </c>
      <c r="I327" s="21">
        <v>-1.5979E-2</v>
      </c>
      <c r="J327" s="21">
        <v>317</v>
      </c>
      <c r="K327" s="21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1">
        <v>1.4962800000000001</v>
      </c>
      <c r="P327" s="21">
        <v>99.539000000000001</v>
      </c>
      <c r="Q327" s="21">
        <v>-8.5021999999999997E-3</v>
      </c>
      <c r="R327" s="21">
        <v>317</v>
      </c>
      <c r="S327" s="21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1">
        <v>0.13381999999999999</v>
      </c>
      <c r="Z327" s="21">
        <v>52.240600000000001</v>
      </c>
      <c r="AA327" s="21">
        <v>-1.5914899999999999E-2</v>
      </c>
      <c r="AB327" s="21">
        <v>317</v>
      </c>
      <c r="AC327" s="21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1">
        <v>1.4962800000000001</v>
      </c>
      <c r="AH327" s="21">
        <v>77.2256</v>
      </c>
      <c r="AI327" s="21">
        <v>-8.9904800000000003E-3</v>
      </c>
      <c r="AJ327" s="21">
        <v>317</v>
      </c>
      <c r="AK327" s="21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1">
        <v>0.13381999999999999</v>
      </c>
      <c r="AR327" s="21">
        <v>126.626</v>
      </c>
      <c r="AS327" s="21">
        <v>-1.5902699999999999E-2</v>
      </c>
      <c r="AT327" s="21">
        <v>317</v>
      </c>
      <c r="AU327" s="21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1">
        <v>1.4962800000000001</v>
      </c>
      <c r="AZ327" s="21">
        <v>175.91200000000001</v>
      </c>
      <c r="BA327" s="21">
        <v>-9.0362499999999991E-3</v>
      </c>
      <c r="BB327" s="21">
        <v>317</v>
      </c>
      <c r="BC327" s="21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1">
        <v>0.13381999999999999</v>
      </c>
      <c r="BJ327" s="21">
        <v>225.26300000000001</v>
      </c>
      <c r="BK327" s="21">
        <v>-1.5887499999999999E-2</v>
      </c>
      <c r="BL327" s="21">
        <v>317</v>
      </c>
      <c r="BM327" s="21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1">
        <v>1.4962800000000001</v>
      </c>
      <c r="BR327" s="21">
        <v>274.46800000000002</v>
      </c>
      <c r="BS327" s="21">
        <v>-9.1094999999999995E-3</v>
      </c>
      <c r="BT327" s="21">
        <v>317</v>
      </c>
      <c r="BU327" s="21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1">
        <v>0.12878400000000001</v>
      </c>
      <c r="H328" s="21">
        <v>50.166699999999999</v>
      </c>
      <c r="I328" s="21">
        <v>-1.5976000000000001E-2</v>
      </c>
      <c r="J328" s="21">
        <v>318</v>
      </c>
      <c r="K328" s="21">
        <v>0.128082</v>
      </c>
      <c r="L328">
        <f t="shared" si="64"/>
        <v>15.976000000000001</v>
      </c>
      <c r="M328">
        <f t="shared" si="65"/>
        <v>2.0574531840000003</v>
      </c>
      <c r="N328" s="9"/>
      <c r="O328" s="21">
        <v>1.5013099999999999</v>
      </c>
      <c r="P328" s="21">
        <v>99.549099999999996</v>
      </c>
      <c r="Q328" s="21">
        <v>-8.3221400000000004E-3</v>
      </c>
      <c r="R328" s="21">
        <v>318</v>
      </c>
      <c r="S328" s="21">
        <v>1.50024</v>
      </c>
      <c r="T328">
        <f t="shared" si="66"/>
        <v>8.322140000000001</v>
      </c>
      <c r="U328">
        <f t="shared" si="67"/>
        <v>12.494112003400001</v>
      </c>
      <c r="X328" s="9"/>
      <c r="Y328" s="21">
        <v>0.12878400000000001</v>
      </c>
      <c r="Z328" s="21">
        <v>52.250700000000002</v>
      </c>
      <c r="AA328" s="21">
        <v>-1.5921000000000001E-2</v>
      </c>
      <c r="AB328" s="21">
        <v>318</v>
      </c>
      <c r="AC328" s="21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1">
        <v>1.5013099999999999</v>
      </c>
      <c r="AH328" s="21">
        <v>77.235699999999994</v>
      </c>
      <c r="AI328" s="21">
        <v>-8.8256800000000007E-3</v>
      </c>
      <c r="AJ328" s="21">
        <v>318</v>
      </c>
      <c r="AK328" s="21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1">
        <v>0.12878400000000001</v>
      </c>
      <c r="AR328" s="21">
        <v>126.636</v>
      </c>
      <c r="AS328" s="21">
        <v>-1.5902699999999999E-2</v>
      </c>
      <c r="AT328" s="21">
        <v>318</v>
      </c>
      <c r="AU328" s="21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1">
        <v>1.5013099999999999</v>
      </c>
      <c r="AZ328" s="21">
        <v>175.923</v>
      </c>
      <c r="BA328" s="21">
        <v>-8.8592500000000008E-3</v>
      </c>
      <c r="BB328" s="21">
        <v>318</v>
      </c>
      <c r="BC328" s="21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1">
        <v>0.12878400000000001</v>
      </c>
      <c r="BJ328" s="21">
        <v>225.273</v>
      </c>
      <c r="BK328" s="21">
        <v>-1.5890499999999998E-2</v>
      </c>
      <c r="BL328" s="21">
        <v>318</v>
      </c>
      <c r="BM328" s="21">
        <v>0.128113</v>
      </c>
      <c r="BN328">
        <f t="shared" si="76"/>
        <v>15.890499999999998</v>
      </c>
      <c r="BO328">
        <f t="shared" si="77"/>
        <v>2.046442152</v>
      </c>
      <c r="BP328" s="9"/>
      <c r="BQ328" s="21">
        <v>1.5013099999999999</v>
      </c>
      <c r="BR328" s="21">
        <v>274.47800000000001</v>
      </c>
      <c r="BS328" s="21">
        <v>-8.9355500000000004E-3</v>
      </c>
      <c r="BT328" s="21">
        <v>318</v>
      </c>
      <c r="BU328" s="21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1">
        <v>0.123749</v>
      </c>
      <c r="H329" s="21">
        <v>50.176699999999997</v>
      </c>
      <c r="I329" s="21">
        <v>-1.5976000000000001E-2</v>
      </c>
      <c r="J329" s="21">
        <v>319</v>
      </c>
      <c r="K329" s="21">
        <v>0.123108</v>
      </c>
      <c r="L329">
        <f t="shared" si="64"/>
        <v>15.976000000000001</v>
      </c>
      <c r="M329">
        <f t="shared" si="65"/>
        <v>1.977014024</v>
      </c>
      <c r="N329" s="9"/>
      <c r="O329" s="21">
        <v>1.5063500000000001</v>
      </c>
      <c r="P329" s="21">
        <v>99.559200000000004</v>
      </c>
      <c r="Q329" s="21">
        <v>-8.13293E-3</v>
      </c>
      <c r="R329" s="21">
        <v>319</v>
      </c>
      <c r="S329" s="21">
        <v>1.5051300000000001</v>
      </c>
      <c r="T329">
        <f t="shared" si="66"/>
        <v>8.13293</v>
      </c>
      <c r="U329">
        <f t="shared" si="67"/>
        <v>12.2510391055</v>
      </c>
      <c r="X329" s="9"/>
      <c r="Y329" s="21">
        <v>0.123749</v>
      </c>
      <c r="Z329" s="21">
        <v>52.260800000000003</v>
      </c>
      <c r="AA329" s="21">
        <v>-1.59271E-2</v>
      </c>
      <c r="AB329" s="21">
        <v>319</v>
      </c>
      <c r="AC329" s="21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1">
        <v>1.5063500000000001</v>
      </c>
      <c r="AH329" s="21">
        <v>77.245800000000003</v>
      </c>
      <c r="AI329" s="21">
        <v>-8.6547900000000007E-3</v>
      </c>
      <c r="AJ329" s="21">
        <v>319</v>
      </c>
      <c r="AK329" s="21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1">
        <v>0.123749</v>
      </c>
      <c r="AR329" s="21">
        <v>126.646</v>
      </c>
      <c r="AS329" s="21">
        <v>-1.5905800000000001E-2</v>
      </c>
      <c r="AT329" s="21">
        <v>319</v>
      </c>
      <c r="AU329" s="21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1">
        <v>1.5063500000000001</v>
      </c>
      <c r="AZ329" s="21">
        <v>175.93299999999999</v>
      </c>
      <c r="BA329" s="21">
        <v>-8.6853E-3</v>
      </c>
      <c r="BB329" s="21">
        <v>319</v>
      </c>
      <c r="BC329" s="21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1">
        <v>0.123749</v>
      </c>
      <c r="BJ329" s="21">
        <v>225.28299999999999</v>
      </c>
      <c r="BK329" s="21">
        <v>-1.5893600000000001E-2</v>
      </c>
      <c r="BL329" s="21">
        <v>319</v>
      </c>
      <c r="BM329" s="21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1">
        <v>1.5063500000000001</v>
      </c>
      <c r="BR329" s="21">
        <v>274.488</v>
      </c>
      <c r="BS329" s="21">
        <v>-8.7493899999999993E-3</v>
      </c>
      <c r="BT329" s="21">
        <v>319</v>
      </c>
      <c r="BU329" s="21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1">
        <v>0.118713</v>
      </c>
      <c r="H330" s="21">
        <v>50.186799999999998</v>
      </c>
      <c r="I330" s="21">
        <v>-1.5972900000000002E-2</v>
      </c>
      <c r="J330" s="21">
        <v>320</v>
      </c>
      <c r="K330" s="21">
        <v>0.118073</v>
      </c>
      <c r="L330">
        <f t="shared" si="64"/>
        <v>15.972900000000001</v>
      </c>
      <c r="M330">
        <f t="shared" si="65"/>
        <v>1.8961908777000001</v>
      </c>
      <c r="N330" s="9"/>
      <c r="O330" s="21">
        <v>1.5113799999999999</v>
      </c>
      <c r="P330" s="21">
        <v>99.569199999999995</v>
      </c>
      <c r="Q330" s="21">
        <v>-7.9437299999999995E-3</v>
      </c>
      <c r="R330" s="21">
        <v>320</v>
      </c>
      <c r="S330" s="21">
        <v>1.51031</v>
      </c>
      <c r="T330">
        <f t="shared" si="66"/>
        <v>7.9437299999999995</v>
      </c>
      <c r="U330">
        <f t="shared" si="67"/>
        <v>12.0059946474</v>
      </c>
      <c r="X330" s="9"/>
      <c r="Y330" s="21">
        <v>0.118713</v>
      </c>
      <c r="Z330" s="21">
        <v>52.270899999999997</v>
      </c>
      <c r="AA330" s="21">
        <v>-1.59271E-2</v>
      </c>
      <c r="AB330" s="21">
        <v>320</v>
      </c>
      <c r="AC330" s="21">
        <v>0.118073</v>
      </c>
      <c r="AD330">
        <f t="shared" si="68"/>
        <v>15.927099999999999</v>
      </c>
      <c r="AE330">
        <f t="shared" si="69"/>
        <v>1.8907538223</v>
      </c>
      <c r="AF330" s="9"/>
      <c r="AG330" s="21">
        <v>1.5113799999999999</v>
      </c>
      <c r="AH330" s="21">
        <v>77.255799999999994</v>
      </c>
      <c r="AI330" s="21">
        <v>-8.4655800000000003E-3</v>
      </c>
      <c r="AJ330" s="21">
        <v>320</v>
      </c>
      <c r="AK330" s="21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1">
        <v>0.118713</v>
      </c>
      <c r="AR330" s="21">
        <v>126.65600000000001</v>
      </c>
      <c r="AS330" s="21">
        <v>-1.5908800000000001E-2</v>
      </c>
      <c r="AT330" s="21">
        <v>320</v>
      </c>
      <c r="AU330" s="21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1">
        <v>1.5113799999999999</v>
      </c>
      <c r="AZ330" s="21">
        <v>175.94300000000001</v>
      </c>
      <c r="BA330" s="21">
        <v>-8.5021999999999997E-3</v>
      </c>
      <c r="BB330" s="21">
        <v>320</v>
      </c>
      <c r="BC330" s="21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1">
        <v>0.118713</v>
      </c>
      <c r="BJ330" s="21">
        <v>225.29300000000001</v>
      </c>
      <c r="BK330" s="21">
        <v>-1.58966E-2</v>
      </c>
      <c r="BL330" s="21">
        <v>320</v>
      </c>
      <c r="BM330" s="21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1">
        <v>1.5113799999999999</v>
      </c>
      <c r="BR330" s="21">
        <v>274.49900000000002</v>
      </c>
      <c r="BS330" s="21">
        <v>-8.5662800000000008E-3</v>
      </c>
      <c r="BT330" s="21">
        <v>320</v>
      </c>
      <c r="BU330" s="21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1">
        <v>0.113678</v>
      </c>
      <c r="H331" s="21">
        <v>50.196899999999999</v>
      </c>
      <c r="I331" s="21">
        <v>-1.5979E-2</v>
      </c>
      <c r="J331" s="21">
        <v>321</v>
      </c>
      <c r="K331" s="21">
        <v>0.113007</v>
      </c>
      <c r="L331">
        <f t="shared" si="64"/>
        <v>15.979000000000001</v>
      </c>
      <c r="M331">
        <f t="shared" si="65"/>
        <v>1.8164607620000002</v>
      </c>
      <c r="N331" s="9"/>
      <c r="O331" s="21">
        <v>1.5164200000000001</v>
      </c>
      <c r="P331" s="21">
        <v>99.579300000000003</v>
      </c>
      <c r="Q331" s="21">
        <v>-7.7484099999999998E-3</v>
      </c>
      <c r="R331" s="21">
        <v>321</v>
      </c>
      <c r="S331" s="21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1">
        <v>0.113678</v>
      </c>
      <c r="Z331" s="21">
        <v>52.280900000000003</v>
      </c>
      <c r="AA331" s="21">
        <v>-1.59271E-2</v>
      </c>
      <c r="AB331" s="21">
        <v>321</v>
      </c>
      <c r="AC331" s="21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1">
        <v>1.5164200000000001</v>
      </c>
      <c r="AH331" s="21">
        <v>77.265900000000002</v>
      </c>
      <c r="AI331" s="21">
        <v>-8.2794199999999991E-3</v>
      </c>
      <c r="AJ331" s="21">
        <v>321</v>
      </c>
      <c r="AK331" s="21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1">
        <v>0.113678</v>
      </c>
      <c r="AR331" s="21">
        <v>126.666</v>
      </c>
      <c r="AS331" s="21">
        <v>-1.5914899999999999E-2</v>
      </c>
      <c r="AT331" s="21">
        <v>321</v>
      </c>
      <c r="AU331" s="21">
        <v>0.113037</v>
      </c>
      <c r="AV331">
        <f t="shared" si="72"/>
        <v>15.914899999999999</v>
      </c>
      <c r="AW331">
        <f t="shared" si="73"/>
        <v>1.8091740022</v>
      </c>
      <c r="AX331" s="9"/>
      <c r="AY331" s="21">
        <v>1.5164200000000001</v>
      </c>
      <c r="AZ331" s="21">
        <v>175.953</v>
      </c>
      <c r="BA331" s="21">
        <v>-8.3160400000000002E-3</v>
      </c>
      <c r="BB331" s="21">
        <v>321</v>
      </c>
      <c r="BC331" s="21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1">
        <v>0.113678</v>
      </c>
      <c r="BJ331" s="21">
        <v>225.303</v>
      </c>
      <c r="BK331" s="21">
        <v>-1.58966E-2</v>
      </c>
      <c r="BL331" s="21">
        <v>321</v>
      </c>
      <c r="BM331" s="21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1">
        <v>1.5164200000000001</v>
      </c>
      <c r="BR331" s="21">
        <v>274.50900000000001</v>
      </c>
      <c r="BS331" s="21">
        <v>-8.3801299999999995E-3</v>
      </c>
      <c r="BT331" s="21">
        <v>321</v>
      </c>
      <c r="BU331" s="21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1">
        <v>0.108643</v>
      </c>
      <c r="H332" s="21">
        <v>50.207000000000001</v>
      </c>
      <c r="I332" s="21">
        <v>-1.5982099999999999E-2</v>
      </c>
      <c r="J332" s="21">
        <v>322</v>
      </c>
      <c r="K332" s="21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1">
        <v>1.52145</v>
      </c>
      <c r="P332" s="21">
        <v>99.589399999999998</v>
      </c>
      <c r="Q332" s="21">
        <v>-7.5439499999999998E-3</v>
      </c>
      <c r="R332" s="21">
        <v>322</v>
      </c>
      <c r="S332" s="21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1">
        <v>0.108643</v>
      </c>
      <c r="Z332" s="21">
        <v>52.290999999999997</v>
      </c>
      <c r="AA332" s="21">
        <v>-1.5930199999999999E-2</v>
      </c>
      <c r="AB332" s="21">
        <v>322</v>
      </c>
      <c r="AC332" s="21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1">
        <v>1.52145</v>
      </c>
      <c r="AH332" s="21">
        <v>77.275999999999996</v>
      </c>
      <c r="AI332" s="21">
        <v>-8.0810499999999993E-3</v>
      </c>
      <c r="AJ332" s="21">
        <v>322</v>
      </c>
      <c r="AK332" s="21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1">
        <v>0.108643</v>
      </c>
      <c r="AR332" s="21">
        <v>126.676</v>
      </c>
      <c r="AS332" s="21">
        <v>-1.59241E-2</v>
      </c>
      <c r="AT332" s="21">
        <v>322</v>
      </c>
      <c r="AU332" s="21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1">
        <v>1.52145</v>
      </c>
      <c r="AZ332" s="21">
        <v>175.96299999999999</v>
      </c>
      <c r="BA332" s="21">
        <v>-8.1146199999999995E-3</v>
      </c>
      <c r="BB332" s="21">
        <v>322</v>
      </c>
      <c r="BC332" s="21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1">
        <v>0.108643</v>
      </c>
      <c r="BJ332" s="21">
        <v>225.31299999999999</v>
      </c>
      <c r="BK332" s="21">
        <v>-1.5899699999999999E-2</v>
      </c>
      <c r="BL332" s="21">
        <v>322</v>
      </c>
      <c r="BM332" s="21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1">
        <v>1.52145</v>
      </c>
      <c r="BR332" s="21">
        <v>274.51900000000001</v>
      </c>
      <c r="BS332" s="21">
        <v>-8.1939700000000001E-3</v>
      </c>
      <c r="BT332" s="21">
        <v>322</v>
      </c>
      <c r="BU332" s="21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1">
        <v>0.103607</v>
      </c>
      <c r="H333" s="21">
        <v>50.216999999999999</v>
      </c>
      <c r="I333" s="21">
        <v>-1.5979E-2</v>
      </c>
      <c r="J333" s="21">
        <v>323</v>
      </c>
      <c r="K333" s="21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1">
        <v>1.5264899999999999</v>
      </c>
      <c r="P333" s="21">
        <v>99.599500000000006</v>
      </c>
      <c r="Q333" s="21">
        <v>-7.34558E-3</v>
      </c>
      <c r="R333" s="21">
        <v>323</v>
      </c>
      <c r="S333" s="21">
        <v>1.5252699999999999</v>
      </c>
      <c r="T333">
        <f t="shared" si="82"/>
        <v>7.34558</v>
      </c>
      <c r="U333">
        <f t="shared" si="83"/>
        <v>11.212954414199999</v>
      </c>
      <c r="X333" s="9"/>
      <c r="Y333" s="21">
        <v>0.103607</v>
      </c>
      <c r="Z333" s="21">
        <v>52.301099999999998</v>
      </c>
      <c r="AA333" s="21">
        <v>-1.59393E-2</v>
      </c>
      <c r="AB333" s="21">
        <v>323</v>
      </c>
      <c r="AC333" s="21">
        <v>0.102936</v>
      </c>
      <c r="AD333">
        <f t="shared" si="84"/>
        <v>15.939299999999999</v>
      </c>
      <c r="AE333">
        <f t="shared" si="85"/>
        <v>1.6514230551</v>
      </c>
      <c r="AF333" s="9"/>
      <c r="AG333" s="21">
        <v>1.5264899999999999</v>
      </c>
      <c r="AH333" s="21">
        <v>77.286000000000001</v>
      </c>
      <c r="AI333" s="21">
        <v>-7.8796400000000003E-3</v>
      </c>
      <c r="AJ333" s="21">
        <v>323</v>
      </c>
      <c r="AK333" s="21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1">
        <v>0.103607</v>
      </c>
      <c r="AR333" s="21">
        <v>126.68600000000001</v>
      </c>
      <c r="AS333" s="21">
        <v>-1.5930199999999999E-2</v>
      </c>
      <c r="AT333" s="21">
        <v>323</v>
      </c>
      <c r="AU333" s="21">
        <v>0.102936</v>
      </c>
      <c r="AV333">
        <f t="shared" si="88"/>
        <v>15.930199999999999</v>
      </c>
      <c r="AW333">
        <f t="shared" si="89"/>
        <v>1.6504802314</v>
      </c>
      <c r="AX333" s="9"/>
      <c r="AY333" s="21">
        <v>1.5264899999999999</v>
      </c>
      <c r="AZ333" s="21">
        <v>175.97300000000001</v>
      </c>
      <c r="BA333" s="21">
        <v>-7.9223599999999998E-3</v>
      </c>
      <c r="BB333" s="21">
        <v>323</v>
      </c>
      <c r="BC333" s="21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1">
        <v>0.103607</v>
      </c>
      <c r="BJ333" s="21">
        <v>225.32300000000001</v>
      </c>
      <c r="BK333" s="21">
        <v>-1.58966E-2</v>
      </c>
      <c r="BL333" s="21">
        <v>323</v>
      </c>
      <c r="BM333" s="21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1">
        <v>1.5264899999999999</v>
      </c>
      <c r="BR333" s="21">
        <v>274.529</v>
      </c>
      <c r="BS333" s="21">
        <v>-7.9956100000000002E-3</v>
      </c>
      <c r="BT333" s="21">
        <v>323</v>
      </c>
      <c r="BU333" s="21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1">
        <v>9.8571800000000001E-2</v>
      </c>
      <c r="H334" s="21">
        <v>50.2271</v>
      </c>
      <c r="I334" s="21">
        <v>-1.5979E-2</v>
      </c>
      <c r="J334" s="21">
        <v>324</v>
      </c>
      <c r="K334" s="21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1">
        <v>1.53152</v>
      </c>
      <c r="P334" s="21">
        <v>99.609499999999997</v>
      </c>
      <c r="Q334" s="21">
        <v>-7.14111E-3</v>
      </c>
      <c r="R334" s="21">
        <v>324</v>
      </c>
      <c r="S334" s="21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1">
        <v>9.8571800000000001E-2</v>
      </c>
      <c r="Z334" s="21">
        <v>52.311100000000003</v>
      </c>
      <c r="AA334" s="21">
        <v>-1.5942399999999999E-2</v>
      </c>
      <c r="AB334" s="21">
        <v>324</v>
      </c>
      <c r="AC334" s="21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1">
        <v>1.53152</v>
      </c>
      <c r="AH334" s="21">
        <v>77.296099999999996</v>
      </c>
      <c r="AI334" s="21">
        <v>-7.6690700000000001E-3</v>
      </c>
      <c r="AJ334" s="21">
        <v>324</v>
      </c>
      <c r="AK334" s="21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1">
        <v>9.8571800000000001E-2</v>
      </c>
      <c r="AR334" s="21">
        <v>126.697</v>
      </c>
      <c r="AS334" s="21">
        <v>-1.59363E-2</v>
      </c>
      <c r="AT334" s="21">
        <v>324</v>
      </c>
      <c r="AU334" s="21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1">
        <v>1.53152</v>
      </c>
      <c r="AZ334" s="21">
        <v>175.983</v>
      </c>
      <c r="BA334" s="21">
        <v>-7.7148399999999997E-3</v>
      </c>
      <c r="BB334" s="21">
        <v>324</v>
      </c>
      <c r="BC334" s="21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1">
        <v>9.8571800000000001E-2</v>
      </c>
      <c r="BJ334" s="21">
        <v>225.333</v>
      </c>
      <c r="BK334" s="21">
        <v>-1.5905800000000001E-2</v>
      </c>
      <c r="BL334" s="21">
        <v>324</v>
      </c>
      <c r="BM334" s="21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1">
        <v>1.53152</v>
      </c>
      <c r="BR334" s="21">
        <v>274.53899999999999</v>
      </c>
      <c r="BS334" s="21">
        <v>-7.7972400000000004E-3</v>
      </c>
      <c r="BT334" s="21">
        <v>324</v>
      </c>
      <c r="BU334" s="21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1">
        <v>9.3536400000000006E-2</v>
      </c>
      <c r="H335" s="21">
        <v>50.237200000000001</v>
      </c>
      <c r="I335" s="21">
        <v>-1.5979E-2</v>
      </c>
      <c r="J335" s="21">
        <v>325</v>
      </c>
      <c r="K335" s="21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1">
        <v>1.5365599999999999</v>
      </c>
      <c r="P335" s="21">
        <v>99.619600000000005</v>
      </c>
      <c r="Q335" s="21">
        <v>-6.9305399999999998E-3</v>
      </c>
      <c r="R335" s="21">
        <v>325</v>
      </c>
      <c r="S335" s="21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1">
        <v>9.3536400000000006E-2</v>
      </c>
      <c r="Z335" s="21">
        <v>52.321199999999997</v>
      </c>
      <c r="AA335" s="21">
        <v>-1.5945399999999998E-2</v>
      </c>
      <c r="AB335" s="21">
        <v>325</v>
      </c>
      <c r="AC335" s="21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1">
        <v>1.5365599999999999</v>
      </c>
      <c r="AH335" s="21">
        <v>77.306200000000004</v>
      </c>
      <c r="AI335" s="21">
        <v>-7.4523899999999997E-3</v>
      </c>
      <c r="AJ335" s="21">
        <v>325</v>
      </c>
      <c r="AK335" s="21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1">
        <v>9.3536400000000006E-2</v>
      </c>
      <c r="AR335" s="21">
        <v>126.70699999999999</v>
      </c>
      <c r="AS335" s="21">
        <v>-1.59393E-2</v>
      </c>
      <c r="AT335" s="21">
        <v>325</v>
      </c>
      <c r="AU335" s="21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1">
        <v>1.5365599999999999</v>
      </c>
      <c r="AZ335" s="21">
        <v>175.99299999999999</v>
      </c>
      <c r="BA335" s="21">
        <v>-7.5103799999999997E-3</v>
      </c>
      <c r="BB335" s="21">
        <v>325</v>
      </c>
      <c r="BC335" s="21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1">
        <v>9.3536400000000006E-2</v>
      </c>
      <c r="BJ335" s="21">
        <v>225.34299999999999</v>
      </c>
      <c r="BK335" s="21">
        <v>-1.59119E-2</v>
      </c>
      <c r="BL335" s="21">
        <v>325</v>
      </c>
      <c r="BM335" s="21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1">
        <v>1.5365599999999999</v>
      </c>
      <c r="BR335" s="21">
        <v>274.54899999999998</v>
      </c>
      <c r="BS335" s="21">
        <v>-7.5897200000000003E-3</v>
      </c>
      <c r="BT335" s="21">
        <v>325</v>
      </c>
      <c r="BU335" s="21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1">
        <v>8.8500999999999996E-2</v>
      </c>
      <c r="H336" s="21">
        <v>50.247199999999999</v>
      </c>
      <c r="I336" s="21">
        <v>-1.5982099999999999E-2</v>
      </c>
      <c r="J336" s="21">
        <v>326</v>
      </c>
      <c r="K336" s="21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1">
        <v>1.5416000000000001</v>
      </c>
      <c r="P336" s="21">
        <v>99.6297</v>
      </c>
      <c r="Q336" s="21">
        <v>-6.7199699999999996E-3</v>
      </c>
      <c r="R336" s="21">
        <v>326</v>
      </c>
      <c r="S336" s="21">
        <v>1.54053</v>
      </c>
      <c r="T336">
        <f t="shared" si="82"/>
        <v>6.71997</v>
      </c>
      <c r="U336">
        <f t="shared" si="83"/>
        <v>10.359505752</v>
      </c>
      <c r="X336" s="9"/>
      <c r="Y336" s="21">
        <v>8.8500999999999996E-2</v>
      </c>
      <c r="Z336" s="21">
        <v>52.331299999999999</v>
      </c>
      <c r="AA336" s="21">
        <v>-1.59515E-2</v>
      </c>
      <c r="AB336" s="21">
        <v>326</v>
      </c>
      <c r="AC336" s="21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1">
        <v>1.5416000000000001</v>
      </c>
      <c r="AH336" s="21">
        <v>77.316299999999998</v>
      </c>
      <c r="AI336" s="21">
        <v>-7.2326700000000001E-3</v>
      </c>
      <c r="AJ336" s="21">
        <v>326</v>
      </c>
      <c r="AK336" s="21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1">
        <v>8.8500999999999996E-2</v>
      </c>
      <c r="AR336" s="21">
        <v>126.717</v>
      </c>
      <c r="AS336" s="21">
        <v>-1.59393E-2</v>
      </c>
      <c r="AT336" s="21">
        <v>326</v>
      </c>
      <c r="AU336" s="21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1">
        <v>1.5416000000000001</v>
      </c>
      <c r="AZ336" s="21">
        <v>176.00299999999999</v>
      </c>
      <c r="BA336" s="21">
        <v>-7.2937000000000002E-3</v>
      </c>
      <c r="BB336" s="21">
        <v>326</v>
      </c>
      <c r="BC336" s="21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1">
        <v>8.8500999999999996E-2</v>
      </c>
      <c r="BJ336" s="21">
        <v>225.35400000000001</v>
      </c>
      <c r="BK336" s="21">
        <v>-1.5914899999999999E-2</v>
      </c>
      <c r="BL336" s="21">
        <v>326</v>
      </c>
      <c r="BM336" s="21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1">
        <v>1.5416000000000001</v>
      </c>
      <c r="BR336" s="21">
        <v>274.55900000000003</v>
      </c>
      <c r="BS336" s="21">
        <v>-7.3791500000000001E-3</v>
      </c>
      <c r="BT336" s="21">
        <v>326</v>
      </c>
      <c r="BU336" s="21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1">
        <v>8.3465600000000001E-2</v>
      </c>
      <c r="H337" s="21">
        <v>50.257300000000001</v>
      </c>
      <c r="I337" s="21">
        <v>-1.5988200000000001E-2</v>
      </c>
      <c r="J337" s="21">
        <v>327</v>
      </c>
      <c r="K337" s="21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1">
        <v>1.5466299999999999</v>
      </c>
      <c r="P337" s="21">
        <v>99.639700000000005</v>
      </c>
      <c r="Q337" s="21">
        <v>-6.5033000000000001E-3</v>
      </c>
      <c r="R337" s="21">
        <v>327</v>
      </c>
      <c r="S337" s="21">
        <v>1.54572</v>
      </c>
      <c r="T337">
        <f t="shared" si="82"/>
        <v>6.5033000000000003</v>
      </c>
      <c r="U337">
        <f t="shared" si="83"/>
        <v>10.058198879000001</v>
      </c>
      <c r="X337" s="9"/>
      <c r="Y337" s="21">
        <v>8.3465600000000001E-2</v>
      </c>
      <c r="Z337" s="21">
        <v>52.3414</v>
      </c>
      <c r="AA337" s="21">
        <v>-1.5948500000000001E-2</v>
      </c>
      <c r="AB337" s="21">
        <v>327</v>
      </c>
      <c r="AC337" s="21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1">
        <v>1.5466299999999999</v>
      </c>
      <c r="AH337" s="21">
        <v>77.326300000000003</v>
      </c>
      <c r="AI337" s="21">
        <v>-7.0129399999999996E-3</v>
      </c>
      <c r="AJ337" s="21">
        <v>327</v>
      </c>
      <c r="AK337" s="21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1">
        <v>8.3465600000000001E-2</v>
      </c>
      <c r="AR337" s="21">
        <v>126.727</v>
      </c>
      <c r="AS337" s="21">
        <v>-1.59363E-2</v>
      </c>
      <c r="AT337" s="21">
        <v>327</v>
      </c>
      <c r="AU337" s="21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1">
        <v>1.5466299999999999</v>
      </c>
      <c r="AZ337" s="21">
        <v>176.01300000000001</v>
      </c>
      <c r="BA337" s="21">
        <v>-7.0709199999999996E-3</v>
      </c>
      <c r="BB337" s="21">
        <v>327</v>
      </c>
      <c r="BC337" s="21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1">
        <v>8.3465600000000001E-2</v>
      </c>
      <c r="BJ337" s="21">
        <v>225.364</v>
      </c>
      <c r="BK337" s="21">
        <v>-1.5918000000000002E-2</v>
      </c>
      <c r="BL337" s="21">
        <v>327</v>
      </c>
      <c r="BM337" s="21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1">
        <v>1.5466299999999999</v>
      </c>
      <c r="BR337" s="21">
        <v>274.56900000000002</v>
      </c>
      <c r="BS337" s="21">
        <v>-7.1563699999999996E-3</v>
      </c>
      <c r="BT337" s="21">
        <v>327</v>
      </c>
      <c r="BU337" s="21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1">
        <v>7.8430200000000005E-2</v>
      </c>
      <c r="H338" s="21">
        <v>50.267400000000002</v>
      </c>
      <c r="I338" s="21">
        <v>-1.5994299999999999E-2</v>
      </c>
      <c r="J338" s="21">
        <v>328</v>
      </c>
      <c r="K338" s="21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1">
        <v>1.5516700000000001</v>
      </c>
      <c r="P338" s="21">
        <v>99.649799999999999</v>
      </c>
      <c r="Q338" s="21">
        <v>-6.2988300000000001E-3</v>
      </c>
      <c r="R338" s="21">
        <v>328</v>
      </c>
      <c r="S338" s="21">
        <v>1.55121</v>
      </c>
      <c r="T338">
        <f t="shared" si="82"/>
        <v>6.2988299999999997</v>
      </c>
      <c r="U338">
        <f t="shared" si="83"/>
        <v>9.7737055461000004</v>
      </c>
      <c r="X338" s="9"/>
      <c r="Y338" s="21">
        <v>7.8430200000000005E-2</v>
      </c>
      <c r="Z338" s="21">
        <v>52.351399999999998</v>
      </c>
      <c r="AA338" s="21">
        <v>-1.59515E-2</v>
      </c>
      <c r="AB338" s="21">
        <v>328</v>
      </c>
      <c r="AC338" s="21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1">
        <v>1.5516700000000001</v>
      </c>
      <c r="AH338" s="21">
        <v>77.336399999999998</v>
      </c>
      <c r="AI338" s="21">
        <v>-6.7810099999999996E-3</v>
      </c>
      <c r="AJ338" s="21">
        <v>328</v>
      </c>
      <c r="AK338" s="21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1">
        <v>7.8430200000000005E-2</v>
      </c>
      <c r="AR338" s="21">
        <v>126.73699999999999</v>
      </c>
      <c r="AS338" s="21">
        <v>-1.5933200000000002E-2</v>
      </c>
      <c r="AT338" s="21">
        <v>328</v>
      </c>
      <c r="AU338" s="21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1">
        <v>1.5516700000000001</v>
      </c>
      <c r="AZ338" s="21">
        <v>176.023</v>
      </c>
      <c r="BA338" s="21">
        <v>-6.8359400000000004E-3</v>
      </c>
      <c r="BB338" s="21">
        <v>328</v>
      </c>
      <c r="BC338" s="21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1">
        <v>7.8430200000000005E-2</v>
      </c>
      <c r="BJ338" s="21">
        <v>225.374</v>
      </c>
      <c r="BK338" s="21">
        <v>-1.5914899999999999E-2</v>
      </c>
      <c r="BL338" s="21">
        <v>328</v>
      </c>
      <c r="BM338" s="21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1">
        <v>1.5516700000000001</v>
      </c>
      <c r="BR338" s="21">
        <v>274.57900000000001</v>
      </c>
      <c r="BS338" s="21">
        <v>-6.9305399999999998E-3</v>
      </c>
      <c r="BT338" s="21">
        <v>328</v>
      </c>
      <c r="BU338" s="21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1">
        <v>7.3394799999999996E-2</v>
      </c>
      <c r="H339" s="21">
        <v>50.277500000000003</v>
      </c>
      <c r="I339" s="21">
        <v>-1.6000400000000001E-2</v>
      </c>
      <c r="J339" s="21">
        <v>329</v>
      </c>
      <c r="K339" s="21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1">
        <v>1.5567</v>
      </c>
      <c r="P339" s="21">
        <v>99.659899999999993</v>
      </c>
      <c r="Q339" s="21">
        <v>-6.0852099999999998E-3</v>
      </c>
      <c r="R339" s="21">
        <v>329</v>
      </c>
      <c r="S339" s="21">
        <v>1.55548</v>
      </c>
      <c r="T339">
        <f t="shared" si="82"/>
        <v>6.08521</v>
      </c>
      <c r="U339">
        <f t="shared" si="83"/>
        <v>9.4728464070000005</v>
      </c>
      <c r="X339" s="9"/>
      <c r="Y339" s="21">
        <v>7.3394799999999996E-2</v>
      </c>
      <c r="Z339" s="21">
        <v>52.361499999999999</v>
      </c>
      <c r="AA339" s="21">
        <v>-1.59515E-2</v>
      </c>
      <c r="AB339" s="21">
        <v>329</v>
      </c>
      <c r="AC339" s="21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1">
        <v>1.5567</v>
      </c>
      <c r="AH339" s="21">
        <v>77.346500000000006</v>
      </c>
      <c r="AI339" s="21">
        <v>-6.5521199999999998E-3</v>
      </c>
      <c r="AJ339" s="21">
        <v>329</v>
      </c>
      <c r="AK339" s="21">
        <v>1.55579</v>
      </c>
      <c r="AL339">
        <f t="shared" si="86"/>
        <v>6.5521199999999995</v>
      </c>
      <c r="AM339">
        <f t="shared" si="87"/>
        <v>10.199685204</v>
      </c>
      <c r="AP339" s="9"/>
      <c r="AQ339" s="21">
        <v>7.3394799999999996E-2</v>
      </c>
      <c r="AR339" s="21">
        <v>126.747</v>
      </c>
      <c r="AS339" s="21">
        <v>-1.5933200000000002E-2</v>
      </c>
      <c r="AT339" s="21">
        <v>329</v>
      </c>
      <c r="AU339" s="21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1">
        <v>1.5567</v>
      </c>
      <c r="AZ339" s="21">
        <v>176.03299999999999</v>
      </c>
      <c r="BA339" s="21">
        <v>-6.61621E-3</v>
      </c>
      <c r="BB339" s="21">
        <v>329</v>
      </c>
      <c r="BC339" s="21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1">
        <v>7.3394799999999996E-2</v>
      </c>
      <c r="BJ339" s="21">
        <v>225.38399999999999</v>
      </c>
      <c r="BK339" s="21">
        <v>-1.59119E-2</v>
      </c>
      <c r="BL339" s="21">
        <v>329</v>
      </c>
      <c r="BM339" s="21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1">
        <v>1.5567</v>
      </c>
      <c r="BR339" s="21">
        <v>274.589</v>
      </c>
      <c r="BS339" s="21">
        <v>-6.6924999999999997E-3</v>
      </c>
      <c r="BT339" s="21">
        <v>329</v>
      </c>
      <c r="BU339" s="21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1">
        <v>6.8359400000000001E-2</v>
      </c>
      <c r="H340" s="21">
        <v>50.287500000000001</v>
      </c>
      <c r="I340" s="21">
        <v>-1.6003400000000001E-2</v>
      </c>
      <c r="J340" s="21">
        <v>330</v>
      </c>
      <c r="K340" s="21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1">
        <v>1.5617399999999999</v>
      </c>
      <c r="P340" s="21">
        <v>99.67</v>
      </c>
      <c r="Q340" s="21">
        <v>-5.8654800000000002E-3</v>
      </c>
      <c r="R340" s="21">
        <v>330</v>
      </c>
      <c r="S340" s="21">
        <v>1.56067</v>
      </c>
      <c r="T340">
        <f t="shared" si="82"/>
        <v>5.8654799999999998</v>
      </c>
      <c r="U340">
        <f t="shared" si="83"/>
        <v>9.1603547351999985</v>
      </c>
      <c r="X340" s="9"/>
      <c r="Y340" s="21">
        <v>6.8359400000000001E-2</v>
      </c>
      <c r="Z340" s="21">
        <v>52.371600000000001</v>
      </c>
      <c r="AA340" s="21">
        <v>-1.5957599999999999E-2</v>
      </c>
      <c r="AB340" s="21">
        <v>330</v>
      </c>
      <c r="AC340" s="21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1">
        <v>1.5617399999999999</v>
      </c>
      <c r="AH340" s="21">
        <v>77.356499999999997</v>
      </c>
      <c r="AI340" s="21">
        <v>-6.3140899999999996E-3</v>
      </c>
      <c r="AJ340" s="21">
        <v>330</v>
      </c>
      <c r="AK340" s="21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1">
        <v>6.8359400000000001E-2</v>
      </c>
      <c r="AR340" s="21">
        <v>126.75700000000001</v>
      </c>
      <c r="AS340" s="21">
        <v>-1.59363E-2</v>
      </c>
      <c r="AT340" s="21">
        <v>330</v>
      </c>
      <c r="AU340" s="21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1">
        <v>1.5617399999999999</v>
      </c>
      <c r="AZ340" s="21">
        <v>176.04300000000001</v>
      </c>
      <c r="BA340" s="21">
        <v>-6.3873300000000001E-3</v>
      </c>
      <c r="BB340" s="21">
        <v>330</v>
      </c>
      <c r="BC340" s="21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1">
        <v>6.8359400000000001E-2</v>
      </c>
      <c r="BJ340" s="21">
        <v>225.39400000000001</v>
      </c>
      <c r="BK340" s="21">
        <v>-1.5908800000000001E-2</v>
      </c>
      <c r="BL340" s="21">
        <v>330</v>
      </c>
      <c r="BM340" s="21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1">
        <v>1.5617399999999999</v>
      </c>
      <c r="BR340" s="21">
        <v>274.59899999999999</v>
      </c>
      <c r="BS340" s="21">
        <v>-6.4514200000000002E-3</v>
      </c>
      <c r="BT340" s="21">
        <v>330</v>
      </c>
      <c r="BU340" s="21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1">
        <v>6.3324000000000005E-2</v>
      </c>
      <c r="H341" s="21">
        <v>50.297600000000003</v>
      </c>
      <c r="I341" s="21">
        <v>-1.60065E-2</v>
      </c>
      <c r="J341" s="21">
        <v>331</v>
      </c>
      <c r="K341" s="21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1">
        <v>1.56677</v>
      </c>
      <c r="P341" s="21">
        <v>99.68</v>
      </c>
      <c r="Q341" s="21">
        <v>-5.6335400000000002E-3</v>
      </c>
      <c r="R341" s="21">
        <v>331</v>
      </c>
      <c r="S341" s="21">
        <v>1.56586</v>
      </c>
      <c r="T341">
        <f t="shared" si="82"/>
        <v>5.63354</v>
      </c>
      <c r="U341">
        <f t="shared" si="83"/>
        <v>8.8264614657999996</v>
      </c>
      <c r="X341" s="9"/>
      <c r="Y341" s="21">
        <v>6.3324000000000005E-2</v>
      </c>
      <c r="Z341" s="21">
        <v>52.381599999999999</v>
      </c>
      <c r="AA341" s="21">
        <v>-1.5963700000000001E-2</v>
      </c>
      <c r="AB341" s="21">
        <v>331</v>
      </c>
      <c r="AC341" s="21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1">
        <v>1.56677</v>
      </c>
      <c r="AH341" s="21">
        <v>77.366600000000005</v>
      </c>
      <c r="AI341" s="21">
        <v>-6.0699500000000002E-3</v>
      </c>
      <c r="AJ341" s="21">
        <v>331</v>
      </c>
      <c r="AK341" s="21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1">
        <v>6.3324000000000005E-2</v>
      </c>
      <c r="AR341" s="21">
        <v>126.767</v>
      </c>
      <c r="AS341" s="21">
        <v>-1.59393E-2</v>
      </c>
      <c r="AT341" s="21">
        <v>331</v>
      </c>
      <c r="AU341" s="21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1">
        <v>1.56677</v>
      </c>
      <c r="AZ341" s="21">
        <v>176.053</v>
      </c>
      <c r="BA341" s="21">
        <v>-6.1554000000000001E-3</v>
      </c>
      <c r="BB341" s="21">
        <v>331</v>
      </c>
      <c r="BC341" s="21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1">
        <v>6.3324000000000005E-2</v>
      </c>
      <c r="BJ341" s="21">
        <v>225.404</v>
      </c>
      <c r="BK341" s="21">
        <v>-1.5908800000000001E-2</v>
      </c>
      <c r="BL341" s="21">
        <v>331</v>
      </c>
      <c r="BM341" s="21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1">
        <v>1.56677</v>
      </c>
      <c r="BR341" s="21">
        <v>274.60899999999998</v>
      </c>
      <c r="BS341" s="21">
        <v>-6.2072799999999999E-3</v>
      </c>
      <c r="BT341" s="21">
        <v>331</v>
      </c>
      <c r="BU341" s="21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1">
        <v>5.8288600000000003E-2</v>
      </c>
      <c r="H342" s="21">
        <v>50.307699999999997</v>
      </c>
      <c r="I342" s="21">
        <v>-1.6003400000000001E-2</v>
      </c>
      <c r="J342" s="21">
        <v>332</v>
      </c>
      <c r="K342" s="21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1">
        <v>1.5718099999999999</v>
      </c>
      <c r="P342" s="21">
        <v>99.690100000000001</v>
      </c>
      <c r="Q342" s="21">
        <v>-5.4046600000000004E-3</v>
      </c>
      <c r="R342" s="21">
        <v>332</v>
      </c>
      <c r="S342" s="21">
        <v>1.57104</v>
      </c>
      <c r="T342">
        <f t="shared" si="82"/>
        <v>5.4046600000000007</v>
      </c>
      <c r="U342">
        <f t="shared" si="83"/>
        <v>8.4950986346000015</v>
      </c>
      <c r="X342" s="9"/>
      <c r="Y342" s="21">
        <v>5.8288600000000003E-2</v>
      </c>
      <c r="Z342" s="21">
        <v>52.3917</v>
      </c>
      <c r="AA342" s="21">
        <v>-1.59668E-2</v>
      </c>
      <c r="AB342" s="21">
        <v>332</v>
      </c>
      <c r="AC342" s="21">
        <v>5.76172E-2</v>
      </c>
      <c r="AD342">
        <f t="shared" si="84"/>
        <v>15.966799999999999</v>
      </c>
      <c r="AE342">
        <f t="shared" si="85"/>
        <v>0.93068241848</v>
      </c>
      <c r="AF342" s="9"/>
      <c r="AG342" s="21">
        <v>1.5718099999999999</v>
      </c>
      <c r="AH342" s="21">
        <v>77.3767</v>
      </c>
      <c r="AI342" s="21">
        <v>-5.8227499999999998E-3</v>
      </c>
      <c r="AJ342" s="21">
        <v>332</v>
      </c>
      <c r="AK342" s="21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1">
        <v>5.8288600000000003E-2</v>
      </c>
      <c r="AR342" s="21">
        <v>126.777</v>
      </c>
      <c r="AS342" s="21">
        <v>-1.59393E-2</v>
      </c>
      <c r="AT342" s="21">
        <v>332</v>
      </c>
      <c r="AU342" s="21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1">
        <v>1.5718099999999999</v>
      </c>
      <c r="AZ342" s="21">
        <v>176.06399999999999</v>
      </c>
      <c r="BA342" s="21">
        <v>-5.9112499999999998E-3</v>
      </c>
      <c r="BB342" s="21">
        <v>332</v>
      </c>
      <c r="BC342" s="21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1">
        <v>5.8288600000000003E-2</v>
      </c>
      <c r="BJ342" s="21">
        <v>225.41399999999999</v>
      </c>
      <c r="BK342" s="21">
        <v>-1.59119E-2</v>
      </c>
      <c r="BL342" s="21">
        <v>332</v>
      </c>
      <c r="BM342" s="21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1">
        <v>1.5718099999999999</v>
      </c>
      <c r="BR342" s="21">
        <v>274.61900000000003</v>
      </c>
      <c r="BS342" s="21">
        <v>-5.97534E-3</v>
      </c>
      <c r="BT342" s="21">
        <v>332</v>
      </c>
      <c r="BU342" s="21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1">
        <v>5.3253200000000001E-2</v>
      </c>
      <c r="H343" s="21">
        <v>50.317700000000002</v>
      </c>
      <c r="I343" s="21">
        <v>-1.60065E-2</v>
      </c>
      <c r="J343" s="21">
        <v>333</v>
      </c>
      <c r="K343" s="21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1">
        <v>1.57684</v>
      </c>
      <c r="P343" s="21">
        <v>99.700199999999995</v>
      </c>
      <c r="Q343" s="21">
        <v>-5.1574699999999999E-3</v>
      </c>
      <c r="R343" s="21">
        <v>333</v>
      </c>
      <c r="S343" s="21">
        <v>1.57562</v>
      </c>
      <c r="T343">
        <f t="shared" si="82"/>
        <v>5.15747</v>
      </c>
      <c r="U343">
        <f t="shared" si="83"/>
        <v>8.1325049947999997</v>
      </c>
      <c r="X343" s="9"/>
      <c r="Y343" s="21">
        <v>5.3253200000000001E-2</v>
      </c>
      <c r="Z343" s="21">
        <v>52.401800000000001</v>
      </c>
      <c r="AA343" s="21">
        <v>-1.5969799999999999E-2</v>
      </c>
      <c r="AB343" s="21">
        <v>333</v>
      </c>
      <c r="AC343" s="21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1">
        <v>1.57684</v>
      </c>
      <c r="AH343" s="21">
        <v>77.386799999999994</v>
      </c>
      <c r="AI343" s="21">
        <v>-5.56946E-3</v>
      </c>
      <c r="AJ343" s="21">
        <v>333</v>
      </c>
      <c r="AK343" s="21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1">
        <v>5.3253200000000001E-2</v>
      </c>
      <c r="AR343" s="21">
        <v>126.78700000000001</v>
      </c>
      <c r="AS343" s="21">
        <v>-1.5945399999999998E-2</v>
      </c>
      <c r="AT343" s="21">
        <v>333</v>
      </c>
      <c r="AU343" s="21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1">
        <v>1.57684</v>
      </c>
      <c r="AZ343" s="21">
        <v>176.07400000000001</v>
      </c>
      <c r="BA343" s="21">
        <v>-5.6518599999999999E-3</v>
      </c>
      <c r="BB343" s="21">
        <v>333</v>
      </c>
      <c r="BC343" s="21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1">
        <v>5.3253200000000001E-2</v>
      </c>
      <c r="BJ343" s="21">
        <v>225.42400000000001</v>
      </c>
      <c r="BK343" s="21">
        <v>-1.59241E-2</v>
      </c>
      <c r="BL343" s="21">
        <v>333</v>
      </c>
      <c r="BM343" s="21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1">
        <v>1.57684</v>
      </c>
      <c r="BR343" s="21">
        <v>274.62900000000002</v>
      </c>
      <c r="BS343" s="21">
        <v>-5.7220500000000002E-3</v>
      </c>
      <c r="BT343" s="21">
        <v>333</v>
      </c>
      <c r="BU343" s="21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1">
        <v>4.8217799999999998E-2</v>
      </c>
      <c r="H344" s="21">
        <v>50.327800000000003</v>
      </c>
      <c r="I344" s="21">
        <v>-1.6009499999999999E-2</v>
      </c>
      <c r="J344" s="21">
        <v>334</v>
      </c>
      <c r="K344" s="21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1">
        <v>1.58188</v>
      </c>
      <c r="P344" s="21">
        <v>99.7102</v>
      </c>
      <c r="Q344" s="21">
        <v>-4.9282800000000002E-3</v>
      </c>
      <c r="R344" s="21">
        <v>334</v>
      </c>
      <c r="S344" s="21">
        <v>1.5811200000000001</v>
      </c>
      <c r="T344">
        <f t="shared" si="82"/>
        <v>4.92828</v>
      </c>
      <c r="U344">
        <f t="shared" si="83"/>
        <v>7.7959475663999998</v>
      </c>
      <c r="X344" s="9"/>
      <c r="Y344" s="21">
        <v>4.8217799999999998E-2</v>
      </c>
      <c r="Z344" s="21">
        <v>52.411799999999999</v>
      </c>
      <c r="AA344" s="21">
        <v>-1.5969799999999999E-2</v>
      </c>
      <c r="AB344" s="21">
        <v>334</v>
      </c>
      <c r="AC344" s="21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1">
        <v>1.58188</v>
      </c>
      <c r="AH344" s="21">
        <v>77.396799999999999</v>
      </c>
      <c r="AI344" s="21">
        <v>-5.3131100000000002E-3</v>
      </c>
      <c r="AJ344" s="21">
        <v>334</v>
      </c>
      <c r="AK344" s="21">
        <v>1.5805100000000001</v>
      </c>
      <c r="AL344">
        <f t="shared" si="86"/>
        <v>5.31311</v>
      </c>
      <c r="AM344">
        <f t="shared" si="87"/>
        <v>8.4047024468</v>
      </c>
      <c r="AP344" s="9"/>
      <c r="AQ344" s="21">
        <v>4.8217799999999998E-2</v>
      </c>
      <c r="AR344" s="21">
        <v>126.797</v>
      </c>
      <c r="AS344" s="21">
        <v>-1.5945399999999998E-2</v>
      </c>
      <c r="AT344" s="21">
        <v>334</v>
      </c>
      <c r="AU344" s="21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1">
        <v>1.58188</v>
      </c>
      <c r="AZ344" s="21">
        <v>176.084</v>
      </c>
      <c r="BA344" s="21">
        <v>-5.3955100000000001E-3</v>
      </c>
      <c r="BB344" s="21">
        <v>334</v>
      </c>
      <c r="BC344" s="21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1">
        <v>4.8217799999999998E-2</v>
      </c>
      <c r="BJ344" s="21">
        <v>225.434</v>
      </c>
      <c r="BK344" s="21">
        <v>-1.5933200000000002E-2</v>
      </c>
      <c r="BL344" s="21">
        <v>334</v>
      </c>
      <c r="BM344" s="21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1">
        <v>1.58188</v>
      </c>
      <c r="BR344" s="21">
        <v>274.64</v>
      </c>
      <c r="BS344" s="21">
        <v>-5.48096E-3</v>
      </c>
      <c r="BT344" s="21">
        <v>334</v>
      </c>
      <c r="BU344" s="21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1">
        <v>4.3182400000000003E-2</v>
      </c>
      <c r="H345" s="21">
        <v>50.337899999999998</v>
      </c>
      <c r="I345" s="21">
        <v>-1.6012599999999998E-2</v>
      </c>
      <c r="J345" s="21">
        <v>335</v>
      </c>
      <c r="K345" s="21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1">
        <v>1.58691</v>
      </c>
      <c r="P345" s="21">
        <v>99.720299999999995</v>
      </c>
      <c r="Q345" s="21">
        <v>-4.6920800000000004E-3</v>
      </c>
      <c r="R345" s="21">
        <v>335</v>
      </c>
      <c r="S345" s="21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1">
        <v>4.3182400000000003E-2</v>
      </c>
      <c r="Z345" s="21">
        <v>52.421900000000001</v>
      </c>
      <c r="AA345" s="21">
        <v>-1.5969799999999999E-2</v>
      </c>
      <c r="AB345" s="21">
        <v>335</v>
      </c>
      <c r="AC345" s="21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1">
        <v>1.58691</v>
      </c>
      <c r="AH345" s="21">
        <v>77.406899999999993</v>
      </c>
      <c r="AI345" s="21">
        <v>-5.0537100000000003E-3</v>
      </c>
      <c r="AJ345" s="21">
        <v>335</v>
      </c>
      <c r="AK345" s="21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1">
        <v>4.3182400000000003E-2</v>
      </c>
      <c r="AR345" s="21">
        <v>126.807</v>
      </c>
      <c r="AS345" s="21">
        <v>-1.59515E-2</v>
      </c>
      <c r="AT345" s="21">
        <v>335</v>
      </c>
      <c r="AU345" s="21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1">
        <v>1.58691</v>
      </c>
      <c r="AZ345" s="21">
        <v>176.09399999999999</v>
      </c>
      <c r="BA345" s="21">
        <v>-5.13E-3</v>
      </c>
      <c r="BB345" s="21">
        <v>335</v>
      </c>
      <c r="BC345" s="21">
        <v>1.58569</v>
      </c>
      <c r="BD345">
        <f t="shared" si="90"/>
        <v>5.13</v>
      </c>
      <c r="BE345">
        <f t="shared" si="91"/>
        <v>8.1408483</v>
      </c>
      <c r="BH345" s="9"/>
      <c r="BI345" s="21">
        <v>4.3182400000000003E-2</v>
      </c>
      <c r="BJ345" s="21">
        <v>225.44399999999999</v>
      </c>
      <c r="BK345" s="21">
        <v>-1.5942399999999999E-2</v>
      </c>
      <c r="BL345" s="21">
        <v>335</v>
      </c>
      <c r="BM345" s="21">
        <v>4.30298E-2</v>
      </c>
      <c r="BN345">
        <f t="shared" si="92"/>
        <v>15.942399999999999</v>
      </c>
      <c r="BO345">
        <f t="shared" si="93"/>
        <v>0.68843109376</v>
      </c>
      <c r="BP345" s="9"/>
      <c r="BQ345" s="21">
        <v>1.58691</v>
      </c>
      <c r="BR345" s="21">
        <v>274.64999999999998</v>
      </c>
      <c r="BS345" s="21">
        <v>-5.2154499999999999E-3</v>
      </c>
      <c r="BT345" s="21">
        <v>335</v>
      </c>
      <c r="BU345" s="21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1">
        <v>3.8147E-2</v>
      </c>
      <c r="H346" s="21">
        <v>50.347999999999999</v>
      </c>
      <c r="I346" s="21">
        <v>-1.6015600000000001E-2</v>
      </c>
      <c r="J346" s="21">
        <v>336</v>
      </c>
      <c r="K346" s="21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1">
        <v>1.59195</v>
      </c>
      <c r="P346" s="21">
        <v>99.730400000000003</v>
      </c>
      <c r="Q346" s="21">
        <v>-4.4555699999999998E-3</v>
      </c>
      <c r="R346" s="21">
        <v>336</v>
      </c>
      <c r="S346" s="21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1">
        <v>3.8147E-2</v>
      </c>
      <c r="Z346" s="21">
        <v>52.432000000000002</v>
      </c>
      <c r="AA346" s="21">
        <v>-1.5969799999999999E-2</v>
      </c>
      <c r="AB346" s="21">
        <v>336</v>
      </c>
      <c r="AC346" s="21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1">
        <v>1.59195</v>
      </c>
      <c r="AH346" s="21">
        <v>77.417000000000002</v>
      </c>
      <c r="AI346" s="21">
        <v>-4.7915600000000003E-3</v>
      </c>
      <c r="AJ346" s="21">
        <v>336</v>
      </c>
      <c r="AK346" s="21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1">
        <v>3.8147E-2</v>
      </c>
      <c r="AR346" s="21">
        <v>126.81699999999999</v>
      </c>
      <c r="AS346" s="21">
        <v>-1.5960700000000001E-2</v>
      </c>
      <c r="AT346" s="21">
        <v>336</v>
      </c>
      <c r="AU346" s="21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1">
        <v>1.59195</v>
      </c>
      <c r="AZ346" s="21">
        <v>176.10400000000001</v>
      </c>
      <c r="BA346" s="21">
        <v>-4.8626700000000004E-3</v>
      </c>
      <c r="BB346" s="21">
        <v>336</v>
      </c>
      <c r="BC346" s="21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1">
        <v>3.8147E-2</v>
      </c>
      <c r="BJ346" s="21">
        <v>225.45400000000001</v>
      </c>
      <c r="BK346" s="21">
        <v>-1.5945399999999998E-2</v>
      </c>
      <c r="BL346" s="21">
        <v>336</v>
      </c>
      <c r="BM346" s="21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1">
        <v>1.59195</v>
      </c>
      <c r="BR346" s="21">
        <v>274.66000000000003</v>
      </c>
      <c r="BS346" s="21">
        <v>-4.9487300000000001E-3</v>
      </c>
      <c r="BT346" s="21">
        <v>336</v>
      </c>
      <c r="BU346" s="21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1">
        <v>3.3111599999999998E-2</v>
      </c>
      <c r="H347" s="21">
        <v>50.357999999999997</v>
      </c>
      <c r="I347" s="21">
        <v>-1.6012599999999998E-2</v>
      </c>
      <c r="J347" s="21">
        <v>337</v>
      </c>
      <c r="K347" s="21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1">
        <v>1.5969800000000001</v>
      </c>
      <c r="P347" s="21">
        <v>99.740399999999994</v>
      </c>
      <c r="Q347" s="21">
        <v>-4.2105099999999998E-3</v>
      </c>
      <c r="R347" s="21">
        <v>337</v>
      </c>
      <c r="S347" s="21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1">
        <v>3.3111599999999998E-2</v>
      </c>
      <c r="Z347" s="21">
        <v>52.442100000000003</v>
      </c>
      <c r="AA347" s="21">
        <v>-1.5972900000000002E-2</v>
      </c>
      <c r="AB347" s="21">
        <v>337</v>
      </c>
      <c r="AC347" s="21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1">
        <v>1.5969800000000001</v>
      </c>
      <c r="AH347" s="21">
        <v>77.427000000000007</v>
      </c>
      <c r="AI347" s="21">
        <v>-4.5269799999999999E-3</v>
      </c>
      <c r="AJ347" s="21">
        <v>337</v>
      </c>
      <c r="AK347" s="21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1">
        <v>3.3111599999999998E-2</v>
      </c>
      <c r="AR347" s="21">
        <v>126.827</v>
      </c>
      <c r="AS347" s="21">
        <v>-1.59668E-2</v>
      </c>
      <c r="AT347" s="21">
        <v>337</v>
      </c>
      <c r="AU347" s="21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1">
        <v>1.5969800000000001</v>
      </c>
      <c r="AZ347" s="21">
        <v>176.114</v>
      </c>
      <c r="BA347" s="21">
        <v>-4.5895399999999996E-3</v>
      </c>
      <c r="BB347" s="21">
        <v>337</v>
      </c>
      <c r="BC347" s="21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1">
        <v>3.3111599999999998E-2</v>
      </c>
      <c r="BJ347" s="21">
        <v>225.464</v>
      </c>
      <c r="BK347" s="21">
        <v>-1.59393E-2</v>
      </c>
      <c r="BL347" s="21">
        <v>337</v>
      </c>
      <c r="BM347" s="21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1">
        <v>1.5969800000000001</v>
      </c>
      <c r="BR347" s="21">
        <v>274.67</v>
      </c>
      <c r="BS347" s="21">
        <v>-4.6707199999999997E-3</v>
      </c>
      <c r="BT347" s="21">
        <v>337</v>
      </c>
      <c r="BU347" s="21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1">
        <v>2.8076199999999999E-2</v>
      </c>
      <c r="H348" s="21">
        <v>50.368099999999998</v>
      </c>
      <c r="I348" s="21">
        <v>-1.60187E-2</v>
      </c>
      <c r="J348" s="21">
        <v>338</v>
      </c>
      <c r="K348" s="21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1">
        <v>1.60202</v>
      </c>
      <c r="P348" s="21">
        <v>99.750500000000002</v>
      </c>
      <c r="Q348" s="21">
        <v>-3.9648399999999999E-3</v>
      </c>
      <c r="R348" s="21">
        <v>338</v>
      </c>
      <c r="S348" s="21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1">
        <v>2.8076199999999999E-2</v>
      </c>
      <c r="Z348" s="21">
        <v>52.452100000000002</v>
      </c>
      <c r="AA348" s="21">
        <v>-1.5972900000000002E-2</v>
      </c>
      <c r="AB348" s="21">
        <v>338</v>
      </c>
      <c r="AC348" s="21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1">
        <v>1.60202</v>
      </c>
      <c r="AH348" s="21">
        <v>77.437100000000001</v>
      </c>
      <c r="AI348" s="21">
        <v>-4.2596400000000003E-3</v>
      </c>
      <c r="AJ348" s="21">
        <v>338</v>
      </c>
      <c r="AK348" s="21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1">
        <v>2.8076199999999999E-2</v>
      </c>
      <c r="AR348" s="21">
        <v>126.83799999999999</v>
      </c>
      <c r="AS348" s="21">
        <v>-1.5969799999999999E-2</v>
      </c>
      <c r="AT348" s="21">
        <v>338</v>
      </c>
      <c r="AU348" s="21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1">
        <v>1.60202</v>
      </c>
      <c r="AZ348" s="21">
        <v>176.124</v>
      </c>
      <c r="BA348" s="21">
        <v>-4.3185400000000001E-3</v>
      </c>
      <c r="BB348" s="21">
        <v>338</v>
      </c>
      <c r="BC348" s="21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1">
        <v>2.8076199999999999E-2</v>
      </c>
      <c r="BJ348" s="21">
        <v>225.47399999999999</v>
      </c>
      <c r="BK348" s="21">
        <v>-1.5933200000000002E-2</v>
      </c>
      <c r="BL348" s="21">
        <v>338</v>
      </c>
      <c r="BM348" s="21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1">
        <v>1.60202</v>
      </c>
      <c r="BR348" s="21">
        <v>274.68</v>
      </c>
      <c r="BS348" s="21">
        <v>-4.3887300000000004E-3</v>
      </c>
      <c r="BT348" s="21">
        <v>338</v>
      </c>
      <c r="BU348" s="21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1">
        <v>2.30408E-2</v>
      </c>
      <c r="H349" s="21">
        <v>50.3782</v>
      </c>
      <c r="I349" s="21">
        <v>-1.60217E-2</v>
      </c>
      <c r="J349" s="21">
        <v>339</v>
      </c>
      <c r="K349" s="21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1">
        <v>1.6070599999999999</v>
      </c>
      <c r="P349" s="21">
        <v>99.760599999999997</v>
      </c>
      <c r="Q349" s="21">
        <v>-3.7158199999999999E-3</v>
      </c>
      <c r="R349" s="21">
        <v>339</v>
      </c>
      <c r="S349" s="21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1">
        <v>2.30408E-2</v>
      </c>
      <c r="Z349" s="21">
        <v>52.462200000000003</v>
      </c>
      <c r="AA349" s="21">
        <v>-1.5969799999999999E-2</v>
      </c>
      <c r="AB349" s="21">
        <v>339</v>
      </c>
      <c r="AC349" s="21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1">
        <v>1.6070599999999999</v>
      </c>
      <c r="AH349" s="21">
        <v>77.447199999999995</v>
      </c>
      <c r="AI349" s="21">
        <v>-3.9889499999999998E-3</v>
      </c>
      <c r="AJ349" s="21">
        <v>339</v>
      </c>
      <c r="AK349" s="21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1">
        <v>2.30408E-2</v>
      </c>
      <c r="AR349" s="21">
        <v>126.848</v>
      </c>
      <c r="AS349" s="21">
        <v>-1.5972900000000002E-2</v>
      </c>
      <c r="AT349" s="21">
        <v>339</v>
      </c>
      <c r="AU349" s="21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1">
        <v>1.6070599999999999</v>
      </c>
      <c r="AZ349" s="21">
        <v>176.13399999999999</v>
      </c>
      <c r="BA349" s="21">
        <v>-4.0368699999999997E-3</v>
      </c>
      <c r="BB349" s="21">
        <v>339</v>
      </c>
      <c r="BC349" s="21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1">
        <v>2.30408E-2</v>
      </c>
      <c r="BJ349" s="21">
        <v>225.48400000000001</v>
      </c>
      <c r="BK349" s="21">
        <v>-1.59363E-2</v>
      </c>
      <c r="BL349" s="21">
        <v>339</v>
      </c>
      <c r="BM349" s="21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1">
        <v>1.6070599999999999</v>
      </c>
      <c r="BR349" s="21">
        <v>274.69</v>
      </c>
      <c r="BS349" s="21">
        <v>-4.0963700000000002E-3</v>
      </c>
      <c r="BT349" s="21">
        <v>339</v>
      </c>
      <c r="BU349" s="21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1">
        <v>1.8005400000000001E-2</v>
      </c>
      <c r="H350" s="21">
        <v>50.388199999999998</v>
      </c>
      <c r="I350" s="21">
        <v>-1.60187E-2</v>
      </c>
      <c r="J350" s="21">
        <v>340</v>
      </c>
      <c r="K350" s="21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1">
        <v>1.61209</v>
      </c>
      <c r="P350" s="21">
        <v>99.770700000000005</v>
      </c>
      <c r="Q350" s="21">
        <v>-3.4603899999999998E-3</v>
      </c>
      <c r="R350" s="21">
        <v>340</v>
      </c>
      <c r="S350" s="21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1">
        <v>1.8005400000000001E-2</v>
      </c>
      <c r="Z350" s="21">
        <v>52.472299999999997</v>
      </c>
      <c r="AA350" s="21">
        <v>-1.5969799999999999E-2</v>
      </c>
      <c r="AB350" s="21">
        <v>340</v>
      </c>
      <c r="AC350" s="21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1">
        <v>1.61209</v>
      </c>
      <c r="AH350" s="21">
        <v>77.4572</v>
      </c>
      <c r="AI350" s="21">
        <v>-3.7042199999999998E-3</v>
      </c>
      <c r="AJ350" s="21">
        <v>340</v>
      </c>
      <c r="AK350" s="21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1">
        <v>1.8005400000000001E-2</v>
      </c>
      <c r="AR350" s="21">
        <v>126.858</v>
      </c>
      <c r="AS350" s="21">
        <v>-1.5979E-2</v>
      </c>
      <c r="AT350" s="21">
        <v>340</v>
      </c>
      <c r="AU350" s="21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1">
        <v>1.61209</v>
      </c>
      <c r="AZ350" s="21">
        <v>176.14400000000001</v>
      </c>
      <c r="BA350" s="21">
        <v>-3.74756E-3</v>
      </c>
      <c r="BB350" s="21">
        <v>340</v>
      </c>
      <c r="BC350" s="21">
        <v>1.6116299999999999</v>
      </c>
      <c r="BD350">
        <f t="shared" si="90"/>
        <v>3.74756</v>
      </c>
      <c r="BE350">
        <f t="shared" si="91"/>
        <v>6.0414040004</v>
      </c>
      <c r="BH350" s="9"/>
      <c r="BI350" s="21">
        <v>1.8005400000000001E-2</v>
      </c>
      <c r="BJ350" s="21">
        <v>225.495</v>
      </c>
      <c r="BK350" s="21">
        <v>-1.59363E-2</v>
      </c>
      <c r="BL350" s="21">
        <v>340</v>
      </c>
      <c r="BM350" s="21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1">
        <v>1.61209</v>
      </c>
      <c r="BR350" s="21">
        <v>274.7</v>
      </c>
      <c r="BS350" s="21">
        <v>-3.7985200000000001E-3</v>
      </c>
      <c r="BT350" s="21">
        <v>340</v>
      </c>
      <c r="BU350" s="21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1">
        <v>1.2970000000000001E-2</v>
      </c>
      <c r="H351" s="21">
        <v>50.398299999999999</v>
      </c>
      <c r="I351" s="21">
        <v>-1.60187E-2</v>
      </c>
      <c r="J351" s="21">
        <v>341</v>
      </c>
      <c r="K351" s="21">
        <v>1.27686E-2</v>
      </c>
      <c r="L351">
        <f t="shared" si="80"/>
        <v>16.018699999999999</v>
      </c>
      <c r="M351">
        <f t="shared" si="81"/>
        <v>0.207762539</v>
      </c>
      <c r="N351" s="9"/>
      <c r="O351" s="21">
        <v>1.61713</v>
      </c>
      <c r="P351" s="21">
        <v>99.780699999999996</v>
      </c>
      <c r="Q351" s="21">
        <v>-3.2016000000000002E-3</v>
      </c>
      <c r="R351" s="21">
        <v>341</v>
      </c>
      <c r="S351" s="21">
        <v>1.61591</v>
      </c>
      <c r="T351">
        <f t="shared" si="82"/>
        <v>3.2016</v>
      </c>
      <c r="U351">
        <f t="shared" si="83"/>
        <v>5.177403408</v>
      </c>
      <c r="X351" s="9"/>
      <c r="Y351" s="21">
        <v>1.2970000000000001E-2</v>
      </c>
      <c r="Z351" s="21">
        <v>52.482300000000002</v>
      </c>
      <c r="AA351" s="21">
        <v>-1.5976000000000001E-2</v>
      </c>
      <c r="AB351" s="21">
        <v>341</v>
      </c>
      <c r="AC351" s="21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1">
        <v>1.61713</v>
      </c>
      <c r="AH351" s="21">
        <v>77.467299999999994</v>
      </c>
      <c r="AI351" s="21">
        <v>-3.4133900000000001E-3</v>
      </c>
      <c r="AJ351" s="21">
        <v>341</v>
      </c>
      <c r="AK351" s="21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1">
        <v>1.2970000000000001E-2</v>
      </c>
      <c r="AR351" s="21">
        <v>126.86799999999999</v>
      </c>
      <c r="AS351" s="21">
        <v>-1.5982099999999999E-2</v>
      </c>
      <c r="AT351" s="21">
        <v>341</v>
      </c>
      <c r="AU351" s="21">
        <v>1.27441E-2</v>
      </c>
      <c r="AV351">
        <f t="shared" si="88"/>
        <v>15.982099999999999</v>
      </c>
      <c r="AW351">
        <f t="shared" si="89"/>
        <v>0.207287837</v>
      </c>
      <c r="AX351" s="9"/>
      <c r="AY351" s="21">
        <v>1.61713</v>
      </c>
      <c r="AZ351" s="21">
        <v>176.154</v>
      </c>
      <c r="BA351" s="21">
        <v>-3.4515399999999999E-3</v>
      </c>
      <c r="BB351" s="21">
        <v>341</v>
      </c>
      <c r="BC351" s="21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1">
        <v>1.2970000000000001E-2</v>
      </c>
      <c r="BJ351" s="21">
        <v>225.505</v>
      </c>
      <c r="BK351" s="21">
        <v>-1.5933200000000002E-2</v>
      </c>
      <c r="BL351" s="21">
        <v>341</v>
      </c>
      <c r="BM351" s="21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1">
        <v>1.61713</v>
      </c>
      <c r="BR351" s="21">
        <v>274.70999999999998</v>
      </c>
      <c r="BS351" s="21">
        <v>-3.4994499999999999E-3</v>
      </c>
      <c r="BT351" s="21">
        <v>341</v>
      </c>
      <c r="BU351" s="21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1">
        <v>7.9345700000000002E-3</v>
      </c>
      <c r="H352" s="21">
        <v>50.4084</v>
      </c>
      <c r="I352" s="21">
        <v>-1.6012599999999998E-2</v>
      </c>
      <c r="J352" s="21">
        <v>342</v>
      </c>
      <c r="K352" s="21">
        <v>7.724E-3</v>
      </c>
      <c r="L352">
        <f t="shared" si="80"/>
        <v>16.012599999999999</v>
      </c>
      <c r="M352">
        <f t="shared" si="81"/>
        <v>0.12705309558200001</v>
      </c>
      <c r="N352" s="9"/>
      <c r="O352" s="21">
        <v>1.62216</v>
      </c>
      <c r="P352" s="21">
        <v>99.790800000000004</v>
      </c>
      <c r="Q352" s="21">
        <v>-2.9440299999999998E-3</v>
      </c>
      <c r="R352" s="21">
        <v>342</v>
      </c>
      <c r="S352" s="21">
        <v>1.62079</v>
      </c>
      <c r="T352">
        <f t="shared" si="82"/>
        <v>2.9440299999999997</v>
      </c>
      <c r="U352">
        <f t="shared" si="83"/>
        <v>4.7756877047999993</v>
      </c>
      <c r="X352" s="9"/>
      <c r="Y352" s="21">
        <v>7.9345700000000002E-3</v>
      </c>
      <c r="Z352" s="21">
        <v>52.492400000000004</v>
      </c>
      <c r="AA352" s="21">
        <v>-1.5979E-2</v>
      </c>
      <c r="AB352" s="21">
        <v>342</v>
      </c>
      <c r="AC352" s="21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1">
        <v>1.62216</v>
      </c>
      <c r="AH352" s="21">
        <v>77.477400000000003</v>
      </c>
      <c r="AI352" s="21">
        <v>-3.11035E-3</v>
      </c>
      <c r="AJ352" s="21">
        <v>342</v>
      </c>
      <c r="AK352" s="21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1">
        <v>7.9345700000000002E-3</v>
      </c>
      <c r="AR352" s="21">
        <v>126.878</v>
      </c>
      <c r="AS352" s="21">
        <v>-1.5982099999999999E-2</v>
      </c>
      <c r="AT352" s="21">
        <v>342</v>
      </c>
      <c r="AU352" s="21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1">
        <v>1.62216</v>
      </c>
      <c r="AZ352" s="21">
        <v>176.16399999999999</v>
      </c>
      <c r="BA352" s="21">
        <v>-3.1518599999999998E-3</v>
      </c>
      <c r="BB352" s="21">
        <v>342</v>
      </c>
      <c r="BC352" s="21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1">
        <v>7.9345700000000002E-3</v>
      </c>
      <c r="BJ352" s="21">
        <v>225.51499999999999</v>
      </c>
      <c r="BK352" s="21">
        <v>-1.5933200000000002E-2</v>
      </c>
      <c r="BL352" s="21">
        <v>342</v>
      </c>
      <c r="BM352" s="21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1">
        <v>1.62216</v>
      </c>
      <c r="BR352" s="21">
        <v>274.72000000000003</v>
      </c>
      <c r="BS352" s="21">
        <v>-3.1964099999999998E-3</v>
      </c>
      <c r="BT352" s="21">
        <v>342</v>
      </c>
      <c r="BU352" s="21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1">
        <v>2.89917E-3</v>
      </c>
      <c r="H353" s="21">
        <v>50.418399999999998</v>
      </c>
      <c r="I353" s="21">
        <v>-1.6009499999999999E-2</v>
      </c>
      <c r="J353" s="21">
        <v>343</v>
      </c>
      <c r="K353" s="21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1">
        <v>1.6272</v>
      </c>
      <c r="P353" s="21">
        <v>99.800899999999999</v>
      </c>
      <c r="Q353" s="21">
        <v>-2.6782199999999998E-3</v>
      </c>
      <c r="R353" s="21">
        <v>343</v>
      </c>
      <c r="S353" s="21">
        <v>1.62598</v>
      </c>
      <c r="T353">
        <f t="shared" si="82"/>
        <v>2.6782199999999996</v>
      </c>
      <c r="U353">
        <f t="shared" si="83"/>
        <v>4.357999583999999</v>
      </c>
      <c r="X353" s="9"/>
      <c r="Y353" s="21">
        <v>2.89917E-3</v>
      </c>
      <c r="Z353" s="21">
        <v>52.502499999999998</v>
      </c>
      <c r="AA353" s="21">
        <v>-1.5985099999999999E-2</v>
      </c>
      <c r="AB353" s="21">
        <v>343</v>
      </c>
      <c r="AC353" s="21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1">
        <v>1.6272</v>
      </c>
      <c r="AH353" s="21">
        <v>77.487499999999997</v>
      </c>
      <c r="AI353" s="21">
        <v>-2.8082300000000001E-3</v>
      </c>
      <c r="AJ353" s="21">
        <v>343</v>
      </c>
      <c r="AK353" s="21">
        <v>1.62659</v>
      </c>
      <c r="AL353">
        <f t="shared" si="86"/>
        <v>2.80823</v>
      </c>
      <c r="AM353">
        <f t="shared" si="87"/>
        <v>4.5695518560000004</v>
      </c>
      <c r="AP353" s="9"/>
      <c r="AQ353" s="21">
        <v>2.89917E-3</v>
      </c>
      <c r="AR353" s="21">
        <v>126.88800000000001</v>
      </c>
      <c r="AS353" s="21">
        <v>-1.5985099999999999E-2</v>
      </c>
      <c r="AT353" s="21">
        <v>343</v>
      </c>
      <c r="AU353" s="21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1">
        <v>1.6272</v>
      </c>
      <c r="AZ353" s="21">
        <v>176.17400000000001</v>
      </c>
      <c r="BA353" s="21">
        <v>-2.8433199999999999E-3</v>
      </c>
      <c r="BB353" s="21">
        <v>343</v>
      </c>
      <c r="BC353" s="21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1">
        <v>2.89917E-3</v>
      </c>
      <c r="BJ353" s="21">
        <v>225.52500000000001</v>
      </c>
      <c r="BK353" s="21">
        <v>-1.59363E-2</v>
      </c>
      <c r="BL353" s="21">
        <v>343</v>
      </c>
      <c r="BM353" s="21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1">
        <v>1.6272</v>
      </c>
      <c r="BR353" s="21">
        <v>274.73</v>
      </c>
      <c r="BS353" s="21">
        <v>-2.8860499999999998E-3</v>
      </c>
      <c r="BT353" s="21">
        <v>343</v>
      </c>
      <c r="BU353" s="21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1">
        <v>-2.1362299999999998E-3</v>
      </c>
      <c r="H354" s="21">
        <v>50.4285</v>
      </c>
      <c r="I354" s="21">
        <v>-1.6003400000000001E-2</v>
      </c>
      <c r="J354" s="21">
        <v>344</v>
      </c>
      <c r="K354" s="21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1">
        <v>1.6322300000000001</v>
      </c>
      <c r="P354" s="21">
        <v>99.810900000000004</v>
      </c>
      <c r="Q354" s="21">
        <v>-2.4231000000000001E-3</v>
      </c>
      <c r="R354" s="21">
        <v>344</v>
      </c>
      <c r="S354" s="21">
        <v>1.63147</v>
      </c>
      <c r="T354">
        <f t="shared" si="82"/>
        <v>2.4231000000000003</v>
      </c>
      <c r="U354">
        <f t="shared" si="83"/>
        <v>3.9550565130000006</v>
      </c>
      <c r="X354" s="9"/>
      <c r="Y354" s="21">
        <v>-2.1362299999999998E-3</v>
      </c>
      <c r="Z354" s="21">
        <v>52.512599999999999</v>
      </c>
      <c r="AA354" s="21">
        <v>-1.5982099999999999E-2</v>
      </c>
      <c r="AB354" s="21">
        <v>344</v>
      </c>
      <c r="AC354" s="21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1">
        <v>1.6322300000000001</v>
      </c>
      <c r="AH354" s="21">
        <v>77.497500000000002</v>
      </c>
      <c r="AI354" s="21">
        <v>-2.4941999999999998E-3</v>
      </c>
      <c r="AJ354" s="21">
        <v>344</v>
      </c>
      <c r="AK354" s="21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1">
        <v>-2.1362299999999998E-3</v>
      </c>
      <c r="AR354" s="21">
        <v>126.898</v>
      </c>
      <c r="AS354" s="21">
        <v>-1.5988200000000001E-2</v>
      </c>
      <c r="AT354" s="21">
        <v>344</v>
      </c>
      <c r="AU354" s="21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1">
        <v>1.6322300000000001</v>
      </c>
      <c r="AZ354" s="21">
        <v>176.184</v>
      </c>
      <c r="BA354" s="21">
        <v>-2.5381499999999999E-3</v>
      </c>
      <c r="BB354" s="21">
        <v>344</v>
      </c>
      <c r="BC354" s="21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1">
        <v>-2.1362299999999998E-3</v>
      </c>
      <c r="BJ354" s="21">
        <v>225.535</v>
      </c>
      <c r="BK354" s="21">
        <v>-1.5945399999999998E-2</v>
      </c>
      <c r="BL354" s="21">
        <v>344</v>
      </c>
      <c r="BM354" s="21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1">
        <v>1.6322300000000001</v>
      </c>
      <c r="BR354" s="21">
        <v>274.74</v>
      </c>
      <c r="BS354" s="21">
        <v>-2.5711100000000001E-3</v>
      </c>
      <c r="BT354" s="21">
        <v>344</v>
      </c>
      <c r="BU354" s="21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1">
        <v>-7.17163E-3</v>
      </c>
      <c r="H355" s="21">
        <v>50.438600000000001</v>
      </c>
      <c r="I355" s="21">
        <v>-1.60065E-2</v>
      </c>
      <c r="J355" s="21">
        <v>345</v>
      </c>
      <c r="K355" s="21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1">
        <v>1.63727</v>
      </c>
      <c r="P355" s="21">
        <v>99.820999999999998</v>
      </c>
      <c r="Q355" s="21">
        <v>-2.1533199999999998E-3</v>
      </c>
      <c r="R355" s="21">
        <v>345</v>
      </c>
      <c r="S355" s="21">
        <v>1.63666</v>
      </c>
      <c r="T355">
        <f t="shared" si="82"/>
        <v>2.1533199999999999</v>
      </c>
      <c r="U355">
        <f t="shared" si="83"/>
        <v>3.5255662364</v>
      </c>
      <c r="X355" s="9"/>
      <c r="Y355" s="21">
        <v>-7.17163E-3</v>
      </c>
      <c r="Z355" s="21">
        <v>52.522599999999997</v>
      </c>
      <c r="AA355" s="21">
        <v>-1.5988200000000001E-2</v>
      </c>
      <c r="AB355" s="21">
        <v>345</v>
      </c>
      <c r="AC355" s="21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1">
        <v>1.63727</v>
      </c>
      <c r="AH355" s="21">
        <v>77.507599999999996</v>
      </c>
      <c r="AI355" s="21">
        <v>-2.18506E-3</v>
      </c>
      <c r="AJ355" s="21">
        <v>345</v>
      </c>
      <c r="AK355" s="21">
        <v>1.63635</v>
      </c>
      <c r="AL355">
        <f t="shared" si="86"/>
        <v>2.18506</v>
      </c>
      <c r="AM355">
        <f t="shared" si="87"/>
        <v>3.5775331862000002</v>
      </c>
      <c r="AP355" s="9"/>
      <c r="AQ355" s="21">
        <v>-7.17163E-3</v>
      </c>
      <c r="AR355" s="21">
        <v>126.908</v>
      </c>
      <c r="AS355" s="21">
        <v>-1.5991200000000001E-2</v>
      </c>
      <c r="AT355" s="21">
        <v>345</v>
      </c>
      <c r="AU355" s="21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1">
        <v>1.63727</v>
      </c>
      <c r="AZ355" s="21">
        <v>176.19399999999999</v>
      </c>
      <c r="BA355" s="21">
        <v>-2.2164900000000002E-3</v>
      </c>
      <c r="BB355" s="21">
        <v>345</v>
      </c>
      <c r="BC355" s="21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1">
        <v>-7.17163E-3</v>
      </c>
      <c r="BJ355" s="21">
        <v>225.54499999999999</v>
      </c>
      <c r="BK355" s="21">
        <v>-1.5948500000000001E-2</v>
      </c>
      <c r="BL355" s="21">
        <v>345</v>
      </c>
      <c r="BM355" s="21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1">
        <v>1.63727</v>
      </c>
      <c r="BR355" s="21">
        <v>274.75</v>
      </c>
      <c r="BS355" s="21">
        <v>-2.2421300000000002E-3</v>
      </c>
      <c r="BT355" s="21">
        <v>345</v>
      </c>
      <c r="BU355" s="21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1">
        <v>-1.2207000000000001E-2</v>
      </c>
      <c r="H356" s="21">
        <v>50.448700000000002</v>
      </c>
      <c r="I356" s="21">
        <v>-1.6009499999999999E-2</v>
      </c>
      <c r="J356" s="21">
        <v>346</v>
      </c>
      <c r="K356" s="21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1">
        <v>1.6423000000000001</v>
      </c>
      <c r="P356" s="21">
        <v>99.831100000000006</v>
      </c>
      <c r="Q356" s="21">
        <v>-1.8930100000000001E-3</v>
      </c>
      <c r="R356" s="21">
        <v>346</v>
      </c>
      <c r="S356" s="21">
        <v>1.64093</v>
      </c>
      <c r="T356">
        <f t="shared" si="82"/>
        <v>1.8930100000000001</v>
      </c>
      <c r="U356">
        <f t="shared" si="83"/>
        <v>3.1088903230000002</v>
      </c>
      <c r="X356" s="9"/>
      <c r="Y356" s="21">
        <v>-1.2207000000000001E-2</v>
      </c>
      <c r="Z356" s="21">
        <v>52.532699999999998</v>
      </c>
      <c r="AA356" s="21">
        <v>-1.5988200000000001E-2</v>
      </c>
      <c r="AB356" s="21">
        <v>346</v>
      </c>
      <c r="AC356" s="21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1">
        <v>1.6423000000000001</v>
      </c>
      <c r="AH356" s="21">
        <v>77.517700000000005</v>
      </c>
      <c r="AI356" s="21">
        <v>-1.8582200000000001E-3</v>
      </c>
      <c r="AJ356" s="21">
        <v>346</v>
      </c>
      <c r="AK356" s="21">
        <v>1.64154</v>
      </c>
      <c r="AL356">
        <f t="shared" si="86"/>
        <v>1.85822</v>
      </c>
      <c r="AM356">
        <f t="shared" si="87"/>
        <v>3.0517547060000001</v>
      </c>
      <c r="AP356" s="9"/>
      <c r="AQ356" s="21">
        <v>-1.2207000000000001E-2</v>
      </c>
      <c r="AR356" s="21">
        <v>126.91800000000001</v>
      </c>
      <c r="AS356" s="21">
        <v>-1.5988200000000001E-2</v>
      </c>
      <c r="AT356" s="21">
        <v>346</v>
      </c>
      <c r="AU356" s="21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1">
        <v>1.6423000000000001</v>
      </c>
      <c r="AZ356" s="21">
        <v>176.20500000000001</v>
      </c>
      <c r="BA356" s="21">
        <v>-1.89453E-3</v>
      </c>
      <c r="BB356" s="21">
        <v>346</v>
      </c>
      <c r="BC356" s="21">
        <v>1.64124</v>
      </c>
      <c r="BD356">
        <f t="shared" si="90"/>
        <v>1.89453</v>
      </c>
      <c r="BE356">
        <f t="shared" si="91"/>
        <v>3.1113866190000001</v>
      </c>
      <c r="BH356" s="9"/>
      <c r="BI356" s="21">
        <v>-1.2207000000000001E-2</v>
      </c>
      <c r="BJ356" s="21">
        <v>225.55500000000001</v>
      </c>
      <c r="BK356" s="21">
        <v>-1.5954599999999999E-2</v>
      </c>
      <c r="BL356" s="21">
        <v>346</v>
      </c>
      <c r="BM356" s="21">
        <v>-1.2558E-2</v>
      </c>
      <c r="BN356">
        <f t="shared" si="92"/>
        <v>15.954599999999999</v>
      </c>
      <c r="BO356">
        <f t="shared" si="93"/>
        <v>-0.1947578022</v>
      </c>
      <c r="BP356" s="9"/>
      <c r="BQ356" s="21">
        <v>1.6423000000000001</v>
      </c>
      <c r="BR356" s="21">
        <v>274.76</v>
      </c>
      <c r="BS356" s="21">
        <v>-1.9165E-3</v>
      </c>
      <c r="BT356" s="21">
        <v>346</v>
      </c>
      <c r="BU356" s="21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1">
        <v>-1.7242400000000001E-2</v>
      </c>
      <c r="H357" s="21">
        <v>50.4587</v>
      </c>
      <c r="I357" s="21">
        <v>-1.6009499999999999E-2</v>
      </c>
      <c r="J357" s="21">
        <v>347</v>
      </c>
      <c r="K357" s="21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1">
        <v>1.64734</v>
      </c>
      <c r="P357" s="21">
        <v>99.841200000000001</v>
      </c>
      <c r="Q357" s="21">
        <v>-1.6290300000000001E-3</v>
      </c>
      <c r="R357" s="21">
        <v>347</v>
      </c>
      <c r="S357" s="21">
        <v>1.64612</v>
      </c>
      <c r="T357">
        <f t="shared" si="82"/>
        <v>1.62903</v>
      </c>
      <c r="U357">
        <f t="shared" si="83"/>
        <v>2.6835662802</v>
      </c>
      <c r="X357" s="9"/>
      <c r="Y357" s="21">
        <v>-1.7242400000000001E-2</v>
      </c>
      <c r="Z357" s="21">
        <v>52.5428</v>
      </c>
      <c r="AA357" s="21">
        <v>-1.5991200000000001E-2</v>
      </c>
      <c r="AB357" s="21">
        <v>347</v>
      </c>
      <c r="AC357" s="21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1">
        <v>1.64734</v>
      </c>
      <c r="AH357" s="21">
        <v>77.527699999999996</v>
      </c>
      <c r="AI357" s="21">
        <v>-1.5393099999999999E-3</v>
      </c>
      <c r="AJ357" s="21">
        <v>347</v>
      </c>
      <c r="AK357" s="21">
        <v>1.64673</v>
      </c>
      <c r="AL357">
        <f t="shared" si="86"/>
        <v>1.53931</v>
      </c>
      <c r="AM357">
        <f t="shared" si="87"/>
        <v>2.5357669353999999</v>
      </c>
      <c r="AP357" s="9"/>
      <c r="AQ357" s="21">
        <v>-1.7242400000000001E-2</v>
      </c>
      <c r="AR357" s="21">
        <v>126.928</v>
      </c>
      <c r="AS357" s="21">
        <v>-1.5985099999999999E-2</v>
      </c>
      <c r="AT357" s="21">
        <v>347</v>
      </c>
      <c r="AU357" s="21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1">
        <v>1.64734</v>
      </c>
      <c r="AZ357" s="21">
        <v>176.215</v>
      </c>
      <c r="BA357" s="21">
        <v>-1.5631099999999999E-3</v>
      </c>
      <c r="BB357" s="21">
        <v>347</v>
      </c>
      <c r="BC357" s="21">
        <v>1.64612</v>
      </c>
      <c r="BD357">
        <f t="shared" si="90"/>
        <v>1.56311</v>
      </c>
      <c r="BE357">
        <f t="shared" si="91"/>
        <v>2.5749736273999999</v>
      </c>
      <c r="BH357" s="9"/>
      <c r="BI357" s="21">
        <v>-1.7242400000000001E-2</v>
      </c>
      <c r="BJ357" s="21">
        <v>225.565</v>
      </c>
      <c r="BK357" s="21">
        <v>-1.5954599999999999E-2</v>
      </c>
      <c r="BL357" s="21">
        <v>347</v>
      </c>
      <c r="BM357" s="21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1">
        <v>1.64734</v>
      </c>
      <c r="BR357" s="21">
        <v>274.77</v>
      </c>
      <c r="BS357" s="21">
        <v>-1.5829500000000001E-3</v>
      </c>
      <c r="BT357" s="21">
        <v>347</v>
      </c>
      <c r="BU357" s="21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1">
        <v>-2.22778E-2</v>
      </c>
      <c r="H358" s="21">
        <v>50.468800000000002</v>
      </c>
      <c r="I358" s="21">
        <v>-1.6012599999999998E-2</v>
      </c>
      <c r="J358" s="21">
        <v>348</v>
      </c>
      <c r="K358" s="21">
        <v>-2.26044E-2</v>
      </c>
      <c r="L358">
        <f t="shared" si="80"/>
        <v>16.012599999999999</v>
      </c>
      <c r="M358">
        <f t="shared" si="81"/>
        <v>-0.35672550028</v>
      </c>
      <c r="N358" s="9"/>
      <c r="O358" s="21">
        <v>1.6523699999999999</v>
      </c>
      <c r="P358" s="21">
        <v>99.851200000000006</v>
      </c>
      <c r="Q358" s="21">
        <v>-1.36261E-3</v>
      </c>
      <c r="R358" s="21">
        <v>348</v>
      </c>
      <c r="S358" s="21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1">
        <v>-2.22778E-2</v>
      </c>
      <c r="Z358" s="21">
        <v>52.552799999999998</v>
      </c>
      <c r="AA358" s="21">
        <v>-1.5994299999999999E-2</v>
      </c>
      <c r="AB358" s="21">
        <v>348</v>
      </c>
      <c r="AC358" s="21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1">
        <v>1.6523699999999999</v>
      </c>
      <c r="AH358" s="21">
        <v>77.537800000000004</v>
      </c>
      <c r="AI358" s="21">
        <v>-1.21185E-3</v>
      </c>
      <c r="AJ358" s="21">
        <v>348</v>
      </c>
      <c r="AK358" s="21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1">
        <v>-2.22778E-2</v>
      </c>
      <c r="AR358" s="21">
        <v>126.938</v>
      </c>
      <c r="AS358" s="21">
        <v>-1.5985099999999999E-2</v>
      </c>
      <c r="AT358" s="21">
        <v>348</v>
      </c>
      <c r="AU358" s="21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1">
        <v>1.6523699999999999</v>
      </c>
      <c r="AZ358" s="21">
        <v>176.22499999999999</v>
      </c>
      <c r="BA358" s="21">
        <v>-1.2283299999999999E-3</v>
      </c>
      <c r="BB358" s="21">
        <v>348</v>
      </c>
      <c r="BC358" s="21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1">
        <v>-2.22778E-2</v>
      </c>
      <c r="BJ358" s="21">
        <v>225.57499999999999</v>
      </c>
      <c r="BK358" s="21">
        <v>-1.5954599999999999E-2</v>
      </c>
      <c r="BL358" s="21">
        <v>348</v>
      </c>
      <c r="BM358" s="21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1">
        <v>1.6523699999999999</v>
      </c>
      <c r="BR358" s="21">
        <v>274.78100000000001</v>
      </c>
      <c r="BS358" s="21">
        <v>-1.2448100000000001E-3</v>
      </c>
      <c r="BT358" s="21">
        <v>348</v>
      </c>
      <c r="BU358" s="21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1">
        <v>-2.7313199999999999E-2</v>
      </c>
      <c r="H359" s="21">
        <v>50.478900000000003</v>
      </c>
      <c r="I359" s="21">
        <v>-1.6009499999999999E-2</v>
      </c>
      <c r="J359" s="21">
        <v>349</v>
      </c>
      <c r="K359" s="21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1">
        <v>1.65741</v>
      </c>
      <c r="P359" s="21">
        <v>99.8613</v>
      </c>
      <c r="Q359" s="21">
        <v>-1.0989400000000001E-3</v>
      </c>
      <c r="R359" s="21">
        <v>349</v>
      </c>
      <c r="S359" s="21">
        <v>1.6561900000000001</v>
      </c>
      <c r="T359">
        <f t="shared" si="82"/>
        <v>1.09894</v>
      </c>
      <c r="U359">
        <f t="shared" si="83"/>
        <v>1.8213941454</v>
      </c>
      <c r="X359" s="9"/>
      <c r="Y359" s="21">
        <v>-2.7313199999999999E-2</v>
      </c>
      <c r="Z359" s="21">
        <v>52.562899999999999</v>
      </c>
      <c r="AA359" s="21">
        <v>-1.5994299999999999E-2</v>
      </c>
      <c r="AB359" s="21">
        <v>349</v>
      </c>
      <c r="AC359" s="21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1">
        <v>1.65741</v>
      </c>
      <c r="AH359" s="21">
        <v>77.547899999999998</v>
      </c>
      <c r="AI359" s="21">
        <v>-8.8378899999999995E-4</v>
      </c>
      <c r="AJ359" s="21">
        <v>349</v>
      </c>
      <c r="AK359" s="21">
        <v>1.65649</v>
      </c>
      <c r="AL359">
        <f t="shared" si="86"/>
        <v>0.88378899999999994</v>
      </c>
      <c r="AM359">
        <f t="shared" si="87"/>
        <v>1.46480072649</v>
      </c>
      <c r="AP359" s="9"/>
      <c r="AQ359" s="21">
        <v>-2.7313199999999999E-2</v>
      </c>
      <c r="AR359" s="21">
        <v>126.94799999999999</v>
      </c>
      <c r="AS359" s="21">
        <v>-1.5988200000000001E-2</v>
      </c>
      <c r="AT359" s="21">
        <v>349</v>
      </c>
      <c r="AU359" s="21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1">
        <v>1.65741</v>
      </c>
      <c r="AZ359" s="21">
        <v>176.23500000000001</v>
      </c>
      <c r="BA359" s="21">
        <v>-8.8806200000000001E-4</v>
      </c>
      <c r="BB359" s="21">
        <v>349</v>
      </c>
      <c r="BC359" s="21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1">
        <v>-2.7313199999999999E-2</v>
      </c>
      <c r="BJ359" s="21">
        <v>225.58500000000001</v>
      </c>
      <c r="BK359" s="21">
        <v>-1.59515E-2</v>
      </c>
      <c r="BL359" s="21">
        <v>349</v>
      </c>
      <c r="BM359" s="21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1">
        <v>1.65741</v>
      </c>
      <c r="BR359" s="21">
        <v>274.791</v>
      </c>
      <c r="BS359" s="21">
        <v>-9.0179400000000003E-4</v>
      </c>
      <c r="BT359" s="21">
        <v>349</v>
      </c>
      <c r="BU359" s="21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1">
        <v>-3.2348599999999998E-2</v>
      </c>
      <c r="H360" s="21">
        <v>50.488900000000001</v>
      </c>
      <c r="I360" s="21">
        <v>-1.6012599999999998E-2</v>
      </c>
      <c r="J360" s="21">
        <v>350</v>
      </c>
      <c r="K360" s="21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1">
        <v>1.66245</v>
      </c>
      <c r="P360" s="21">
        <v>99.871399999999994</v>
      </c>
      <c r="Q360" s="21">
        <v>-8.4228500000000002E-4</v>
      </c>
      <c r="R360" s="21">
        <v>350</v>
      </c>
      <c r="S360" s="21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1">
        <v>-3.2348599999999998E-2</v>
      </c>
      <c r="Z360" s="21">
        <v>52.573</v>
      </c>
      <c r="AA360" s="21">
        <v>-1.5994299999999999E-2</v>
      </c>
      <c r="AB360" s="21">
        <v>350</v>
      </c>
      <c r="AC360" s="21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1">
        <v>1.66245</v>
      </c>
      <c r="AH360" s="21">
        <v>77.558000000000007</v>
      </c>
      <c r="AI360" s="21">
        <v>-5.4717999999999998E-4</v>
      </c>
      <c r="AJ360" s="21">
        <v>350</v>
      </c>
      <c r="AK360" s="21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1">
        <v>-3.2348599999999998E-2</v>
      </c>
      <c r="AR360" s="21">
        <v>126.958</v>
      </c>
      <c r="AS360" s="21">
        <v>-1.5991200000000001E-2</v>
      </c>
      <c r="AT360" s="21">
        <v>350</v>
      </c>
      <c r="AU360" s="21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1">
        <v>1.66245</v>
      </c>
      <c r="AZ360" s="21">
        <v>176.245</v>
      </c>
      <c r="BA360" s="21">
        <v>-5.4962200000000004E-4</v>
      </c>
      <c r="BB360" s="21">
        <v>350</v>
      </c>
      <c r="BC360" s="21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1">
        <v>-3.2348599999999998E-2</v>
      </c>
      <c r="BJ360" s="21">
        <v>225.595</v>
      </c>
      <c r="BK360" s="21">
        <v>-1.5954599999999999E-2</v>
      </c>
      <c r="BL360" s="21">
        <v>350</v>
      </c>
      <c r="BM360" s="21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1">
        <v>1.66245</v>
      </c>
      <c r="BR360" s="21">
        <v>274.80099999999999</v>
      </c>
      <c r="BS360" s="21">
        <v>-5.5633500000000003E-4</v>
      </c>
      <c r="BT360" s="21">
        <v>350</v>
      </c>
      <c r="BU360" s="21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1">
        <v>-3.7384000000000001E-2</v>
      </c>
      <c r="H361" s="21">
        <v>50.499000000000002</v>
      </c>
      <c r="I361" s="21">
        <v>-1.60187E-2</v>
      </c>
      <c r="J361" s="21">
        <v>351</v>
      </c>
      <c r="K361" s="21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1">
        <v>1.6674800000000001</v>
      </c>
      <c r="P361" s="21">
        <v>99.881399999999999</v>
      </c>
      <c r="Q361" s="21">
        <v>-5.8563199999999999E-4</v>
      </c>
      <c r="R361" s="21">
        <v>351</v>
      </c>
      <c r="S361" s="21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1">
        <v>-3.7384000000000001E-2</v>
      </c>
      <c r="Z361" s="21">
        <v>52.583100000000002</v>
      </c>
      <c r="AA361" s="21">
        <v>-1.5991200000000001E-2</v>
      </c>
      <c r="AB361" s="21">
        <v>351</v>
      </c>
      <c r="AC361" s="21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1">
        <v>1.6674800000000001</v>
      </c>
      <c r="AH361" s="21">
        <v>77.567999999999998</v>
      </c>
      <c r="AI361" s="21">
        <v>-2.1112099999999999E-4</v>
      </c>
      <c r="AJ361" s="21">
        <v>351</v>
      </c>
      <c r="AK361" s="21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1">
        <v>-3.7384000000000001E-2</v>
      </c>
      <c r="AR361" s="21">
        <v>126.968</v>
      </c>
      <c r="AS361" s="21">
        <v>-1.5988200000000001E-2</v>
      </c>
      <c r="AT361" s="21">
        <v>351</v>
      </c>
      <c r="AU361" s="21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1">
        <v>1.6674800000000001</v>
      </c>
      <c r="AZ361" s="21">
        <v>176.255</v>
      </c>
      <c r="BA361" s="21">
        <v>-1.9934099999999999E-4</v>
      </c>
      <c r="BB361" s="21">
        <v>351</v>
      </c>
      <c r="BC361" s="21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1">
        <v>-3.7384000000000001E-2</v>
      </c>
      <c r="BJ361" s="21">
        <v>225.60499999999999</v>
      </c>
      <c r="BK361" s="21">
        <v>-1.5954599999999999E-2</v>
      </c>
      <c r="BL361" s="21">
        <v>351</v>
      </c>
      <c r="BM361" s="21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1">
        <v>1.6674800000000001</v>
      </c>
      <c r="BR361" s="21">
        <v>274.81099999999998</v>
      </c>
      <c r="BS361" s="21">
        <v>-1.9930999999999999E-4</v>
      </c>
      <c r="BT361" s="21">
        <v>351</v>
      </c>
      <c r="BU361" s="21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1">
        <v>-4.2419400000000003E-2</v>
      </c>
      <c r="H362" s="21">
        <v>50.509099999999997</v>
      </c>
      <c r="I362" s="21">
        <v>-1.60217E-2</v>
      </c>
      <c r="J362" s="21">
        <v>352</v>
      </c>
      <c r="K362" s="21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1">
        <v>1.67252</v>
      </c>
      <c r="P362" s="21">
        <v>99.891499999999994</v>
      </c>
      <c r="Q362" s="21">
        <v>-3.2427999999999998E-4</v>
      </c>
      <c r="R362" s="21">
        <v>352</v>
      </c>
      <c r="S362" s="21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1">
        <v>-4.2419400000000003E-2</v>
      </c>
      <c r="Z362" s="21">
        <v>52.5931</v>
      </c>
      <c r="AA362" s="21">
        <v>-1.5994299999999999E-2</v>
      </c>
      <c r="AB362" s="21">
        <v>352</v>
      </c>
      <c r="AC362" s="21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1">
        <v>1.67252</v>
      </c>
      <c r="AH362" s="21">
        <v>77.578100000000006</v>
      </c>
      <c r="AI362" s="21">
        <v>1.3806199999999999E-4</v>
      </c>
      <c r="AJ362" s="21">
        <v>352</v>
      </c>
      <c r="AK362" s="21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1">
        <v>-4.2419400000000003E-2</v>
      </c>
      <c r="AR362" s="21">
        <v>126.979</v>
      </c>
      <c r="AS362" s="21">
        <v>-1.5991200000000001E-2</v>
      </c>
      <c r="AT362" s="21">
        <v>352</v>
      </c>
      <c r="AU362" s="21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1">
        <v>1.67252</v>
      </c>
      <c r="AZ362" s="21">
        <v>176.26499999999999</v>
      </c>
      <c r="BA362" s="21">
        <v>1.48956E-4</v>
      </c>
      <c r="BB362" s="21">
        <v>352</v>
      </c>
      <c r="BC362" s="21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1">
        <v>-4.2419400000000003E-2</v>
      </c>
      <c r="BJ362" s="21">
        <v>225.61500000000001</v>
      </c>
      <c r="BK362" s="21">
        <v>-1.5957599999999999E-2</v>
      </c>
      <c r="BL362" s="21">
        <v>352</v>
      </c>
      <c r="BM362" s="21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1">
        <v>1.67252</v>
      </c>
      <c r="BR362" s="21">
        <v>274.82100000000003</v>
      </c>
      <c r="BS362" s="21">
        <v>1.65253E-4</v>
      </c>
      <c r="BT362" s="21">
        <v>352</v>
      </c>
      <c r="BU362" s="21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1">
        <v>-4.7454799999999998E-2</v>
      </c>
      <c r="H363" s="21">
        <v>50.519199999999998</v>
      </c>
      <c r="I363" s="21">
        <v>-1.60217E-2</v>
      </c>
      <c r="J363" s="21">
        <v>353</v>
      </c>
      <c r="K363" s="21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1">
        <v>1.6775500000000001</v>
      </c>
      <c r="P363" s="21">
        <v>99.901600000000002</v>
      </c>
      <c r="Q363" s="24">
        <v>-6.00891E-5</v>
      </c>
      <c r="R363" s="21">
        <v>353</v>
      </c>
      <c r="S363" s="21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1">
        <v>-4.7454799999999998E-2</v>
      </c>
      <c r="Z363" s="21">
        <v>52.603200000000001</v>
      </c>
      <c r="AA363" s="21">
        <v>-1.6000400000000001E-2</v>
      </c>
      <c r="AB363" s="21">
        <v>353</v>
      </c>
      <c r="AC363" s="21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1">
        <v>1.6775500000000001</v>
      </c>
      <c r="AH363" s="21">
        <v>77.588200000000001</v>
      </c>
      <c r="AI363" s="21">
        <v>4.8156700000000002E-4</v>
      </c>
      <c r="AJ363" s="21">
        <v>353</v>
      </c>
      <c r="AK363" s="21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1">
        <v>-4.7454799999999998E-2</v>
      </c>
      <c r="AR363" s="21">
        <v>126.989</v>
      </c>
      <c r="AS363" s="21">
        <v>-1.5997299999999999E-2</v>
      </c>
      <c r="AT363" s="21">
        <v>353</v>
      </c>
      <c r="AU363" s="21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1">
        <v>1.6775500000000001</v>
      </c>
      <c r="AZ363" s="21">
        <v>176.27500000000001</v>
      </c>
      <c r="BA363" s="21">
        <v>5.0354000000000002E-4</v>
      </c>
      <c r="BB363" s="21">
        <v>353</v>
      </c>
      <c r="BC363" s="21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1">
        <v>-4.7454799999999998E-2</v>
      </c>
      <c r="BJ363" s="21">
        <v>225.625</v>
      </c>
      <c r="BK363" s="21">
        <v>-1.5957599999999999E-2</v>
      </c>
      <c r="BL363" s="21">
        <v>353</v>
      </c>
      <c r="BM363" s="21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1">
        <v>1.6775500000000001</v>
      </c>
      <c r="BR363" s="21">
        <v>274.83100000000002</v>
      </c>
      <c r="BS363" s="21">
        <v>5.3344700000000004E-4</v>
      </c>
      <c r="BT363" s="21">
        <v>353</v>
      </c>
      <c r="BU363" s="21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1">
        <v>-5.2490200000000001E-2</v>
      </c>
      <c r="H364" s="21">
        <v>50.529200000000003</v>
      </c>
      <c r="I364" s="21">
        <v>-1.60217E-2</v>
      </c>
      <c r="J364" s="21">
        <v>354</v>
      </c>
      <c r="K364" s="21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1">
        <v>1.68259</v>
      </c>
      <c r="P364" s="21">
        <v>99.911699999999996</v>
      </c>
      <c r="Q364" s="21">
        <v>1.9543499999999999E-4</v>
      </c>
      <c r="R364" s="21">
        <v>354</v>
      </c>
      <c r="S364" s="21">
        <v>1.6815199999999999</v>
      </c>
      <c r="T364">
        <f t="shared" si="82"/>
        <v>-0.195435</v>
      </c>
      <c r="U364">
        <f t="shared" si="83"/>
        <v>-0.32883697665</v>
      </c>
      <c r="X364" s="9"/>
      <c r="Y364" s="21">
        <v>-5.2490200000000001E-2</v>
      </c>
      <c r="Z364" s="21">
        <v>52.613300000000002</v>
      </c>
      <c r="AA364" s="21">
        <v>-1.6003400000000001E-2</v>
      </c>
      <c r="AB364" s="21">
        <v>354</v>
      </c>
      <c r="AC364" s="21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1">
        <v>1.68259</v>
      </c>
      <c r="AH364" s="21">
        <v>77.598200000000006</v>
      </c>
      <c r="AI364" s="21">
        <v>8.31604E-4</v>
      </c>
      <c r="AJ364" s="21">
        <v>354</v>
      </c>
      <c r="AK364" s="21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1">
        <v>-5.2490200000000001E-2</v>
      </c>
      <c r="AR364" s="21">
        <v>126.999</v>
      </c>
      <c r="AS364" s="21">
        <v>-1.6003400000000001E-2</v>
      </c>
      <c r="AT364" s="21">
        <v>354</v>
      </c>
      <c r="AU364" s="21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1">
        <v>1.68259</v>
      </c>
      <c r="AZ364" s="21">
        <v>176.285</v>
      </c>
      <c r="BA364" s="21">
        <v>8.6425800000000002E-4</v>
      </c>
      <c r="BB364" s="21">
        <v>354</v>
      </c>
      <c r="BC364" s="21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1">
        <v>-5.2490200000000001E-2</v>
      </c>
      <c r="BJ364" s="21">
        <v>225.636</v>
      </c>
      <c r="BK364" s="21">
        <v>-1.5957599999999999E-2</v>
      </c>
      <c r="BL364" s="21">
        <v>354</v>
      </c>
      <c r="BM364" s="21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1">
        <v>1.68259</v>
      </c>
      <c r="BR364" s="21">
        <v>274.84100000000001</v>
      </c>
      <c r="BS364" s="21">
        <v>9.0331999999999999E-4</v>
      </c>
      <c r="BT364" s="21">
        <v>354</v>
      </c>
      <c r="BU364" s="21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1">
        <v>-5.7525600000000003E-2</v>
      </c>
      <c r="H365" s="21">
        <v>50.539299999999997</v>
      </c>
      <c r="I365" s="21">
        <v>-1.60187E-2</v>
      </c>
      <c r="J365" s="21">
        <v>355</v>
      </c>
      <c r="K365" s="21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1">
        <v>1.6876199999999999</v>
      </c>
      <c r="P365" s="21">
        <v>99.921700000000001</v>
      </c>
      <c r="Q365" s="21">
        <v>4.6286E-4</v>
      </c>
      <c r="R365" s="21">
        <v>355</v>
      </c>
      <c r="S365" s="21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1">
        <v>-5.7525600000000003E-2</v>
      </c>
      <c r="Z365" s="21">
        <v>52.6233</v>
      </c>
      <c r="AA365" s="21">
        <v>-1.6009499999999999E-2</v>
      </c>
      <c r="AB365" s="21">
        <v>355</v>
      </c>
      <c r="AC365" s="21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1">
        <v>1.6876199999999999</v>
      </c>
      <c r="AH365" s="21">
        <v>77.6083</v>
      </c>
      <c r="AI365" s="21">
        <v>1.1798100000000001E-3</v>
      </c>
      <c r="AJ365" s="21">
        <v>355</v>
      </c>
      <c r="AK365" s="21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1">
        <v>-5.7525600000000003E-2</v>
      </c>
      <c r="AR365" s="21">
        <v>127.009</v>
      </c>
      <c r="AS365" s="21">
        <v>-1.60065E-2</v>
      </c>
      <c r="AT365" s="21">
        <v>355</v>
      </c>
      <c r="AU365" s="21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1">
        <v>1.6876199999999999</v>
      </c>
      <c r="AZ365" s="21">
        <v>176.29499999999999</v>
      </c>
      <c r="BA365" s="21">
        <v>1.2323E-3</v>
      </c>
      <c r="BB365" s="21">
        <v>355</v>
      </c>
      <c r="BC365" s="21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1">
        <v>-5.7525600000000003E-2</v>
      </c>
      <c r="BJ365" s="21">
        <v>225.64599999999999</v>
      </c>
      <c r="BK365" s="21">
        <v>-1.5960700000000001E-2</v>
      </c>
      <c r="BL365" s="21">
        <v>355</v>
      </c>
      <c r="BM365" s="21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1">
        <v>1.6876199999999999</v>
      </c>
      <c r="BR365" s="21">
        <v>274.851</v>
      </c>
      <c r="BS365" s="21">
        <v>1.27411E-3</v>
      </c>
      <c r="BT365" s="21">
        <v>355</v>
      </c>
      <c r="BU365" s="21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1">
        <v>-6.2561000000000005E-2</v>
      </c>
      <c r="H366" s="21">
        <v>50.549399999999999</v>
      </c>
      <c r="I366" s="21">
        <v>-1.60217E-2</v>
      </c>
      <c r="J366" s="21">
        <v>356</v>
      </c>
      <c r="K366" s="21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1">
        <v>1.6926600000000001</v>
      </c>
      <c r="P366" s="21">
        <v>99.931799999999996</v>
      </c>
      <c r="Q366" s="21">
        <v>7.1838399999999997E-4</v>
      </c>
      <c r="R366" s="21">
        <v>356</v>
      </c>
      <c r="S366" s="21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1">
        <v>-6.2561000000000005E-2</v>
      </c>
      <c r="Z366" s="21">
        <v>52.633400000000002</v>
      </c>
      <c r="AA366" s="21">
        <v>-1.6012599999999998E-2</v>
      </c>
      <c r="AB366" s="21">
        <v>356</v>
      </c>
      <c r="AC366" s="21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1">
        <v>1.6926600000000001</v>
      </c>
      <c r="AH366" s="21">
        <v>77.618399999999994</v>
      </c>
      <c r="AI366" s="21">
        <v>1.5387000000000001E-3</v>
      </c>
      <c r="AJ366" s="21">
        <v>356</v>
      </c>
      <c r="AK366" s="21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1">
        <v>-6.2561000000000005E-2</v>
      </c>
      <c r="AR366" s="21">
        <v>127.01900000000001</v>
      </c>
      <c r="AS366" s="21">
        <v>-1.6009499999999999E-2</v>
      </c>
      <c r="AT366" s="21">
        <v>356</v>
      </c>
      <c r="AU366" s="21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1">
        <v>1.6926600000000001</v>
      </c>
      <c r="AZ366" s="21">
        <v>176.30500000000001</v>
      </c>
      <c r="BA366" s="21">
        <v>1.59943E-3</v>
      </c>
      <c r="BB366" s="21">
        <v>356</v>
      </c>
      <c r="BC366" s="21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1">
        <v>-6.2561000000000005E-2</v>
      </c>
      <c r="BJ366" s="21">
        <v>225.65600000000001</v>
      </c>
      <c r="BK366" s="21">
        <v>-1.5963700000000001E-2</v>
      </c>
      <c r="BL366" s="21">
        <v>356</v>
      </c>
      <c r="BM366" s="21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1">
        <v>1.6926600000000001</v>
      </c>
      <c r="BR366" s="21">
        <v>274.86099999999999</v>
      </c>
      <c r="BS366" s="21">
        <v>1.6570999999999999E-3</v>
      </c>
      <c r="BT366" s="21">
        <v>356</v>
      </c>
      <c r="BU366" s="21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1">
        <v>-6.7596400000000001E-2</v>
      </c>
      <c r="H367" s="21">
        <v>50.559399999999997</v>
      </c>
      <c r="I367" s="21">
        <v>-1.6024799999999999E-2</v>
      </c>
      <c r="J367" s="21">
        <v>357</v>
      </c>
      <c r="K367" s="21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1">
        <v>1.6976899999999999</v>
      </c>
      <c r="P367" s="21">
        <v>99.941900000000004</v>
      </c>
      <c r="Q367" s="21">
        <v>9.7045900000000001E-4</v>
      </c>
      <c r="R367" s="21">
        <v>357</v>
      </c>
      <c r="S367" s="21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1">
        <v>-6.7596400000000001E-2</v>
      </c>
      <c r="Z367" s="21">
        <v>52.643500000000003</v>
      </c>
      <c r="AA367" s="21">
        <v>-1.6015600000000001E-2</v>
      </c>
      <c r="AB367" s="21">
        <v>357</v>
      </c>
      <c r="AC367" s="21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1">
        <v>1.6976899999999999</v>
      </c>
      <c r="AH367" s="21">
        <v>77.628500000000003</v>
      </c>
      <c r="AI367" s="21">
        <v>1.88354E-3</v>
      </c>
      <c r="AJ367" s="21">
        <v>357</v>
      </c>
      <c r="AK367" s="21">
        <v>1.69678</v>
      </c>
      <c r="AL367">
        <f t="shared" si="86"/>
        <v>-1.88354</v>
      </c>
      <c r="AM367">
        <f t="shared" si="87"/>
        <v>-3.1976670225999997</v>
      </c>
      <c r="AP367" s="9"/>
      <c r="AQ367" s="21">
        <v>-6.7596400000000001E-2</v>
      </c>
      <c r="AR367" s="21">
        <v>127.029</v>
      </c>
      <c r="AS367" s="21">
        <v>-1.6012599999999998E-2</v>
      </c>
      <c r="AT367" s="21">
        <v>357</v>
      </c>
      <c r="AU367" s="21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1">
        <v>1.6976899999999999</v>
      </c>
      <c r="AZ367" s="21">
        <v>176.315</v>
      </c>
      <c r="BA367" s="21">
        <v>1.9720499999999999E-3</v>
      </c>
      <c r="BB367" s="21">
        <v>357</v>
      </c>
      <c r="BC367" s="21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1">
        <v>-6.7596400000000001E-2</v>
      </c>
      <c r="BJ367" s="21">
        <v>225.666</v>
      </c>
      <c r="BK367" s="21">
        <v>-1.59668E-2</v>
      </c>
      <c r="BL367" s="21">
        <v>357</v>
      </c>
      <c r="BM367" s="21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1">
        <v>1.6976899999999999</v>
      </c>
      <c r="BR367" s="21">
        <v>274.87099999999998</v>
      </c>
      <c r="BS367" s="21">
        <v>2.0458999999999998E-3</v>
      </c>
      <c r="BT367" s="21">
        <v>357</v>
      </c>
      <c r="BU367" s="21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1">
        <v>-7.2631799999999996E-2</v>
      </c>
      <c r="H368" s="21">
        <v>50.569499999999998</v>
      </c>
      <c r="I368" s="21">
        <v>-1.6027799999999998E-2</v>
      </c>
      <c r="J368" s="21">
        <v>358</v>
      </c>
      <c r="K368" s="21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1">
        <v>1.7027300000000001</v>
      </c>
      <c r="P368" s="21">
        <v>99.951899999999995</v>
      </c>
      <c r="Q368" s="21">
        <v>1.21277E-3</v>
      </c>
      <c r="R368" s="21">
        <v>358</v>
      </c>
      <c r="S368" s="21">
        <v>1.70166</v>
      </c>
      <c r="T368">
        <f t="shared" si="82"/>
        <v>-1.2127699999999999</v>
      </c>
      <c r="U368">
        <f t="shared" si="83"/>
        <v>-2.0650198620999998</v>
      </c>
      <c r="X368" s="9"/>
      <c r="Y368" s="21">
        <v>-7.2631799999999996E-2</v>
      </c>
      <c r="Z368" s="21">
        <v>52.653599999999997</v>
      </c>
      <c r="AA368" s="21">
        <v>-1.60187E-2</v>
      </c>
      <c r="AB368" s="21">
        <v>358</v>
      </c>
      <c r="AC368" s="21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1">
        <v>1.7027300000000001</v>
      </c>
      <c r="AH368" s="21">
        <v>77.638499999999993</v>
      </c>
      <c r="AI368" s="21">
        <v>2.2494500000000001E-3</v>
      </c>
      <c r="AJ368" s="21">
        <v>358</v>
      </c>
      <c r="AK368" s="21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1">
        <v>-7.2631799999999996E-2</v>
      </c>
      <c r="AR368" s="21">
        <v>127.039</v>
      </c>
      <c r="AS368" s="21">
        <v>-1.60187E-2</v>
      </c>
      <c r="AT368" s="21">
        <v>358</v>
      </c>
      <c r="AU368" s="21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1">
        <v>1.7027300000000001</v>
      </c>
      <c r="AZ368" s="21">
        <v>176.32499999999999</v>
      </c>
      <c r="BA368" s="21">
        <v>2.34833E-3</v>
      </c>
      <c r="BB368" s="21">
        <v>358</v>
      </c>
      <c r="BC368" s="21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1">
        <v>-7.2631799999999996E-2</v>
      </c>
      <c r="BJ368" s="21">
        <v>225.67599999999999</v>
      </c>
      <c r="BK368" s="21">
        <v>-1.59668E-2</v>
      </c>
      <c r="BL368" s="21">
        <v>358</v>
      </c>
      <c r="BM368" s="21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1">
        <v>1.7027300000000001</v>
      </c>
      <c r="BR368" s="21">
        <v>274.88099999999997</v>
      </c>
      <c r="BS368" s="21">
        <v>2.43896E-3</v>
      </c>
      <c r="BT368" s="21">
        <v>358</v>
      </c>
      <c r="BU368" s="21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1">
        <v>-7.7667200000000006E-2</v>
      </c>
      <c r="H369" s="21">
        <v>50.579599999999999</v>
      </c>
      <c r="I369" s="21">
        <v>-1.6027799999999998E-2</v>
      </c>
      <c r="J369" s="21">
        <v>359</v>
      </c>
      <c r="K369" s="21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1">
        <v>1.7077599999999999</v>
      </c>
      <c r="P369" s="21">
        <v>99.962000000000003</v>
      </c>
      <c r="Q369" s="21">
        <v>1.45721E-3</v>
      </c>
      <c r="R369" s="21">
        <v>359</v>
      </c>
      <c r="S369" s="21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1">
        <v>-7.7667200000000006E-2</v>
      </c>
      <c r="Z369" s="21">
        <v>52.663600000000002</v>
      </c>
      <c r="AA369" s="21">
        <v>-1.60217E-2</v>
      </c>
      <c r="AB369" s="21">
        <v>359</v>
      </c>
      <c r="AC369" s="21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1">
        <v>1.7077599999999999</v>
      </c>
      <c r="AH369" s="21">
        <v>77.648600000000002</v>
      </c>
      <c r="AI369" s="21">
        <v>2.6150499999999998E-3</v>
      </c>
      <c r="AJ369" s="21">
        <v>359</v>
      </c>
      <c r="AK369" s="21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1">
        <v>-7.7667200000000006E-2</v>
      </c>
      <c r="AR369" s="21">
        <v>127.04900000000001</v>
      </c>
      <c r="AS369" s="21">
        <v>-1.60217E-2</v>
      </c>
      <c r="AT369" s="21">
        <v>359</v>
      </c>
      <c r="AU369" s="21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1">
        <v>1.7077599999999999</v>
      </c>
      <c r="AZ369" s="21">
        <v>176.33500000000001</v>
      </c>
      <c r="BA369" s="21">
        <v>2.7355999999999999E-3</v>
      </c>
      <c r="BB369" s="21">
        <v>359</v>
      </c>
      <c r="BC369" s="21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1">
        <v>-7.7667200000000006E-2</v>
      </c>
      <c r="BJ369" s="21">
        <v>225.68600000000001</v>
      </c>
      <c r="BK369" s="21">
        <v>-1.5969799999999999E-2</v>
      </c>
      <c r="BL369" s="21">
        <v>359</v>
      </c>
      <c r="BM369" s="21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1">
        <v>1.7077599999999999</v>
      </c>
      <c r="BR369" s="21">
        <v>274.89100000000002</v>
      </c>
      <c r="BS369" s="21">
        <v>2.8491200000000001E-3</v>
      </c>
      <c r="BT369" s="21">
        <v>359</v>
      </c>
      <c r="BU369" s="21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1">
        <v>-8.2702600000000001E-2</v>
      </c>
      <c r="H370" s="21">
        <v>50.589700000000001</v>
      </c>
      <c r="I370" s="21">
        <v>-1.6027799999999998E-2</v>
      </c>
      <c r="J370" s="21">
        <v>360</v>
      </c>
      <c r="K370" s="21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1">
        <v>1.7128000000000001</v>
      </c>
      <c r="P370" s="21">
        <v>99.972099999999998</v>
      </c>
      <c r="Q370" s="21">
        <v>1.69159E-3</v>
      </c>
      <c r="R370" s="21">
        <v>360</v>
      </c>
      <c r="S370" s="21">
        <v>1.71204</v>
      </c>
      <c r="T370">
        <f t="shared" si="82"/>
        <v>-1.6915899999999999</v>
      </c>
      <c r="U370">
        <f t="shared" si="83"/>
        <v>-2.8973553519999999</v>
      </c>
      <c r="X370" s="9"/>
      <c r="Y370" s="21">
        <v>-8.2702600000000001E-2</v>
      </c>
      <c r="Z370" s="21">
        <v>52.673699999999997</v>
      </c>
      <c r="AA370" s="21">
        <v>-1.6024799999999999E-2</v>
      </c>
      <c r="AB370" s="21">
        <v>360</v>
      </c>
      <c r="AC370" s="21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1">
        <v>1.7128000000000001</v>
      </c>
      <c r="AH370" s="21">
        <v>77.658699999999996</v>
      </c>
      <c r="AI370" s="21">
        <v>2.9852300000000002E-3</v>
      </c>
      <c r="AJ370" s="21">
        <v>360</v>
      </c>
      <c r="AK370" s="21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1">
        <v>-8.2702600000000001E-2</v>
      </c>
      <c r="AR370" s="21">
        <v>127.059</v>
      </c>
      <c r="AS370" s="21">
        <v>-1.6024799999999999E-2</v>
      </c>
      <c r="AT370" s="21">
        <v>360</v>
      </c>
      <c r="AU370" s="21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1">
        <v>1.7128000000000001</v>
      </c>
      <c r="AZ370" s="21">
        <v>176.346</v>
      </c>
      <c r="BA370" s="21">
        <v>3.1176799999999998E-3</v>
      </c>
      <c r="BB370" s="21">
        <v>360</v>
      </c>
      <c r="BC370" s="21">
        <v>1.71173</v>
      </c>
      <c r="BD370">
        <f t="shared" si="90"/>
        <v>-3.11768</v>
      </c>
      <c r="BE370">
        <f t="shared" si="91"/>
        <v>-5.3399623040000002</v>
      </c>
      <c r="BH370" s="9"/>
      <c r="BI370" s="21">
        <v>-8.2702600000000001E-2</v>
      </c>
      <c r="BJ370" s="21">
        <v>225.696</v>
      </c>
      <c r="BK370" s="21">
        <v>-1.5972900000000002E-2</v>
      </c>
      <c r="BL370" s="21">
        <v>360</v>
      </c>
      <c r="BM370" s="21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1">
        <v>1.7128000000000001</v>
      </c>
      <c r="BR370" s="21">
        <v>274.90100000000001</v>
      </c>
      <c r="BS370" s="21">
        <v>3.2507299999999999E-3</v>
      </c>
      <c r="BT370" s="21">
        <v>360</v>
      </c>
      <c r="BU370" s="21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1">
        <v>-8.7737999999999997E-2</v>
      </c>
      <c r="H371" s="21">
        <v>50.599699999999999</v>
      </c>
      <c r="I371" s="21">
        <v>-1.6027799999999998E-2</v>
      </c>
      <c r="J371" s="21">
        <v>361</v>
      </c>
      <c r="K371" s="21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1">
        <v>1.71783</v>
      </c>
      <c r="P371" s="21">
        <v>99.982200000000006</v>
      </c>
      <c r="Q371" s="21">
        <v>1.92688E-3</v>
      </c>
      <c r="R371" s="21">
        <v>361</v>
      </c>
      <c r="S371" s="21">
        <v>1.71722</v>
      </c>
      <c r="T371">
        <f t="shared" si="82"/>
        <v>-1.9268799999999999</v>
      </c>
      <c r="U371">
        <f t="shared" si="83"/>
        <v>-3.3100522703999999</v>
      </c>
      <c r="X371" s="9"/>
      <c r="Y371" s="21">
        <v>-8.7737999999999997E-2</v>
      </c>
      <c r="Z371" s="21">
        <v>52.683799999999998</v>
      </c>
      <c r="AA371" s="21">
        <v>-1.6030900000000001E-2</v>
      </c>
      <c r="AB371" s="21">
        <v>361</v>
      </c>
      <c r="AC371" s="21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1">
        <v>1.71783</v>
      </c>
      <c r="AH371" s="21">
        <v>77.668700000000001</v>
      </c>
      <c r="AI371" s="21">
        <v>3.35754E-3</v>
      </c>
      <c r="AJ371" s="21">
        <v>361</v>
      </c>
      <c r="AK371" s="21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1">
        <v>-8.7737999999999997E-2</v>
      </c>
      <c r="AR371" s="21">
        <v>127.069</v>
      </c>
      <c r="AS371" s="21">
        <v>-1.6027799999999998E-2</v>
      </c>
      <c r="AT371" s="21">
        <v>361</v>
      </c>
      <c r="AU371" s="21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1">
        <v>1.71783</v>
      </c>
      <c r="AZ371" s="21">
        <v>176.35599999999999</v>
      </c>
      <c r="BA371" s="21">
        <v>3.5150099999999998E-3</v>
      </c>
      <c r="BB371" s="21">
        <v>361</v>
      </c>
      <c r="BC371" s="21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1">
        <v>-8.7737999999999997E-2</v>
      </c>
      <c r="BJ371" s="21">
        <v>225.70599999999999</v>
      </c>
      <c r="BK371" s="21">
        <v>-1.5979E-2</v>
      </c>
      <c r="BL371" s="21">
        <v>361</v>
      </c>
      <c r="BM371" s="21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1">
        <v>1.71783</v>
      </c>
      <c r="BR371" s="21">
        <v>274.911</v>
      </c>
      <c r="BS371" s="21">
        <v>3.6630199999999999E-3</v>
      </c>
      <c r="BT371" s="21">
        <v>361</v>
      </c>
      <c r="BU371" s="21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1">
        <v>-9.2773400000000006E-2</v>
      </c>
      <c r="H372" s="21">
        <v>50.6098</v>
      </c>
      <c r="I372" s="21">
        <v>-1.60339E-2</v>
      </c>
      <c r="J372" s="21">
        <v>362</v>
      </c>
      <c r="K372" s="21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1">
        <v>1.7228699999999999</v>
      </c>
      <c r="P372" s="21">
        <v>99.992199999999997</v>
      </c>
      <c r="Q372" s="21">
        <v>2.17133E-3</v>
      </c>
      <c r="R372" s="21">
        <v>362</v>
      </c>
      <c r="S372" s="21">
        <v>1.72211</v>
      </c>
      <c r="T372">
        <f t="shared" si="82"/>
        <v>-2.1713299999999998</v>
      </c>
      <c r="U372">
        <f t="shared" si="83"/>
        <v>-3.7409193170999995</v>
      </c>
      <c r="X372" s="9"/>
      <c r="Y372" s="21">
        <v>-9.2773400000000006E-2</v>
      </c>
      <c r="Z372" s="21">
        <v>52.693800000000003</v>
      </c>
      <c r="AA372" s="21">
        <v>-1.6036999999999999E-2</v>
      </c>
      <c r="AB372" s="21">
        <v>362</v>
      </c>
      <c r="AC372" s="21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1">
        <v>1.7228699999999999</v>
      </c>
      <c r="AH372" s="21">
        <v>77.678799999999995</v>
      </c>
      <c r="AI372" s="21">
        <v>3.7417599999999998E-3</v>
      </c>
      <c r="AJ372" s="21">
        <v>362</v>
      </c>
      <c r="AK372" s="21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1">
        <v>-9.2773400000000006E-2</v>
      </c>
      <c r="AR372" s="21">
        <v>127.07899999999999</v>
      </c>
      <c r="AS372" s="21">
        <v>-1.6030900000000001E-2</v>
      </c>
      <c r="AT372" s="21">
        <v>362</v>
      </c>
      <c r="AU372" s="21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1">
        <v>1.7228699999999999</v>
      </c>
      <c r="AZ372" s="21">
        <v>176.36600000000001</v>
      </c>
      <c r="BA372" s="21">
        <v>3.9178499999999996E-3</v>
      </c>
      <c r="BB372" s="21">
        <v>362</v>
      </c>
      <c r="BC372" s="21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1">
        <v>-9.2773400000000006E-2</v>
      </c>
      <c r="BJ372" s="21">
        <v>225.71600000000001</v>
      </c>
      <c r="BK372" s="21">
        <v>-1.5982099999999999E-2</v>
      </c>
      <c r="BL372" s="21">
        <v>362</v>
      </c>
      <c r="BM372" s="21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1">
        <v>1.7228699999999999</v>
      </c>
      <c r="BR372" s="21">
        <v>274.92200000000003</v>
      </c>
      <c r="BS372" s="21">
        <v>4.0860000000000002E-3</v>
      </c>
      <c r="BT372" s="21">
        <v>362</v>
      </c>
      <c r="BU372" s="21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1">
        <v>-9.7808800000000001E-2</v>
      </c>
      <c r="H373" s="21">
        <v>50.619900000000001</v>
      </c>
      <c r="I373" s="21">
        <v>-1.6039999999999999E-2</v>
      </c>
      <c r="J373" s="21">
        <v>363</v>
      </c>
      <c r="K373" s="21">
        <v>-9.8449700000000001E-2</v>
      </c>
      <c r="L373">
        <f t="shared" si="80"/>
        <v>16.04</v>
      </c>
      <c r="M373">
        <f t="shared" si="81"/>
        <v>-1.568853152</v>
      </c>
      <c r="N373" s="9"/>
      <c r="O373" s="21">
        <v>1.7279100000000001</v>
      </c>
      <c r="P373" s="21">
        <v>100.002</v>
      </c>
      <c r="Q373" s="21">
        <v>2.4041700000000002E-3</v>
      </c>
      <c r="R373" s="21">
        <v>363</v>
      </c>
      <c r="S373" s="21">
        <v>1.72699</v>
      </c>
      <c r="T373">
        <f t="shared" si="82"/>
        <v>-2.4041700000000001</v>
      </c>
      <c r="U373">
        <f t="shared" si="83"/>
        <v>-4.1541893847000004</v>
      </c>
      <c r="X373" s="9"/>
      <c r="Y373" s="21">
        <v>-9.7808800000000001E-2</v>
      </c>
      <c r="Z373" s="21">
        <v>52.703899999999997</v>
      </c>
      <c r="AA373" s="21">
        <v>-1.6039999999999999E-2</v>
      </c>
      <c r="AB373" s="21">
        <v>363</v>
      </c>
      <c r="AC373" s="21">
        <v>-9.8449700000000001E-2</v>
      </c>
      <c r="AD373">
        <f t="shared" si="84"/>
        <v>16.04</v>
      </c>
      <c r="AE373">
        <f t="shared" si="85"/>
        <v>-1.568853152</v>
      </c>
      <c r="AF373" s="9"/>
      <c r="AG373" s="21">
        <v>1.7279100000000001</v>
      </c>
      <c r="AH373" s="21">
        <v>77.688900000000004</v>
      </c>
      <c r="AI373" s="21">
        <v>4.1226199999999996E-3</v>
      </c>
      <c r="AJ373" s="21">
        <v>363</v>
      </c>
      <c r="AK373" s="21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1">
        <v>-9.7808800000000001E-2</v>
      </c>
      <c r="AR373" s="21">
        <v>127.089</v>
      </c>
      <c r="AS373" s="21">
        <v>-1.6027799999999998E-2</v>
      </c>
      <c r="AT373" s="21">
        <v>363</v>
      </c>
      <c r="AU373" s="21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1">
        <v>1.7279100000000001</v>
      </c>
      <c r="AZ373" s="21">
        <v>176.376</v>
      </c>
      <c r="BA373" s="21">
        <v>4.3240400000000003E-3</v>
      </c>
      <c r="BB373" s="21">
        <v>363</v>
      </c>
      <c r="BC373" s="21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1">
        <v>-9.7808800000000001E-2</v>
      </c>
      <c r="BJ373" s="21">
        <v>225.726</v>
      </c>
      <c r="BK373" s="21">
        <v>-1.5988200000000001E-2</v>
      </c>
      <c r="BL373" s="21">
        <v>363</v>
      </c>
      <c r="BM373" s="21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1">
        <v>1.7279100000000001</v>
      </c>
      <c r="BR373" s="21">
        <v>274.93200000000002</v>
      </c>
      <c r="BS373" s="21">
        <v>4.5135499999999999E-3</v>
      </c>
      <c r="BT373" s="21">
        <v>363</v>
      </c>
      <c r="BU373" s="21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1">
        <v>-0.102844</v>
      </c>
      <c r="H374" s="21">
        <v>50.629899999999999</v>
      </c>
      <c r="I374" s="21">
        <v>-1.60339E-2</v>
      </c>
      <c r="J374" s="21">
        <v>364</v>
      </c>
      <c r="K374" s="21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1">
        <v>1.7329399999999999</v>
      </c>
      <c r="P374" s="21">
        <v>100.012</v>
      </c>
      <c r="Q374" s="21">
        <v>2.6419099999999999E-3</v>
      </c>
      <c r="R374" s="21">
        <v>364</v>
      </c>
      <c r="S374" s="21">
        <v>1.73248</v>
      </c>
      <c r="T374">
        <f t="shared" si="82"/>
        <v>-2.6419099999999998</v>
      </c>
      <c r="U374">
        <f t="shared" si="83"/>
        <v>-4.5782715153999991</v>
      </c>
      <c r="X374" s="9"/>
      <c r="Y374" s="21">
        <v>-0.102844</v>
      </c>
      <c r="Z374" s="21">
        <v>52.713999999999999</v>
      </c>
      <c r="AA374" s="21">
        <v>-1.6043100000000001E-2</v>
      </c>
      <c r="AB374" s="21">
        <v>364</v>
      </c>
      <c r="AC374" s="21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1">
        <v>1.7329399999999999</v>
      </c>
      <c r="AH374" s="21">
        <v>77.698999999999998</v>
      </c>
      <c r="AI374" s="21">
        <v>4.51996E-3</v>
      </c>
      <c r="AJ374" s="21">
        <v>364</v>
      </c>
      <c r="AK374" s="21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1">
        <v>-0.102844</v>
      </c>
      <c r="AR374" s="21">
        <v>127.099</v>
      </c>
      <c r="AS374" s="21">
        <v>-1.6030900000000001E-2</v>
      </c>
      <c r="AT374" s="21">
        <v>364</v>
      </c>
      <c r="AU374" s="21">
        <v>-0.103363</v>
      </c>
      <c r="AV374">
        <f t="shared" si="88"/>
        <v>16.030899999999999</v>
      </c>
      <c r="AW374">
        <f t="shared" si="89"/>
        <v>-1.6486818796</v>
      </c>
      <c r="AX374" s="9"/>
      <c r="AY374" s="21">
        <v>1.7329399999999999</v>
      </c>
      <c r="AZ374" s="21">
        <v>176.386</v>
      </c>
      <c r="BA374" s="21">
        <v>4.7488399999999998E-3</v>
      </c>
      <c r="BB374" s="21">
        <v>364</v>
      </c>
      <c r="BC374" s="21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1">
        <v>-0.102844</v>
      </c>
      <c r="BJ374" s="21">
        <v>225.73599999999999</v>
      </c>
      <c r="BK374" s="21">
        <v>-1.5991200000000001E-2</v>
      </c>
      <c r="BL374" s="21">
        <v>364</v>
      </c>
      <c r="BM374" s="21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1">
        <v>1.7329399999999999</v>
      </c>
      <c r="BR374" s="21">
        <v>274.94200000000001</v>
      </c>
      <c r="BS374" s="21">
        <v>4.95941E-3</v>
      </c>
      <c r="BT374" s="21">
        <v>364</v>
      </c>
      <c r="BU374" s="21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273"/>
  <sheetViews>
    <sheetView workbookViewId="0">
      <selection activeCell="BD11" sqref="BD11:BE71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26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26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26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26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26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26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25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25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25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25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25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25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1.5980616752215251</v>
      </c>
      <c r="J6" s="25"/>
      <c r="K6" s="2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27">
        <f>(Q3-Q4)/(S3-S4)*(-S4)+Q4</f>
        <v>1.2113671563984083</v>
      </c>
      <c r="R6" s="27"/>
      <c r="S6" s="2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25">
        <f>(AA3-AA4)/(AC3-AC4)*(-AC4)+AA4</f>
        <v>1.3582978567840607</v>
      </c>
      <c r="AB6" s="25"/>
      <c r="AC6" s="2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27">
        <f>(AI3-AI4)/(AK3-AK4)*(-AK4)+AI4</f>
        <v>1.6642280562134473</v>
      </c>
      <c r="AJ6" s="27"/>
      <c r="AK6" s="2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25">
        <f>(AS3-AS4)/(AU3-AU4)*(-AU4)+AS4</f>
        <v>1.6590016722109933</v>
      </c>
      <c r="AT6" s="25"/>
      <c r="AU6" s="2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27">
        <f>(BA3-BA4)/(BC3-BC4)*(-BC4)+BA4</f>
        <v>1.6733028464318755</v>
      </c>
      <c r="BB6" s="27"/>
      <c r="BC6" s="2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2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2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2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2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2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10.101006067866063</v>
      </c>
      <c r="J9" s="2"/>
      <c r="K9" s="2"/>
      <c r="L9" s="3">
        <f>(L6-L7)/(K6-K7)*(-K7)+L7</f>
        <v>15.968106206768107</v>
      </c>
      <c r="M9" s="15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5">
        <f>MAX(U11:U1056)</f>
        <v>14.406128672000001</v>
      </c>
      <c r="X9" s="9"/>
      <c r="Y9" s="2"/>
      <c r="Z9" s="2"/>
      <c r="AA9" s="14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5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5">
        <f>MAX(AM11:AM1056)</f>
        <v>15.9635824</v>
      </c>
      <c r="AP9" s="9"/>
      <c r="AQ9" s="2"/>
      <c r="AR9" s="2"/>
      <c r="AS9" s="14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5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5">
        <f>MAX(BE11:BE1056)</f>
        <v>16.111632588000003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1.5980616752215251</v>
      </c>
      <c r="B11" s="18">
        <f>IFERROR(L9,0)</f>
        <v>15.968106206768107</v>
      </c>
      <c r="C11" s="19">
        <f>IFERROR(L4,0)</f>
        <v>0.6279795612469673</v>
      </c>
      <c r="D11" s="20">
        <f>IFERROR(L2,0)</f>
        <v>16.024794096000004</v>
      </c>
      <c r="E11" s="20">
        <f>IFERROR(I9,0)</f>
        <v>10.101006067866063</v>
      </c>
      <c r="F11" s="9"/>
      <c r="G11" s="21">
        <v>1.7498800000000001</v>
      </c>
      <c r="H11" s="21">
        <v>49.588900000000002</v>
      </c>
      <c r="I11" s="24">
        <v>1.2146E-5</v>
      </c>
      <c r="J11" s="21">
        <v>1</v>
      </c>
      <c r="K11" s="21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1">
        <v>-1.9989E-2</v>
      </c>
      <c r="P11" s="21">
        <v>107.654</v>
      </c>
      <c r="Q11" s="21">
        <v>-1.6055300000000002E-2</v>
      </c>
      <c r="R11" s="21">
        <v>1</v>
      </c>
      <c r="S11" s="21">
        <v>-2.01111E-2</v>
      </c>
      <c r="T11">
        <f>-Q11/$F$2*1000</f>
        <v>16.055300000000003</v>
      </c>
      <c r="U11">
        <f>T11*O11</f>
        <v>-0.32092939170000007</v>
      </c>
      <c r="V11" s="22"/>
      <c r="W11" s="23"/>
      <c r="X11" s="9"/>
      <c r="Y11" s="21">
        <v>1.7498800000000001</v>
      </c>
      <c r="Z11" s="21">
        <v>165.70099999999999</v>
      </c>
      <c r="AA11" s="24">
        <v>1.2146E-5</v>
      </c>
      <c r="AB11" s="21">
        <v>1</v>
      </c>
      <c r="AC11" s="21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1">
        <v>-1.9989E-2</v>
      </c>
      <c r="AH11" s="21">
        <v>223.77199999999999</v>
      </c>
      <c r="AI11" s="21">
        <v>-1.5988200000000001E-2</v>
      </c>
      <c r="AJ11" s="21">
        <v>1</v>
      </c>
      <c r="AK11" s="21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1">
        <v>1.7498800000000001</v>
      </c>
      <c r="AR11" s="21">
        <v>281.92599999999999</v>
      </c>
      <c r="AS11" s="21">
        <v>5.0109899999999997E-4</v>
      </c>
      <c r="AT11" s="21">
        <v>1</v>
      </c>
      <c r="AU11" s="21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1">
        <v>-1.9989E-2</v>
      </c>
      <c r="AZ11" s="21">
        <v>339.899</v>
      </c>
      <c r="BA11" s="21">
        <v>-1.5930199999999999E-2</v>
      </c>
      <c r="BB11" s="21">
        <v>1</v>
      </c>
      <c r="BC11" s="21">
        <v>-2.02087E-2</v>
      </c>
      <c r="BD11">
        <f>-BA11/$F$2*1000</f>
        <v>15.930199999999999</v>
      </c>
      <c r="BE11">
        <f>BD11*AY11</f>
        <v>-0.31842876779999996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1.2113671563984083</v>
      </c>
      <c r="B12" s="18">
        <f>IFERROR(T9,0)</f>
        <v>16.034871596662388</v>
      </c>
      <c r="C12" s="19">
        <f>IFERROR(T4,0)</f>
        <v>0.74166196658837746</v>
      </c>
      <c r="D12" s="20">
        <f>IFERROR(T2,0)</f>
        <v>14.406128672000001</v>
      </c>
      <c r="E12" s="20"/>
      <c r="F12" s="9"/>
      <c r="G12" s="21">
        <v>1.7198199999999999</v>
      </c>
      <c r="H12" s="21">
        <v>49.789299999999997</v>
      </c>
      <c r="I12" s="24">
        <v>1.2176499999999999E-5</v>
      </c>
      <c r="J12" s="21">
        <v>2</v>
      </c>
      <c r="K12" s="21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1">
        <v>1.00708E-2</v>
      </c>
      <c r="P12" s="21">
        <v>107.854</v>
      </c>
      <c r="Q12" s="21">
        <v>-1.6024799999999999E-2</v>
      </c>
      <c r="R12" s="21">
        <v>2</v>
      </c>
      <c r="S12" s="21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2"/>
      <c r="W12" s="23"/>
      <c r="X12" s="9"/>
      <c r="Y12" s="21">
        <v>1.7198199999999999</v>
      </c>
      <c r="Z12" s="21">
        <v>165.90100000000001</v>
      </c>
      <c r="AA12" s="24">
        <v>8.0566400000000002E-5</v>
      </c>
      <c r="AB12" s="21">
        <v>2</v>
      </c>
      <c r="AC12" s="21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1">
        <v>1.00708E-2</v>
      </c>
      <c r="AH12" s="21">
        <v>223.97200000000001</v>
      </c>
      <c r="AI12" s="21">
        <v>-1.59668E-2</v>
      </c>
      <c r="AJ12" s="21">
        <v>2</v>
      </c>
      <c r="AK12" s="21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1">
        <v>1.7198199999999999</v>
      </c>
      <c r="AR12" s="21">
        <v>282.12700000000001</v>
      </c>
      <c r="AS12" s="24">
        <v>6.7138700000000001E-5</v>
      </c>
      <c r="AT12" s="21">
        <v>2</v>
      </c>
      <c r="AU12" s="21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1">
        <v>1.00708E-2</v>
      </c>
      <c r="AZ12" s="21">
        <v>340.1</v>
      </c>
      <c r="BA12" s="21">
        <v>-1.5881300000000001E-2</v>
      </c>
      <c r="BB12" s="21">
        <v>2</v>
      </c>
      <c r="BC12" s="21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1.3582978567840607</v>
      </c>
      <c r="B13" s="18">
        <f>IFERROR(AD9,0)</f>
        <v>15.811054963386765</v>
      </c>
      <c r="C13" s="19">
        <f>IFERROR(AD4,0)</f>
        <v>0.67137461152563083</v>
      </c>
      <c r="D13" s="20">
        <f>IFERROR(AD2,0)</f>
        <v>14.418523112000001</v>
      </c>
      <c r="E13" s="20">
        <f>IFERROR(AA9,0)</f>
        <v>9.6786501255507709</v>
      </c>
      <c r="F13" s="9"/>
      <c r="G13" s="21">
        <v>1.6897599999999999</v>
      </c>
      <c r="H13" s="21">
        <v>49.989699999999999</v>
      </c>
      <c r="I13" s="24">
        <v>1.2176499999999999E-5</v>
      </c>
      <c r="J13" s="21">
        <v>3</v>
      </c>
      <c r="K13" s="21">
        <v>1.6888399999999999</v>
      </c>
      <c r="L13">
        <f t="shared" si="0"/>
        <v>-1.21765E-2</v>
      </c>
      <c r="M13">
        <f t="shared" si="1"/>
        <v>-2.0575362639999997E-2</v>
      </c>
      <c r="N13" s="9"/>
      <c r="O13" s="21">
        <v>4.0130600000000002E-2</v>
      </c>
      <c r="P13" s="21">
        <v>108.05500000000001</v>
      </c>
      <c r="Q13" s="21">
        <v>-1.5997299999999999E-2</v>
      </c>
      <c r="R13" s="21">
        <v>3</v>
      </c>
      <c r="S13" s="21">
        <v>4.0090899999999999E-2</v>
      </c>
      <c r="T13">
        <f t="shared" si="2"/>
        <v>15.997299999999999</v>
      </c>
      <c r="U13">
        <f t="shared" si="3"/>
        <v>0.64198124737999995</v>
      </c>
      <c r="V13" s="22"/>
      <c r="W13" s="23"/>
      <c r="X13" s="9"/>
      <c r="Y13" s="21">
        <v>1.6897599999999999</v>
      </c>
      <c r="Z13" s="21">
        <v>166.101</v>
      </c>
      <c r="AA13" s="24">
        <v>1.22681E-5</v>
      </c>
      <c r="AB13" s="21">
        <v>3</v>
      </c>
      <c r="AC13" s="21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1">
        <v>4.0130600000000002E-2</v>
      </c>
      <c r="AH13" s="21">
        <v>224.172</v>
      </c>
      <c r="AI13" s="21">
        <v>-1.5933200000000002E-2</v>
      </c>
      <c r="AJ13" s="21">
        <v>3</v>
      </c>
      <c r="AK13" s="21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1">
        <v>1.6897599999999999</v>
      </c>
      <c r="AR13" s="21">
        <v>282.327</v>
      </c>
      <c r="AS13" s="24">
        <v>1.19019E-5</v>
      </c>
      <c r="AT13" s="21">
        <v>3</v>
      </c>
      <c r="AU13" s="21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1">
        <v>4.0130600000000002E-2</v>
      </c>
      <c r="AZ13" s="21">
        <v>340.3</v>
      </c>
      <c r="BA13" s="21">
        <v>-1.58722E-2</v>
      </c>
      <c r="BB13" s="21">
        <v>3</v>
      </c>
      <c r="BC13" s="21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1.6642280562134473</v>
      </c>
      <c r="B14" s="18">
        <f>IFERROR(AL9,0)</f>
        <v>15.973870585397883</v>
      </c>
      <c r="C14" s="19">
        <f>IFERROR(AL4,0)</f>
        <v>0.60049218186716091</v>
      </c>
      <c r="D14" s="20">
        <f>IFERROR(AL2,0)</f>
        <v>15.963582400000002</v>
      </c>
      <c r="E14" s="20"/>
      <c r="F14" s="9"/>
      <c r="G14" s="21">
        <v>1.6597</v>
      </c>
      <c r="H14" s="21">
        <v>50.190100000000001</v>
      </c>
      <c r="I14" s="24">
        <v>1.2115499999999999E-5</v>
      </c>
      <c r="J14" s="21">
        <v>4</v>
      </c>
      <c r="K14" s="21">
        <v>1.65924</v>
      </c>
      <c r="L14">
        <f t="shared" si="0"/>
        <v>-1.21155E-2</v>
      </c>
      <c r="M14">
        <f t="shared" si="1"/>
        <v>-2.0108095349999997E-2</v>
      </c>
      <c r="N14" s="9"/>
      <c r="O14" s="21">
        <v>7.01904E-2</v>
      </c>
      <c r="P14" s="21">
        <v>108.255</v>
      </c>
      <c r="Q14" s="21">
        <v>-1.5820299999999999E-2</v>
      </c>
      <c r="R14" s="21">
        <v>4</v>
      </c>
      <c r="S14" s="21">
        <v>6.96716E-2</v>
      </c>
      <c r="T14">
        <f t="shared" si="2"/>
        <v>15.8203</v>
      </c>
      <c r="U14">
        <f t="shared" si="3"/>
        <v>1.11043318512</v>
      </c>
      <c r="V14" s="22"/>
      <c r="W14" s="23"/>
      <c r="X14" s="9"/>
      <c r="Y14" s="21">
        <v>1.6597</v>
      </c>
      <c r="Z14" s="21">
        <v>166.30199999999999</v>
      </c>
      <c r="AA14" s="21">
        <v>-2.3818999999999999E-4</v>
      </c>
      <c r="AB14" s="21">
        <v>4</v>
      </c>
      <c r="AC14" s="21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1">
        <v>7.01904E-2</v>
      </c>
      <c r="AH14" s="21">
        <v>224.37299999999999</v>
      </c>
      <c r="AI14" s="21">
        <v>-1.59271E-2</v>
      </c>
      <c r="AJ14" s="21">
        <v>4</v>
      </c>
      <c r="AK14" s="21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1">
        <v>1.6597</v>
      </c>
      <c r="AR14" s="21">
        <v>282.52800000000002</v>
      </c>
      <c r="AS14" s="24">
        <v>1.1871299999999999E-5</v>
      </c>
      <c r="AT14" s="21">
        <v>4</v>
      </c>
      <c r="AU14" s="21">
        <v>1.65924</v>
      </c>
      <c r="AV14">
        <f t="shared" si="8"/>
        <v>-1.18713E-2</v>
      </c>
      <c r="AW14">
        <f t="shared" si="9"/>
        <v>-1.970279661E-2</v>
      </c>
      <c r="AX14" s="9"/>
      <c r="AY14" s="21">
        <v>7.01904E-2</v>
      </c>
      <c r="AZ14" s="21">
        <v>340.50099999999998</v>
      </c>
      <c r="BA14" s="21">
        <v>-1.5853900000000001E-2</v>
      </c>
      <c r="BB14" s="21">
        <v>4</v>
      </c>
      <c r="BC14" s="21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1.6590016722109933</v>
      </c>
      <c r="B15" s="18">
        <f>IFERROR(AV9,0)</f>
        <v>15.842315502371948</v>
      </c>
      <c r="C15" s="19">
        <f>IFERROR(AV4,0)</f>
        <v>0.5625971576355524</v>
      </c>
      <c r="D15" s="20">
        <f>IFERROR(AV2,0)</f>
        <v>14.786419238000001</v>
      </c>
      <c r="E15" s="20">
        <f>IFERROR(AS9,0)</f>
        <v>8.2251959431288295</v>
      </c>
      <c r="F15" s="9"/>
      <c r="G15" s="21">
        <v>1.62964</v>
      </c>
      <c r="H15" s="21">
        <v>50.390500000000003</v>
      </c>
      <c r="I15" s="24">
        <v>1.2207E-5</v>
      </c>
      <c r="J15" s="21">
        <v>5</v>
      </c>
      <c r="K15" s="21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1">
        <v>0.10025000000000001</v>
      </c>
      <c r="P15" s="21">
        <v>108.455</v>
      </c>
      <c r="Q15" s="21">
        <v>-1.5942399999999999E-2</v>
      </c>
      <c r="R15" s="21">
        <v>5</v>
      </c>
      <c r="S15" s="21">
        <v>9.9578899999999998E-2</v>
      </c>
      <c r="T15">
        <f t="shared" si="2"/>
        <v>15.942399999999999</v>
      </c>
      <c r="U15">
        <f t="shared" si="3"/>
        <v>1.5982255999999999</v>
      </c>
      <c r="V15" s="22"/>
      <c r="W15" s="23"/>
      <c r="X15" s="9"/>
      <c r="Y15" s="21">
        <v>1.62964</v>
      </c>
      <c r="Z15" s="21">
        <v>166.50200000000001</v>
      </c>
      <c r="AA15" s="21">
        <v>-2.0846599999999999E-3</v>
      </c>
      <c r="AB15" s="21">
        <v>5</v>
      </c>
      <c r="AC15" s="21">
        <v>1.62842</v>
      </c>
      <c r="AD15">
        <f t="shared" si="4"/>
        <v>2.08466</v>
      </c>
      <c r="AE15">
        <f t="shared" si="5"/>
        <v>3.3972453223999999</v>
      </c>
      <c r="AF15" s="9"/>
      <c r="AG15" s="21">
        <v>0.10025000000000001</v>
      </c>
      <c r="AH15" s="21">
        <v>224.57300000000001</v>
      </c>
      <c r="AI15" s="21">
        <v>-1.59119E-2</v>
      </c>
      <c r="AJ15" s="21">
        <v>5</v>
      </c>
      <c r="AK15" s="21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1">
        <v>1.62964</v>
      </c>
      <c r="AR15" s="21">
        <v>282.72800000000001</v>
      </c>
      <c r="AS15" s="21">
        <v>-1.4779700000000001E-3</v>
      </c>
      <c r="AT15" s="21">
        <v>5</v>
      </c>
      <c r="AU15" s="21">
        <v>1.6293299999999999</v>
      </c>
      <c r="AV15">
        <f t="shared" si="8"/>
        <v>1.47797</v>
      </c>
      <c r="AW15">
        <f t="shared" si="9"/>
        <v>2.4085590307999998</v>
      </c>
      <c r="AX15" s="9"/>
      <c r="AY15" s="21">
        <v>0.10025000000000001</v>
      </c>
      <c r="AZ15" s="21">
        <v>340.70100000000002</v>
      </c>
      <c r="BA15" s="21">
        <v>-1.5817299999999999E-2</v>
      </c>
      <c r="BB15" s="21">
        <v>5</v>
      </c>
      <c r="BC15" s="21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1.6733028464318755</v>
      </c>
      <c r="B16" s="18">
        <f>IFERROR(BD9,0)</f>
        <v>15.897408550086325</v>
      </c>
      <c r="C16" s="19">
        <f>IFERROR(BD4,0)</f>
        <v>0.6056736282807732</v>
      </c>
      <c r="D16" s="20">
        <f>IFERROR(BD2,0)</f>
        <v>16.111632587999999</v>
      </c>
      <c r="E16" s="20"/>
      <c r="F16" s="9"/>
      <c r="G16" s="21">
        <v>1.59958</v>
      </c>
      <c r="H16" s="21">
        <v>50.590899999999998</v>
      </c>
      <c r="I16" s="24">
        <v>1.2146E-5</v>
      </c>
      <c r="J16" s="21">
        <v>6</v>
      </c>
      <c r="K16" s="21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1">
        <v>0.13031000000000001</v>
      </c>
      <c r="P16" s="21">
        <v>108.65600000000001</v>
      </c>
      <c r="Q16" s="21">
        <v>-1.5985099999999999E-2</v>
      </c>
      <c r="R16" s="21">
        <v>6</v>
      </c>
      <c r="S16" s="21">
        <v>0.129883</v>
      </c>
      <c r="T16">
        <f t="shared" si="2"/>
        <v>15.985099999999999</v>
      </c>
      <c r="U16">
        <f t="shared" si="3"/>
        <v>2.083018381</v>
      </c>
      <c r="V16" s="22"/>
      <c r="W16" s="23"/>
      <c r="X16" s="9"/>
      <c r="Y16" s="21">
        <v>1.59958</v>
      </c>
      <c r="Z16" s="21">
        <v>166.703</v>
      </c>
      <c r="AA16" s="21">
        <v>-3.8345300000000001E-3</v>
      </c>
      <c r="AB16" s="21">
        <v>6</v>
      </c>
      <c r="AC16" s="21">
        <v>1.5991200000000001</v>
      </c>
      <c r="AD16">
        <f t="shared" si="4"/>
        <v>3.83453</v>
      </c>
      <c r="AE16">
        <f t="shared" si="5"/>
        <v>6.1336374973999996</v>
      </c>
      <c r="AF16" s="9"/>
      <c r="AG16" s="21">
        <v>0.13031000000000001</v>
      </c>
      <c r="AH16" s="21">
        <v>224.774</v>
      </c>
      <c r="AI16" s="21">
        <v>-1.5890499999999998E-2</v>
      </c>
      <c r="AJ16" s="21">
        <v>6</v>
      </c>
      <c r="AK16" s="21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1">
        <v>1.59958</v>
      </c>
      <c r="AR16" s="21">
        <v>282.928</v>
      </c>
      <c r="AS16" s="21">
        <v>-4.7143599999999999E-3</v>
      </c>
      <c r="AT16" s="21">
        <v>6</v>
      </c>
      <c r="AU16" s="21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1">
        <v>0.13031000000000001</v>
      </c>
      <c r="AZ16" s="21">
        <v>340.90100000000001</v>
      </c>
      <c r="BA16" s="21">
        <v>-1.5795900000000002E-2</v>
      </c>
      <c r="BB16" s="21">
        <v>6</v>
      </c>
      <c r="BC16" s="21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1.56952</v>
      </c>
      <c r="H17" s="21">
        <v>50.7913</v>
      </c>
      <c r="I17" s="21">
        <v>-4.6691899999999999E-4</v>
      </c>
      <c r="J17" s="21">
        <v>7</v>
      </c>
      <c r="K17" s="21">
        <v>1.56891</v>
      </c>
      <c r="L17">
        <f t="shared" si="0"/>
        <v>0.46691899999999997</v>
      </c>
      <c r="M17">
        <f t="shared" si="1"/>
        <v>0.73283870888000002</v>
      </c>
      <c r="N17" s="9"/>
      <c r="O17" s="21">
        <v>0.16037000000000001</v>
      </c>
      <c r="P17" s="21">
        <v>108.85599999999999</v>
      </c>
      <c r="Q17" s="21">
        <v>-1.5960700000000001E-2</v>
      </c>
      <c r="R17" s="21">
        <v>7</v>
      </c>
      <c r="S17" s="21">
        <v>0.159882</v>
      </c>
      <c r="T17">
        <f t="shared" si="2"/>
        <v>15.960700000000001</v>
      </c>
      <c r="U17">
        <f t="shared" si="3"/>
        <v>2.5596174590000005</v>
      </c>
      <c r="V17" s="22"/>
      <c r="W17" s="23"/>
      <c r="X17" s="9"/>
      <c r="Y17" s="21">
        <v>1.56952</v>
      </c>
      <c r="Z17" s="21">
        <v>166.90299999999999</v>
      </c>
      <c r="AA17" s="21">
        <v>-5.3619400000000004E-4</v>
      </c>
      <c r="AB17" s="21">
        <v>7</v>
      </c>
      <c r="AC17" s="21">
        <v>1.56891</v>
      </c>
      <c r="AD17">
        <f t="shared" si="4"/>
        <v>0.53619400000000006</v>
      </c>
      <c r="AE17">
        <f t="shared" si="5"/>
        <v>0.84156720688000008</v>
      </c>
      <c r="AF17" s="9"/>
      <c r="AG17" s="21">
        <v>0.16037000000000001</v>
      </c>
      <c r="AH17" s="21">
        <v>224.97399999999999</v>
      </c>
      <c r="AI17" s="21">
        <v>-1.58417E-2</v>
      </c>
      <c r="AJ17" s="21">
        <v>7</v>
      </c>
      <c r="AK17" s="21">
        <v>0.159943</v>
      </c>
      <c r="AL17">
        <f t="shared" si="6"/>
        <v>15.841699999999999</v>
      </c>
      <c r="AM17">
        <f t="shared" si="7"/>
        <v>2.5405334289999999</v>
      </c>
      <c r="AP17" s="9"/>
      <c r="AQ17" s="21">
        <v>1.56952</v>
      </c>
      <c r="AR17" s="21">
        <v>283.12900000000002</v>
      </c>
      <c r="AS17" s="21">
        <v>-5.0903299999999997E-3</v>
      </c>
      <c r="AT17" s="21">
        <v>7</v>
      </c>
      <c r="AU17" s="21">
        <v>1.5683</v>
      </c>
      <c r="AV17">
        <f t="shared" si="8"/>
        <v>5.0903299999999998</v>
      </c>
      <c r="AW17">
        <f t="shared" si="9"/>
        <v>7.9893747415999998</v>
      </c>
      <c r="AX17" s="9"/>
      <c r="AY17" s="21">
        <v>0.16037000000000001</v>
      </c>
      <c r="AZ17" s="21">
        <v>341.10199999999998</v>
      </c>
      <c r="BA17" s="21">
        <v>-1.5731800000000001E-2</v>
      </c>
      <c r="BB17" s="21">
        <v>7</v>
      </c>
      <c r="BC17" s="21">
        <v>0.15985099999999999</v>
      </c>
      <c r="BD17">
        <f t="shared" si="10"/>
        <v>15.7318</v>
      </c>
      <c r="BE17">
        <f t="shared" si="11"/>
        <v>2.522908766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1.5394600000000001</v>
      </c>
      <c r="H18" s="21">
        <v>50.991700000000002</v>
      </c>
      <c r="I18" s="24">
        <v>1.18408E-5</v>
      </c>
      <c r="J18" s="21">
        <v>8</v>
      </c>
      <c r="K18" s="21">
        <v>1.5387</v>
      </c>
      <c r="L18">
        <f t="shared" si="0"/>
        <v>-1.18408E-2</v>
      </c>
      <c r="M18">
        <f t="shared" si="1"/>
        <v>-1.8228437968E-2</v>
      </c>
      <c r="N18" s="9"/>
      <c r="O18" s="21">
        <v>0.19042999999999999</v>
      </c>
      <c r="P18" s="21">
        <v>109.057</v>
      </c>
      <c r="Q18" s="21">
        <v>-1.5902699999999999E-2</v>
      </c>
      <c r="R18" s="21">
        <v>8</v>
      </c>
      <c r="S18" s="21">
        <v>0.18978900000000001</v>
      </c>
      <c r="T18">
        <f t="shared" si="2"/>
        <v>15.902699999999999</v>
      </c>
      <c r="U18">
        <f t="shared" si="3"/>
        <v>3.0283511609999998</v>
      </c>
      <c r="V18" s="22"/>
      <c r="W18" s="23"/>
      <c r="X18" s="9"/>
      <c r="Y18" s="21">
        <v>1.5394600000000001</v>
      </c>
      <c r="Z18" s="21">
        <v>167.10300000000001</v>
      </c>
      <c r="AA18" s="21">
        <v>-6.4666699999999999E-3</v>
      </c>
      <c r="AB18" s="21">
        <v>8</v>
      </c>
      <c r="AC18" s="21">
        <v>1.5387</v>
      </c>
      <c r="AD18">
        <f t="shared" si="4"/>
        <v>6.4666699999999997</v>
      </c>
      <c r="AE18">
        <f t="shared" si="5"/>
        <v>9.9551797981999997</v>
      </c>
      <c r="AF18" s="9"/>
      <c r="AG18" s="21">
        <v>0.19042999999999999</v>
      </c>
      <c r="AH18" s="21">
        <v>225.17400000000001</v>
      </c>
      <c r="AI18" s="21">
        <v>-1.5799000000000001E-2</v>
      </c>
      <c r="AJ18" s="21">
        <v>8</v>
      </c>
      <c r="AK18" s="21">
        <v>0.18987999999999999</v>
      </c>
      <c r="AL18">
        <f t="shared" si="6"/>
        <v>15.799000000000001</v>
      </c>
      <c r="AM18">
        <f t="shared" si="7"/>
        <v>3.00860357</v>
      </c>
      <c r="AP18" s="9"/>
      <c r="AQ18" s="21">
        <v>1.5394600000000001</v>
      </c>
      <c r="AR18" s="21">
        <v>283.32900000000001</v>
      </c>
      <c r="AS18" s="21">
        <v>-5.0689699999999999E-3</v>
      </c>
      <c r="AT18" s="21">
        <v>8</v>
      </c>
      <c r="AU18" s="21">
        <v>1.5387</v>
      </c>
      <c r="AV18">
        <f t="shared" si="8"/>
        <v>5.0689700000000002</v>
      </c>
      <c r="AW18">
        <f t="shared" si="9"/>
        <v>7.8034765562000006</v>
      </c>
      <c r="AX18" s="9"/>
      <c r="AY18" s="21">
        <v>0.19042999999999999</v>
      </c>
      <c r="AZ18" s="21">
        <v>341.30200000000002</v>
      </c>
      <c r="BA18" s="21">
        <v>-1.5698199999999999E-2</v>
      </c>
      <c r="BB18" s="21">
        <v>8</v>
      </c>
      <c r="BC18" s="21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1.5094000000000001</v>
      </c>
      <c r="H19" s="21">
        <v>51.192100000000003</v>
      </c>
      <c r="I19" s="21">
        <v>-6.2835699999999996E-3</v>
      </c>
      <c r="J19" s="21">
        <v>9</v>
      </c>
      <c r="K19" s="21">
        <v>1.50848</v>
      </c>
      <c r="L19">
        <f t="shared" si="0"/>
        <v>6.2835699999999992</v>
      </c>
      <c r="M19">
        <f t="shared" si="1"/>
        <v>9.4844205580000001</v>
      </c>
      <c r="N19" s="9"/>
      <c r="O19" s="21">
        <v>0.22048999999999999</v>
      </c>
      <c r="P19" s="21">
        <v>109.25700000000001</v>
      </c>
      <c r="Q19" s="21">
        <v>-1.58447E-2</v>
      </c>
      <c r="R19" s="21">
        <v>9</v>
      </c>
      <c r="S19" s="21">
        <v>0.21994</v>
      </c>
      <c r="T19">
        <f t="shared" si="2"/>
        <v>15.8447</v>
      </c>
      <c r="U19">
        <f t="shared" si="3"/>
        <v>3.4935979029999999</v>
      </c>
      <c r="V19" s="22"/>
      <c r="W19" s="23"/>
      <c r="X19" s="9"/>
      <c r="Y19" s="21">
        <v>1.5094000000000001</v>
      </c>
      <c r="Z19" s="21">
        <v>167.304</v>
      </c>
      <c r="AA19" s="21">
        <v>-7.6538099999999996E-3</v>
      </c>
      <c r="AB19" s="21">
        <v>9</v>
      </c>
      <c r="AC19" s="21">
        <v>1.5087900000000001</v>
      </c>
      <c r="AD19">
        <f t="shared" si="4"/>
        <v>7.65381</v>
      </c>
      <c r="AE19">
        <f t="shared" si="5"/>
        <v>11.552660814000001</v>
      </c>
      <c r="AF19" s="9"/>
      <c r="AG19" s="21">
        <v>0.22048999999999999</v>
      </c>
      <c r="AH19" s="21">
        <v>225.375</v>
      </c>
      <c r="AI19" s="21">
        <v>-1.58142E-2</v>
      </c>
      <c r="AJ19" s="21">
        <v>9</v>
      </c>
      <c r="AK19" s="21">
        <v>0.21990999999999999</v>
      </c>
      <c r="AL19">
        <f t="shared" si="6"/>
        <v>15.8142</v>
      </c>
      <c r="AM19">
        <f t="shared" si="7"/>
        <v>3.4868729579999997</v>
      </c>
      <c r="AP19" s="9"/>
      <c r="AQ19" s="21">
        <v>1.5094000000000001</v>
      </c>
      <c r="AR19" s="21">
        <v>283.52999999999997</v>
      </c>
      <c r="AS19" s="21">
        <v>-5.3985600000000002E-3</v>
      </c>
      <c r="AT19" s="21">
        <v>9</v>
      </c>
      <c r="AU19" s="21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1">
        <v>0.22048999999999999</v>
      </c>
      <c r="AZ19" s="21">
        <v>341.50299999999999</v>
      </c>
      <c r="BA19" s="21">
        <v>-1.56372E-2</v>
      </c>
      <c r="BB19" s="21">
        <v>9</v>
      </c>
      <c r="BC19" s="21">
        <v>0.21981800000000001</v>
      </c>
      <c r="BD19">
        <f t="shared" si="10"/>
        <v>15.6372</v>
      </c>
      <c r="BE19">
        <f t="shared" si="11"/>
        <v>3.447846228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1.4793400000000001</v>
      </c>
      <c r="H20" s="21">
        <v>51.392499999999998</v>
      </c>
      <c r="I20" s="24">
        <v>1.20239E-5</v>
      </c>
      <c r="J20" s="21">
        <v>10</v>
      </c>
      <c r="K20" s="21">
        <v>1.47919</v>
      </c>
      <c r="L20">
        <f t="shared" si="0"/>
        <v>-1.2023900000000001E-2</v>
      </c>
      <c r="M20">
        <f t="shared" si="1"/>
        <v>-1.7787436226000004E-2</v>
      </c>
      <c r="N20" s="9"/>
      <c r="O20" s="21">
        <v>0.25054900000000002</v>
      </c>
      <c r="P20" s="21">
        <v>109.45699999999999</v>
      </c>
      <c r="Q20" s="21">
        <v>-1.58569E-2</v>
      </c>
      <c r="R20" s="21">
        <v>10</v>
      </c>
      <c r="S20" s="21">
        <v>0.25006099999999998</v>
      </c>
      <c r="T20">
        <f t="shared" si="2"/>
        <v>15.8569</v>
      </c>
      <c r="U20">
        <f t="shared" si="3"/>
        <v>3.9729304381000001</v>
      </c>
      <c r="V20" s="22"/>
      <c r="W20" s="23"/>
      <c r="X20" s="9"/>
      <c r="Y20" s="21">
        <v>1.4793400000000001</v>
      </c>
      <c r="Z20" s="21">
        <v>167.50399999999999</v>
      </c>
      <c r="AA20" s="21">
        <v>-1.22528E-4</v>
      </c>
      <c r="AB20" s="21">
        <v>10</v>
      </c>
      <c r="AC20" s="21">
        <v>1.47888</v>
      </c>
      <c r="AD20">
        <f t="shared" si="4"/>
        <v>0.122528</v>
      </c>
      <c r="AE20">
        <f t="shared" si="5"/>
        <v>0.18126057152</v>
      </c>
      <c r="AF20" s="9"/>
      <c r="AG20" s="21">
        <v>0.25054900000000002</v>
      </c>
      <c r="AH20" s="21">
        <v>225.57499999999999</v>
      </c>
      <c r="AI20" s="21">
        <v>-1.5805099999999999E-2</v>
      </c>
      <c r="AJ20" s="21">
        <v>10</v>
      </c>
      <c r="AK20" s="21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1">
        <v>1.4793400000000001</v>
      </c>
      <c r="AR20" s="21">
        <v>283.73</v>
      </c>
      <c r="AS20" s="21">
        <v>-8.0718999999999999E-3</v>
      </c>
      <c r="AT20" s="21">
        <v>10</v>
      </c>
      <c r="AU20" s="21">
        <v>1.47888</v>
      </c>
      <c r="AV20">
        <f t="shared" si="8"/>
        <v>8.0718999999999994</v>
      </c>
      <c r="AW20">
        <f t="shared" si="9"/>
        <v>11.941084546000001</v>
      </c>
      <c r="AX20" s="9"/>
      <c r="AY20" s="21">
        <v>0.25054900000000002</v>
      </c>
      <c r="AZ20" s="21">
        <v>341.70299999999997</v>
      </c>
      <c r="BA20" s="21">
        <v>-1.5643299999999999E-2</v>
      </c>
      <c r="BB20" s="21">
        <v>10</v>
      </c>
      <c r="BC20" s="21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1.4492799999999999</v>
      </c>
      <c r="H21" s="21">
        <v>51.5929</v>
      </c>
      <c r="I21" s="21">
        <v>-7.7117899999999996E-3</v>
      </c>
      <c r="J21" s="21">
        <v>11</v>
      </c>
      <c r="K21" s="21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1">
        <v>0.280609</v>
      </c>
      <c r="P21" s="21">
        <v>109.658</v>
      </c>
      <c r="Q21" s="21">
        <v>-1.5634200000000001E-2</v>
      </c>
      <c r="R21" s="21">
        <v>11</v>
      </c>
      <c r="S21" s="21">
        <v>0.28021200000000002</v>
      </c>
      <c r="T21">
        <f t="shared" si="2"/>
        <v>15.634200000000002</v>
      </c>
      <c r="U21">
        <f t="shared" si="3"/>
        <v>4.3870972278</v>
      </c>
      <c r="V21" s="22"/>
      <c r="W21" s="23"/>
      <c r="X21" s="9"/>
      <c r="Y21" s="21">
        <v>1.4492799999999999</v>
      </c>
      <c r="Z21" s="21">
        <v>167.70500000000001</v>
      </c>
      <c r="AA21" s="21">
        <v>-3.3361799999999998E-3</v>
      </c>
      <c r="AB21" s="21">
        <v>11</v>
      </c>
      <c r="AC21" s="21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1">
        <v>0.280609</v>
      </c>
      <c r="AH21" s="21">
        <v>225.77600000000001</v>
      </c>
      <c r="AI21" s="21">
        <v>-1.5741000000000002E-2</v>
      </c>
      <c r="AJ21" s="21">
        <v>11</v>
      </c>
      <c r="AK21" s="21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1">
        <v>1.4492799999999999</v>
      </c>
      <c r="AR21" s="21">
        <v>283.93</v>
      </c>
      <c r="AS21" s="21">
        <v>-8.8378899999999993E-3</v>
      </c>
      <c r="AT21" s="21">
        <v>11</v>
      </c>
      <c r="AU21" s="21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1">
        <v>0.280609</v>
      </c>
      <c r="AZ21" s="21">
        <v>341.90300000000002</v>
      </c>
      <c r="BA21" s="21">
        <v>-1.5685999999999999E-2</v>
      </c>
      <c r="BB21" s="21">
        <v>11</v>
      </c>
      <c r="BC21" s="21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1.4192199999999999</v>
      </c>
      <c r="H22" s="21">
        <v>51.793300000000002</v>
      </c>
      <c r="I22" s="21">
        <v>-6.2744100000000002E-3</v>
      </c>
      <c r="J22" s="21">
        <v>12</v>
      </c>
      <c r="K22" s="21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1">
        <v>0.31066899999999997</v>
      </c>
      <c r="P22" s="21">
        <v>109.858</v>
      </c>
      <c r="Q22" s="21">
        <v>-1.5786700000000001E-2</v>
      </c>
      <c r="R22" s="21">
        <v>12</v>
      </c>
      <c r="S22" s="21">
        <v>0.31005899999999997</v>
      </c>
      <c r="T22">
        <f t="shared" si="2"/>
        <v>15.786700000000002</v>
      </c>
      <c r="U22">
        <f t="shared" si="3"/>
        <v>4.9044383023</v>
      </c>
      <c r="V22" s="22"/>
      <c r="W22" s="23"/>
      <c r="X22" s="9"/>
      <c r="Y22" s="21">
        <v>1.4192199999999999</v>
      </c>
      <c r="Z22" s="21">
        <v>167.905</v>
      </c>
      <c r="AA22" s="21">
        <v>-2.5433299999999998E-4</v>
      </c>
      <c r="AB22" s="21">
        <v>12</v>
      </c>
      <c r="AC22" s="21">
        <v>1.41815</v>
      </c>
      <c r="AD22">
        <f t="shared" si="4"/>
        <v>0.25433299999999998</v>
      </c>
      <c r="AE22">
        <f t="shared" si="5"/>
        <v>0.36095448025999993</v>
      </c>
      <c r="AF22" s="9"/>
      <c r="AG22" s="21">
        <v>0.31066899999999997</v>
      </c>
      <c r="AH22" s="21">
        <v>225.976</v>
      </c>
      <c r="AI22" s="21">
        <v>-1.5731800000000001E-2</v>
      </c>
      <c r="AJ22" s="21">
        <v>12</v>
      </c>
      <c r="AK22" s="21">
        <v>0.31002800000000003</v>
      </c>
      <c r="AL22">
        <f t="shared" si="6"/>
        <v>15.7318</v>
      </c>
      <c r="AM22">
        <f t="shared" si="7"/>
        <v>4.8873825741999992</v>
      </c>
      <c r="AP22" s="9"/>
      <c r="AQ22" s="21">
        <v>1.4192199999999999</v>
      </c>
      <c r="AR22" s="21">
        <v>284.13099999999997</v>
      </c>
      <c r="AS22" s="21">
        <v>-8.5662800000000008E-3</v>
      </c>
      <c r="AT22" s="21">
        <v>12</v>
      </c>
      <c r="AU22" s="21">
        <v>1.41815</v>
      </c>
      <c r="AV22">
        <f t="shared" si="8"/>
        <v>8.5662800000000008</v>
      </c>
      <c r="AW22">
        <f t="shared" si="9"/>
        <v>12.157435901600001</v>
      </c>
      <c r="AX22" s="9"/>
      <c r="AY22" s="21">
        <v>0.31066899999999997</v>
      </c>
      <c r="AZ22" s="21">
        <v>342.10399999999998</v>
      </c>
      <c r="BA22" s="21">
        <v>-1.55975E-2</v>
      </c>
      <c r="BB22" s="21">
        <v>12</v>
      </c>
      <c r="BC22" s="21">
        <v>0.31012000000000001</v>
      </c>
      <c r="BD22">
        <f t="shared" si="10"/>
        <v>15.5975</v>
      </c>
      <c r="BE22">
        <f t="shared" si="11"/>
        <v>4.8456597274999993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1.38916</v>
      </c>
      <c r="H23" s="21">
        <v>51.993699999999997</v>
      </c>
      <c r="I23" s="21">
        <v>-1.15356E-2</v>
      </c>
      <c r="J23" s="21">
        <v>13</v>
      </c>
      <c r="K23" s="21">
        <v>1.38855</v>
      </c>
      <c r="L23">
        <f t="shared" si="0"/>
        <v>11.535600000000001</v>
      </c>
      <c r="M23">
        <f t="shared" si="1"/>
        <v>16.024794096000001</v>
      </c>
      <c r="N23" s="9"/>
      <c r="O23" s="21">
        <v>0.340729</v>
      </c>
      <c r="P23" s="21">
        <v>110.059</v>
      </c>
      <c r="Q23" s="21">
        <v>-1.5765399999999999E-2</v>
      </c>
      <c r="R23" s="21">
        <v>13</v>
      </c>
      <c r="S23" s="21">
        <v>0.340057</v>
      </c>
      <c r="T23">
        <f t="shared" si="2"/>
        <v>15.7654</v>
      </c>
      <c r="U23">
        <f t="shared" si="3"/>
        <v>5.3717289766</v>
      </c>
      <c r="V23" s="22"/>
      <c r="W23" s="23"/>
      <c r="X23" s="9"/>
      <c r="Y23" s="21">
        <v>1.38916</v>
      </c>
      <c r="Z23" s="21">
        <v>168.10499999999999</v>
      </c>
      <c r="AA23" s="24">
        <v>1.15356E-5</v>
      </c>
      <c r="AB23" s="21">
        <v>13</v>
      </c>
      <c r="AC23" s="21">
        <v>1.38855</v>
      </c>
      <c r="AD23">
        <f t="shared" si="4"/>
        <v>-1.15356E-2</v>
      </c>
      <c r="AE23">
        <f t="shared" si="5"/>
        <v>-1.6024794095999998E-2</v>
      </c>
      <c r="AF23" s="9"/>
      <c r="AG23" s="21">
        <v>0.340729</v>
      </c>
      <c r="AH23" s="21">
        <v>226.17599999999999</v>
      </c>
      <c r="AI23" s="21">
        <v>-1.57196E-2</v>
      </c>
      <c r="AJ23" s="21">
        <v>13</v>
      </c>
      <c r="AK23" s="21">
        <v>0.34017900000000001</v>
      </c>
      <c r="AL23">
        <f t="shared" si="6"/>
        <v>15.7196</v>
      </c>
      <c r="AM23">
        <f t="shared" si="7"/>
        <v>5.3561235884</v>
      </c>
      <c r="AP23" s="9"/>
      <c r="AQ23" s="21">
        <v>1.38916</v>
      </c>
      <c r="AR23" s="21">
        <v>284.33100000000002</v>
      </c>
      <c r="AS23" s="21">
        <v>-9.8297100000000002E-3</v>
      </c>
      <c r="AT23" s="21">
        <v>13</v>
      </c>
      <c r="AU23" s="21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1">
        <v>0.340729</v>
      </c>
      <c r="AZ23" s="21">
        <v>342.30399999999997</v>
      </c>
      <c r="BA23" s="21">
        <v>-1.55304E-2</v>
      </c>
      <c r="BB23" s="21">
        <v>13</v>
      </c>
      <c r="BC23" s="21">
        <v>0.34011799999999998</v>
      </c>
      <c r="BD23">
        <f t="shared" si="10"/>
        <v>15.5304</v>
      </c>
      <c r="BE23">
        <f t="shared" si="11"/>
        <v>5.2916576616000004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1.3591</v>
      </c>
      <c r="H24" s="21">
        <v>52.194099999999999</v>
      </c>
      <c r="I24" s="21">
        <v>-9.70764E-3</v>
      </c>
      <c r="J24" s="21">
        <v>14</v>
      </c>
      <c r="K24" s="21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1">
        <v>0.37078899999999998</v>
      </c>
      <c r="P24" s="21">
        <v>110.259</v>
      </c>
      <c r="Q24" s="21">
        <v>-1.57745E-2</v>
      </c>
      <c r="R24" s="21">
        <v>14</v>
      </c>
      <c r="S24" s="21">
        <v>0.37020900000000001</v>
      </c>
      <c r="T24">
        <f t="shared" si="2"/>
        <v>15.7745</v>
      </c>
      <c r="U24">
        <f t="shared" si="3"/>
        <v>5.8490110804999995</v>
      </c>
      <c r="V24" s="22"/>
      <c r="W24" s="23"/>
      <c r="X24" s="9"/>
      <c r="Y24" s="21">
        <v>1.3591</v>
      </c>
      <c r="Z24" s="21">
        <v>168.30600000000001</v>
      </c>
      <c r="AA24" s="24">
        <v>2.6245099999999999E-6</v>
      </c>
      <c r="AB24" s="21">
        <v>14</v>
      </c>
      <c r="AC24" s="21">
        <v>1.3583400000000001</v>
      </c>
      <c r="AD24">
        <f t="shared" si="4"/>
        <v>-2.62451E-3</v>
      </c>
      <c r="AE24">
        <f t="shared" si="5"/>
        <v>-3.566971541E-3</v>
      </c>
      <c r="AF24" s="9"/>
      <c r="AG24" s="21">
        <v>0.37078899999999998</v>
      </c>
      <c r="AH24" s="21">
        <v>226.37700000000001</v>
      </c>
      <c r="AI24" s="21">
        <v>-1.5606699999999999E-2</v>
      </c>
      <c r="AJ24" s="21">
        <v>14</v>
      </c>
      <c r="AK24" s="21">
        <v>0.37011699999999997</v>
      </c>
      <c r="AL24">
        <f t="shared" si="6"/>
        <v>15.6067</v>
      </c>
      <c r="AM24">
        <f t="shared" si="7"/>
        <v>5.7867926863000001</v>
      </c>
      <c r="AP24" s="9"/>
      <c r="AQ24" s="21">
        <v>1.3591</v>
      </c>
      <c r="AR24" s="21">
        <v>284.53199999999998</v>
      </c>
      <c r="AS24" s="21">
        <v>-1.0290499999999999E-2</v>
      </c>
      <c r="AT24" s="21">
        <v>14</v>
      </c>
      <c r="AU24" s="21">
        <v>1.3580300000000001</v>
      </c>
      <c r="AV24">
        <f t="shared" si="8"/>
        <v>10.2905</v>
      </c>
      <c r="AW24">
        <f t="shared" si="9"/>
        <v>13.985818549999999</v>
      </c>
      <c r="AX24" s="9"/>
      <c r="AY24" s="21">
        <v>0.37078899999999998</v>
      </c>
      <c r="AZ24" s="21">
        <v>342.505</v>
      </c>
      <c r="BA24" s="21">
        <v>-1.55365E-2</v>
      </c>
      <c r="BB24" s="21">
        <v>14</v>
      </c>
      <c r="BC24" s="21">
        <v>0.37017800000000001</v>
      </c>
      <c r="BD24">
        <f t="shared" si="10"/>
        <v>15.5365</v>
      </c>
      <c r="BE24">
        <f t="shared" si="11"/>
        <v>5.7607632984999997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1.32904</v>
      </c>
      <c r="H25" s="21">
        <v>52.394399999999997</v>
      </c>
      <c r="I25" s="21">
        <v>-7.0190400000000005E-4</v>
      </c>
      <c r="J25" s="21">
        <v>15</v>
      </c>
      <c r="K25" s="21">
        <v>1.32813</v>
      </c>
      <c r="L25">
        <f t="shared" si="0"/>
        <v>0.70190400000000008</v>
      </c>
      <c r="M25">
        <f t="shared" si="1"/>
        <v>0.93285849216000016</v>
      </c>
      <c r="N25" s="9"/>
      <c r="O25" s="21">
        <v>0.40084799999999998</v>
      </c>
      <c r="P25" s="21">
        <v>110.459</v>
      </c>
      <c r="Q25" s="21">
        <v>-1.5756200000000001E-2</v>
      </c>
      <c r="R25" s="21">
        <v>15</v>
      </c>
      <c r="S25" s="21">
        <v>0.40023799999999998</v>
      </c>
      <c r="T25">
        <f t="shared" si="2"/>
        <v>15.756200000000002</v>
      </c>
      <c r="U25">
        <f t="shared" si="3"/>
        <v>6.3158412576000007</v>
      </c>
      <c r="V25" s="22"/>
      <c r="W25" s="23"/>
      <c r="X25" s="9"/>
      <c r="Y25" s="21">
        <v>1.32904</v>
      </c>
      <c r="Z25" s="21">
        <v>168.506</v>
      </c>
      <c r="AA25" s="21">
        <v>-1.86005E-3</v>
      </c>
      <c r="AB25" s="21">
        <v>15</v>
      </c>
      <c r="AC25" s="21">
        <v>1.32843</v>
      </c>
      <c r="AD25">
        <f t="shared" si="4"/>
        <v>1.86005</v>
      </c>
      <c r="AE25">
        <f t="shared" si="5"/>
        <v>2.4720808519999999</v>
      </c>
      <c r="AF25" s="9"/>
      <c r="AG25" s="21">
        <v>0.40084799999999998</v>
      </c>
      <c r="AH25" s="21">
        <v>226.577</v>
      </c>
      <c r="AI25" s="21">
        <v>-1.5600599999999999E-2</v>
      </c>
      <c r="AJ25" s="21">
        <v>15</v>
      </c>
      <c r="AK25" s="21">
        <v>0.400177</v>
      </c>
      <c r="AL25">
        <f t="shared" si="6"/>
        <v>15.6006</v>
      </c>
      <c r="AM25">
        <f t="shared" si="7"/>
        <v>6.2534693087999997</v>
      </c>
      <c r="AP25" s="9"/>
      <c r="AQ25" s="21">
        <v>1.32904</v>
      </c>
      <c r="AR25" s="21">
        <v>284.73200000000003</v>
      </c>
      <c r="AS25" s="21">
        <v>-1.0623199999999999E-2</v>
      </c>
      <c r="AT25" s="21">
        <v>15</v>
      </c>
      <c r="AU25" s="21">
        <v>1.32843</v>
      </c>
      <c r="AV25">
        <f t="shared" si="8"/>
        <v>10.623199999999999</v>
      </c>
      <c r="AW25">
        <f t="shared" si="9"/>
        <v>14.118657727999999</v>
      </c>
      <c r="AX25" s="9"/>
      <c r="AY25" s="21">
        <v>0.40084799999999998</v>
      </c>
      <c r="AZ25" s="21">
        <v>342.70499999999998</v>
      </c>
      <c r="BA25" s="21">
        <v>-1.54755E-2</v>
      </c>
      <c r="BB25" s="21">
        <v>15</v>
      </c>
      <c r="BC25" s="21">
        <v>0.40023799999999998</v>
      </c>
      <c r="BD25">
        <f t="shared" si="10"/>
        <v>15.4755</v>
      </c>
      <c r="BE25">
        <f t="shared" si="11"/>
        <v>6.203323224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1.29898</v>
      </c>
      <c r="H26" s="21">
        <v>52.594799999999999</v>
      </c>
      <c r="I26" s="21">
        <v>-1.13525E-2</v>
      </c>
      <c r="J26" s="21">
        <v>16</v>
      </c>
      <c r="K26" s="21">
        <v>1.2985199999999999</v>
      </c>
      <c r="L26">
        <f t="shared" si="0"/>
        <v>11.352499999999999</v>
      </c>
      <c r="M26">
        <f t="shared" si="1"/>
        <v>14.74667045</v>
      </c>
      <c r="N26" s="9"/>
      <c r="O26" s="21">
        <v>0.43090800000000001</v>
      </c>
      <c r="P26" s="21">
        <v>110.66</v>
      </c>
      <c r="Q26" s="21">
        <v>-1.55853E-2</v>
      </c>
      <c r="R26" s="21">
        <v>16</v>
      </c>
      <c r="S26" s="21">
        <v>0.43038900000000002</v>
      </c>
      <c r="T26">
        <f t="shared" si="2"/>
        <v>15.5853</v>
      </c>
      <c r="U26">
        <f t="shared" si="3"/>
        <v>6.7158304524000005</v>
      </c>
      <c r="V26" s="22"/>
      <c r="W26" s="23"/>
      <c r="X26" s="9"/>
      <c r="Y26" s="21">
        <v>1.29898</v>
      </c>
      <c r="Z26" s="21">
        <v>168.70699999999999</v>
      </c>
      <c r="AA26" s="24">
        <v>-6.2255900000000003E-6</v>
      </c>
      <c r="AB26" s="21">
        <v>16</v>
      </c>
      <c r="AC26" s="21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1">
        <v>0.43090800000000001</v>
      </c>
      <c r="AH26" s="21">
        <v>226.77799999999999</v>
      </c>
      <c r="AI26" s="21">
        <v>-1.5551799999999999E-2</v>
      </c>
      <c r="AJ26" s="21">
        <v>16</v>
      </c>
      <c r="AK26" s="21">
        <v>0.43026700000000001</v>
      </c>
      <c r="AL26">
        <f t="shared" si="6"/>
        <v>15.5518</v>
      </c>
      <c r="AM26">
        <f t="shared" si="7"/>
        <v>6.7013950344</v>
      </c>
      <c r="AP26" s="9"/>
      <c r="AQ26" s="21">
        <v>1.29898</v>
      </c>
      <c r="AR26" s="21">
        <v>284.93200000000002</v>
      </c>
      <c r="AS26" s="21">
        <v>-1.13831E-2</v>
      </c>
      <c r="AT26" s="21">
        <v>16</v>
      </c>
      <c r="AU26" s="21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1">
        <v>0.43090800000000001</v>
      </c>
      <c r="AZ26" s="21">
        <v>342.90499999999997</v>
      </c>
      <c r="BA26" s="21">
        <v>-1.54266E-2</v>
      </c>
      <c r="BB26" s="21">
        <v>16</v>
      </c>
      <c r="BC26" s="21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1.26892</v>
      </c>
      <c r="H27" s="21">
        <v>52.795200000000001</v>
      </c>
      <c r="I27" s="21">
        <v>-1.2335199999999999E-2</v>
      </c>
      <c r="J27" s="21">
        <v>17</v>
      </c>
      <c r="K27" s="21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1">
        <v>0.46096799999999999</v>
      </c>
      <c r="P27" s="21">
        <v>110.86</v>
      </c>
      <c r="Q27" s="21">
        <v>-1.4654500000000001E-2</v>
      </c>
      <c r="R27" s="21">
        <v>17</v>
      </c>
      <c r="S27" s="21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1">
        <v>1.26892</v>
      </c>
      <c r="Z27" s="21">
        <v>168.90700000000001</v>
      </c>
      <c r="AA27" s="21">
        <v>-7.9315199999999992E-3</v>
      </c>
      <c r="AB27" s="21">
        <v>17</v>
      </c>
      <c r="AC27" s="21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1">
        <v>0.46096799999999999</v>
      </c>
      <c r="AH27" s="21">
        <v>226.97800000000001</v>
      </c>
      <c r="AI27" s="21">
        <v>-1.5564E-2</v>
      </c>
      <c r="AJ27" s="21">
        <v>17</v>
      </c>
      <c r="AK27" s="21">
        <v>0.46026600000000001</v>
      </c>
      <c r="AL27">
        <f t="shared" si="6"/>
        <v>15.564</v>
      </c>
      <c r="AM27">
        <f t="shared" si="7"/>
        <v>7.1745059519999996</v>
      </c>
      <c r="AP27" s="9"/>
      <c r="AQ27" s="21">
        <v>1.26892</v>
      </c>
      <c r="AR27" s="21">
        <v>285.13299999999998</v>
      </c>
      <c r="AS27" s="21">
        <v>-1.1633299999999999E-2</v>
      </c>
      <c r="AT27" s="21">
        <v>17</v>
      </c>
      <c r="AU27" s="21">
        <v>1.26831</v>
      </c>
      <c r="AV27">
        <f t="shared" si="8"/>
        <v>11.633299999999998</v>
      </c>
      <c r="AW27">
        <f t="shared" si="9"/>
        <v>14.761727035999998</v>
      </c>
      <c r="AX27" s="9"/>
      <c r="AY27" s="21">
        <v>0.46096799999999999</v>
      </c>
      <c r="AZ27" s="21">
        <v>343.10599999999999</v>
      </c>
      <c r="BA27" s="21">
        <v>-1.53992E-2</v>
      </c>
      <c r="BB27" s="21">
        <v>17</v>
      </c>
      <c r="BC27" s="21">
        <v>0.46029700000000001</v>
      </c>
      <c r="BD27">
        <f t="shared" si="10"/>
        <v>15.3992</v>
      </c>
      <c r="BE27">
        <f t="shared" si="11"/>
        <v>7.0985384256000001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1.2388600000000001</v>
      </c>
      <c r="H28" s="21">
        <v>52.995600000000003</v>
      </c>
      <c r="I28" s="21">
        <v>-3.6987299999999999E-3</v>
      </c>
      <c r="J28" s="21">
        <v>18</v>
      </c>
      <c r="K28" s="21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1">
        <v>0.49102800000000002</v>
      </c>
      <c r="P28" s="21">
        <v>111.06100000000001</v>
      </c>
      <c r="Q28" s="21">
        <v>-1.55975E-2</v>
      </c>
      <c r="R28" s="21">
        <v>18</v>
      </c>
      <c r="S28" s="21">
        <v>0.49035600000000001</v>
      </c>
      <c r="T28">
        <f t="shared" si="2"/>
        <v>15.5975</v>
      </c>
      <c r="U28">
        <f t="shared" si="3"/>
        <v>7.6588092300000001</v>
      </c>
      <c r="X28" s="9"/>
      <c r="Y28" s="21">
        <v>1.2388600000000001</v>
      </c>
      <c r="Z28" s="21">
        <v>169.107</v>
      </c>
      <c r="AA28" s="21">
        <v>-9.7289999999999998E-3</v>
      </c>
      <c r="AB28" s="21">
        <v>18</v>
      </c>
      <c r="AC28" s="21">
        <v>1.2377899999999999</v>
      </c>
      <c r="AD28">
        <f t="shared" si="4"/>
        <v>9.7289999999999992</v>
      </c>
      <c r="AE28">
        <f t="shared" si="5"/>
        <v>12.05286894</v>
      </c>
      <c r="AF28" s="9"/>
      <c r="AG28" s="21">
        <v>0.49102800000000002</v>
      </c>
      <c r="AH28" s="21">
        <v>227.178</v>
      </c>
      <c r="AI28" s="21">
        <v>-1.55029E-2</v>
      </c>
      <c r="AJ28" s="21">
        <v>18</v>
      </c>
      <c r="AK28" s="21">
        <v>0.49041699999999999</v>
      </c>
      <c r="AL28">
        <f t="shared" si="6"/>
        <v>15.5029</v>
      </c>
      <c r="AM28">
        <f t="shared" si="7"/>
        <v>7.6123579812000006</v>
      </c>
      <c r="AP28" s="9"/>
      <c r="AQ28" s="21">
        <v>1.2388600000000001</v>
      </c>
      <c r="AR28" s="21">
        <v>285.33300000000003</v>
      </c>
      <c r="AS28" s="21">
        <v>-9.1552700000000001E-3</v>
      </c>
      <c r="AT28" s="21">
        <v>18</v>
      </c>
      <c r="AU28" s="21">
        <v>1.23749</v>
      </c>
      <c r="AV28">
        <f t="shared" si="8"/>
        <v>9.1552699999999998</v>
      </c>
      <c r="AW28">
        <f t="shared" si="9"/>
        <v>11.342097792200001</v>
      </c>
      <c r="AX28" s="9"/>
      <c r="AY28" s="21">
        <v>0.49102800000000002</v>
      </c>
      <c r="AZ28" s="21">
        <v>343.30599999999998</v>
      </c>
      <c r="BA28" s="21">
        <v>-1.53137E-2</v>
      </c>
      <c r="BB28" s="21">
        <v>18</v>
      </c>
      <c r="BC28" s="21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1.2088000000000001</v>
      </c>
      <c r="H29" s="21">
        <v>53.195999999999998</v>
      </c>
      <c r="I29" s="24">
        <v>1.2085E-5</v>
      </c>
      <c r="J29" s="21">
        <v>19</v>
      </c>
      <c r="K29" s="21">
        <v>1.2081900000000001</v>
      </c>
      <c r="L29">
        <f t="shared" si="0"/>
        <v>-1.2085E-2</v>
      </c>
      <c r="M29">
        <f t="shared" si="1"/>
        <v>-1.4608348000000002E-2</v>
      </c>
      <c r="N29" s="9"/>
      <c r="O29" s="21">
        <v>0.521088</v>
      </c>
      <c r="P29" s="21">
        <v>111.261</v>
      </c>
      <c r="Q29" s="21">
        <v>-1.52771E-2</v>
      </c>
      <c r="R29" s="21">
        <v>19</v>
      </c>
      <c r="S29" s="21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1">
        <v>1.2088000000000001</v>
      </c>
      <c r="Z29" s="21">
        <v>169.30799999999999</v>
      </c>
      <c r="AA29" s="21">
        <v>-2.7969399999999999E-3</v>
      </c>
      <c r="AB29" s="21">
        <v>19</v>
      </c>
      <c r="AC29" s="21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1">
        <v>0.521088</v>
      </c>
      <c r="AH29" s="21">
        <v>227.37899999999999</v>
      </c>
      <c r="AI29" s="21">
        <v>-1.54816E-2</v>
      </c>
      <c r="AJ29" s="21">
        <v>19</v>
      </c>
      <c r="AK29" s="21">
        <v>0.52041599999999999</v>
      </c>
      <c r="AL29">
        <f t="shared" si="6"/>
        <v>15.4816</v>
      </c>
      <c r="AM29">
        <f t="shared" si="7"/>
        <v>8.0672759807999999</v>
      </c>
      <c r="AP29" s="9"/>
      <c r="AQ29" s="21">
        <v>1.2088000000000001</v>
      </c>
      <c r="AR29" s="21">
        <v>285.53399999999999</v>
      </c>
      <c r="AS29" s="21">
        <v>-4.7699E-4</v>
      </c>
      <c r="AT29" s="21">
        <v>19</v>
      </c>
      <c r="AU29" s="21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1">
        <v>0.521088</v>
      </c>
      <c r="AZ29" s="21">
        <v>343.50700000000001</v>
      </c>
      <c r="BA29" s="21">
        <v>-1.5273999999999999E-2</v>
      </c>
      <c r="BB29" s="21">
        <v>19</v>
      </c>
      <c r="BC29" s="21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1.1787399999999999</v>
      </c>
      <c r="H30" s="21">
        <v>53.3964</v>
      </c>
      <c r="I30" s="24">
        <v>1.1993399999999999E-5</v>
      </c>
      <c r="J30" s="21">
        <v>20</v>
      </c>
      <c r="K30" s="21">
        <v>1.17828</v>
      </c>
      <c r="L30">
        <f t="shared" si="0"/>
        <v>-1.19934E-2</v>
      </c>
      <c r="M30">
        <f t="shared" si="1"/>
        <v>-1.4137100315999998E-2</v>
      </c>
      <c r="N30" s="9"/>
      <c r="O30" s="21">
        <v>0.55114700000000005</v>
      </c>
      <c r="P30" s="21">
        <v>111.461</v>
      </c>
      <c r="Q30" s="21">
        <v>-1.53534E-2</v>
      </c>
      <c r="R30" s="21">
        <v>20</v>
      </c>
      <c r="S30" s="21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1">
        <v>1.1787399999999999</v>
      </c>
      <c r="Z30" s="21">
        <v>169.50800000000001</v>
      </c>
      <c r="AA30" s="21">
        <v>-6.9885299999999997E-3</v>
      </c>
      <c r="AB30" s="21">
        <v>20</v>
      </c>
      <c r="AC30" s="21">
        <v>1.17767</v>
      </c>
      <c r="AD30">
        <f t="shared" si="4"/>
        <v>6.9885299999999999</v>
      </c>
      <c r="AE30">
        <f t="shared" si="5"/>
        <v>8.2376598521999984</v>
      </c>
      <c r="AF30" s="9"/>
      <c r="AG30" s="21">
        <v>0.55114700000000005</v>
      </c>
      <c r="AH30" s="21">
        <v>227.57900000000001</v>
      </c>
      <c r="AI30" s="21">
        <v>-1.54114E-2</v>
      </c>
      <c r="AJ30" s="21">
        <v>20</v>
      </c>
      <c r="AK30" s="21">
        <v>0.55047599999999997</v>
      </c>
      <c r="AL30">
        <f t="shared" si="6"/>
        <v>15.4114</v>
      </c>
      <c r="AM30">
        <f t="shared" si="7"/>
        <v>8.4939468758000007</v>
      </c>
      <c r="AP30" s="9"/>
      <c r="AQ30" s="21">
        <v>1.1787399999999999</v>
      </c>
      <c r="AR30" s="21">
        <v>285.73399999999998</v>
      </c>
      <c r="AS30" s="24">
        <v>-1.2542699999999999E-5</v>
      </c>
      <c r="AT30" s="21">
        <v>20</v>
      </c>
      <c r="AU30" s="21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1">
        <v>0.55114700000000005</v>
      </c>
      <c r="AZ30" s="21">
        <v>343.70699999999999</v>
      </c>
      <c r="BA30" s="21">
        <v>-1.5240500000000001E-2</v>
      </c>
      <c r="BB30" s="21">
        <v>20</v>
      </c>
      <c r="BC30" s="21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1.1486799999999999</v>
      </c>
      <c r="H31" s="21">
        <v>53.596800000000002</v>
      </c>
      <c r="I31" s="24">
        <v>1.2054399999999999E-5</v>
      </c>
      <c r="J31" s="21">
        <v>21</v>
      </c>
      <c r="K31" s="21">
        <v>1.14716</v>
      </c>
      <c r="L31">
        <f t="shared" si="0"/>
        <v>-1.20544E-2</v>
      </c>
      <c r="M31">
        <f t="shared" si="1"/>
        <v>-1.3846648191999999E-2</v>
      </c>
      <c r="N31" s="9"/>
      <c r="O31" s="21">
        <v>0.58120700000000003</v>
      </c>
      <c r="P31" s="21">
        <v>111.66200000000001</v>
      </c>
      <c r="Q31" s="21">
        <v>-1.5292399999999999E-2</v>
      </c>
      <c r="R31" s="21">
        <v>21</v>
      </c>
      <c r="S31" s="21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1">
        <v>1.1486799999999999</v>
      </c>
      <c r="Z31" s="21">
        <v>169.709</v>
      </c>
      <c r="AA31" s="21">
        <v>-7.0495599999999996E-4</v>
      </c>
      <c r="AB31" s="21">
        <v>21</v>
      </c>
      <c r="AC31" s="21">
        <v>1.14777</v>
      </c>
      <c r="AD31">
        <f t="shared" si="4"/>
        <v>0.70495599999999992</v>
      </c>
      <c r="AE31">
        <f t="shared" si="5"/>
        <v>0.80976885807999988</v>
      </c>
      <c r="AF31" s="9"/>
      <c r="AG31" s="21">
        <v>0.58120700000000003</v>
      </c>
      <c r="AH31" s="21">
        <v>227.78</v>
      </c>
      <c r="AI31" s="21">
        <v>-1.54083E-2</v>
      </c>
      <c r="AJ31" s="21">
        <v>21</v>
      </c>
      <c r="AK31" s="21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1">
        <v>1.1486799999999999</v>
      </c>
      <c r="AR31" s="21">
        <v>285.93400000000003</v>
      </c>
      <c r="AS31" s="24">
        <v>-1.08032E-5</v>
      </c>
      <c r="AT31" s="21">
        <v>21</v>
      </c>
      <c r="AU31" s="21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1">
        <v>0.58120700000000003</v>
      </c>
      <c r="AZ31" s="21">
        <v>343.90699999999998</v>
      </c>
      <c r="BA31" s="21">
        <v>-1.52435E-2</v>
      </c>
      <c r="BB31" s="21">
        <v>21</v>
      </c>
      <c r="BC31" s="21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1.1186199999999999</v>
      </c>
      <c r="H32" s="21">
        <v>53.797199999999997</v>
      </c>
      <c r="I32" s="24">
        <v>1.1871299999999999E-5</v>
      </c>
      <c r="J32" s="21">
        <v>22</v>
      </c>
      <c r="K32" s="21">
        <v>1.11755</v>
      </c>
      <c r="L32">
        <f t="shared" si="0"/>
        <v>-1.18713E-2</v>
      </c>
      <c r="M32">
        <f t="shared" si="1"/>
        <v>-1.3279473605999998E-2</v>
      </c>
      <c r="N32" s="9"/>
      <c r="O32" s="21">
        <v>0.611267</v>
      </c>
      <c r="P32" s="21">
        <v>111.86199999999999</v>
      </c>
      <c r="Q32" s="21">
        <v>-8.4869400000000001E-3</v>
      </c>
      <c r="R32" s="21">
        <v>22</v>
      </c>
      <c r="S32" s="21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1">
        <v>1.1186199999999999</v>
      </c>
      <c r="Z32" s="21">
        <v>169.90899999999999</v>
      </c>
      <c r="AA32" s="24">
        <v>1.1260999999999999E-5</v>
      </c>
      <c r="AB32" s="21">
        <v>22</v>
      </c>
      <c r="AC32" s="21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1">
        <v>0.611267</v>
      </c>
      <c r="AH32" s="21">
        <v>227.98</v>
      </c>
      <c r="AI32" s="21">
        <v>-1.5396099999999999E-2</v>
      </c>
      <c r="AJ32" s="21">
        <v>22</v>
      </c>
      <c r="AK32" s="21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1">
        <v>1.1186199999999999</v>
      </c>
      <c r="AR32" s="21">
        <v>286.13499999999999</v>
      </c>
      <c r="AS32" s="24">
        <v>-2.76184E-5</v>
      </c>
      <c r="AT32" s="21">
        <v>22</v>
      </c>
      <c r="AU32" s="21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1">
        <v>0.611267</v>
      </c>
      <c r="AZ32" s="21">
        <v>344.108</v>
      </c>
      <c r="BA32" s="21">
        <v>-1.5179399999999999E-2</v>
      </c>
      <c r="BB32" s="21">
        <v>22</v>
      </c>
      <c r="BC32" s="21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1.08856</v>
      </c>
      <c r="H33" s="21">
        <v>53.997599999999998</v>
      </c>
      <c r="I33" s="24">
        <v>6.7749000000000001E-6</v>
      </c>
      <c r="J33" s="21">
        <v>23</v>
      </c>
      <c r="K33" s="21">
        <v>1.08795</v>
      </c>
      <c r="L33">
        <f t="shared" si="0"/>
        <v>-6.7749000000000004E-3</v>
      </c>
      <c r="M33">
        <f t="shared" si="1"/>
        <v>-7.3748851440000006E-3</v>
      </c>
      <c r="N33" s="9"/>
      <c r="O33" s="21">
        <v>0.64132699999999998</v>
      </c>
      <c r="P33" s="21">
        <v>112.063</v>
      </c>
      <c r="Q33" s="21">
        <v>-1.2234500000000001E-2</v>
      </c>
      <c r="R33" s="21">
        <v>23</v>
      </c>
      <c r="S33" s="21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1">
        <v>1.08856</v>
      </c>
      <c r="Z33" s="21">
        <v>170.10900000000001</v>
      </c>
      <c r="AA33" s="21">
        <v>-9.7137500000000002E-4</v>
      </c>
      <c r="AB33" s="21">
        <v>23</v>
      </c>
      <c r="AC33" s="21">
        <v>1.08795</v>
      </c>
      <c r="AD33">
        <f t="shared" si="4"/>
        <v>0.97137499999999999</v>
      </c>
      <c r="AE33">
        <f t="shared" si="5"/>
        <v>1.0573999699999999</v>
      </c>
      <c r="AF33" s="9"/>
      <c r="AG33" s="21">
        <v>0.64132699999999998</v>
      </c>
      <c r="AH33" s="21">
        <v>228.18</v>
      </c>
      <c r="AI33" s="21">
        <v>-1.53534E-2</v>
      </c>
      <c r="AJ33" s="21">
        <v>23</v>
      </c>
      <c r="AK33" s="21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1">
        <v>1.08856</v>
      </c>
      <c r="AR33" s="21">
        <v>286.33499999999998</v>
      </c>
      <c r="AS33" s="21">
        <v>-1.34918E-2</v>
      </c>
      <c r="AT33" s="21">
        <v>23</v>
      </c>
      <c r="AU33" s="21">
        <v>1.08765</v>
      </c>
      <c r="AV33">
        <f t="shared" si="8"/>
        <v>13.4918</v>
      </c>
      <c r="AW33">
        <f t="shared" si="9"/>
        <v>14.686633808</v>
      </c>
      <c r="AX33" s="9"/>
      <c r="AY33" s="21">
        <v>0.64132699999999998</v>
      </c>
      <c r="AZ33" s="21">
        <v>344.30799999999999</v>
      </c>
      <c r="BA33" s="21">
        <v>-1.51337E-2</v>
      </c>
      <c r="BB33" s="21">
        <v>23</v>
      </c>
      <c r="BC33" s="21">
        <v>0.640656</v>
      </c>
      <c r="BD33">
        <f t="shared" si="10"/>
        <v>15.133699999999999</v>
      </c>
      <c r="BE33">
        <f t="shared" si="11"/>
        <v>9.7056504198999995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1.0585</v>
      </c>
      <c r="H34" s="21">
        <v>54.198</v>
      </c>
      <c r="I34" s="21">
        <v>-1.06873E-2</v>
      </c>
      <c r="J34" s="21">
        <v>24</v>
      </c>
      <c r="K34" s="21">
        <v>1.0568200000000001</v>
      </c>
      <c r="L34">
        <f t="shared" si="0"/>
        <v>10.6873</v>
      </c>
      <c r="M34">
        <f t="shared" si="1"/>
        <v>11.312507050000001</v>
      </c>
      <c r="N34" s="9"/>
      <c r="O34" s="21">
        <v>0.67138699999999996</v>
      </c>
      <c r="P34" s="21">
        <v>112.26300000000001</v>
      </c>
      <c r="Q34" s="21">
        <v>-1.4428699999999999E-2</v>
      </c>
      <c r="R34" s="21">
        <v>24</v>
      </c>
      <c r="S34" s="21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1">
        <v>1.0585</v>
      </c>
      <c r="Z34" s="21">
        <v>170.31</v>
      </c>
      <c r="AA34" s="21">
        <v>-1.0980200000000001E-2</v>
      </c>
      <c r="AB34" s="21">
        <v>24</v>
      </c>
      <c r="AC34" s="21">
        <v>1.0577399999999999</v>
      </c>
      <c r="AD34">
        <f t="shared" si="4"/>
        <v>10.9802</v>
      </c>
      <c r="AE34">
        <f t="shared" si="5"/>
        <v>11.622541699999999</v>
      </c>
      <c r="AF34" s="9"/>
      <c r="AG34" s="21">
        <v>0.67138699999999996</v>
      </c>
      <c r="AH34" s="21">
        <v>228.381</v>
      </c>
      <c r="AI34" s="21">
        <v>-1.5273999999999999E-2</v>
      </c>
      <c r="AJ34" s="21">
        <v>24</v>
      </c>
      <c r="AK34" s="21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1">
        <v>1.0585</v>
      </c>
      <c r="AR34" s="21">
        <v>286.536</v>
      </c>
      <c r="AS34" s="21">
        <v>-1.38123E-2</v>
      </c>
      <c r="AT34" s="21">
        <v>24</v>
      </c>
      <c r="AU34" s="21">
        <v>1.0577399999999999</v>
      </c>
      <c r="AV34">
        <f t="shared" si="8"/>
        <v>13.8123</v>
      </c>
      <c r="AW34">
        <f t="shared" si="9"/>
        <v>14.62031955</v>
      </c>
      <c r="AX34" s="9"/>
      <c r="AY34" s="21">
        <v>0.67138699999999996</v>
      </c>
      <c r="AZ34" s="21">
        <v>344.50900000000001</v>
      </c>
      <c r="BA34" s="21">
        <v>-1.5130599999999999E-2</v>
      </c>
      <c r="BB34" s="21">
        <v>24</v>
      </c>
      <c r="BC34" s="21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1.02844</v>
      </c>
      <c r="H35" s="21">
        <v>54.398400000000002</v>
      </c>
      <c r="I35" s="21">
        <v>-1.3736E-2</v>
      </c>
      <c r="J35" s="21">
        <v>25</v>
      </c>
      <c r="K35" s="21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1">
        <v>0.70144700000000004</v>
      </c>
      <c r="P35" s="21">
        <v>112.46299999999999</v>
      </c>
      <c r="Q35" s="21">
        <v>-1.4938399999999999E-2</v>
      </c>
      <c r="R35" s="21">
        <v>25</v>
      </c>
      <c r="S35" s="21">
        <v>0.70095799999999997</v>
      </c>
      <c r="T35">
        <f t="shared" si="2"/>
        <v>14.9384</v>
      </c>
      <c r="U35">
        <f t="shared" si="3"/>
        <v>10.478495864800001</v>
      </c>
      <c r="X35" s="9"/>
      <c r="Y35" s="21">
        <v>1.02844</v>
      </c>
      <c r="Z35" s="21">
        <v>170.51</v>
      </c>
      <c r="AA35" s="21">
        <v>-1.4019800000000001E-2</v>
      </c>
      <c r="AB35" s="21">
        <v>25</v>
      </c>
      <c r="AC35" s="21">
        <v>1.0275300000000001</v>
      </c>
      <c r="AD35">
        <f t="shared" si="4"/>
        <v>14.0198</v>
      </c>
      <c r="AE35">
        <f t="shared" si="5"/>
        <v>14.418523112000001</v>
      </c>
      <c r="AF35" s="9"/>
      <c r="AG35" s="21">
        <v>0.70144700000000004</v>
      </c>
      <c r="AH35" s="21">
        <v>228.58099999999999</v>
      </c>
      <c r="AI35" s="21">
        <v>-1.53046E-2</v>
      </c>
      <c r="AJ35" s="21">
        <v>25</v>
      </c>
      <c r="AK35" s="21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1">
        <v>1.02844</v>
      </c>
      <c r="AR35" s="21">
        <v>286.73599999999999</v>
      </c>
      <c r="AS35" s="21">
        <v>-1.39618E-2</v>
      </c>
      <c r="AT35" s="21">
        <v>25</v>
      </c>
      <c r="AU35" s="21">
        <v>1.02783</v>
      </c>
      <c r="AV35">
        <f t="shared" si="8"/>
        <v>13.9618</v>
      </c>
      <c r="AW35">
        <f t="shared" si="9"/>
        <v>14.358873592</v>
      </c>
      <c r="AX35" s="9"/>
      <c r="AY35" s="21">
        <v>0.70144700000000004</v>
      </c>
      <c r="AZ35" s="21">
        <v>344.709</v>
      </c>
      <c r="BA35" s="21">
        <v>-1.50543E-2</v>
      </c>
      <c r="BB35" s="21">
        <v>25</v>
      </c>
      <c r="BC35" s="21">
        <v>0.70083600000000001</v>
      </c>
      <c r="BD35">
        <f t="shared" si="10"/>
        <v>15.0543</v>
      </c>
      <c r="BE35">
        <f t="shared" si="11"/>
        <v>10.5597935721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0.99838300000000002</v>
      </c>
      <c r="H36" s="21">
        <v>54.598799999999997</v>
      </c>
      <c r="I36" s="21">
        <v>-1.4385999999999999E-2</v>
      </c>
      <c r="J36" s="21">
        <v>26</v>
      </c>
      <c r="K36" s="21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1">
        <v>0.73150599999999999</v>
      </c>
      <c r="P36" s="21">
        <v>112.664</v>
      </c>
      <c r="Q36" s="21">
        <v>-1.5136699999999999E-2</v>
      </c>
      <c r="R36" s="21">
        <v>26</v>
      </c>
      <c r="S36" s="21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1">
        <v>0.99838300000000002</v>
      </c>
      <c r="Z36" s="21">
        <v>170.71100000000001</v>
      </c>
      <c r="AA36" s="21">
        <v>-1.2014800000000001E-2</v>
      </c>
      <c r="AB36" s="21">
        <v>26</v>
      </c>
      <c r="AC36" s="21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1">
        <v>0.73150599999999999</v>
      </c>
      <c r="AH36" s="21">
        <v>228.78200000000001</v>
      </c>
      <c r="AI36" s="21">
        <v>-1.5240500000000001E-2</v>
      </c>
      <c r="AJ36" s="21">
        <v>26</v>
      </c>
      <c r="AK36" s="21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1">
        <v>0.99838300000000002</v>
      </c>
      <c r="AR36" s="21">
        <v>286.93599999999998</v>
      </c>
      <c r="AS36" s="21">
        <v>-1.40381E-2</v>
      </c>
      <c r="AT36" s="21">
        <v>26</v>
      </c>
      <c r="AU36" s="21">
        <v>0.99700900000000003</v>
      </c>
      <c r="AV36">
        <f t="shared" si="8"/>
        <v>14.0381</v>
      </c>
      <c r="AW36">
        <f t="shared" si="9"/>
        <v>14.0154003923</v>
      </c>
      <c r="AX36" s="9"/>
      <c r="AY36" s="21">
        <v>0.73150599999999999</v>
      </c>
      <c r="AZ36" s="21">
        <v>344.90899999999999</v>
      </c>
      <c r="BA36" s="21">
        <v>-1.4978E-2</v>
      </c>
      <c r="BB36" s="21">
        <v>26</v>
      </c>
      <c r="BC36" s="21">
        <v>0.73077400000000003</v>
      </c>
      <c r="BD36">
        <f t="shared" si="10"/>
        <v>14.978</v>
      </c>
      <c r="BE36">
        <f t="shared" si="11"/>
        <v>10.956496868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0.96832300000000004</v>
      </c>
      <c r="H37" s="21">
        <v>54.799199999999999</v>
      </c>
      <c r="I37" s="21">
        <v>-1.45691E-2</v>
      </c>
      <c r="J37" s="21">
        <v>27</v>
      </c>
      <c r="K37" s="21">
        <v>0.96740700000000002</v>
      </c>
      <c r="L37">
        <f t="shared" si="0"/>
        <v>14.569100000000001</v>
      </c>
      <c r="M37">
        <f t="shared" si="1"/>
        <v>14.1075946193</v>
      </c>
      <c r="N37" s="9"/>
      <c r="O37" s="21">
        <v>0.76156599999999997</v>
      </c>
      <c r="P37" s="21">
        <v>112.864</v>
      </c>
      <c r="Q37" s="21">
        <v>-1.5301500000000001E-2</v>
      </c>
      <c r="R37" s="21">
        <v>27</v>
      </c>
      <c r="S37" s="21">
        <v>0.76019300000000001</v>
      </c>
      <c r="T37">
        <f t="shared" si="2"/>
        <v>15.301500000000001</v>
      </c>
      <c r="U37">
        <f t="shared" si="3"/>
        <v>11.653102149</v>
      </c>
      <c r="X37" s="9"/>
      <c r="Y37" s="21">
        <v>0.96832300000000004</v>
      </c>
      <c r="Z37" s="21">
        <v>170.911</v>
      </c>
      <c r="AA37" s="24">
        <v>9.1552699999999996E-7</v>
      </c>
      <c r="AB37" s="21">
        <v>27</v>
      </c>
      <c r="AC37" s="21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1">
        <v>0.76156599999999997</v>
      </c>
      <c r="AH37" s="21">
        <v>228.982</v>
      </c>
      <c r="AI37" s="21">
        <v>-1.51611E-2</v>
      </c>
      <c r="AJ37" s="21">
        <v>27</v>
      </c>
      <c r="AK37" s="21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1">
        <v>0.96832300000000004</v>
      </c>
      <c r="AR37" s="21">
        <v>287.137</v>
      </c>
      <c r="AS37" s="21">
        <v>-1.4169299999999999E-2</v>
      </c>
      <c r="AT37" s="21">
        <v>27</v>
      </c>
      <c r="AU37" s="21">
        <v>0.96740700000000002</v>
      </c>
      <c r="AV37">
        <f t="shared" si="8"/>
        <v>14.1693</v>
      </c>
      <c r="AW37">
        <f t="shared" si="9"/>
        <v>13.7204590839</v>
      </c>
      <c r="AX37" s="9"/>
      <c r="AY37" s="21">
        <v>0.76156599999999997</v>
      </c>
      <c r="AZ37" s="21">
        <v>345.11</v>
      </c>
      <c r="BA37" s="21">
        <v>-1.4947500000000001E-2</v>
      </c>
      <c r="BB37" s="21">
        <v>27</v>
      </c>
      <c r="BC37" s="21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0.93826299999999996</v>
      </c>
      <c r="H38" s="21">
        <v>54.999600000000001</v>
      </c>
      <c r="I38" s="21">
        <v>-1.4798E-2</v>
      </c>
      <c r="J38" s="21">
        <v>28</v>
      </c>
      <c r="K38" s="21">
        <v>0.9375</v>
      </c>
      <c r="L38">
        <f t="shared" si="0"/>
        <v>14.798</v>
      </c>
      <c r="M38">
        <f t="shared" si="1"/>
        <v>13.884415874</v>
      </c>
      <c r="N38" s="9"/>
      <c r="O38" s="21">
        <v>0.79162600000000005</v>
      </c>
      <c r="P38" s="21">
        <v>113.065</v>
      </c>
      <c r="Q38" s="21">
        <v>-1.5255700000000001E-2</v>
      </c>
      <c r="R38" s="21">
        <v>28</v>
      </c>
      <c r="S38" s="21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1">
        <v>0.93826299999999996</v>
      </c>
      <c r="Z38" s="21">
        <v>171.11099999999999</v>
      </c>
      <c r="AA38" s="21">
        <v>-1.4523299999999999E-2</v>
      </c>
      <c r="AB38" s="21">
        <v>28</v>
      </c>
      <c r="AC38" s="21">
        <v>0.9375</v>
      </c>
      <c r="AD38">
        <f t="shared" si="4"/>
        <v>14.523299999999999</v>
      </c>
      <c r="AE38">
        <f t="shared" si="5"/>
        <v>13.626675027899999</v>
      </c>
      <c r="AF38" s="9"/>
      <c r="AG38" s="21">
        <v>0.79162600000000005</v>
      </c>
      <c r="AH38" s="21">
        <v>229.18199999999999</v>
      </c>
      <c r="AI38" s="21">
        <v>-1.5063500000000001E-2</v>
      </c>
      <c r="AJ38" s="21">
        <v>28</v>
      </c>
      <c r="AK38" s="21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1">
        <v>0.93826299999999996</v>
      </c>
      <c r="AR38" s="21">
        <v>287.33699999999999</v>
      </c>
      <c r="AS38" s="21">
        <v>-1.42395E-2</v>
      </c>
      <c r="AT38" s="21">
        <v>28</v>
      </c>
      <c r="AU38" s="21">
        <v>0.9375</v>
      </c>
      <c r="AV38">
        <f t="shared" si="8"/>
        <v>14.2395</v>
      </c>
      <c r="AW38">
        <f t="shared" si="9"/>
        <v>13.360395988499999</v>
      </c>
      <c r="AX38" s="9"/>
      <c r="AY38" s="21">
        <v>0.79162600000000005</v>
      </c>
      <c r="AZ38" s="21">
        <v>345.31</v>
      </c>
      <c r="BA38" s="21">
        <v>-1.49109E-2</v>
      </c>
      <c r="BB38" s="21">
        <v>28</v>
      </c>
      <c r="BC38" s="21">
        <v>0.79101600000000005</v>
      </c>
      <c r="BD38">
        <f t="shared" si="10"/>
        <v>14.9109</v>
      </c>
      <c r="BE38">
        <f t="shared" si="11"/>
        <v>11.803856123400001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0.90820299999999998</v>
      </c>
      <c r="H39" s="21">
        <v>55.2</v>
      </c>
      <c r="I39" s="21">
        <v>-1.5094E-2</v>
      </c>
      <c r="J39" s="21">
        <v>29</v>
      </c>
      <c r="K39" s="21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1">
        <v>0.82168600000000003</v>
      </c>
      <c r="P39" s="21">
        <v>113.265</v>
      </c>
      <c r="Q39" s="21">
        <v>-1.5164199999999999E-2</v>
      </c>
      <c r="R39" s="21">
        <v>29</v>
      </c>
      <c r="S39" s="21">
        <v>0.82092299999999996</v>
      </c>
      <c r="T39">
        <f t="shared" si="2"/>
        <v>15.164199999999999</v>
      </c>
      <c r="U39">
        <f t="shared" si="3"/>
        <v>12.4602108412</v>
      </c>
      <c r="X39" s="9"/>
      <c r="Y39" s="21">
        <v>0.90820299999999998</v>
      </c>
      <c r="Z39" s="21">
        <v>171.31200000000001</v>
      </c>
      <c r="AA39" s="21">
        <v>-1.4694199999999999E-2</v>
      </c>
      <c r="AB39" s="21">
        <v>29</v>
      </c>
      <c r="AC39" s="21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1">
        <v>0.82168600000000003</v>
      </c>
      <c r="AH39" s="21">
        <v>229.38300000000001</v>
      </c>
      <c r="AI39" s="21">
        <v>-1.49567E-2</v>
      </c>
      <c r="AJ39" s="21">
        <v>29</v>
      </c>
      <c r="AK39" s="21">
        <v>0.82061799999999996</v>
      </c>
      <c r="AL39">
        <f t="shared" si="6"/>
        <v>14.9567</v>
      </c>
      <c r="AM39">
        <f t="shared" si="7"/>
        <v>12.2897109962</v>
      </c>
      <c r="AP39" s="9"/>
      <c r="AQ39" s="21">
        <v>0.90820299999999998</v>
      </c>
      <c r="AR39" s="21">
        <v>287.53800000000001</v>
      </c>
      <c r="AS39" s="21">
        <v>-1.34094E-2</v>
      </c>
      <c r="AT39" s="21">
        <v>29</v>
      </c>
      <c r="AU39" s="21">
        <v>0.90728799999999998</v>
      </c>
      <c r="AV39">
        <f t="shared" si="8"/>
        <v>13.4094</v>
      </c>
      <c r="AW39">
        <f t="shared" si="9"/>
        <v>12.178457308199999</v>
      </c>
      <c r="AX39" s="9"/>
      <c r="AY39" s="21">
        <v>0.82168600000000003</v>
      </c>
      <c r="AZ39" s="21">
        <v>345.51100000000002</v>
      </c>
      <c r="BA39" s="21">
        <v>-1.4819300000000001E-2</v>
      </c>
      <c r="BB39" s="21">
        <v>29</v>
      </c>
      <c r="BC39" s="21">
        <v>0.82092299999999996</v>
      </c>
      <c r="BD39">
        <f t="shared" si="10"/>
        <v>14.8193</v>
      </c>
      <c r="BE39">
        <f t="shared" si="11"/>
        <v>12.1768113398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0.87814300000000001</v>
      </c>
      <c r="H40" s="21">
        <v>55.400399999999998</v>
      </c>
      <c r="I40" s="21">
        <v>-1.50116E-2</v>
      </c>
      <c r="J40" s="21">
        <v>30</v>
      </c>
      <c r="K40" s="21">
        <v>0.87738000000000005</v>
      </c>
      <c r="L40">
        <f t="shared" si="0"/>
        <v>15.0116</v>
      </c>
      <c r="M40">
        <f t="shared" si="1"/>
        <v>13.1823314588</v>
      </c>
      <c r="N40" s="9"/>
      <c r="O40" s="21">
        <v>0.851746</v>
      </c>
      <c r="P40" s="21">
        <v>113.465</v>
      </c>
      <c r="Q40" s="21">
        <v>-1.50726E-2</v>
      </c>
      <c r="R40" s="21">
        <v>30</v>
      </c>
      <c r="S40" s="21">
        <v>0.85021999999999998</v>
      </c>
      <c r="T40">
        <f t="shared" si="2"/>
        <v>15.0726</v>
      </c>
      <c r="U40">
        <f t="shared" si="3"/>
        <v>12.8380267596</v>
      </c>
      <c r="X40" s="9"/>
      <c r="Y40" s="21">
        <v>0.87814300000000001</v>
      </c>
      <c r="Z40" s="21">
        <v>171.512</v>
      </c>
      <c r="AA40" s="21">
        <v>-1.48132E-2</v>
      </c>
      <c r="AB40" s="21">
        <v>30</v>
      </c>
      <c r="AC40" s="21">
        <v>0.87738000000000005</v>
      </c>
      <c r="AD40">
        <f t="shared" si="4"/>
        <v>14.8132</v>
      </c>
      <c r="AE40">
        <f t="shared" si="5"/>
        <v>13.0081078876</v>
      </c>
      <c r="AF40" s="9"/>
      <c r="AG40" s="21">
        <v>0.851746</v>
      </c>
      <c r="AH40" s="21">
        <v>229.583</v>
      </c>
      <c r="AI40" s="21">
        <v>-1.4865099999999999E-2</v>
      </c>
      <c r="AJ40" s="21">
        <v>30</v>
      </c>
      <c r="AK40" s="21">
        <v>0.85052499999999998</v>
      </c>
      <c r="AL40">
        <f t="shared" si="6"/>
        <v>14.8651</v>
      </c>
      <c r="AM40">
        <f t="shared" si="7"/>
        <v>12.661289464599999</v>
      </c>
      <c r="AP40" s="9"/>
      <c r="AQ40" s="21">
        <v>0.87814300000000001</v>
      </c>
      <c r="AR40" s="21">
        <v>287.738</v>
      </c>
      <c r="AS40" s="21">
        <v>-1.3333100000000001E-2</v>
      </c>
      <c r="AT40" s="21">
        <v>30</v>
      </c>
      <c r="AU40" s="21">
        <v>0.87768599999999997</v>
      </c>
      <c r="AV40">
        <f t="shared" si="8"/>
        <v>13.3331</v>
      </c>
      <c r="AW40">
        <f t="shared" si="9"/>
        <v>11.7083684333</v>
      </c>
      <c r="AX40" s="9"/>
      <c r="AY40" s="21">
        <v>0.851746</v>
      </c>
      <c r="AZ40" s="21">
        <v>345.71100000000001</v>
      </c>
      <c r="BA40" s="21">
        <v>-1.48071E-2</v>
      </c>
      <c r="BB40" s="21">
        <v>30</v>
      </c>
      <c r="BC40" s="21">
        <v>0.85082999999999998</v>
      </c>
      <c r="BD40">
        <f t="shared" si="10"/>
        <v>14.8071</v>
      </c>
      <c r="BE40">
        <f t="shared" si="11"/>
        <v>12.611888196600001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0.84808300000000003</v>
      </c>
      <c r="H41" s="21">
        <v>55.6008</v>
      </c>
      <c r="I41" s="21">
        <v>-1.5213000000000001E-2</v>
      </c>
      <c r="J41" s="21">
        <v>31</v>
      </c>
      <c r="K41" s="21">
        <v>0.84747300000000003</v>
      </c>
      <c r="L41">
        <f t="shared" si="0"/>
        <v>15.213000000000001</v>
      </c>
      <c r="M41">
        <f t="shared" si="1"/>
        <v>12.901886679</v>
      </c>
      <c r="N41" s="9"/>
      <c r="O41" s="21">
        <v>0.88180499999999995</v>
      </c>
      <c r="P41" s="21">
        <v>113.666</v>
      </c>
      <c r="Q41" s="21">
        <v>-1.4892600000000001E-2</v>
      </c>
      <c r="R41" s="21">
        <v>31</v>
      </c>
      <c r="S41" s="21">
        <v>0.88134800000000002</v>
      </c>
      <c r="T41">
        <f t="shared" si="2"/>
        <v>14.8926</v>
      </c>
      <c r="U41">
        <f t="shared" si="3"/>
        <v>13.132369142999998</v>
      </c>
      <c r="X41" s="9"/>
      <c r="Y41" s="21">
        <v>0.84808300000000003</v>
      </c>
      <c r="Z41" s="21">
        <v>171.71299999999999</v>
      </c>
      <c r="AA41" s="21">
        <v>-1.3821399999999999E-2</v>
      </c>
      <c r="AB41" s="21">
        <v>31</v>
      </c>
      <c r="AC41" s="21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1">
        <v>0.88180499999999995</v>
      </c>
      <c r="AH41" s="21">
        <v>229.78399999999999</v>
      </c>
      <c r="AI41" s="21">
        <v>-1.4816299999999999E-2</v>
      </c>
      <c r="AJ41" s="21">
        <v>31</v>
      </c>
      <c r="AK41" s="21">
        <v>0.88134800000000002</v>
      </c>
      <c r="AL41">
        <f t="shared" si="6"/>
        <v>14.8163</v>
      </c>
      <c r="AM41">
        <f t="shared" si="7"/>
        <v>13.065087421499999</v>
      </c>
      <c r="AP41" s="9"/>
      <c r="AQ41" s="21">
        <v>0.84808300000000003</v>
      </c>
      <c r="AR41" s="21">
        <v>287.93799999999999</v>
      </c>
      <c r="AS41" s="21">
        <v>-1.48773E-2</v>
      </c>
      <c r="AT41" s="21">
        <v>31</v>
      </c>
      <c r="AU41" s="21">
        <v>0.84686300000000003</v>
      </c>
      <c r="AV41">
        <f t="shared" si="8"/>
        <v>14.8773</v>
      </c>
      <c r="AW41">
        <f t="shared" si="9"/>
        <v>12.617185215900001</v>
      </c>
      <c r="AX41" s="9"/>
      <c r="AY41" s="21">
        <v>0.88180499999999995</v>
      </c>
      <c r="AZ41" s="21">
        <v>345.911</v>
      </c>
      <c r="BA41" s="21">
        <v>-1.4694199999999999E-2</v>
      </c>
      <c r="BB41" s="21">
        <v>31</v>
      </c>
      <c r="BC41" s="21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0.81802399999999997</v>
      </c>
      <c r="H42" s="21">
        <v>55.801200000000001</v>
      </c>
      <c r="I42" s="21">
        <v>-1.5258799999999999E-2</v>
      </c>
      <c r="J42" s="21">
        <v>32</v>
      </c>
      <c r="K42" s="21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1">
        <v>0.91186500000000004</v>
      </c>
      <c r="P42" s="21">
        <v>113.866</v>
      </c>
      <c r="Q42" s="21">
        <v>-1.49231E-2</v>
      </c>
      <c r="R42" s="21">
        <v>32</v>
      </c>
      <c r="S42" s="21">
        <v>0.91125500000000004</v>
      </c>
      <c r="T42">
        <f t="shared" si="2"/>
        <v>14.9231</v>
      </c>
      <c r="U42">
        <f t="shared" si="3"/>
        <v>13.6078525815</v>
      </c>
      <c r="X42" s="9"/>
      <c r="Y42" s="21">
        <v>0.81802399999999997</v>
      </c>
      <c r="Z42" s="21">
        <v>171.91300000000001</v>
      </c>
      <c r="AA42" s="21">
        <v>-1.4584400000000001E-2</v>
      </c>
      <c r="AB42" s="21">
        <v>32</v>
      </c>
      <c r="AC42" s="21">
        <v>0.81787100000000001</v>
      </c>
      <c r="AD42">
        <f t="shared" si="4"/>
        <v>14.5844</v>
      </c>
      <c r="AE42">
        <f t="shared" si="5"/>
        <v>11.930389225600001</v>
      </c>
      <c r="AF42" s="9"/>
      <c r="AG42" s="21">
        <v>0.91186500000000004</v>
      </c>
      <c r="AH42" s="21">
        <v>229.98400000000001</v>
      </c>
      <c r="AI42" s="21">
        <v>-1.4700299999999999E-2</v>
      </c>
      <c r="AJ42" s="21">
        <v>32</v>
      </c>
      <c r="AK42" s="21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1">
        <v>0.81802399999999997</v>
      </c>
      <c r="AR42" s="21">
        <v>288.13900000000001</v>
      </c>
      <c r="AS42" s="21">
        <v>-1.49628E-2</v>
      </c>
      <c r="AT42" s="21">
        <v>32</v>
      </c>
      <c r="AU42" s="21">
        <v>0.81726100000000002</v>
      </c>
      <c r="AV42">
        <f t="shared" si="8"/>
        <v>14.9628</v>
      </c>
      <c r="AW42">
        <f t="shared" si="9"/>
        <v>12.239929507199999</v>
      </c>
      <c r="AX42" s="9"/>
      <c r="AY42" s="21">
        <v>0.91186500000000004</v>
      </c>
      <c r="AZ42" s="21">
        <v>346.11200000000002</v>
      </c>
      <c r="BA42" s="21">
        <v>-1.46759E-2</v>
      </c>
      <c r="BB42" s="21">
        <v>32</v>
      </c>
      <c r="BC42" s="21">
        <v>0.91064500000000004</v>
      </c>
      <c r="BD42">
        <f t="shared" si="10"/>
        <v>14.6759</v>
      </c>
      <c r="BE42">
        <f t="shared" si="11"/>
        <v>13.382439553500001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0.787964</v>
      </c>
      <c r="H43" s="21">
        <v>56.001600000000003</v>
      </c>
      <c r="I43" s="21">
        <v>-1.52344E-2</v>
      </c>
      <c r="J43" s="21">
        <v>33</v>
      </c>
      <c r="K43" s="21">
        <v>0.787354</v>
      </c>
      <c r="L43">
        <f t="shared" si="0"/>
        <v>15.234400000000001</v>
      </c>
      <c r="M43">
        <f t="shared" si="1"/>
        <v>12.004158761600001</v>
      </c>
      <c r="N43" s="9"/>
      <c r="O43" s="21">
        <v>0.94192500000000001</v>
      </c>
      <c r="P43" s="21">
        <v>114.06699999999999</v>
      </c>
      <c r="Q43" s="21">
        <v>-1.4859000000000001E-2</v>
      </c>
      <c r="R43" s="21">
        <v>33</v>
      </c>
      <c r="S43" s="21">
        <v>0.94055200000000005</v>
      </c>
      <c r="T43">
        <f t="shared" si="2"/>
        <v>14.859</v>
      </c>
      <c r="U43">
        <f t="shared" si="3"/>
        <v>13.996063575000001</v>
      </c>
      <c r="X43" s="9"/>
      <c r="Y43" s="21">
        <v>0.787964</v>
      </c>
      <c r="Z43" s="21">
        <v>172.113</v>
      </c>
      <c r="AA43" s="21">
        <v>-1.4566000000000001E-2</v>
      </c>
      <c r="AB43" s="21">
        <v>33</v>
      </c>
      <c r="AC43" s="21">
        <v>0.787354</v>
      </c>
      <c r="AD43">
        <f t="shared" si="4"/>
        <v>14.566000000000001</v>
      </c>
      <c r="AE43">
        <f t="shared" si="5"/>
        <v>11.477483624000001</v>
      </c>
      <c r="AF43" s="9"/>
      <c r="AG43" s="21">
        <v>0.94192500000000001</v>
      </c>
      <c r="AH43" s="21">
        <v>230.184</v>
      </c>
      <c r="AI43" s="21">
        <v>-1.4605699999999999E-2</v>
      </c>
      <c r="AJ43" s="21">
        <v>33</v>
      </c>
      <c r="AK43" s="21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1">
        <v>0.787964</v>
      </c>
      <c r="AR43" s="21">
        <v>288.339</v>
      </c>
      <c r="AS43" s="21">
        <v>-1.50574E-2</v>
      </c>
      <c r="AT43" s="21">
        <v>33</v>
      </c>
      <c r="AU43" s="21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1">
        <v>0.94192500000000001</v>
      </c>
      <c r="AZ43" s="21">
        <v>346.31200000000001</v>
      </c>
      <c r="BA43" s="21">
        <v>-1.45264E-2</v>
      </c>
      <c r="BB43" s="21">
        <v>33</v>
      </c>
      <c r="BC43" s="21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0.75790400000000002</v>
      </c>
      <c r="H44" s="21">
        <v>56.201999999999998</v>
      </c>
      <c r="I44" s="21">
        <v>-1.48621E-2</v>
      </c>
      <c r="J44" s="21">
        <v>34</v>
      </c>
      <c r="K44" s="21">
        <v>0.75653099999999995</v>
      </c>
      <c r="L44">
        <f t="shared" si="0"/>
        <v>14.8621</v>
      </c>
      <c r="M44">
        <f t="shared" si="1"/>
        <v>11.264045038400001</v>
      </c>
      <c r="N44" s="9"/>
      <c r="O44" s="21">
        <v>0.97198499999999999</v>
      </c>
      <c r="P44" s="21">
        <v>114.267</v>
      </c>
      <c r="Q44" s="21">
        <v>-1.4770500000000001E-2</v>
      </c>
      <c r="R44" s="21">
        <v>34</v>
      </c>
      <c r="S44" s="21">
        <v>0.97106899999999996</v>
      </c>
      <c r="T44">
        <f t="shared" si="2"/>
        <v>14.7705</v>
      </c>
      <c r="U44">
        <f t="shared" si="3"/>
        <v>14.3567044425</v>
      </c>
      <c r="X44" s="9"/>
      <c r="Y44" s="21">
        <v>0.75790400000000002</v>
      </c>
      <c r="Z44" s="21">
        <v>172.31399999999999</v>
      </c>
      <c r="AA44" s="21">
        <v>-1.47125E-2</v>
      </c>
      <c r="AB44" s="21">
        <v>34</v>
      </c>
      <c r="AC44" s="21">
        <v>0.75714099999999995</v>
      </c>
      <c r="AD44">
        <f t="shared" si="4"/>
        <v>14.7125</v>
      </c>
      <c r="AE44">
        <f t="shared" si="5"/>
        <v>11.1506626</v>
      </c>
      <c r="AF44" s="9"/>
      <c r="AG44" s="21">
        <v>0.97198499999999999</v>
      </c>
      <c r="AH44" s="21">
        <v>230.38499999999999</v>
      </c>
      <c r="AI44" s="21">
        <v>-1.4563E-2</v>
      </c>
      <c r="AJ44" s="21">
        <v>34</v>
      </c>
      <c r="AK44" s="21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1">
        <v>0.75790400000000002</v>
      </c>
      <c r="AR44" s="21">
        <v>288.54000000000002</v>
      </c>
      <c r="AS44" s="21">
        <v>-1.50238E-2</v>
      </c>
      <c r="AT44" s="21">
        <v>34</v>
      </c>
      <c r="AU44" s="21">
        <v>0.75683599999999995</v>
      </c>
      <c r="AV44">
        <f t="shared" si="8"/>
        <v>15.0238</v>
      </c>
      <c r="AW44">
        <f t="shared" si="9"/>
        <v>11.3865981152</v>
      </c>
      <c r="AX44" s="9"/>
      <c r="AY44" s="21">
        <v>0.97198499999999999</v>
      </c>
      <c r="AZ44" s="21">
        <v>346.51299999999998</v>
      </c>
      <c r="BA44" s="21">
        <v>-1.44592E-2</v>
      </c>
      <c r="BB44" s="21">
        <v>34</v>
      </c>
      <c r="BC44" s="21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0.72784400000000005</v>
      </c>
      <c r="H45" s="21">
        <v>56.4024</v>
      </c>
      <c r="I45" s="21">
        <v>-1.53229E-2</v>
      </c>
      <c r="J45" s="21">
        <v>35</v>
      </c>
      <c r="K45" s="21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1">
        <v>1.00204</v>
      </c>
      <c r="P45" s="21">
        <v>114.467</v>
      </c>
      <c r="Q45" s="21">
        <v>-1.43768E-2</v>
      </c>
      <c r="R45" s="21">
        <v>35</v>
      </c>
      <c r="S45" s="21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1">
        <v>0.72784400000000005</v>
      </c>
      <c r="Z45" s="21">
        <v>172.51400000000001</v>
      </c>
      <c r="AA45" s="21">
        <v>-1.50543E-2</v>
      </c>
      <c r="AB45" s="21">
        <v>35</v>
      </c>
      <c r="AC45" s="21">
        <v>0.72717299999999996</v>
      </c>
      <c r="AD45">
        <f t="shared" si="4"/>
        <v>15.0543</v>
      </c>
      <c r="AE45">
        <f t="shared" si="5"/>
        <v>10.957181929200001</v>
      </c>
      <c r="AF45" s="9"/>
      <c r="AG45" s="21">
        <v>1.00204</v>
      </c>
      <c r="AH45" s="21">
        <v>230.58500000000001</v>
      </c>
      <c r="AI45" s="21">
        <v>-1.4419599999999999E-2</v>
      </c>
      <c r="AJ45" s="21">
        <v>35</v>
      </c>
      <c r="AK45" s="21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1">
        <v>0.72784400000000005</v>
      </c>
      <c r="AR45" s="21">
        <v>288.74</v>
      </c>
      <c r="AS45" s="21">
        <v>-1.51123E-2</v>
      </c>
      <c r="AT45" s="21">
        <v>35</v>
      </c>
      <c r="AU45" s="21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1">
        <v>1.00204</v>
      </c>
      <c r="AZ45" s="21">
        <v>346.71300000000002</v>
      </c>
      <c r="BA45" s="21">
        <v>-1.43555E-2</v>
      </c>
      <c r="BB45" s="21">
        <v>35</v>
      </c>
      <c r="BC45" s="21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0.69778399999999996</v>
      </c>
      <c r="H46" s="21">
        <v>56.602800000000002</v>
      </c>
      <c r="I46" s="21">
        <v>-1.5292399999999999E-2</v>
      </c>
      <c r="J46" s="21">
        <v>36</v>
      </c>
      <c r="K46" s="21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1">
        <v>1.0321</v>
      </c>
      <c r="P46" s="21">
        <v>114.66800000000001</v>
      </c>
      <c r="Q46" s="21">
        <v>-1.5521199999999999E-3</v>
      </c>
      <c r="R46" s="21">
        <v>36</v>
      </c>
      <c r="S46" s="21">
        <v>1.03149</v>
      </c>
      <c r="T46">
        <f t="shared" si="2"/>
        <v>1.5521199999999999</v>
      </c>
      <c r="U46">
        <f t="shared" si="3"/>
        <v>1.601943052</v>
      </c>
      <c r="X46" s="9"/>
      <c r="Y46" s="21">
        <v>0.69778399999999996</v>
      </c>
      <c r="Z46" s="21">
        <v>172.715</v>
      </c>
      <c r="AA46" s="21">
        <v>-1.5240500000000001E-2</v>
      </c>
      <c r="AB46" s="21">
        <v>36</v>
      </c>
      <c r="AC46" s="21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1">
        <v>1.0321</v>
      </c>
      <c r="AH46" s="21">
        <v>230.786</v>
      </c>
      <c r="AI46" s="21">
        <v>-1.4328E-2</v>
      </c>
      <c r="AJ46" s="21">
        <v>36</v>
      </c>
      <c r="AK46" s="21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1">
        <v>0.69778399999999996</v>
      </c>
      <c r="AR46" s="21">
        <v>288.94</v>
      </c>
      <c r="AS46" s="21">
        <v>-1.4959699999999999E-2</v>
      </c>
      <c r="AT46" s="21">
        <v>36</v>
      </c>
      <c r="AU46" s="21">
        <v>0.69757100000000005</v>
      </c>
      <c r="AV46">
        <f t="shared" si="8"/>
        <v>14.9597</v>
      </c>
      <c r="AW46">
        <f t="shared" si="9"/>
        <v>10.438639304799999</v>
      </c>
      <c r="AX46" s="9"/>
      <c r="AY46" s="21">
        <v>1.0321</v>
      </c>
      <c r="AZ46" s="21">
        <v>346.91300000000001</v>
      </c>
      <c r="BA46" s="21">
        <v>-1.4285300000000001E-2</v>
      </c>
      <c r="BB46" s="21">
        <v>36</v>
      </c>
      <c r="BC46" s="21">
        <v>1.03088</v>
      </c>
      <c r="BD46">
        <f t="shared" si="10"/>
        <v>14.285300000000001</v>
      </c>
      <c r="BE46">
        <f t="shared" si="11"/>
        <v>14.743858130000001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0.66772500000000001</v>
      </c>
      <c r="H47" s="21">
        <v>56.803199999999997</v>
      </c>
      <c r="I47" s="21">
        <v>-1.5096999999999999E-2</v>
      </c>
      <c r="J47" s="21">
        <v>37</v>
      </c>
      <c r="K47" s="21">
        <v>0.66415400000000002</v>
      </c>
      <c r="L47">
        <f t="shared" si="0"/>
        <v>15.097</v>
      </c>
      <c r="M47">
        <f t="shared" si="1"/>
        <v>10.080644325</v>
      </c>
      <c r="N47" s="9"/>
      <c r="O47" s="21">
        <v>1.06216</v>
      </c>
      <c r="P47" s="21">
        <v>114.86799999999999</v>
      </c>
      <c r="Q47" s="21">
        <v>-1.9818100000000001E-3</v>
      </c>
      <c r="R47" s="21">
        <v>37</v>
      </c>
      <c r="S47" s="21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1">
        <v>0.66772500000000001</v>
      </c>
      <c r="Z47" s="21">
        <v>172.91499999999999</v>
      </c>
      <c r="AA47" s="21">
        <v>-1.5350300000000001E-2</v>
      </c>
      <c r="AB47" s="21">
        <v>37</v>
      </c>
      <c r="AC47" s="21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1">
        <v>1.06216</v>
      </c>
      <c r="AH47" s="21">
        <v>230.98599999999999</v>
      </c>
      <c r="AI47" s="21">
        <v>-1.41785E-2</v>
      </c>
      <c r="AJ47" s="21">
        <v>37</v>
      </c>
      <c r="AK47" s="21">
        <v>1.0607899999999999</v>
      </c>
      <c r="AL47">
        <f t="shared" si="6"/>
        <v>14.1785</v>
      </c>
      <c r="AM47">
        <f t="shared" si="7"/>
        <v>15.05983556</v>
      </c>
      <c r="AP47" s="9"/>
      <c r="AQ47" s="21">
        <v>0.66772500000000001</v>
      </c>
      <c r="AR47" s="21">
        <v>289.14100000000002</v>
      </c>
      <c r="AS47" s="21">
        <v>-1.51489E-2</v>
      </c>
      <c r="AT47" s="21">
        <v>37</v>
      </c>
      <c r="AU47" s="21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1">
        <v>1.06216</v>
      </c>
      <c r="AZ47" s="21">
        <v>347.11399999999998</v>
      </c>
      <c r="BA47" s="21">
        <v>-1.41724E-2</v>
      </c>
      <c r="BB47" s="21">
        <v>37</v>
      </c>
      <c r="BC47" s="21">
        <v>1.0617099999999999</v>
      </c>
      <c r="BD47">
        <f t="shared" si="10"/>
        <v>14.1724</v>
      </c>
      <c r="BE47">
        <f t="shared" si="11"/>
        <v>15.053356383999999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0.63766500000000004</v>
      </c>
      <c r="H48" s="21">
        <v>57.003599999999999</v>
      </c>
      <c r="I48" s="21">
        <v>-1.5438800000000001E-2</v>
      </c>
      <c r="J48" s="21">
        <v>38</v>
      </c>
      <c r="K48" s="21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1">
        <v>1.09222</v>
      </c>
      <c r="P48" s="21">
        <v>115.069</v>
      </c>
      <c r="Q48" s="21">
        <v>-1.6333000000000001E-3</v>
      </c>
      <c r="R48" s="21">
        <v>38</v>
      </c>
      <c r="S48" s="21">
        <v>1.091</v>
      </c>
      <c r="T48">
        <f t="shared" si="2"/>
        <v>1.6333</v>
      </c>
      <c r="U48">
        <f t="shared" si="3"/>
        <v>1.783922926</v>
      </c>
      <c r="X48" s="9"/>
      <c r="Y48" s="21">
        <v>0.63766500000000004</v>
      </c>
      <c r="Z48" s="21">
        <v>173.11500000000001</v>
      </c>
      <c r="AA48" s="21">
        <v>-1.5362499999999999E-2</v>
      </c>
      <c r="AB48" s="21">
        <v>38</v>
      </c>
      <c r="AC48" s="21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1">
        <v>1.09222</v>
      </c>
      <c r="AH48" s="21">
        <v>231.18600000000001</v>
      </c>
      <c r="AI48" s="21">
        <v>-1.40381E-2</v>
      </c>
      <c r="AJ48" s="21">
        <v>38</v>
      </c>
      <c r="AK48" s="21">
        <v>1.091</v>
      </c>
      <c r="AL48">
        <f t="shared" si="6"/>
        <v>14.0381</v>
      </c>
      <c r="AM48">
        <f t="shared" si="7"/>
        <v>15.332693581999999</v>
      </c>
      <c r="AP48" s="9"/>
      <c r="AQ48" s="21">
        <v>0.63766500000000004</v>
      </c>
      <c r="AR48" s="21">
        <v>289.34100000000001</v>
      </c>
      <c r="AS48" s="21">
        <v>-1.5203899999999999E-2</v>
      </c>
      <c r="AT48" s="21">
        <v>38</v>
      </c>
      <c r="AU48" s="21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1">
        <v>1.09222</v>
      </c>
      <c r="AZ48" s="21">
        <v>347.31400000000002</v>
      </c>
      <c r="BA48" s="21">
        <v>-1.4047199999999999E-2</v>
      </c>
      <c r="BB48" s="21">
        <v>38</v>
      </c>
      <c r="BC48" s="21">
        <v>1.09131</v>
      </c>
      <c r="BD48">
        <f t="shared" si="10"/>
        <v>14.0472</v>
      </c>
      <c r="BE48">
        <f t="shared" si="11"/>
        <v>15.342632783999999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0.60760499999999995</v>
      </c>
      <c r="H49" s="21">
        <v>57.204000000000001</v>
      </c>
      <c r="I49" s="21">
        <v>-1.32324E-2</v>
      </c>
      <c r="J49" s="21">
        <v>39</v>
      </c>
      <c r="K49" s="21">
        <v>0.60693399999999997</v>
      </c>
      <c r="L49">
        <f t="shared" si="0"/>
        <v>13.2324</v>
      </c>
      <c r="M49">
        <f t="shared" si="1"/>
        <v>8.0400724019999998</v>
      </c>
      <c r="N49" s="9"/>
      <c r="O49" s="21">
        <v>1.1222799999999999</v>
      </c>
      <c r="P49" s="21">
        <v>115.26900000000001</v>
      </c>
      <c r="Q49" s="21">
        <v>-1.6818200000000001E-3</v>
      </c>
      <c r="R49" s="21">
        <v>39</v>
      </c>
      <c r="S49" s="21">
        <v>1.1212200000000001</v>
      </c>
      <c r="T49">
        <f t="shared" si="2"/>
        <v>1.6818200000000001</v>
      </c>
      <c r="U49">
        <f t="shared" si="3"/>
        <v>1.8874729496</v>
      </c>
      <c r="X49" s="9"/>
      <c r="Y49" s="21">
        <v>0.60760499999999995</v>
      </c>
      <c r="Z49" s="21">
        <v>173.316</v>
      </c>
      <c r="AA49" s="21">
        <v>-1.4959699999999999E-2</v>
      </c>
      <c r="AB49" s="21">
        <v>39</v>
      </c>
      <c r="AC49" s="21">
        <v>0.60739100000000001</v>
      </c>
      <c r="AD49">
        <f t="shared" si="4"/>
        <v>14.9597</v>
      </c>
      <c r="AE49">
        <f t="shared" si="5"/>
        <v>9.0895885184999994</v>
      </c>
      <c r="AF49" s="9"/>
      <c r="AG49" s="21">
        <v>1.1222799999999999</v>
      </c>
      <c r="AH49" s="21">
        <v>231.387</v>
      </c>
      <c r="AI49" s="21">
        <v>-1.3864100000000001E-2</v>
      </c>
      <c r="AJ49" s="21">
        <v>39</v>
      </c>
      <c r="AK49" s="21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1">
        <v>0.60760499999999995</v>
      </c>
      <c r="AR49" s="21">
        <v>289.54199999999997</v>
      </c>
      <c r="AS49" s="21">
        <v>-1.51947E-2</v>
      </c>
      <c r="AT49" s="21">
        <v>39</v>
      </c>
      <c r="AU49" s="21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1">
        <v>1.1222799999999999</v>
      </c>
      <c r="AZ49" s="21">
        <v>347.51499999999999</v>
      </c>
      <c r="BA49" s="21">
        <v>-1.38519E-2</v>
      </c>
      <c r="BB49" s="21">
        <v>39</v>
      </c>
      <c r="BC49" s="21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0.57754499999999998</v>
      </c>
      <c r="H50" s="21">
        <v>57.404400000000003</v>
      </c>
      <c r="I50" s="21">
        <v>-1.5448E-2</v>
      </c>
      <c r="J50" s="21">
        <v>40</v>
      </c>
      <c r="K50" s="21">
        <v>0.57690399999999997</v>
      </c>
      <c r="L50">
        <f t="shared" si="0"/>
        <v>15.448</v>
      </c>
      <c r="M50">
        <f t="shared" si="1"/>
        <v>8.9219151599999993</v>
      </c>
      <c r="N50" s="9"/>
      <c r="O50" s="21">
        <v>1.1523399999999999</v>
      </c>
      <c r="P50" s="21">
        <v>115.46899999999999</v>
      </c>
      <c r="Q50" s="21">
        <v>-1.85425E-3</v>
      </c>
      <c r="R50" s="21">
        <v>40</v>
      </c>
      <c r="S50" s="21">
        <v>1.15143</v>
      </c>
      <c r="T50">
        <f t="shared" si="2"/>
        <v>1.85425</v>
      </c>
      <c r="U50">
        <f t="shared" si="3"/>
        <v>2.1367264449999999</v>
      </c>
      <c r="X50" s="9"/>
      <c r="Y50" s="21">
        <v>0.57754499999999998</v>
      </c>
      <c r="Z50" s="21">
        <v>173.51599999999999</v>
      </c>
      <c r="AA50" s="21">
        <v>-1.54419E-2</v>
      </c>
      <c r="AB50" s="21">
        <v>40</v>
      </c>
      <c r="AC50" s="21">
        <v>0.57684299999999999</v>
      </c>
      <c r="AD50">
        <f t="shared" si="4"/>
        <v>15.4419</v>
      </c>
      <c r="AE50">
        <f t="shared" si="5"/>
        <v>8.9183921354999995</v>
      </c>
      <c r="AF50" s="9"/>
      <c r="AG50" s="21">
        <v>1.1523399999999999</v>
      </c>
      <c r="AH50" s="21">
        <v>231.58699999999999</v>
      </c>
      <c r="AI50" s="21">
        <v>-1.3589499999999999E-2</v>
      </c>
      <c r="AJ50" s="21">
        <v>40</v>
      </c>
      <c r="AK50" s="21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1">
        <v>0.57754499999999998</v>
      </c>
      <c r="AR50" s="21">
        <v>289.74200000000002</v>
      </c>
      <c r="AS50" s="21">
        <v>-1.4978E-2</v>
      </c>
      <c r="AT50" s="21">
        <v>40</v>
      </c>
      <c r="AU50" s="21">
        <v>0.57614100000000001</v>
      </c>
      <c r="AV50">
        <f t="shared" si="8"/>
        <v>14.978</v>
      </c>
      <c r="AW50">
        <f t="shared" si="9"/>
        <v>8.6504690100000001</v>
      </c>
      <c r="AX50" s="9"/>
      <c r="AY50" s="21">
        <v>1.1523399999999999</v>
      </c>
      <c r="AZ50" s="21">
        <v>347.71499999999997</v>
      </c>
      <c r="BA50" s="21">
        <v>-1.37115E-2</v>
      </c>
      <c r="BB50" s="21">
        <v>40</v>
      </c>
      <c r="BC50" s="21">
        <v>1.15082</v>
      </c>
      <c r="BD50">
        <f t="shared" si="10"/>
        <v>13.711499999999999</v>
      </c>
      <c r="BE50">
        <f t="shared" si="11"/>
        <v>15.800309909999998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0.547485</v>
      </c>
      <c r="H51" s="21">
        <v>57.604799999999997</v>
      </c>
      <c r="I51" s="21">
        <v>-1.55029E-2</v>
      </c>
      <c r="J51" s="21">
        <v>41</v>
      </c>
      <c r="K51" s="21">
        <v>0.546844</v>
      </c>
      <c r="L51">
        <f t="shared" si="0"/>
        <v>15.5029</v>
      </c>
      <c r="M51">
        <f t="shared" si="1"/>
        <v>8.4876052064999996</v>
      </c>
      <c r="N51" s="9"/>
      <c r="O51" s="21">
        <v>1.1823999999999999</v>
      </c>
      <c r="P51" s="21">
        <v>115.67</v>
      </c>
      <c r="Q51" s="21">
        <v>-1.4566E-3</v>
      </c>
      <c r="R51" s="21">
        <v>41</v>
      </c>
      <c r="S51" s="21">
        <v>1.18042</v>
      </c>
      <c r="T51">
        <f t="shared" si="2"/>
        <v>1.4565999999999999</v>
      </c>
      <c r="U51">
        <f t="shared" si="3"/>
        <v>1.7222838399999998</v>
      </c>
      <c r="X51" s="9"/>
      <c r="Y51" s="21">
        <v>0.547485</v>
      </c>
      <c r="Z51" s="21">
        <v>173.71700000000001</v>
      </c>
      <c r="AA51" s="21">
        <v>-1.0534699999999999E-2</v>
      </c>
      <c r="AB51" s="21">
        <v>41</v>
      </c>
      <c r="AC51" s="21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1">
        <v>1.1823999999999999</v>
      </c>
      <c r="AH51" s="21">
        <v>231.78800000000001</v>
      </c>
      <c r="AI51" s="21">
        <v>-1.3501000000000001E-2</v>
      </c>
      <c r="AJ51" s="21">
        <v>41</v>
      </c>
      <c r="AK51" s="21">
        <v>1.1813400000000001</v>
      </c>
      <c r="AL51">
        <f t="shared" si="6"/>
        <v>13.501000000000001</v>
      </c>
      <c r="AM51">
        <f t="shared" si="7"/>
        <v>15.9635824</v>
      </c>
      <c r="AP51" s="9"/>
      <c r="AQ51" s="21">
        <v>0.547485</v>
      </c>
      <c r="AR51" s="21">
        <v>289.94200000000001</v>
      </c>
      <c r="AS51" s="21">
        <v>-1.51001E-2</v>
      </c>
      <c r="AT51" s="21">
        <v>41</v>
      </c>
      <c r="AU51" s="21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1">
        <v>1.1823999999999999</v>
      </c>
      <c r="AZ51" s="21">
        <v>347.91500000000002</v>
      </c>
      <c r="BA51" s="21">
        <v>-1.34552E-2</v>
      </c>
      <c r="BB51" s="21">
        <v>41</v>
      </c>
      <c r="BC51" s="21">
        <v>1.18164</v>
      </c>
      <c r="BD51">
        <f t="shared" si="10"/>
        <v>13.455200000000001</v>
      </c>
      <c r="BE51">
        <f t="shared" si="11"/>
        <v>15.909428480000001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0.51742600000000005</v>
      </c>
      <c r="H52" s="21">
        <v>57.805199999999999</v>
      </c>
      <c r="I52" s="21">
        <v>-1.52649E-2</v>
      </c>
      <c r="J52" s="21">
        <v>42</v>
      </c>
      <c r="K52" s="21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1">
        <v>1.2124600000000001</v>
      </c>
      <c r="P52" s="21">
        <v>115.87</v>
      </c>
      <c r="Q52" s="24">
        <v>8.6059599999999992E-6</v>
      </c>
      <c r="R52" s="21">
        <v>42</v>
      </c>
      <c r="S52" s="21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1">
        <v>0.51742600000000005</v>
      </c>
      <c r="Z52" s="21">
        <v>173.917</v>
      </c>
      <c r="AA52" s="21">
        <v>-1.5197799999999999E-2</v>
      </c>
      <c r="AB52" s="21">
        <v>42</v>
      </c>
      <c r="AC52" s="21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1">
        <v>1.2124600000000001</v>
      </c>
      <c r="AH52" s="21">
        <v>231.988</v>
      </c>
      <c r="AI52" s="21">
        <v>-1.3162200000000001E-2</v>
      </c>
      <c r="AJ52" s="21">
        <v>42</v>
      </c>
      <c r="AK52" s="21">
        <v>1.2112400000000001</v>
      </c>
      <c r="AL52">
        <f t="shared" si="6"/>
        <v>13.1622</v>
      </c>
      <c r="AM52">
        <f t="shared" si="7"/>
        <v>15.958641012000001</v>
      </c>
      <c r="AP52" s="9"/>
      <c r="AQ52" s="21">
        <v>0.51742600000000005</v>
      </c>
      <c r="AR52" s="21">
        <v>290.14299999999997</v>
      </c>
      <c r="AS52" s="21">
        <v>-1.5341199999999999E-2</v>
      </c>
      <c r="AT52" s="21">
        <v>42</v>
      </c>
      <c r="AU52" s="21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1">
        <v>1.2124600000000001</v>
      </c>
      <c r="AZ52" s="21">
        <v>348.11599999999999</v>
      </c>
      <c r="BA52" s="21">
        <v>-1.32385E-2</v>
      </c>
      <c r="BB52" s="21">
        <v>42</v>
      </c>
      <c r="BC52" s="21">
        <v>1.2118500000000001</v>
      </c>
      <c r="BD52">
        <f t="shared" si="10"/>
        <v>13.2385</v>
      </c>
      <c r="BE52">
        <f t="shared" si="11"/>
        <v>16.051151710000003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0.48736600000000002</v>
      </c>
      <c r="H53" s="21">
        <v>58.005600000000001</v>
      </c>
      <c r="I53" s="21">
        <v>-1.5573099999999999E-2</v>
      </c>
      <c r="J53" s="21">
        <v>43</v>
      </c>
      <c r="K53" s="21">
        <v>0.48669400000000002</v>
      </c>
      <c r="L53">
        <f t="shared" si="0"/>
        <v>15.5731</v>
      </c>
      <c r="M53">
        <f t="shared" si="1"/>
        <v>7.5897994546000005</v>
      </c>
      <c r="N53" s="9"/>
      <c r="O53" s="21">
        <v>1.2425200000000001</v>
      </c>
      <c r="P53" s="21">
        <v>116.071</v>
      </c>
      <c r="Q53" s="24">
        <v>1.13525E-5</v>
      </c>
      <c r="R53" s="21">
        <v>43</v>
      </c>
      <c r="S53" s="21">
        <v>1.24207</v>
      </c>
      <c r="T53">
        <f t="shared" si="2"/>
        <v>-1.13525E-2</v>
      </c>
      <c r="U53">
        <f t="shared" si="3"/>
        <v>-1.41057083E-2</v>
      </c>
      <c r="X53" s="9"/>
      <c r="Y53" s="21">
        <v>0.48736600000000002</v>
      </c>
      <c r="Z53" s="21">
        <v>174.11699999999999</v>
      </c>
      <c r="AA53" s="21">
        <v>-1.53229E-2</v>
      </c>
      <c r="AB53" s="21">
        <v>43</v>
      </c>
      <c r="AC53" s="21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1">
        <v>1.2425200000000001</v>
      </c>
      <c r="AH53" s="21">
        <v>232.18799999999999</v>
      </c>
      <c r="AI53" s="21">
        <v>-1.2539700000000001E-2</v>
      </c>
      <c r="AJ53" s="21">
        <v>43</v>
      </c>
      <c r="AK53" s="21">
        <v>1.24176</v>
      </c>
      <c r="AL53">
        <f t="shared" si="6"/>
        <v>12.539700000000002</v>
      </c>
      <c r="AM53">
        <f t="shared" si="7"/>
        <v>15.580828044000002</v>
      </c>
      <c r="AP53" s="9"/>
      <c r="AQ53" s="21">
        <v>0.48736600000000002</v>
      </c>
      <c r="AR53" s="21">
        <v>290.34300000000002</v>
      </c>
      <c r="AS53" s="21">
        <v>-1.53137E-2</v>
      </c>
      <c r="AT53" s="21">
        <v>43</v>
      </c>
      <c r="AU53" s="21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1">
        <v>1.2425200000000001</v>
      </c>
      <c r="AZ53" s="21">
        <v>348.31599999999997</v>
      </c>
      <c r="BA53" s="21">
        <v>-1.29669E-2</v>
      </c>
      <c r="BB53" s="21">
        <v>43</v>
      </c>
      <c r="BC53" s="21">
        <v>1.24176</v>
      </c>
      <c r="BD53">
        <f t="shared" si="10"/>
        <v>12.966900000000001</v>
      </c>
      <c r="BE53">
        <f t="shared" si="11"/>
        <v>16.111632588000003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0.45730599999999999</v>
      </c>
      <c r="H54" s="21">
        <v>58.206000000000003</v>
      </c>
      <c r="I54" s="21">
        <v>-1.5649400000000001E-2</v>
      </c>
      <c r="J54" s="21">
        <v>44</v>
      </c>
      <c r="K54" s="21">
        <v>0.45669599999999999</v>
      </c>
      <c r="L54">
        <f t="shared" si="0"/>
        <v>15.6494</v>
      </c>
      <c r="M54">
        <f t="shared" si="1"/>
        <v>7.1565645163999996</v>
      </c>
      <c r="N54" s="9"/>
      <c r="O54" s="21">
        <v>1.27258</v>
      </c>
      <c r="P54" s="21">
        <v>116.271</v>
      </c>
      <c r="Q54" s="24">
        <v>6.2255900000000003E-6</v>
      </c>
      <c r="R54" s="21">
        <v>44</v>
      </c>
      <c r="S54" s="21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1">
        <v>0.45730599999999999</v>
      </c>
      <c r="Z54" s="21">
        <v>174.31800000000001</v>
      </c>
      <c r="AA54" s="21">
        <v>-1.51489E-2</v>
      </c>
      <c r="AB54" s="21">
        <v>44</v>
      </c>
      <c r="AC54" s="21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1">
        <v>1.27258</v>
      </c>
      <c r="AH54" s="21">
        <v>232.38900000000001</v>
      </c>
      <c r="AI54" s="21">
        <v>-1.0876500000000001E-2</v>
      </c>
      <c r="AJ54" s="21">
        <v>44</v>
      </c>
      <c r="AK54" s="21">
        <v>1.2716700000000001</v>
      </c>
      <c r="AL54">
        <f t="shared" si="6"/>
        <v>10.8765</v>
      </c>
      <c r="AM54">
        <f t="shared" si="7"/>
        <v>13.84121637</v>
      </c>
      <c r="AP54" s="9"/>
      <c r="AQ54" s="21">
        <v>0.45730599999999999</v>
      </c>
      <c r="AR54" s="21">
        <v>290.54399999999998</v>
      </c>
      <c r="AS54" s="21">
        <v>-1.53595E-2</v>
      </c>
      <c r="AT54" s="21">
        <v>44</v>
      </c>
      <c r="AU54" s="21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1">
        <v>1.27258</v>
      </c>
      <c r="AZ54" s="21">
        <v>348.517</v>
      </c>
      <c r="BA54" s="21">
        <v>-1.2649499999999999E-2</v>
      </c>
      <c r="BB54" s="21">
        <v>44</v>
      </c>
      <c r="BC54" s="21">
        <v>1.27197</v>
      </c>
      <c r="BD54">
        <f t="shared" si="10"/>
        <v>12.6495</v>
      </c>
      <c r="BE54">
        <f t="shared" si="11"/>
        <v>16.097500709999998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0.42724600000000001</v>
      </c>
      <c r="H55" s="21">
        <v>58.406399999999998</v>
      </c>
      <c r="I55" s="21">
        <v>-1.52008E-2</v>
      </c>
      <c r="J55" s="21">
        <v>45</v>
      </c>
      <c r="K55" s="21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1">
        <v>1.30264</v>
      </c>
      <c r="P55" s="21">
        <v>116.471</v>
      </c>
      <c r="Q55" s="24">
        <v>-6.34766E-6</v>
      </c>
      <c r="R55" s="21">
        <v>45</v>
      </c>
      <c r="S55" s="21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1">
        <v>0.42724600000000001</v>
      </c>
      <c r="Z55" s="21">
        <v>174.518</v>
      </c>
      <c r="AA55" s="21">
        <v>-1.52222E-2</v>
      </c>
      <c r="AB55" s="21">
        <v>45</v>
      </c>
      <c r="AC55" s="21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1">
        <v>1.30264</v>
      </c>
      <c r="AH55" s="21">
        <v>232.589</v>
      </c>
      <c r="AI55" s="21">
        <v>-1.1142000000000001E-2</v>
      </c>
      <c r="AJ55" s="21">
        <v>45</v>
      </c>
      <c r="AK55" s="21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1">
        <v>0.42724600000000001</v>
      </c>
      <c r="AR55" s="21">
        <v>290.74400000000003</v>
      </c>
      <c r="AS55" s="21">
        <v>-1.5423600000000001E-2</v>
      </c>
      <c r="AT55" s="21">
        <v>45</v>
      </c>
      <c r="AU55" s="21">
        <v>0.42666599999999999</v>
      </c>
      <c r="AV55">
        <f t="shared" si="8"/>
        <v>15.4236</v>
      </c>
      <c r="AW55">
        <f t="shared" si="9"/>
        <v>6.5896714056000008</v>
      </c>
      <c r="AX55" s="9"/>
      <c r="AY55" s="21">
        <v>1.30264</v>
      </c>
      <c r="AZ55" s="21">
        <v>348.71699999999998</v>
      </c>
      <c r="BA55" s="21">
        <v>-1.22925E-2</v>
      </c>
      <c r="BB55" s="21">
        <v>45</v>
      </c>
      <c r="BC55" s="21">
        <v>1.30219</v>
      </c>
      <c r="BD55">
        <f t="shared" si="10"/>
        <v>12.2925</v>
      </c>
      <c r="BE55">
        <f t="shared" si="11"/>
        <v>16.0127022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0.39718599999999998</v>
      </c>
      <c r="H56" s="21">
        <v>58.6068</v>
      </c>
      <c r="I56" s="21">
        <v>-1.5685999999999999E-2</v>
      </c>
      <c r="J56" s="21">
        <v>46</v>
      </c>
      <c r="K56" s="21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1">
        <v>1.3327</v>
      </c>
      <c r="P56" s="21">
        <v>116.672</v>
      </c>
      <c r="Q56" s="24">
        <v>1.17798E-5</v>
      </c>
      <c r="R56" s="21">
        <v>46</v>
      </c>
      <c r="S56" s="21">
        <v>1.33209</v>
      </c>
      <c r="T56">
        <f t="shared" si="2"/>
        <v>-1.17798E-2</v>
      </c>
      <c r="U56">
        <f t="shared" si="3"/>
        <v>-1.5698939459999998E-2</v>
      </c>
      <c r="X56" s="9"/>
      <c r="Y56" s="21">
        <v>0.39718599999999998</v>
      </c>
      <c r="Z56" s="21">
        <v>174.71899999999999</v>
      </c>
      <c r="AA56" s="21">
        <v>-1.5673800000000002E-2</v>
      </c>
      <c r="AB56" s="21">
        <v>46</v>
      </c>
      <c r="AC56" s="21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1">
        <v>1.3327</v>
      </c>
      <c r="AH56" s="21">
        <v>232.79</v>
      </c>
      <c r="AI56" s="21">
        <v>-1.14716E-2</v>
      </c>
      <c r="AJ56" s="21">
        <v>46</v>
      </c>
      <c r="AK56" s="21">
        <v>1.33179</v>
      </c>
      <c r="AL56">
        <f t="shared" si="6"/>
        <v>11.4716</v>
      </c>
      <c r="AM56">
        <f t="shared" si="7"/>
        <v>15.288201320000001</v>
      </c>
      <c r="AP56" s="9"/>
      <c r="AQ56" s="21">
        <v>0.39718599999999998</v>
      </c>
      <c r="AR56" s="21">
        <v>290.94400000000002</v>
      </c>
      <c r="AS56" s="21">
        <v>-1.5383900000000001E-2</v>
      </c>
      <c r="AT56" s="21">
        <v>46</v>
      </c>
      <c r="AU56" s="21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1">
        <v>1.3327</v>
      </c>
      <c r="AZ56" s="21">
        <v>348.91699999999997</v>
      </c>
      <c r="BA56" s="21">
        <v>-1.18561E-2</v>
      </c>
      <c r="BB56" s="21">
        <v>46</v>
      </c>
      <c r="BC56" s="21">
        <v>1.33179</v>
      </c>
      <c r="BD56">
        <f t="shared" si="10"/>
        <v>11.8561</v>
      </c>
      <c r="BE56">
        <f t="shared" si="11"/>
        <v>15.800624469999999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0.36712600000000001</v>
      </c>
      <c r="H57" s="21">
        <v>58.807200000000002</v>
      </c>
      <c r="I57" s="21">
        <v>-1.5621899999999999E-2</v>
      </c>
      <c r="J57" s="21">
        <v>47</v>
      </c>
      <c r="K57" s="21">
        <v>0.36654700000000001</v>
      </c>
      <c r="L57">
        <f t="shared" si="0"/>
        <v>15.6219</v>
      </c>
      <c r="M57">
        <f t="shared" si="1"/>
        <v>5.7352056594</v>
      </c>
      <c r="N57" s="9"/>
      <c r="O57" s="21">
        <v>1.36276</v>
      </c>
      <c r="P57" s="21">
        <v>116.872</v>
      </c>
      <c r="Q57" s="24">
        <v>1.2176499999999999E-5</v>
      </c>
      <c r="R57" s="21">
        <v>47</v>
      </c>
      <c r="S57" s="21">
        <v>1.3616900000000001</v>
      </c>
      <c r="T57">
        <f t="shared" si="2"/>
        <v>-1.21765E-2</v>
      </c>
      <c r="U57">
        <f t="shared" si="3"/>
        <v>-1.6593647140000001E-2</v>
      </c>
      <c r="X57" s="9"/>
      <c r="Y57" s="21">
        <v>0.36712600000000001</v>
      </c>
      <c r="Z57" s="21">
        <v>174.91900000000001</v>
      </c>
      <c r="AA57" s="21">
        <v>-1.5521200000000001E-2</v>
      </c>
      <c r="AB57" s="21">
        <v>47</v>
      </c>
      <c r="AC57" s="21">
        <v>0.36651600000000001</v>
      </c>
      <c r="AD57">
        <f t="shared" si="4"/>
        <v>15.5212</v>
      </c>
      <c r="AE57">
        <f t="shared" si="5"/>
        <v>5.6982360712000002</v>
      </c>
      <c r="AF57" s="9"/>
      <c r="AG57" s="21">
        <v>1.36276</v>
      </c>
      <c r="AH57" s="21">
        <v>232.99</v>
      </c>
      <c r="AI57" s="21">
        <v>-1.08612E-2</v>
      </c>
      <c r="AJ57" s="21">
        <v>47</v>
      </c>
      <c r="AK57" s="21">
        <v>1.3620000000000001</v>
      </c>
      <c r="AL57">
        <f t="shared" si="6"/>
        <v>10.8612</v>
      </c>
      <c r="AM57">
        <f t="shared" si="7"/>
        <v>14.801208912</v>
      </c>
      <c r="AP57" s="9"/>
      <c r="AQ57" s="21">
        <v>0.36712600000000001</v>
      </c>
      <c r="AR57" s="21">
        <v>291.14499999999998</v>
      </c>
      <c r="AS57" s="21">
        <v>-1.5444899999999999E-2</v>
      </c>
      <c r="AT57" s="21">
        <v>47</v>
      </c>
      <c r="AU57" s="21">
        <v>0.366425</v>
      </c>
      <c r="AV57">
        <f t="shared" si="8"/>
        <v>15.444899999999999</v>
      </c>
      <c r="AW57">
        <f t="shared" si="9"/>
        <v>5.6702243573999995</v>
      </c>
      <c r="AX57" s="9"/>
      <c r="AY57" s="21">
        <v>1.36276</v>
      </c>
      <c r="AZ57" s="21">
        <v>349.11799999999999</v>
      </c>
      <c r="BA57" s="21">
        <v>-1.1361700000000001E-2</v>
      </c>
      <c r="BB57" s="21">
        <v>47</v>
      </c>
      <c r="BC57" s="21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0.33706700000000001</v>
      </c>
      <c r="H58" s="21">
        <v>59.007599999999996</v>
      </c>
      <c r="I58" s="21">
        <v>-1.4843800000000001E-2</v>
      </c>
      <c r="J58" s="21">
        <v>48</v>
      </c>
      <c r="K58" s="21">
        <v>0.33633400000000002</v>
      </c>
      <c r="L58">
        <f t="shared" si="0"/>
        <v>14.8438</v>
      </c>
      <c r="M58">
        <f t="shared" si="1"/>
        <v>5.0033551346000005</v>
      </c>
      <c r="N58" s="9"/>
      <c r="O58" s="21">
        <v>1.3928199999999999</v>
      </c>
      <c r="P58" s="21">
        <v>117.07299999999999</v>
      </c>
      <c r="Q58" s="24">
        <v>1.2176499999999999E-5</v>
      </c>
      <c r="R58" s="21">
        <v>48</v>
      </c>
      <c r="S58" s="21">
        <v>1.39191</v>
      </c>
      <c r="T58">
        <f t="shared" si="2"/>
        <v>-1.21765E-2</v>
      </c>
      <c r="U58">
        <f t="shared" si="3"/>
        <v>-1.695967273E-2</v>
      </c>
      <c r="X58" s="9"/>
      <c r="Y58" s="21">
        <v>0.33706700000000001</v>
      </c>
      <c r="Z58" s="21">
        <v>175.119</v>
      </c>
      <c r="AA58" s="21">
        <v>-1.5472400000000001E-2</v>
      </c>
      <c r="AB58" s="21">
        <v>48</v>
      </c>
      <c r="AC58" s="21">
        <v>0.33645599999999998</v>
      </c>
      <c r="AD58">
        <f t="shared" si="4"/>
        <v>15.4724</v>
      </c>
      <c r="AE58">
        <f t="shared" si="5"/>
        <v>5.2152354507999998</v>
      </c>
      <c r="AF58" s="9"/>
      <c r="AG58" s="21">
        <v>1.3928199999999999</v>
      </c>
      <c r="AH58" s="21">
        <v>233.19</v>
      </c>
      <c r="AI58" s="21">
        <v>-1.02539E-2</v>
      </c>
      <c r="AJ58" s="21">
        <v>48</v>
      </c>
      <c r="AK58" s="21">
        <v>1.3922099999999999</v>
      </c>
      <c r="AL58">
        <f t="shared" si="6"/>
        <v>10.2539</v>
      </c>
      <c r="AM58">
        <f t="shared" si="7"/>
        <v>14.281836997999999</v>
      </c>
      <c r="AP58" s="9"/>
      <c r="AQ58" s="21">
        <v>0.33706700000000001</v>
      </c>
      <c r="AR58" s="21">
        <v>291.34500000000003</v>
      </c>
      <c r="AS58" s="21">
        <v>-1.54541E-2</v>
      </c>
      <c r="AT58" s="21">
        <v>48</v>
      </c>
      <c r="AU58" s="21">
        <v>0.33648699999999998</v>
      </c>
      <c r="AV58">
        <f t="shared" si="8"/>
        <v>15.4541</v>
      </c>
      <c r="AW58">
        <f t="shared" si="9"/>
        <v>5.2090671246999998</v>
      </c>
      <c r="AX58" s="9"/>
      <c r="AY58" s="21">
        <v>1.3928199999999999</v>
      </c>
      <c r="AZ58" s="21">
        <v>349.31799999999998</v>
      </c>
      <c r="BA58" s="21">
        <v>-1.08246E-2</v>
      </c>
      <c r="BB58" s="21">
        <v>48</v>
      </c>
      <c r="BC58" s="21">
        <v>1.3922099999999999</v>
      </c>
      <c r="BD58">
        <f t="shared" si="10"/>
        <v>10.8246</v>
      </c>
      <c r="BE58">
        <f t="shared" si="11"/>
        <v>15.076719371999999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0.30700699999999997</v>
      </c>
      <c r="H59" s="21">
        <v>59.207999999999998</v>
      </c>
      <c r="I59" s="21">
        <v>-1.5716600000000001E-2</v>
      </c>
      <c r="J59" s="21">
        <v>49</v>
      </c>
      <c r="K59" s="21">
        <v>0.306427</v>
      </c>
      <c r="L59">
        <f t="shared" si="0"/>
        <v>15.716600000000001</v>
      </c>
      <c r="M59">
        <f t="shared" si="1"/>
        <v>4.8251062162</v>
      </c>
      <c r="N59" s="9"/>
      <c r="O59" s="21">
        <v>1.4228799999999999</v>
      </c>
      <c r="P59" s="21">
        <v>117.273</v>
      </c>
      <c r="Q59" s="24">
        <v>1.2176499999999999E-5</v>
      </c>
      <c r="R59" s="21">
        <v>49</v>
      </c>
      <c r="S59" s="21">
        <v>1.4221200000000001</v>
      </c>
      <c r="T59">
        <f t="shared" si="2"/>
        <v>-1.21765E-2</v>
      </c>
      <c r="U59">
        <f t="shared" si="3"/>
        <v>-1.7325698319999999E-2</v>
      </c>
      <c r="X59" s="9"/>
      <c r="Y59" s="21">
        <v>0.30700699999999997</v>
      </c>
      <c r="Z59" s="21">
        <v>175.32</v>
      </c>
      <c r="AA59" s="21">
        <v>-1.52893E-2</v>
      </c>
      <c r="AB59" s="21">
        <v>49</v>
      </c>
      <c r="AC59" s="21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1">
        <v>1.4228799999999999</v>
      </c>
      <c r="AH59" s="21">
        <v>233.39099999999999</v>
      </c>
      <c r="AI59" s="21">
        <v>-9.5458999999999995E-3</v>
      </c>
      <c r="AJ59" s="21">
        <v>49</v>
      </c>
      <c r="AK59" s="21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1">
        <v>0.30700699999999997</v>
      </c>
      <c r="AR59" s="21">
        <v>291.54599999999999</v>
      </c>
      <c r="AS59" s="21">
        <v>-1.54419E-2</v>
      </c>
      <c r="AT59" s="21">
        <v>49</v>
      </c>
      <c r="AU59" s="21">
        <v>0.30636600000000003</v>
      </c>
      <c r="AV59">
        <f t="shared" si="8"/>
        <v>15.4419</v>
      </c>
      <c r="AW59">
        <f t="shared" si="9"/>
        <v>4.7407713932999993</v>
      </c>
      <c r="AX59" s="9"/>
      <c r="AY59" s="21">
        <v>1.4228799999999999</v>
      </c>
      <c r="AZ59" s="21">
        <v>349.51900000000001</v>
      </c>
      <c r="BA59" s="21">
        <v>-1.01776E-2</v>
      </c>
      <c r="BB59" s="21">
        <v>49</v>
      </c>
      <c r="BC59" s="21">
        <v>1.42181</v>
      </c>
      <c r="BD59">
        <f t="shared" si="10"/>
        <v>10.1776</v>
      </c>
      <c r="BE59">
        <f t="shared" si="11"/>
        <v>14.481503488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0.276947</v>
      </c>
      <c r="H60" s="21">
        <v>59.4084</v>
      </c>
      <c r="I60" s="21">
        <v>-1.5649400000000001E-2</v>
      </c>
      <c r="J60" s="21">
        <v>50</v>
      </c>
      <c r="K60" s="21">
        <v>0.276306</v>
      </c>
      <c r="L60">
        <f t="shared" si="0"/>
        <v>15.6494</v>
      </c>
      <c r="M60">
        <f t="shared" si="1"/>
        <v>4.3340543817999997</v>
      </c>
      <c r="N60" s="9"/>
      <c r="O60" s="21">
        <v>1.4529399999999999</v>
      </c>
      <c r="P60" s="21">
        <v>117.473</v>
      </c>
      <c r="Q60" s="24">
        <v>5.3405799999999996E-6</v>
      </c>
      <c r="R60" s="21">
        <v>50</v>
      </c>
      <c r="S60" s="21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1">
        <v>0.276947</v>
      </c>
      <c r="Z60" s="21">
        <v>175.52</v>
      </c>
      <c r="AA60" s="21">
        <v>-1.54205E-2</v>
      </c>
      <c r="AB60" s="21">
        <v>50</v>
      </c>
      <c r="AC60" s="21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1">
        <v>1.4529399999999999</v>
      </c>
      <c r="AH60" s="21">
        <v>233.59100000000001</v>
      </c>
      <c r="AI60" s="21">
        <v>-8.8165299999999995E-3</v>
      </c>
      <c r="AJ60" s="21">
        <v>50</v>
      </c>
      <c r="AK60" s="21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1">
        <v>0.276947</v>
      </c>
      <c r="AR60" s="21">
        <v>291.74599999999998</v>
      </c>
      <c r="AS60" s="21">
        <v>-1.55151E-2</v>
      </c>
      <c r="AT60" s="21">
        <v>50</v>
      </c>
      <c r="AU60" s="21">
        <v>0.27618399999999999</v>
      </c>
      <c r="AV60">
        <f t="shared" si="8"/>
        <v>15.5151</v>
      </c>
      <c r="AW60">
        <f t="shared" si="9"/>
        <v>4.2968603996999999</v>
      </c>
      <c r="AX60" s="9"/>
      <c r="AY60" s="21">
        <v>1.4529399999999999</v>
      </c>
      <c r="AZ60" s="21">
        <v>349.71899999999999</v>
      </c>
      <c r="BA60" s="21">
        <v>-9.4909699999999996E-3</v>
      </c>
      <c r="BB60" s="21">
        <v>50</v>
      </c>
      <c r="BC60" s="21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0.246887</v>
      </c>
      <c r="H61" s="21">
        <v>59.608800000000002</v>
      </c>
      <c r="I61" s="21">
        <v>-1.5802E-2</v>
      </c>
      <c r="J61" s="21">
        <v>51</v>
      </c>
      <c r="K61" s="21">
        <v>0.24642900000000001</v>
      </c>
      <c r="L61">
        <f t="shared" si="0"/>
        <v>15.802</v>
      </c>
      <c r="M61">
        <f t="shared" si="1"/>
        <v>3.9013083739999996</v>
      </c>
      <c r="N61" s="9"/>
      <c r="O61" s="21">
        <v>1.4830000000000001</v>
      </c>
      <c r="P61" s="21">
        <v>117.67400000000001</v>
      </c>
      <c r="Q61" s="24">
        <v>1.2085E-5</v>
      </c>
      <c r="R61" s="21">
        <v>51</v>
      </c>
      <c r="S61" s="21">
        <v>1.48224</v>
      </c>
      <c r="T61">
        <f t="shared" si="2"/>
        <v>-1.2085E-2</v>
      </c>
      <c r="U61">
        <f t="shared" si="3"/>
        <v>-1.7922055000000003E-2</v>
      </c>
      <c r="X61" s="9"/>
      <c r="Y61" s="21">
        <v>0.246887</v>
      </c>
      <c r="Z61" s="21">
        <v>175.721</v>
      </c>
      <c r="AA61" s="21">
        <v>-1.5506000000000001E-2</v>
      </c>
      <c r="AB61" s="21">
        <v>51</v>
      </c>
      <c r="AC61" s="21">
        <v>0.246277</v>
      </c>
      <c r="AD61">
        <f t="shared" si="4"/>
        <v>15.506</v>
      </c>
      <c r="AE61">
        <f t="shared" si="5"/>
        <v>3.8282298219999999</v>
      </c>
      <c r="AF61" s="9"/>
      <c r="AG61" s="21">
        <v>1.4830000000000001</v>
      </c>
      <c r="AH61" s="21">
        <v>233.792</v>
      </c>
      <c r="AI61" s="21">
        <v>-7.9711899999999995E-3</v>
      </c>
      <c r="AJ61" s="21">
        <v>51</v>
      </c>
      <c r="AK61" s="21">
        <v>1.48285</v>
      </c>
      <c r="AL61">
        <f t="shared" si="6"/>
        <v>7.9711899999999991</v>
      </c>
      <c r="AM61">
        <f t="shared" si="7"/>
        <v>11.821274769999999</v>
      </c>
      <c r="AP61" s="9"/>
      <c r="AQ61" s="21">
        <v>0.246887</v>
      </c>
      <c r="AR61" s="21">
        <v>291.94600000000003</v>
      </c>
      <c r="AS61" s="21">
        <v>-1.55304E-2</v>
      </c>
      <c r="AT61" s="21">
        <v>51</v>
      </c>
      <c r="AU61" s="21">
        <v>0.246368</v>
      </c>
      <c r="AV61">
        <f t="shared" si="8"/>
        <v>15.5304</v>
      </c>
      <c r="AW61">
        <f t="shared" si="9"/>
        <v>3.8342538648</v>
      </c>
      <c r="AX61" s="9"/>
      <c r="AY61" s="21">
        <v>1.4830000000000001</v>
      </c>
      <c r="AZ61" s="21">
        <v>349.91899999999998</v>
      </c>
      <c r="BA61" s="21">
        <v>-8.6517299999999998E-3</v>
      </c>
      <c r="BB61" s="21">
        <v>51</v>
      </c>
      <c r="BC61" s="21">
        <v>1.48224</v>
      </c>
      <c r="BD61">
        <f t="shared" si="10"/>
        <v>8.6517300000000006</v>
      </c>
      <c r="BE61">
        <f t="shared" si="11"/>
        <v>12.830515590000001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0.21682699999999999</v>
      </c>
      <c r="H62" s="21">
        <v>59.809199999999997</v>
      </c>
      <c r="I62" s="21">
        <v>-1.5823400000000001E-2</v>
      </c>
      <c r="J62" s="21">
        <v>52</v>
      </c>
      <c r="K62" s="21">
        <v>0.216278</v>
      </c>
      <c r="L62">
        <f t="shared" si="0"/>
        <v>15.823400000000001</v>
      </c>
      <c r="M62">
        <f t="shared" si="1"/>
        <v>3.4309403518000003</v>
      </c>
      <c r="N62" s="9"/>
      <c r="O62" s="21">
        <v>1.5130600000000001</v>
      </c>
      <c r="P62" s="21">
        <v>117.874</v>
      </c>
      <c r="Q62" s="24">
        <v>1.0376E-5</v>
      </c>
      <c r="R62" s="21">
        <v>52</v>
      </c>
      <c r="S62" s="21">
        <v>1.5118400000000001</v>
      </c>
      <c r="T62">
        <f t="shared" si="2"/>
        <v>-1.0376E-2</v>
      </c>
      <c r="U62">
        <f t="shared" si="3"/>
        <v>-1.5699510560000001E-2</v>
      </c>
      <c r="X62" s="9"/>
      <c r="Y62" s="21">
        <v>0.21682699999999999</v>
      </c>
      <c r="Z62" s="21">
        <v>175.92099999999999</v>
      </c>
      <c r="AA62" s="21">
        <v>-1.55823E-2</v>
      </c>
      <c r="AB62" s="21">
        <v>52</v>
      </c>
      <c r="AC62" s="21">
        <v>0.216248</v>
      </c>
      <c r="AD62">
        <f t="shared" si="4"/>
        <v>15.5823</v>
      </c>
      <c r="AE62">
        <f t="shared" si="5"/>
        <v>3.3786633620999997</v>
      </c>
      <c r="AF62" s="9"/>
      <c r="AG62" s="21">
        <v>1.5130600000000001</v>
      </c>
      <c r="AH62" s="21">
        <v>233.99199999999999</v>
      </c>
      <c r="AI62" s="21">
        <v>-7.0495599999999999E-3</v>
      </c>
      <c r="AJ62" s="21">
        <v>52</v>
      </c>
      <c r="AK62" s="21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1">
        <v>0.21682699999999999</v>
      </c>
      <c r="AR62" s="21">
        <v>292.14699999999999</v>
      </c>
      <c r="AS62" s="21">
        <v>-1.5527300000000001E-2</v>
      </c>
      <c r="AT62" s="21">
        <v>52</v>
      </c>
      <c r="AU62" s="21">
        <v>0.216278</v>
      </c>
      <c r="AV62">
        <f t="shared" si="8"/>
        <v>15.5273</v>
      </c>
      <c r="AW62">
        <f t="shared" si="9"/>
        <v>3.3667378770999998</v>
      </c>
      <c r="AX62" s="9"/>
      <c r="AY62" s="21">
        <v>1.5130600000000001</v>
      </c>
      <c r="AZ62" s="21">
        <v>350.12</v>
      </c>
      <c r="BA62" s="21">
        <v>-7.7270500000000001E-3</v>
      </c>
      <c r="BB62" s="21">
        <v>52</v>
      </c>
      <c r="BC62" s="21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0.18676799999999999</v>
      </c>
      <c r="H63" s="21">
        <v>60.009599999999999</v>
      </c>
      <c r="I63" s="21">
        <v>-1.5859999999999999E-2</v>
      </c>
      <c r="J63" s="21">
        <v>53</v>
      </c>
      <c r="K63" s="21">
        <v>0.186249</v>
      </c>
      <c r="L63">
        <f t="shared" si="0"/>
        <v>15.86</v>
      </c>
      <c r="M63">
        <f t="shared" si="1"/>
        <v>2.9621404799999995</v>
      </c>
      <c r="N63" s="9"/>
      <c r="O63" s="21">
        <v>1.54312</v>
      </c>
      <c r="P63" s="21">
        <v>118.075</v>
      </c>
      <c r="Q63" s="24">
        <v>1.2176499999999999E-5</v>
      </c>
      <c r="R63" s="21">
        <v>53</v>
      </c>
      <c r="S63" s="21">
        <v>1.54236</v>
      </c>
      <c r="T63">
        <f t="shared" si="2"/>
        <v>-1.21765E-2</v>
      </c>
      <c r="U63">
        <f t="shared" si="3"/>
        <v>-1.878980068E-2</v>
      </c>
      <c r="X63" s="9"/>
      <c r="Y63" s="21">
        <v>0.18676799999999999</v>
      </c>
      <c r="Z63" s="21">
        <v>176.12100000000001</v>
      </c>
      <c r="AA63" s="21">
        <v>-1.56036E-2</v>
      </c>
      <c r="AB63" s="21">
        <v>53</v>
      </c>
      <c r="AC63" s="21">
        <v>0.186249</v>
      </c>
      <c r="AD63">
        <f t="shared" si="4"/>
        <v>15.6036</v>
      </c>
      <c r="AE63">
        <f t="shared" si="5"/>
        <v>2.9142531647999999</v>
      </c>
      <c r="AF63" s="9"/>
      <c r="AG63" s="21">
        <v>1.54312</v>
      </c>
      <c r="AH63" s="21">
        <v>234.19200000000001</v>
      </c>
      <c r="AI63" s="21">
        <v>-6.0333299999999999E-3</v>
      </c>
      <c r="AJ63" s="21">
        <v>53</v>
      </c>
      <c r="AK63" s="21">
        <v>1.54236</v>
      </c>
      <c r="AL63">
        <f t="shared" si="6"/>
        <v>6.0333300000000003</v>
      </c>
      <c r="AM63">
        <f t="shared" si="7"/>
        <v>9.3101521896000001</v>
      </c>
      <c r="AP63" s="9"/>
      <c r="AQ63" s="21">
        <v>0.18676799999999999</v>
      </c>
      <c r="AR63" s="21">
        <v>292.34699999999998</v>
      </c>
      <c r="AS63" s="21">
        <v>-1.55762E-2</v>
      </c>
      <c r="AT63" s="21">
        <v>53</v>
      </c>
      <c r="AU63" s="21">
        <v>0.18621799999999999</v>
      </c>
      <c r="AV63">
        <f t="shared" si="8"/>
        <v>15.5762</v>
      </c>
      <c r="AW63">
        <f t="shared" si="9"/>
        <v>2.9091357215999998</v>
      </c>
      <c r="AX63" s="9"/>
      <c r="AY63" s="21">
        <v>1.54312</v>
      </c>
      <c r="AZ63" s="21">
        <v>350.32</v>
      </c>
      <c r="BA63" s="21">
        <v>-6.6680899999999998E-3</v>
      </c>
      <c r="BB63" s="21">
        <v>53</v>
      </c>
      <c r="BC63" s="21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0.15670799999999999</v>
      </c>
      <c r="H64" s="21">
        <v>60.21</v>
      </c>
      <c r="I64" s="21">
        <v>-1.5878300000000001E-2</v>
      </c>
      <c r="J64" s="21">
        <v>54</v>
      </c>
      <c r="K64" s="21">
        <v>0.156219</v>
      </c>
      <c r="L64">
        <f t="shared" si="0"/>
        <v>15.878300000000001</v>
      </c>
      <c r="M64">
        <f t="shared" si="1"/>
        <v>2.4882566364000001</v>
      </c>
      <c r="N64" s="9"/>
      <c r="O64" s="21">
        <v>1.57318</v>
      </c>
      <c r="P64" s="21">
        <v>118.27500000000001</v>
      </c>
      <c r="Q64" s="24">
        <v>4.57764E-7</v>
      </c>
      <c r="R64" s="21">
        <v>54</v>
      </c>
      <c r="S64" s="21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1">
        <v>0.15670799999999999</v>
      </c>
      <c r="Z64" s="21">
        <v>176.322</v>
      </c>
      <c r="AA64" s="21">
        <v>-1.55243E-2</v>
      </c>
      <c r="AB64" s="21">
        <v>54</v>
      </c>
      <c r="AC64" s="21">
        <v>0.15612799999999999</v>
      </c>
      <c r="AD64">
        <f t="shared" si="4"/>
        <v>15.5243</v>
      </c>
      <c r="AE64">
        <f t="shared" si="5"/>
        <v>2.4327820043999999</v>
      </c>
      <c r="AF64" s="9"/>
      <c r="AG64" s="21">
        <v>1.57318</v>
      </c>
      <c r="AH64" s="21">
        <v>234.393</v>
      </c>
      <c r="AI64" s="21">
        <v>-4.8037699999999997E-3</v>
      </c>
      <c r="AJ64" s="21">
        <v>54</v>
      </c>
      <c r="AK64" s="21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1">
        <v>0.15670799999999999</v>
      </c>
      <c r="AR64" s="21">
        <v>292.548</v>
      </c>
      <c r="AS64" s="21">
        <v>-1.5646400000000001E-2</v>
      </c>
      <c r="AT64" s="21">
        <v>54</v>
      </c>
      <c r="AU64" s="21">
        <v>0.156281</v>
      </c>
      <c r="AV64">
        <f t="shared" si="8"/>
        <v>15.646400000000002</v>
      </c>
      <c r="AW64">
        <f t="shared" si="9"/>
        <v>2.4519160512</v>
      </c>
      <c r="AX64" s="9"/>
      <c r="AY64" s="21">
        <v>1.57318</v>
      </c>
      <c r="AZ64" s="21">
        <v>350.52100000000002</v>
      </c>
      <c r="BA64" s="21">
        <v>-5.5023199999999998E-3</v>
      </c>
      <c r="BB64" s="21">
        <v>54</v>
      </c>
      <c r="BC64" s="21">
        <v>1.57257</v>
      </c>
      <c r="BD64">
        <f t="shared" si="10"/>
        <v>5.5023200000000001</v>
      </c>
      <c r="BE64">
        <f t="shared" si="11"/>
        <v>8.6561397776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0.12664800000000001</v>
      </c>
      <c r="H65" s="21">
        <v>60.410400000000003</v>
      </c>
      <c r="I65" s="21">
        <v>-1.59119E-2</v>
      </c>
      <c r="J65" s="21">
        <v>55</v>
      </c>
      <c r="K65" s="21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1">
        <v>1.60324</v>
      </c>
      <c r="P65" s="21">
        <v>118.47499999999999</v>
      </c>
      <c r="Q65" s="24">
        <v>1.2085E-5</v>
      </c>
      <c r="R65" s="21">
        <v>55</v>
      </c>
      <c r="S65" s="21">
        <v>1.6024799999999999</v>
      </c>
      <c r="T65">
        <f t="shared" si="2"/>
        <v>-1.2085E-2</v>
      </c>
      <c r="U65">
        <f t="shared" si="3"/>
        <v>-1.93751554E-2</v>
      </c>
      <c r="X65" s="9"/>
      <c r="Y65" s="21">
        <v>0.12664800000000001</v>
      </c>
      <c r="Z65" s="21">
        <v>176.52199999999999</v>
      </c>
      <c r="AA65" s="21">
        <v>-1.5625E-2</v>
      </c>
      <c r="AB65" s="21">
        <v>55</v>
      </c>
      <c r="AC65" s="21">
        <v>0.12612899999999999</v>
      </c>
      <c r="AD65">
        <f t="shared" si="4"/>
        <v>15.625</v>
      </c>
      <c r="AE65">
        <f t="shared" si="5"/>
        <v>1.9788750000000002</v>
      </c>
      <c r="AF65" s="9"/>
      <c r="AG65" s="21">
        <v>1.60324</v>
      </c>
      <c r="AH65" s="21">
        <v>234.59299999999999</v>
      </c>
      <c r="AI65" s="21">
        <v>-1.8161E-3</v>
      </c>
      <c r="AJ65" s="21">
        <v>55</v>
      </c>
      <c r="AK65" s="21">
        <v>1.6021700000000001</v>
      </c>
      <c r="AL65">
        <f t="shared" si="6"/>
        <v>1.8161</v>
      </c>
      <c r="AM65">
        <f t="shared" si="7"/>
        <v>2.9116441640000001</v>
      </c>
      <c r="AP65" s="9"/>
      <c r="AQ65" s="21">
        <v>0.12664800000000001</v>
      </c>
      <c r="AR65" s="21">
        <v>292.74799999999999</v>
      </c>
      <c r="AS65" s="21">
        <v>-1.5658600000000002E-2</v>
      </c>
      <c r="AT65" s="21">
        <v>55</v>
      </c>
      <c r="AU65" s="21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1">
        <v>1.60324</v>
      </c>
      <c r="AZ65" s="21">
        <v>350.721</v>
      </c>
      <c r="BA65" s="21">
        <v>-4.1531399999999996E-3</v>
      </c>
      <c r="BB65" s="21">
        <v>55</v>
      </c>
      <c r="BC65" s="21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9.6588099999999996E-2</v>
      </c>
      <c r="H66" s="21">
        <v>60.610799999999998</v>
      </c>
      <c r="I66" s="21">
        <v>-1.5930199999999999E-2</v>
      </c>
      <c r="J66" s="21">
        <v>56</v>
      </c>
      <c r="K66" s="21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1">
        <v>1.6333</v>
      </c>
      <c r="P66" s="21">
        <v>118.676</v>
      </c>
      <c r="Q66" s="24">
        <v>1.2146E-5</v>
      </c>
      <c r="R66" s="21">
        <v>56</v>
      </c>
      <c r="S66" s="21">
        <v>1.63239</v>
      </c>
      <c r="T66">
        <f t="shared" si="2"/>
        <v>-1.2146000000000001E-2</v>
      </c>
      <c r="U66">
        <f t="shared" si="3"/>
        <v>-1.9838061800000001E-2</v>
      </c>
      <c r="X66" s="9"/>
      <c r="Y66" s="21">
        <v>9.6588099999999996E-2</v>
      </c>
      <c r="Z66" s="21">
        <v>176.72300000000001</v>
      </c>
      <c r="AA66" s="21">
        <v>-1.5765399999999999E-2</v>
      </c>
      <c r="AB66" s="21">
        <v>56</v>
      </c>
      <c r="AC66" s="21">
        <v>9.6099900000000002E-2</v>
      </c>
      <c r="AD66">
        <f t="shared" si="4"/>
        <v>15.7654</v>
      </c>
      <c r="AE66">
        <f t="shared" si="5"/>
        <v>1.52275003174</v>
      </c>
      <c r="AF66" s="9"/>
      <c r="AG66" s="21">
        <v>1.6333</v>
      </c>
      <c r="AH66" s="21">
        <v>234.79400000000001</v>
      </c>
      <c r="AI66" s="21">
        <v>-1.08215E-3</v>
      </c>
      <c r="AJ66" s="21">
        <v>56</v>
      </c>
      <c r="AK66" s="21">
        <v>1.63269</v>
      </c>
      <c r="AL66">
        <f t="shared" si="6"/>
        <v>1.0821499999999999</v>
      </c>
      <c r="AM66">
        <f t="shared" si="7"/>
        <v>1.7674755949999998</v>
      </c>
      <c r="AP66" s="9"/>
      <c r="AQ66" s="21">
        <v>9.6588099999999996E-2</v>
      </c>
      <c r="AR66" s="21">
        <v>292.94799999999998</v>
      </c>
      <c r="AS66" s="21">
        <v>-1.5689100000000001E-2</v>
      </c>
      <c r="AT66" s="21">
        <v>56</v>
      </c>
      <c r="AU66" s="21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1">
        <v>1.6333</v>
      </c>
      <c r="AZ66" s="21">
        <v>350.92099999999999</v>
      </c>
      <c r="BA66" s="21">
        <v>-2.5796500000000002E-3</v>
      </c>
      <c r="BB66" s="21">
        <v>56</v>
      </c>
      <c r="BC66" s="21">
        <v>1.633</v>
      </c>
      <c r="BD66">
        <f t="shared" si="10"/>
        <v>2.57965</v>
      </c>
      <c r="BE66">
        <f t="shared" si="11"/>
        <v>4.213342345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6.6528299999999999E-2</v>
      </c>
      <c r="H67" s="21">
        <v>60.811199999999999</v>
      </c>
      <c r="I67" s="21">
        <v>-1.5948500000000001E-2</v>
      </c>
      <c r="J67" s="21">
        <v>57</v>
      </c>
      <c r="K67" s="21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1">
        <v>1.6633599999999999</v>
      </c>
      <c r="P67" s="21">
        <v>118.876</v>
      </c>
      <c r="Q67" s="24">
        <v>1.2176499999999999E-5</v>
      </c>
      <c r="R67" s="21">
        <v>57</v>
      </c>
      <c r="S67" s="21">
        <v>1.6626000000000001</v>
      </c>
      <c r="T67">
        <f t="shared" si="2"/>
        <v>-1.21765E-2</v>
      </c>
      <c r="U67">
        <f t="shared" si="3"/>
        <v>-2.025390304E-2</v>
      </c>
      <c r="X67" s="9"/>
      <c r="Y67" s="21">
        <v>6.6528299999999999E-2</v>
      </c>
      <c r="Z67" s="21">
        <v>176.923</v>
      </c>
      <c r="AA67" s="21">
        <v>-1.5777599999999999E-2</v>
      </c>
      <c r="AB67" s="21">
        <v>57</v>
      </c>
      <c r="AC67" s="21">
        <v>6.5948499999999993E-2</v>
      </c>
      <c r="AD67">
        <f t="shared" si="4"/>
        <v>15.7776</v>
      </c>
      <c r="AE67">
        <f t="shared" si="5"/>
        <v>1.0496569060800001</v>
      </c>
      <c r="AF67" s="9"/>
      <c r="AG67" s="21">
        <v>1.6633599999999999</v>
      </c>
      <c r="AH67" s="21">
        <v>234.994</v>
      </c>
      <c r="AI67" s="24">
        <v>-2.6825000000000002E-5</v>
      </c>
      <c r="AJ67" s="21">
        <v>57</v>
      </c>
      <c r="AK67" s="21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1">
        <v>6.6528299999999999E-2</v>
      </c>
      <c r="AR67" s="21">
        <v>293.149</v>
      </c>
      <c r="AS67" s="21">
        <v>-1.5725699999999999E-2</v>
      </c>
      <c r="AT67" s="21">
        <v>57</v>
      </c>
      <c r="AU67" s="21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1">
        <v>1.6633599999999999</v>
      </c>
      <c r="AZ67" s="21">
        <v>351.12200000000001</v>
      </c>
      <c r="BA67" s="21">
        <v>-7.6995799999999995E-4</v>
      </c>
      <c r="BB67" s="21">
        <v>57</v>
      </c>
      <c r="BC67" s="21">
        <v>1.66229</v>
      </c>
      <c r="BD67">
        <f t="shared" si="10"/>
        <v>0.76995799999999992</v>
      </c>
      <c r="BE67">
        <f t="shared" si="11"/>
        <v>1.2807173388799997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3.6468500000000001E-2</v>
      </c>
      <c r="H68" s="21">
        <v>61.011600000000001</v>
      </c>
      <c r="I68" s="21">
        <v>-1.5976000000000001E-2</v>
      </c>
      <c r="J68" s="21">
        <v>58</v>
      </c>
      <c r="K68" s="21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1">
        <v>1.6934199999999999</v>
      </c>
      <c r="P68" s="21">
        <v>119.077</v>
      </c>
      <c r="Q68" s="24">
        <v>1.2146E-5</v>
      </c>
      <c r="R68" s="21">
        <v>58</v>
      </c>
      <c r="S68" s="21">
        <v>1.69312</v>
      </c>
      <c r="T68">
        <f t="shared" si="2"/>
        <v>-1.2146000000000001E-2</v>
      </c>
      <c r="U68">
        <f t="shared" si="3"/>
        <v>-2.0568279320000001E-2</v>
      </c>
      <c r="X68" s="9"/>
      <c r="Y68" s="21">
        <v>3.6468500000000001E-2</v>
      </c>
      <c r="Z68" s="21">
        <v>177.12299999999999</v>
      </c>
      <c r="AA68" s="21">
        <v>-1.58417E-2</v>
      </c>
      <c r="AB68" s="21">
        <v>58</v>
      </c>
      <c r="AC68" s="21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1">
        <v>1.6934199999999999</v>
      </c>
      <c r="AH68" s="21">
        <v>235.19399999999999</v>
      </c>
      <c r="AI68" s="21">
        <v>4.7604400000000001E-4</v>
      </c>
      <c r="AJ68" s="21">
        <v>58</v>
      </c>
      <c r="AK68" s="21">
        <v>1.69312</v>
      </c>
      <c r="AL68">
        <f t="shared" si="6"/>
        <v>-0.47604400000000002</v>
      </c>
      <c r="AM68">
        <f t="shared" si="7"/>
        <v>-0.80614243048000001</v>
      </c>
      <c r="AP68" s="9"/>
      <c r="AQ68" s="21">
        <v>3.6468500000000001E-2</v>
      </c>
      <c r="AR68" s="21">
        <v>293.34899999999999</v>
      </c>
      <c r="AS68" s="21">
        <v>-1.5777599999999999E-2</v>
      </c>
      <c r="AT68" s="21">
        <v>58</v>
      </c>
      <c r="AU68" s="21">
        <v>3.6437999999999998E-2</v>
      </c>
      <c r="AV68">
        <f t="shared" si="8"/>
        <v>15.7776</v>
      </c>
      <c r="AW68">
        <f t="shared" si="9"/>
        <v>0.57538540559999996</v>
      </c>
      <c r="AX68" s="9"/>
      <c r="AY68" s="21">
        <v>1.6934199999999999</v>
      </c>
      <c r="AZ68" s="21">
        <v>351.322</v>
      </c>
      <c r="BA68" s="21">
        <v>1.34216E-3</v>
      </c>
      <c r="BB68" s="21">
        <v>58</v>
      </c>
      <c r="BC68" s="21">
        <v>1.6924999999999999</v>
      </c>
      <c r="BD68">
        <f t="shared" si="10"/>
        <v>-1.34216</v>
      </c>
      <c r="BE68">
        <f t="shared" si="11"/>
        <v>-2.2728405872000002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6.4086899999999999E-3</v>
      </c>
      <c r="H69" s="21">
        <v>61.212000000000003</v>
      </c>
      <c r="I69" s="21">
        <v>-1.5963700000000001E-2</v>
      </c>
      <c r="J69" s="21">
        <v>59</v>
      </c>
      <c r="K69" s="21">
        <v>6.17981E-3</v>
      </c>
      <c r="L69">
        <f t="shared" si="0"/>
        <v>15.963700000000001</v>
      </c>
      <c r="M69">
        <f t="shared" si="1"/>
        <v>0.10230640455300001</v>
      </c>
      <c r="N69" s="9"/>
      <c r="O69" s="21">
        <v>1.7234799999999999</v>
      </c>
      <c r="P69" s="21">
        <v>119.277</v>
      </c>
      <c r="Q69" s="24">
        <v>1.2146E-5</v>
      </c>
      <c r="R69" s="21">
        <v>59</v>
      </c>
      <c r="S69" s="21">
        <v>1.72272</v>
      </c>
      <c r="T69">
        <f t="shared" si="2"/>
        <v>-1.2146000000000001E-2</v>
      </c>
      <c r="U69">
        <f t="shared" si="3"/>
        <v>-2.093338808E-2</v>
      </c>
      <c r="X69" s="9"/>
      <c r="Y69" s="21">
        <v>6.4086899999999999E-3</v>
      </c>
      <c r="Z69" s="21">
        <v>177.32400000000001</v>
      </c>
      <c r="AA69" s="21">
        <v>-1.5805099999999999E-2</v>
      </c>
      <c r="AB69" s="21">
        <v>59</v>
      </c>
      <c r="AC69" s="21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1">
        <v>1.7234799999999999</v>
      </c>
      <c r="AH69" s="21">
        <v>235.39500000000001</v>
      </c>
      <c r="AI69" s="21">
        <v>2.3117099999999998E-3</v>
      </c>
      <c r="AJ69" s="21">
        <v>59</v>
      </c>
      <c r="AK69" s="21">
        <v>1.72272</v>
      </c>
      <c r="AL69">
        <f t="shared" si="6"/>
        <v>-2.3117099999999997</v>
      </c>
      <c r="AM69">
        <f t="shared" si="7"/>
        <v>-3.9841859507999993</v>
      </c>
      <c r="AP69" s="9"/>
      <c r="AQ69" s="21">
        <v>6.4086899999999999E-3</v>
      </c>
      <c r="AR69" s="21">
        <v>293.55</v>
      </c>
      <c r="AS69" s="21">
        <v>-1.58417E-2</v>
      </c>
      <c r="AT69" s="21">
        <v>59</v>
      </c>
      <c r="AU69" s="21">
        <v>6.17981E-3</v>
      </c>
      <c r="AV69">
        <f t="shared" si="8"/>
        <v>15.841699999999999</v>
      </c>
      <c r="AW69">
        <f t="shared" si="9"/>
        <v>0.101524544373</v>
      </c>
      <c r="AX69" s="9"/>
      <c r="AY69" s="21">
        <v>1.7234799999999999</v>
      </c>
      <c r="AZ69" s="21">
        <v>351.52300000000002</v>
      </c>
      <c r="BA69" s="21">
        <v>3.7219200000000001E-3</v>
      </c>
      <c r="BB69" s="21">
        <v>59</v>
      </c>
      <c r="BC69" s="21">
        <v>1.72241</v>
      </c>
      <c r="BD69">
        <f t="shared" si="10"/>
        <v>-3.7219199999999999</v>
      </c>
      <c r="BE69">
        <f t="shared" si="11"/>
        <v>-6.4146546815999992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-2.3651100000000001E-2</v>
      </c>
      <c r="H70" s="21">
        <v>61.412399999999998</v>
      </c>
      <c r="I70" s="21">
        <v>-1.5985099999999999E-2</v>
      </c>
      <c r="J70" s="21">
        <v>60</v>
      </c>
      <c r="K70" s="21">
        <v>-2.38342E-2</v>
      </c>
      <c r="L70">
        <f t="shared" si="0"/>
        <v>15.985099999999999</v>
      </c>
      <c r="M70">
        <f t="shared" si="1"/>
        <v>-0.37806519860999999</v>
      </c>
      <c r="N70" s="9"/>
      <c r="O70" s="21">
        <v>1.7535400000000001</v>
      </c>
      <c r="P70" s="21">
        <v>119.477</v>
      </c>
      <c r="Q70" s="21">
        <v>1.3525399999999999E-3</v>
      </c>
      <c r="R70" s="21">
        <v>60</v>
      </c>
      <c r="S70" s="21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1">
        <v>-2.3651100000000001E-2</v>
      </c>
      <c r="Z70" s="21">
        <v>177.524</v>
      </c>
      <c r="AA70" s="21">
        <v>-1.5862999999999999E-2</v>
      </c>
      <c r="AB70" s="21">
        <v>60</v>
      </c>
      <c r="AC70" s="21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1">
        <v>1.7535400000000001</v>
      </c>
      <c r="AH70" s="21">
        <v>235.595</v>
      </c>
      <c r="AI70" s="21">
        <v>4.1201800000000002E-3</v>
      </c>
      <c r="AJ70" s="21">
        <v>60</v>
      </c>
      <c r="AK70" s="21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1">
        <v>-2.3651100000000001E-2</v>
      </c>
      <c r="AR70" s="21">
        <v>293.75</v>
      </c>
      <c r="AS70" s="21">
        <v>-1.58447E-2</v>
      </c>
      <c r="AT70" s="21">
        <v>60</v>
      </c>
      <c r="AU70" s="21">
        <v>-2.3941E-2</v>
      </c>
      <c r="AV70">
        <f t="shared" si="8"/>
        <v>15.8447</v>
      </c>
      <c r="AW70">
        <f t="shared" si="9"/>
        <v>-0.37474458417000001</v>
      </c>
      <c r="AX70" s="9"/>
      <c r="AY70" s="21">
        <v>1.7535400000000001</v>
      </c>
      <c r="AZ70" s="21">
        <v>351.72300000000001</v>
      </c>
      <c r="BA70" s="21">
        <v>6.4514200000000002E-3</v>
      </c>
      <c r="BB70" s="21">
        <v>60</v>
      </c>
      <c r="BC70" s="21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-5.3710899999999999E-2</v>
      </c>
      <c r="H71" s="21">
        <v>61.6128</v>
      </c>
      <c r="I71" s="21">
        <v>-1.6003400000000001E-2</v>
      </c>
      <c r="J71" s="21">
        <v>61</v>
      </c>
      <c r="K71" s="21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1">
        <v>1.7836000000000001</v>
      </c>
      <c r="P71" s="21">
        <v>119.678</v>
      </c>
      <c r="Q71" s="21">
        <v>1.2200900000000001E-3</v>
      </c>
      <c r="R71" s="21">
        <v>61</v>
      </c>
      <c r="S71" s="21">
        <v>1.78284</v>
      </c>
      <c r="T71">
        <f t="shared" si="2"/>
        <v>-1.2200900000000001</v>
      </c>
      <c r="U71">
        <f t="shared" si="3"/>
        <v>-2.1761525240000004</v>
      </c>
      <c r="X71" s="9"/>
      <c r="Y71" s="21">
        <v>-5.3710899999999999E-2</v>
      </c>
      <c r="Z71" s="21">
        <v>177.72499999999999</v>
      </c>
      <c r="AA71" s="21">
        <v>-1.5817299999999999E-2</v>
      </c>
      <c r="AB71" s="21">
        <v>61</v>
      </c>
      <c r="AC71" s="21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1">
        <v>1.7836000000000001</v>
      </c>
      <c r="AH71" s="21">
        <v>235.79599999999999</v>
      </c>
      <c r="AI71" s="21">
        <v>5.9143099999999999E-3</v>
      </c>
      <c r="AJ71" s="21">
        <v>61</v>
      </c>
      <c r="AK71" s="21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1">
        <v>-5.3710899999999999E-2</v>
      </c>
      <c r="AR71" s="21">
        <v>293.95</v>
      </c>
      <c r="AS71" s="21">
        <v>-1.5875199999999999E-2</v>
      </c>
      <c r="AT71" s="21">
        <v>61</v>
      </c>
      <c r="AU71" s="21">
        <v>-5.41687E-2</v>
      </c>
      <c r="AV71">
        <f t="shared" si="8"/>
        <v>15.8752</v>
      </c>
      <c r="AW71">
        <f t="shared" si="9"/>
        <v>-0.85267127968</v>
      </c>
      <c r="AX71" s="9"/>
      <c r="AY71" s="21">
        <v>1.7836000000000001</v>
      </c>
      <c r="AZ71" s="21">
        <v>351.923</v>
      </c>
      <c r="BA71" s="21">
        <v>9.7503699999999995E-3</v>
      </c>
      <c r="BB71" s="21">
        <v>61</v>
      </c>
      <c r="BC71" s="21">
        <v>1.78284</v>
      </c>
      <c r="BD71">
        <f t="shared" si="10"/>
        <v>-9.7503700000000002</v>
      </c>
      <c r="BE71">
        <f t="shared" si="11"/>
        <v>-17.390759932000002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64"/>
  <sheetViews>
    <sheetView tabSelected="1" workbookViewId="0">
      <selection activeCell="T8" sqref="T8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4901.5290322526362</v>
      </c>
      <c r="H2" s="2"/>
      <c r="I2" s="6" t="s">
        <v>12</v>
      </c>
      <c r="J2" s="2"/>
      <c r="K2" s="7" t="s">
        <v>13</v>
      </c>
      <c r="L2" s="3">
        <f>L4*I6*L9/100*100</f>
        <v>17.764934067000002</v>
      </c>
      <c r="M2" s="8" t="s">
        <v>14</v>
      </c>
      <c r="N2" s="9"/>
      <c r="O2" s="2">
        <f>ABS(S7-S6)/ABS(T7-T6)*1000</f>
        <v>3300.9065573789744</v>
      </c>
      <c r="P2" s="2"/>
      <c r="Q2" s="6" t="s">
        <v>15</v>
      </c>
      <c r="R2" s="2"/>
      <c r="S2" s="7" t="s">
        <v>13</v>
      </c>
      <c r="T2" s="3">
        <f>T4*Q6*T9/100*100</f>
        <v>15.943189619999998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-0.28424100000000002</v>
      </c>
      <c r="L3" s="26" t="s">
        <v>16</v>
      </c>
      <c r="M3" s="11">
        <f>M9</f>
        <v>17.764934067000002</v>
      </c>
      <c r="N3" s="9"/>
      <c r="O3" s="2" t="s">
        <v>44</v>
      </c>
      <c r="P3" s="2"/>
      <c r="Q3" s="2">
        <f>INDEX(S11:S1056,MATCH(0,T11:T1056,-1))</f>
        <v>1.65161</v>
      </c>
      <c r="R3" s="2"/>
      <c r="S3" s="10">
        <f>INDEX(T11:T1056,MATCH(Q3,S11:S1056,0))</f>
        <v>1.7089799999999999E-3</v>
      </c>
      <c r="T3" s="26" t="s">
        <v>16</v>
      </c>
      <c r="U3" s="11">
        <f>U9</f>
        <v>15.94318962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6.8077769189607418</v>
      </c>
      <c r="H4" s="2"/>
      <c r="I4" s="2">
        <f>INDEX(K11:K1000,1+MATCH(0,L11:L856,1))</f>
        <v>1.65924</v>
      </c>
      <c r="J4" s="2"/>
      <c r="K4" s="10">
        <f>INDEX(L11:L1056,MATCH(I4,K11:K1056,0))</f>
        <v>0.388519</v>
      </c>
      <c r="L4" s="25">
        <f>M3/(I6*L9)</f>
        <v>0.65802250911769666</v>
      </c>
      <c r="M4" s="8" t="s">
        <v>17</v>
      </c>
      <c r="N4" s="9"/>
      <c r="O4" s="2">
        <f>ABS(Q3-Q4)/ABS(S3-S4)*1000</f>
        <v>9.4363158704639716</v>
      </c>
      <c r="P4" s="2"/>
      <c r="Q4" s="2">
        <f>INDEX(S11:S856,1+MATCH(0,T11:T856,-1))</f>
        <v>1.65649</v>
      </c>
      <c r="R4" s="2"/>
      <c r="S4" s="10">
        <f>INDEX(T11:T856,MATCH(Q4,S11:S856,0))</f>
        <v>-0.51544199999999996</v>
      </c>
      <c r="T4" s="25">
        <f>U3/(Q6*T9)</f>
        <v>0.58864498658976339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13.2813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12.6068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1.6618849506807778</v>
      </c>
      <c r="J6" s="25"/>
      <c r="K6" s="2">
        <f>INDEX(K11:K1056,MATCH(L6,L11:L1056,0))</f>
        <v>2.8503399999999998E-3</v>
      </c>
      <c r="L6" s="10">
        <f>INDEX(L11:L1056,MATCH(0,K11:K1056,-1))</f>
        <v>16.244499999999999</v>
      </c>
      <c r="M6" s="8" t="s">
        <v>22</v>
      </c>
      <c r="N6" s="9"/>
      <c r="O6" s="2"/>
      <c r="P6" s="2"/>
      <c r="Q6" s="27">
        <f>(Q3-Q4)/(S3-S4)*(-S4)+Q4</f>
        <v>1.6516261264750964</v>
      </c>
      <c r="R6" s="27"/>
      <c r="S6" s="2">
        <f>INDEX(S11:S1056,MATCH(T6,T11:T1056,0))</f>
        <v>-1.47797E-2</v>
      </c>
      <c r="T6" s="10">
        <f>INDEX(T11:T1056,MATCH(0,S11:S1056,1))</f>
        <v>16.403199999999998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-1.23444E-2</v>
      </c>
      <c r="L7" s="10">
        <f>INDEX(L11:L856,1+MATCH(0,K11:K856,-1))</f>
        <v>16.247600000000002</v>
      </c>
      <c r="M7" s="12">
        <f>INDEX(K11:K1056,MATCH(M9,M11:M1056,0))</f>
        <v>1.33636</v>
      </c>
      <c r="N7" s="9"/>
      <c r="O7" s="2"/>
      <c r="P7" s="2"/>
      <c r="Q7" s="2"/>
      <c r="R7" s="2"/>
      <c r="S7" s="2">
        <f>INDEX(S11:S1056,MATCH(T7,T11:T1056,0))</f>
        <v>5.3558299999999998E-3</v>
      </c>
      <c r="T7" s="10">
        <f>INDEX(T11:T1056,2+MATCH(0,S11:S1056,1))</f>
        <v>16.397100000000002</v>
      </c>
      <c r="U7" s="12">
        <f>INDEX(S11:S1056,MATCH(U9,U11:U1056,0))</f>
        <v>1.26373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10.254721127189894</v>
      </c>
      <c r="J9" s="2"/>
      <c r="K9" s="2"/>
      <c r="L9" s="3">
        <f>(L6-L7)/(K6-K7)*(-K7)+L7</f>
        <v>16.245081520578832</v>
      </c>
      <c r="M9" s="15">
        <f>MAX(M11:M1056)</f>
        <v>17.764934067000002</v>
      </c>
      <c r="N9" s="9"/>
      <c r="O9" s="2"/>
      <c r="P9" s="2"/>
      <c r="Q9" s="2"/>
      <c r="R9" s="2"/>
      <c r="S9" s="2"/>
      <c r="T9" s="3">
        <f>(T6-T7)/(S6-S7)*(-S7)+T7</f>
        <v>16.398722533054755</v>
      </c>
      <c r="U9" s="15">
        <f>MAX(U11:U1056)</f>
        <v>15.94318962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1.6618849506807778</v>
      </c>
      <c r="B11" s="18">
        <f>IFERROR(L9,0)</f>
        <v>16.245081520578832</v>
      </c>
      <c r="C11" s="19">
        <f>IFERROR(L4,0)</f>
        <v>0.65802250911769666</v>
      </c>
      <c r="D11" s="20">
        <f>IFERROR(L2,0)</f>
        <v>17.764934067000002</v>
      </c>
      <c r="E11" s="20">
        <f>IFERROR(I9,0)</f>
        <v>10.254721127189894</v>
      </c>
      <c r="F11" s="9"/>
      <c r="G11" s="21">
        <v>1.67496</v>
      </c>
      <c r="H11" s="21">
        <v>29.9329</v>
      </c>
      <c r="I11" s="21">
        <v>1.75293E-3</v>
      </c>
      <c r="J11" s="21">
        <v>1</v>
      </c>
      <c r="K11" s="21">
        <v>1.6738900000000001</v>
      </c>
      <c r="L11">
        <f>-I11/$F$2*1000</f>
        <v>-1.7529299999999999</v>
      </c>
      <c r="M11">
        <f>L11*G11</f>
        <v>-2.9360876327999996</v>
      </c>
      <c r="N11" s="9"/>
      <c r="O11" s="21">
        <v>-9.49097E-2</v>
      </c>
      <c r="P11" s="21">
        <v>36.180500000000002</v>
      </c>
      <c r="Q11" s="21">
        <v>-1.6473399999999999E-2</v>
      </c>
      <c r="R11" s="21">
        <v>1</v>
      </c>
      <c r="S11" s="21">
        <v>-9.5642099999999994E-2</v>
      </c>
      <c r="T11">
        <f>-Q11/$F$2*1000</f>
        <v>16.473399999999998</v>
      </c>
      <c r="U11">
        <f>T11*O11</f>
        <v>-1.5634854519799999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1.6516261264750964</v>
      </c>
      <c r="B12" s="18">
        <f>IFERROR(T9,0)</f>
        <v>16.398722533054755</v>
      </c>
      <c r="C12" s="19">
        <f>IFERROR(T4,0)</f>
        <v>0.58864498658976339</v>
      </c>
      <c r="D12" s="20">
        <f>IFERROR(T2,0)</f>
        <v>15.943189619999998</v>
      </c>
      <c r="E12" s="20"/>
      <c r="F12" s="9"/>
      <c r="G12" s="21">
        <v>1.6699200000000001</v>
      </c>
      <c r="H12" s="21">
        <v>29.942900000000002</v>
      </c>
      <c r="I12" s="21">
        <v>9.86633E-4</v>
      </c>
      <c r="J12" s="21">
        <v>2</v>
      </c>
      <c r="K12" s="21">
        <v>1.6680900000000001</v>
      </c>
      <c r="L12">
        <f t="shared" ref="L12:L75" si="0">-I12/$F$2*1000</f>
        <v>-0.98663299999999998</v>
      </c>
      <c r="M12">
        <f t="shared" ref="M12:M75" si="1">L12*G12</f>
        <v>-1.6475981793600001</v>
      </c>
      <c r="N12" s="9"/>
      <c r="O12" s="21">
        <v>-8.9874300000000004E-2</v>
      </c>
      <c r="P12" s="21">
        <v>36.190600000000003</v>
      </c>
      <c r="Q12" s="21">
        <v>-1.6473399999999999E-2</v>
      </c>
      <c r="R12" s="21">
        <v>2</v>
      </c>
      <c r="S12" s="21">
        <v>-9.0515100000000001E-2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>
        <v>1.66489</v>
      </c>
      <c r="H13" s="21">
        <v>29.952999999999999</v>
      </c>
      <c r="I13" s="21">
        <v>2.8424100000000002E-4</v>
      </c>
      <c r="J13" s="21">
        <v>3</v>
      </c>
      <c r="K13" s="21">
        <v>1.6638200000000001</v>
      </c>
      <c r="L13">
        <f t="shared" si="0"/>
        <v>-0.28424100000000002</v>
      </c>
      <c r="M13">
        <f t="shared" si="1"/>
        <v>-0.47322999849000003</v>
      </c>
      <c r="N13" s="9"/>
      <c r="O13" s="21">
        <v>-8.4838899999999995E-2</v>
      </c>
      <c r="P13" s="21">
        <v>36.200600000000001</v>
      </c>
      <c r="Q13" s="21">
        <v>-1.6476399999999999E-2</v>
      </c>
      <c r="R13" s="21">
        <v>3</v>
      </c>
      <c r="S13" s="21">
        <v>-8.5449200000000003E-2</v>
      </c>
      <c r="T13">
        <f t="shared" si="2"/>
        <v>16.476399999999998</v>
      </c>
      <c r="U13">
        <f t="shared" si="3"/>
        <v>-1.3978396519599998</v>
      </c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1.65985</v>
      </c>
      <c r="H14" s="21">
        <v>29.963100000000001</v>
      </c>
      <c r="I14" s="21">
        <v>-3.8851899999999998E-4</v>
      </c>
      <c r="J14" s="21">
        <v>4</v>
      </c>
      <c r="K14" s="21">
        <v>1.65924</v>
      </c>
      <c r="L14">
        <f t="shared" si="0"/>
        <v>0.388519</v>
      </c>
      <c r="M14">
        <f t="shared" si="1"/>
        <v>0.64488326215000003</v>
      </c>
      <c r="N14" s="9"/>
      <c r="O14" s="21">
        <v>-7.9803499999999999E-2</v>
      </c>
      <c r="P14" s="21">
        <v>36.210700000000003</v>
      </c>
      <c r="Q14" s="21">
        <v>-1.6482500000000001E-2</v>
      </c>
      <c r="R14" s="21">
        <v>4</v>
      </c>
      <c r="S14" s="21">
        <v>-8.0444299999999996E-2</v>
      </c>
      <c r="T14">
        <f t="shared" si="2"/>
        <v>16.482500000000002</v>
      </c>
      <c r="U14">
        <f t="shared" si="3"/>
        <v>-1.3153611887500001</v>
      </c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>
        <v>1.65482</v>
      </c>
      <c r="H15" s="21">
        <v>29.973099999999999</v>
      </c>
      <c r="I15" s="21">
        <v>-1.0095200000000001E-3</v>
      </c>
      <c r="J15" s="21">
        <v>5</v>
      </c>
      <c r="K15" s="21">
        <v>1.6537500000000001</v>
      </c>
      <c r="L15">
        <f t="shared" si="0"/>
        <v>1.00952</v>
      </c>
      <c r="M15">
        <f t="shared" si="1"/>
        <v>1.6705738863999999</v>
      </c>
      <c r="N15" s="9"/>
      <c r="O15" s="21">
        <v>-7.4768100000000004E-2</v>
      </c>
      <c r="P15" s="21">
        <v>36.220799999999997</v>
      </c>
      <c r="Q15" s="21">
        <v>-1.6482500000000001E-2</v>
      </c>
      <c r="R15" s="21">
        <v>5</v>
      </c>
      <c r="S15" s="21">
        <v>-7.5500499999999998E-2</v>
      </c>
      <c r="T15">
        <f t="shared" si="2"/>
        <v>16.482500000000002</v>
      </c>
      <c r="U15">
        <f t="shared" si="3"/>
        <v>-1.2323652082500003</v>
      </c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1.64978</v>
      </c>
      <c r="H16" s="21">
        <v>29.9832</v>
      </c>
      <c r="I16" s="21">
        <v>-1.61163E-3</v>
      </c>
      <c r="J16" s="21">
        <v>6</v>
      </c>
      <c r="K16" s="21">
        <v>1.6494800000000001</v>
      </c>
      <c r="L16">
        <f t="shared" si="0"/>
        <v>1.6116299999999999</v>
      </c>
      <c r="M16">
        <f t="shared" si="1"/>
        <v>2.6588349413999999</v>
      </c>
      <c r="N16" s="9"/>
      <c r="O16" s="21">
        <v>-6.9732699999999995E-2</v>
      </c>
      <c r="P16" s="21">
        <v>36.230800000000002</v>
      </c>
      <c r="Q16" s="21">
        <v>-1.6482500000000001E-2</v>
      </c>
      <c r="R16" s="21">
        <v>6</v>
      </c>
      <c r="S16" s="21">
        <v>-7.0343000000000003E-2</v>
      </c>
      <c r="T16">
        <f t="shared" si="2"/>
        <v>16.482500000000002</v>
      </c>
      <c r="U16">
        <f t="shared" si="3"/>
        <v>-1.1493692277500001</v>
      </c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29.993300000000001</v>
      </c>
      <c r="I17" s="21">
        <v>-2.17468E-3</v>
      </c>
      <c r="J17" s="21">
        <v>7</v>
      </c>
      <c r="K17" s="21">
        <v>1.64368</v>
      </c>
      <c r="L17">
        <f t="shared" si="0"/>
        <v>2.1746799999999999</v>
      </c>
      <c r="M17">
        <f t="shared" si="1"/>
        <v>3.5767831832000003</v>
      </c>
      <c r="N17" s="9"/>
      <c r="O17" s="21">
        <v>-6.4697299999999999E-2</v>
      </c>
      <c r="P17" s="21">
        <v>36.240900000000003</v>
      </c>
      <c r="Q17" s="21">
        <v>-1.64703E-2</v>
      </c>
      <c r="R17" s="21">
        <v>7</v>
      </c>
      <c r="S17" s="21">
        <v>-6.5307599999999993E-2</v>
      </c>
      <c r="T17">
        <f t="shared" si="2"/>
        <v>16.470300000000002</v>
      </c>
      <c r="U17">
        <f t="shared" si="3"/>
        <v>-1.06558394019</v>
      </c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30.003299999999999</v>
      </c>
      <c r="I18" s="21">
        <v>-2.6968399999999998E-3</v>
      </c>
      <c r="J18" s="21">
        <v>8</v>
      </c>
      <c r="K18" s="21">
        <v>1.63879</v>
      </c>
      <c r="L18">
        <f t="shared" si="0"/>
        <v>2.6968399999999999</v>
      </c>
      <c r="M18">
        <f t="shared" si="1"/>
        <v>4.4220355164000003</v>
      </c>
      <c r="N18" s="9"/>
      <c r="O18" s="21">
        <v>-5.9661899999999997E-2</v>
      </c>
      <c r="P18" s="21">
        <v>36.250999999999998</v>
      </c>
      <c r="Q18" s="21">
        <v>-1.64581E-2</v>
      </c>
      <c r="R18" s="21">
        <v>8</v>
      </c>
      <c r="S18" s="21">
        <v>-6.0272199999999998E-2</v>
      </c>
      <c r="T18">
        <f t="shared" si="2"/>
        <v>16.458099999999998</v>
      </c>
      <c r="U18">
        <f t="shared" si="3"/>
        <v>-0.9819215163899998</v>
      </c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30.013400000000001</v>
      </c>
      <c r="I19" s="21">
        <v>-3.2000700000000002E-3</v>
      </c>
      <c r="J19" s="21">
        <v>9</v>
      </c>
      <c r="K19" s="21">
        <v>1.63391</v>
      </c>
      <c r="L19">
        <f t="shared" si="0"/>
        <v>3.2000700000000002</v>
      </c>
      <c r="M19">
        <f t="shared" si="1"/>
        <v>5.2310584269000007</v>
      </c>
      <c r="N19" s="9"/>
      <c r="O19" s="21">
        <v>-5.4626500000000001E-2</v>
      </c>
      <c r="P19" s="21">
        <v>36.261099999999999</v>
      </c>
      <c r="Q19" s="21">
        <v>-1.6448999999999998E-2</v>
      </c>
      <c r="R19" s="21">
        <v>9</v>
      </c>
      <c r="S19" s="21">
        <v>-5.5358900000000003E-2</v>
      </c>
      <c r="T19">
        <f t="shared" si="2"/>
        <v>16.448999999999998</v>
      </c>
      <c r="U19">
        <f t="shared" si="3"/>
        <v>-0.89855129849999993</v>
      </c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30.023499999999999</v>
      </c>
      <c r="I20" s="21">
        <v>-3.6804199999999998E-3</v>
      </c>
      <c r="J20" s="21">
        <v>10</v>
      </c>
      <c r="K20" s="21">
        <v>1.62903</v>
      </c>
      <c r="L20">
        <f t="shared" si="0"/>
        <v>3.6804199999999998</v>
      </c>
      <c r="M20">
        <f t="shared" si="1"/>
        <v>5.9977596487999998</v>
      </c>
      <c r="N20" s="9"/>
      <c r="O20" s="21">
        <v>-4.9591099999999999E-2</v>
      </c>
      <c r="P20" s="21">
        <v>36.271099999999997</v>
      </c>
      <c r="Q20" s="21">
        <v>-1.6439800000000001E-2</v>
      </c>
      <c r="R20" s="21">
        <v>10</v>
      </c>
      <c r="S20" s="21">
        <v>-5.0170899999999997E-2</v>
      </c>
      <c r="T20">
        <f t="shared" si="2"/>
        <v>16.439800000000002</v>
      </c>
      <c r="U20">
        <f t="shared" si="3"/>
        <v>-0.81526776578000004</v>
      </c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30.0336</v>
      </c>
      <c r="I21" s="21">
        <v>-4.13116E-3</v>
      </c>
      <c r="J21" s="21">
        <v>11</v>
      </c>
      <c r="K21" s="21">
        <v>1.62354</v>
      </c>
      <c r="L21">
        <f t="shared" si="0"/>
        <v>4.1311600000000004</v>
      </c>
      <c r="M21">
        <f t="shared" si="1"/>
        <v>6.711482536000001</v>
      </c>
      <c r="N21" s="9"/>
      <c r="O21" s="21">
        <v>-4.4555699999999997E-2</v>
      </c>
      <c r="P21" s="21">
        <v>36.281199999999998</v>
      </c>
      <c r="Q21" s="21">
        <v>-1.6436800000000001E-2</v>
      </c>
      <c r="R21" s="21">
        <v>11</v>
      </c>
      <c r="S21" s="21">
        <v>-4.4873000000000003E-2</v>
      </c>
      <c r="T21">
        <f t="shared" si="2"/>
        <v>16.436800000000002</v>
      </c>
      <c r="U21">
        <f t="shared" si="3"/>
        <v>-0.73235312976</v>
      </c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30.043600000000001</v>
      </c>
      <c r="I22" s="21">
        <v>-4.5687899999999997E-3</v>
      </c>
      <c r="J22" s="21">
        <v>12</v>
      </c>
      <c r="K22" s="21">
        <v>1.6186499999999999</v>
      </c>
      <c r="L22">
        <f t="shared" si="0"/>
        <v>4.5687899999999999</v>
      </c>
      <c r="M22">
        <f t="shared" si="1"/>
        <v>7.3994752202999994</v>
      </c>
      <c r="N22" s="9"/>
      <c r="O22" s="21">
        <v>-3.9520300000000001E-2</v>
      </c>
      <c r="P22" s="21">
        <v>36.2913</v>
      </c>
      <c r="Q22" s="21">
        <v>-1.6430699999999999E-2</v>
      </c>
      <c r="R22" s="21">
        <v>12</v>
      </c>
      <c r="S22" s="21">
        <v>-4.0011600000000001E-2</v>
      </c>
      <c r="T22">
        <f t="shared" si="2"/>
        <v>16.430699999999998</v>
      </c>
      <c r="U22">
        <f t="shared" si="3"/>
        <v>-0.64934619320999998</v>
      </c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30.053699999999999</v>
      </c>
      <c r="I23" s="21">
        <v>-4.9728400000000001E-3</v>
      </c>
      <c r="J23" s="21">
        <v>13</v>
      </c>
      <c r="K23" s="21">
        <v>1.6134599999999999</v>
      </c>
      <c r="L23">
        <f t="shared" si="0"/>
        <v>4.9728399999999997</v>
      </c>
      <c r="M23">
        <f t="shared" si="1"/>
        <v>8.0287993651999994</v>
      </c>
      <c r="N23" s="9"/>
      <c r="O23" s="21">
        <v>-3.4484899999999999E-2</v>
      </c>
      <c r="P23" s="21">
        <v>36.301299999999998</v>
      </c>
      <c r="Q23" s="21">
        <v>-1.6424600000000001E-2</v>
      </c>
      <c r="R23" s="21">
        <v>13</v>
      </c>
      <c r="S23" s="21">
        <v>-3.48358E-2</v>
      </c>
      <c r="T23">
        <f t="shared" si="2"/>
        <v>16.424600000000002</v>
      </c>
      <c r="U23">
        <f t="shared" si="3"/>
        <v>-0.56640068854000003</v>
      </c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1.6094999999999999</v>
      </c>
      <c r="H24" s="21">
        <v>30.063800000000001</v>
      </c>
      <c r="I24" s="21">
        <v>-5.3619399999999999E-3</v>
      </c>
      <c r="J24" s="21">
        <v>14</v>
      </c>
      <c r="K24" s="21">
        <v>1.6088899999999999</v>
      </c>
      <c r="L24">
        <f t="shared" si="0"/>
        <v>5.3619399999999997</v>
      </c>
      <c r="M24">
        <f t="shared" si="1"/>
        <v>8.6300424299999996</v>
      </c>
      <c r="N24" s="9"/>
      <c r="O24" s="21">
        <v>-2.94495E-2</v>
      </c>
      <c r="P24" s="21">
        <v>36.311399999999999</v>
      </c>
      <c r="Q24" s="21">
        <v>-1.6418499999999999E-2</v>
      </c>
      <c r="R24" s="21">
        <v>14</v>
      </c>
      <c r="S24" s="21">
        <v>-2.9888899999999999E-2</v>
      </c>
      <c r="T24">
        <f t="shared" si="2"/>
        <v>16.418499999999998</v>
      </c>
      <c r="U24">
        <f t="shared" si="3"/>
        <v>-0.48351661574999993</v>
      </c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30.073799999999999</v>
      </c>
      <c r="I25" s="21">
        <v>-5.7281500000000004E-3</v>
      </c>
      <c r="J25" s="21">
        <v>15</v>
      </c>
      <c r="K25" s="21">
        <v>1.6030899999999999</v>
      </c>
      <c r="L25">
        <f t="shared" si="0"/>
        <v>5.7281500000000003</v>
      </c>
      <c r="M25">
        <f t="shared" si="1"/>
        <v>9.190587549</v>
      </c>
      <c r="N25" s="9"/>
      <c r="O25" s="21">
        <v>-2.4414100000000001E-2</v>
      </c>
      <c r="P25" s="21">
        <v>36.3215</v>
      </c>
      <c r="Q25" s="21">
        <v>-1.6409300000000002E-2</v>
      </c>
      <c r="R25" s="21">
        <v>15</v>
      </c>
      <c r="S25" s="21">
        <v>-2.4887099999999999E-2</v>
      </c>
      <c r="T25">
        <f t="shared" si="2"/>
        <v>16.409300000000002</v>
      </c>
      <c r="U25">
        <f t="shared" si="3"/>
        <v>-0.40061829113000008</v>
      </c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1.5994299999999999</v>
      </c>
      <c r="H26" s="21">
        <v>30.0839</v>
      </c>
      <c r="I26" s="21">
        <v>-6.0790999999999996E-3</v>
      </c>
      <c r="J26" s="21">
        <v>16</v>
      </c>
      <c r="K26" s="21">
        <v>1.5982099999999999</v>
      </c>
      <c r="L26">
        <f t="shared" si="0"/>
        <v>6.0790999999999995</v>
      </c>
      <c r="M26">
        <f t="shared" si="1"/>
        <v>9.7230949129999988</v>
      </c>
      <c r="N26" s="9"/>
      <c r="O26" s="21">
        <v>-1.9378699999999999E-2</v>
      </c>
      <c r="P26" s="21">
        <v>36.331499999999998</v>
      </c>
      <c r="Q26" s="21">
        <v>-1.6406299999999999E-2</v>
      </c>
      <c r="R26" s="21">
        <v>16</v>
      </c>
      <c r="S26" s="21">
        <v>-1.9924899999999999E-2</v>
      </c>
      <c r="T26">
        <f t="shared" si="2"/>
        <v>16.406299999999998</v>
      </c>
      <c r="U26">
        <f t="shared" si="3"/>
        <v>-0.31793276580999996</v>
      </c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1.59439</v>
      </c>
      <c r="H27" s="21">
        <v>30.094000000000001</v>
      </c>
      <c r="I27" s="21">
        <v>-6.4147900000000001E-3</v>
      </c>
      <c r="J27" s="21">
        <v>17</v>
      </c>
      <c r="K27" s="21">
        <v>1.5933200000000001</v>
      </c>
      <c r="L27">
        <f t="shared" si="0"/>
        <v>6.41479</v>
      </c>
      <c r="M27">
        <f t="shared" si="1"/>
        <v>10.2276770281</v>
      </c>
      <c r="N27" s="9"/>
      <c r="O27" s="21">
        <v>-1.43433E-2</v>
      </c>
      <c r="P27" s="21">
        <v>36.3416</v>
      </c>
      <c r="Q27" s="21">
        <v>-1.64032E-2</v>
      </c>
      <c r="R27" s="21">
        <v>17</v>
      </c>
      <c r="S27" s="21">
        <v>-1.47797E-2</v>
      </c>
      <c r="T27">
        <f t="shared" si="2"/>
        <v>16.403199999999998</v>
      </c>
      <c r="U27">
        <f t="shared" si="3"/>
        <v>-0.23527601855999997</v>
      </c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1.5893600000000001</v>
      </c>
      <c r="H28" s="21">
        <v>30.104099999999999</v>
      </c>
      <c r="I28" s="21">
        <v>-6.7199699999999996E-3</v>
      </c>
      <c r="J28" s="21">
        <v>18</v>
      </c>
      <c r="K28" s="21">
        <v>1.5884400000000001</v>
      </c>
      <c r="L28">
        <f t="shared" si="0"/>
        <v>6.71997</v>
      </c>
      <c r="M28">
        <f t="shared" si="1"/>
        <v>10.6804515192</v>
      </c>
      <c r="N28" s="9"/>
      <c r="O28" s="21">
        <v>-9.3078599999999994E-3</v>
      </c>
      <c r="P28" s="21">
        <v>36.351700000000001</v>
      </c>
      <c r="Q28" s="21">
        <v>-1.64032E-2</v>
      </c>
      <c r="R28" s="21">
        <v>18</v>
      </c>
      <c r="S28" s="21">
        <v>-9.6984900000000006E-3</v>
      </c>
      <c r="T28">
        <f t="shared" si="2"/>
        <v>16.403199999999998</v>
      </c>
      <c r="U28">
        <f t="shared" si="3"/>
        <v>-0.15267868915199997</v>
      </c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1.58432</v>
      </c>
      <c r="H29" s="21">
        <v>30.114100000000001</v>
      </c>
      <c r="I29" s="21">
        <v>-7.0220899999999999E-3</v>
      </c>
      <c r="J29" s="21">
        <v>19</v>
      </c>
      <c r="K29" s="21">
        <v>1.58325</v>
      </c>
      <c r="L29">
        <f t="shared" si="0"/>
        <v>7.0220899999999995</v>
      </c>
      <c r="M29">
        <f t="shared" si="1"/>
        <v>11.125237628799999</v>
      </c>
      <c r="N29" s="9"/>
      <c r="O29" s="21">
        <v>-4.2724599999999996E-3</v>
      </c>
      <c r="P29" s="21">
        <v>36.361800000000002</v>
      </c>
      <c r="Q29" s="21">
        <v>-1.64032E-2</v>
      </c>
      <c r="R29" s="21">
        <v>19</v>
      </c>
      <c r="S29" s="21">
        <v>-4.66614E-3</v>
      </c>
      <c r="T29">
        <f t="shared" si="2"/>
        <v>16.403199999999998</v>
      </c>
      <c r="U29">
        <f t="shared" si="3"/>
        <v>-7.0082015871999984E-2</v>
      </c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1.57928</v>
      </c>
      <c r="H30" s="21">
        <v>30.124199999999998</v>
      </c>
      <c r="I30" s="21">
        <v>-7.3028600000000004E-3</v>
      </c>
      <c r="J30" s="21">
        <v>20</v>
      </c>
      <c r="K30" s="21">
        <v>1.5783700000000001</v>
      </c>
      <c r="L30">
        <f t="shared" si="0"/>
        <v>7.3028600000000008</v>
      </c>
      <c r="M30">
        <f t="shared" si="1"/>
        <v>11.533260740800001</v>
      </c>
      <c r="N30" s="9"/>
      <c r="O30" s="21">
        <v>7.6293900000000002E-4</v>
      </c>
      <c r="P30" s="21">
        <v>36.3718</v>
      </c>
      <c r="Q30" s="21">
        <v>-1.64032E-2</v>
      </c>
      <c r="R30" s="21">
        <v>20</v>
      </c>
      <c r="S30" s="21">
        <v>4.27246E-4</v>
      </c>
      <c r="T30">
        <f t="shared" si="2"/>
        <v>16.403199999999998</v>
      </c>
      <c r="U30">
        <f t="shared" si="3"/>
        <v>1.2514641004799999E-2</v>
      </c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1.5742499999999999</v>
      </c>
      <c r="H31" s="21">
        <v>30.1343</v>
      </c>
      <c r="I31" s="21">
        <v>-7.57751E-3</v>
      </c>
      <c r="J31" s="21">
        <v>21</v>
      </c>
      <c r="K31" s="21">
        <v>1.57257</v>
      </c>
      <c r="L31">
        <f t="shared" si="0"/>
        <v>7.5775100000000002</v>
      </c>
      <c r="M31">
        <f t="shared" si="1"/>
        <v>11.9288951175</v>
      </c>
      <c r="N31" s="9"/>
      <c r="O31" s="21">
        <v>5.7983399999999999E-3</v>
      </c>
      <c r="P31" s="21">
        <v>36.381900000000002</v>
      </c>
      <c r="Q31" s="21">
        <v>-1.6397100000000001E-2</v>
      </c>
      <c r="R31" s="21">
        <v>21</v>
      </c>
      <c r="S31" s="21">
        <v>5.3558299999999998E-3</v>
      </c>
      <c r="T31">
        <f t="shared" si="2"/>
        <v>16.397100000000002</v>
      </c>
      <c r="U31">
        <f t="shared" si="3"/>
        <v>9.5075960814000007E-2</v>
      </c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1.56921</v>
      </c>
      <c r="H32" s="21">
        <v>30.144300000000001</v>
      </c>
      <c r="I32" s="21">
        <v>-7.8369100000000008E-3</v>
      </c>
      <c r="J32" s="21">
        <v>22</v>
      </c>
      <c r="K32" s="21">
        <v>1.56799</v>
      </c>
      <c r="L32">
        <f t="shared" si="0"/>
        <v>7.8369100000000005</v>
      </c>
      <c r="M32">
        <f t="shared" si="1"/>
        <v>12.297757541100001</v>
      </c>
      <c r="N32" s="9"/>
      <c r="O32" s="21">
        <v>1.08337E-2</v>
      </c>
      <c r="P32" s="21">
        <v>36.392000000000003</v>
      </c>
      <c r="Q32" s="21">
        <v>-1.6393999999999999E-2</v>
      </c>
      <c r="R32" s="21">
        <v>22</v>
      </c>
      <c r="S32" s="21">
        <v>1.05621E-2</v>
      </c>
      <c r="T32">
        <f t="shared" si="2"/>
        <v>16.393999999999998</v>
      </c>
      <c r="U32">
        <f t="shared" si="3"/>
        <v>0.17760767779999997</v>
      </c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1.5641799999999999</v>
      </c>
      <c r="H33" s="21">
        <v>30.154399999999999</v>
      </c>
      <c r="I33" s="21">
        <v>-8.0871599999999995E-3</v>
      </c>
      <c r="J33" s="21">
        <v>23</v>
      </c>
      <c r="K33" s="21">
        <v>1.56342</v>
      </c>
      <c r="L33">
        <f t="shared" si="0"/>
        <v>8.087159999999999</v>
      </c>
      <c r="M33">
        <f t="shared" si="1"/>
        <v>12.649773928799998</v>
      </c>
      <c r="N33" s="9"/>
      <c r="O33" s="21">
        <v>1.5869100000000001E-2</v>
      </c>
      <c r="P33" s="21">
        <v>36.402000000000001</v>
      </c>
      <c r="Q33" s="21">
        <v>-1.63879E-2</v>
      </c>
      <c r="R33" s="21">
        <v>23</v>
      </c>
      <c r="S33" s="21">
        <v>1.5533399999999999E-2</v>
      </c>
      <c r="T33">
        <f t="shared" si="2"/>
        <v>16.387900000000002</v>
      </c>
      <c r="U33">
        <f t="shared" si="3"/>
        <v>0.26006122389000003</v>
      </c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1.55914</v>
      </c>
      <c r="H34" s="21">
        <v>30.1645</v>
      </c>
      <c r="I34" s="21">
        <v>-8.3343500000000008E-3</v>
      </c>
      <c r="J34" s="21">
        <v>24</v>
      </c>
      <c r="K34" s="21">
        <v>1.55792</v>
      </c>
      <c r="L34">
        <f t="shared" si="0"/>
        <v>8.3343500000000006</v>
      </c>
      <c r="M34">
        <f t="shared" si="1"/>
        <v>12.994418459</v>
      </c>
      <c r="N34" s="9"/>
      <c r="O34" s="21">
        <v>2.0904499999999999E-2</v>
      </c>
      <c r="P34" s="21">
        <v>36.412100000000002</v>
      </c>
      <c r="Q34" s="21">
        <v>-1.6378799999999999E-2</v>
      </c>
      <c r="R34" s="21">
        <v>24</v>
      </c>
      <c r="S34" s="21">
        <v>2.06451E-2</v>
      </c>
      <c r="T34">
        <f t="shared" si="2"/>
        <v>16.378799999999998</v>
      </c>
      <c r="U34">
        <f t="shared" si="3"/>
        <v>0.34239062459999997</v>
      </c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1.5541100000000001</v>
      </c>
      <c r="H35" s="21">
        <v>30.174600000000002</v>
      </c>
      <c r="I35" s="21">
        <v>-8.5632299999999998E-3</v>
      </c>
      <c r="J35" s="21">
        <v>25</v>
      </c>
      <c r="K35" s="21">
        <v>1.55365</v>
      </c>
      <c r="L35">
        <f t="shared" si="0"/>
        <v>8.563229999999999</v>
      </c>
      <c r="M35">
        <f t="shared" si="1"/>
        <v>13.308201375299999</v>
      </c>
      <c r="N35" s="9"/>
      <c r="O35" s="21">
        <v>2.5939899999999998E-2</v>
      </c>
      <c r="P35" s="21">
        <v>36.422199999999997</v>
      </c>
      <c r="Q35" s="21">
        <v>-1.63727E-2</v>
      </c>
      <c r="R35" s="21">
        <v>25</v>
      </c>
      <c r="S35" s="21">
        <v>2.5640900000000001E-2</v>
      </c>
      <c r="T35">
        <f t="shared" si="2"/>
        <v>16.372700000000002</v>
      </c>
      <c r="U35">
        <f t="shared" si="3"/>
        <v>0.42470620073000004</v>
      </c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1.5490699999999999</v>
      </c>
      <c r="H36" s="21">
        <v>30.1846</v>
      </c>
      <c r="I36" s="21">
        <v>-8.7799100000000001E-3</v>
      </c>
      <c r="J36" s="21">
        <v>26</v>
      </c>
      <c r="K36" s="21">
        <v>1.54816</v>
      </c>
      <c r="L36">
        <f t="shared" si="0"/>
        <v>8.779910000000001</v>
      </c>
      <c r="M36">
        <f t="shared" si="1"/>
        <v>13.600695183700001</v>
      </c>
      <c r="N36" s="9"/>
      <c r="O36" s="21">
        <v>3.0975300000000001E-2</v>
      </c>
      <c r="P36" s="21">
        <v>36.432299999999998</v>
      </c>
      <c r="Q36" s="21">
        <v>-1.6366599999999999E-2</v>
      </c>
      <c r="R36" s="21">
        <v>26</v>
      </c>
      <c r="S36" s="21">
        <v>3.0697599999999998E-2</v>
      </c>
      <c r="T36">
        <f t="shared" si="2"/>
        <v>16.366599999999998</v>
      </c>
      <c r="U36">
        <f t="shared" si="3"/>
        <v>0.50696034497999998</v>
      </c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1.5440400000000001</v>
      </c>
      <c r="H37" s="21">
        <v>30.194700000000001</v>
      </c>
      <c r="I37" s="21">
        <v>-8.97827E-3</v>
      </c>
      <c r="J37" s="21">
        <v>27</v>
      </c>
      <c r="K37" s="21">
        <v>1.5426599999999999</v>
      </c>
      <c r="L37">
        <f t="shared" si="0"/>
        <v>8.9782700000000002</v>
      </c>
      <c r="M37">
        <f t="shared" si="1"/>
        <v>13.8628080108</v>
      </c>
      <c r="N37" s="9"/>
      <c r="O37" s="21">
        <v>3.60107E-2</v>
      </c>
      <c r="P37" s="21">
        <v>36.442300000000003</v>
      </c>
      <c r="Q37" s="21">
        <v>-1.6357400000000001E-2</v>
      </c>
      <c r="R37" s="21">
        <v>27</v>
      </c>
      <c r="S37" s="21">
        <v>3.5659799999999998E-2</v>
      </c>
      <c r="T37">
        <f t="shared" si="2"/>
        <v>16.357400000000002</v>
      </c>
      <c r="U37">
        <f t="shared" si="3"/>
        <v>0.58904142418000005</v>
      </c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1.5389999999999999</v>
      </c>
      <c r="H38" s="21">
        <v>30.204799999999999</v>
      </c>
      <c r="I38" s="21">
        <v>-9.1674800000000004E-3</v>
      </c>
      <c r="J38" s="21">
        <v>28</v>
      </c>
      <c r="K38" s="21">
        <v>1.5377799999999999</v>
      </c>
      <c r="L38">
        <f t="shared" si="0"/>
        <v>9.1674800000000012</v>
      </c>
      <c r="M38">
        <f t="shared" si="1"/>
        <v>14.108751720000001</v>
      </c>
      <c r="N38" s="9"/>
      <c r="O38" s="21">
        <v>4.1046100000000002E-2</v>
      </c>
      <c r="P38" s="21">
        <v>36.452399999999997</v>
      </c>
      <c r="Q38" s="21">
        <v>-1.6357400000000001E-2</v>
      </c>
      <c r="R38" s="21">
        <v>28</v>
      </c>
      <c r="S38" s="21">
        <v>4.0783699999999999E-2</v>
      </c>
      <c r="T38">
        <f t="shared" si="2"/>
        <v>16.357400000000002</v>
      </c>
      <c r="U38">
        <f t="shared" si="3"/>
        <v>0.67140747614000007</v>
      </c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1.5339700000000001</v>
      </c>
      <c r="H39" s="21">
        <v>30.2148</v>
      </c>
      <c r="I39" s="21">
        <v>-9.3566900000000008E-3</v>
      </c>
      <c r="J39" s="21">
        <v>29</v>
      </c>
      <c r="K39" s="21">
        <v>1.5331999999999999</v>
      </c>
      <c r="L39">
        <f t="shared" si="0"/>
        <v>9.3566900000000004</v>
      </c>
      <c r="M39">
        <f t="shared" si="1"/>
        <v>14.352881759300001</v>
      </c>
      <c r="N39" s="9"/>
      <c r="O39" s="21">
        <v>4.6081499999999997E-2</v>
      </c>
      <c r="P39" s="21">
        <v>36.462499999999999</v>
      </c>
      <c r="Q39" s="21">
        <v>-1.6351299999999999E-2</v>
      </c>
      <c r="R39" s="21">
        <v>29</v>
      </c>
      <c r="S39" s="21">
        <v>4.5834399999999997E-2</v>
      </c>
      <c r="T39">
        <f t="shared" si="2"/>
        <v>16.351299999999998</v>
      </c>
      <c r="U39">
        <f t="shared" si="3"/>
        <v>0.75349243094999985</v>
      </c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1.5289299999999999</v>
      </c>
      <c r="H40" s="21">
        <v>30.224900000000002</v>
      </c>
      <c r="I40" s="21">
        <v>-9.5306399999999999E-3</v>
      </c>
      <c r="J40" s="21">
        <v>30</v>
      </c>
      <c r="K40" s="21">
        <v>1.5280199999999999</v>
      </c>
      <c r="L40">
        <f t="shared" si="0"/>
        <v>9.53064</v>
      </c>
      <c r="M40">
        <f t="shared" si="1"/>
        <v>14.571681415199999</v>
      </c>
      <c r="N40" s="9"/>
      <c r="O40" s="21">
        <v>5.11169E-2</v>
      </c>
      <c r="P40" s="21">
        <v>36.472499999999997</v>
      </c>
      <c r="Q40" s="21">
        <v>-1.63483E-2</v>
      </c>
      <c r="R40" s="21">
        <v>30</v>
      </c>
      <c r="S40" s="21">
        <v>5.0906399999999997E-2</v>
      </c>
      <c r="T40">
        <f t="shared" si="2"/>
        <v>16.348299999999998</v>
      </c>
      <c r="U40">
        <f t="shared" si="3"/>
        <v>0.83567441626999994</v>
      </c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1.5239</v>
      </c>
      <c r="H41" s="21">
        <v>30.234999999999999</v>
      </c>
      <c r="I41" s="21">
        <v>-9.70764E-3</v>
      </c>
      <c r="J41" s="21">
        <v>31</v>
      </c>
      <c r="K41" s="21">
        <v>1.5228299999999999</v>
      </c>
      <c r="L41">
        <f t="shared" si="0"/>
        <v>9.7076399999999996</v>
      </c>
      <c r="M41">
        <f t="shared" si="1"/>
        <v>14.793472595999999</v>
      </c>
      <c r="N41" s="9"/>
      <c r="O41" s="21">
        <v>5.6152300000000002E-2</v>
      </c>
      <c r="P41" s="21">
        <v>36.482599999999998</v>
      </c>
      <c r="Q41" s="21">
        <v>-1.6345200000000001E-2</v>
      </c>
      <c r="R41" s="21">
        <v>31</v>
      </c>
      <c r="S41" s="21">
        <v>5.5419900000000001E-2</v>
      </c>
      <c r="T41">
        <f t="shared" si="2"/>
        <v>16.345200000000002</v>
      </c>
      <c r="U41">
        <f t="shared" si="3"/>
        <v>0.91782057396000016</v>
      </c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1.5188600000000001</v>
      </c>
      <c r="H42" s="21">
        <v>30.245100000000001</v>
      </c>
      <c r="I42" s="21">
        <v>-9.8754900000000007E-3</v>
      </c>
      <c r="J42" s="21">
        <v>32</v>
      </c>
      <c r="K42" s="21">
        <v>1.5176400000000001</v>
      </c>
      <c r="L42">
        <f t="shared" si="0"/>
        <v>9.875490000000001</v>
      </c>
      <c r="M42">
        <f t="shared" si="1"/>
        <v>14.999486741400002</v>
      </c>
      <c r="N42" s="9"/>
      <c r="O42" s="21">
        <v>6.1187699999999998E-2</v>
      </c>
      <c r="P42" s="21">
        <v>36.492699999999999</v>
      </c>
      <c r="Q42" s="21">
        <v>-1.6336099999999999E-2</v>
      </c>
      <c r="R42" s="21">
        <v>32</v>
      </c>
      <c r="S42" s="21">
        <v>6.0394299999999998E-2</v>
      </c>
      <c r="T42">
        <f t="shared" si="2"/>
        <v>16.336099999999998</v>
      </c>
      <c r="U42">
        <f t="shared" si="3"/>
        <v>0.99956838596999986</v>
      </c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1.5138199999999999</v>
      </c>
      <c r="H43" s="21">
        <v>30.255099999999999</v>
      </c>
      <c r="I43" s="21">
        <v>-1.00342E-2</v>
      </c>
      <c r="J43" s="21">
        <v>33</v>
      </c>
      <c r="K43" s="21">
        <v>1.5130600000000001</v>
      </c>
      <c r="L43">
        <f t="shared" si="0"/>
        <v>10.0342</v>
      </c>
      <c r="M43">
        <f t="shared" si="1"/>
        <v>15.189972643999999</v>
      </c>
      <c r="N43" s="9"/>
      <c r="O43" s="21">
        <v>6.6223099999999993E-2</v>
      </c>
      <c r="P43" s="21">
        <v>36.502800000000001</v>
      </c>
      <c r="Q43" s="21">
        <v>-1.6323899999999999E-2</v>
      </c>
      <c r="R43" s="21">
        <v>33</v>
      </c>
      <c r="S43" s="21">
        <v>6.5490699999999999E-2</v>
      </c>
      <c r="T43">
        <f t="shared" si="2"/>
        <v>16.323899999999998</v>
      </c>
      <c r="U43">
        <f t="shared" si="3"/>
        <v>1.0810192620899999</v>
      </c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1.5087900000000001</v>
      </c>
      <c r="H44" s="21">
        <v>30.2652</v>
      </c>
      <c r="I44" s="21">
        <v>-1.01837E-2</v>
      </c>
      <c r="J44" s="21">
        <v>34</v>
      </c>
      <c r="K44" s="21">
        <v>1.50787</v>
      </c>
      <c r="L44">
        <f t="shared" si="0"/>
        <v>10.1837</v>
      </c>
      <c r="M44">
        <f t="shared" si="1"/>
        <v>15.365064723000001</v>
      </c>
      <c r="N44" s="9"/>
      <c r="O44" s="21">
        <v>7.1258500000000002E-2</v>
      </c>
      <c r="P44" s="21">
        <v>36.512799999999999</v>
      </c>
      <c r="Q44" s="21">
        <v>-1.6314700000000001E-2</v>
      </c>
      <c r="R44" s="21">
        <v>34</v>
      </c>
      <c r="S44" s="21">
        <v>7.0617700000000005E-2</v>
      </c>
      <c r="T44">
        <f t="shared" si="2"/>
        <v>16.314700000000002</v>
      </c>
      <c r="U44">
        <f t="shared" si="3"/>
        <v>1.1625610499500001</v>
      </c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1.5037499999999999</v>
      </c>
      <c r="H45" s="21">
        <v>30.275300000000001</v>
      </c>
      <c r="I45" s="21">
        <v>-1.03394E-2</v>
      </c>
      <c r="J45" s="21">
        <v>35</v>
      </c>
      <c r="K45" s="21">
        <v>1.5026900000000001</v>
      </c>
      <c r="L45">
        <f t="shared" si="0"/>
        <v>10.339399999999999</v>
      </c>
      <c r="M45">
        <f t="shared" si="1"/>
        <v>15.547872749999998</v>
      </c>
      <c r="N45" s="9"/>
      <c r="O45" s="21">
        <v>7.6293899999999998E-2</v>
      </c>
      <c r="P45" s="21">
        <v>36.5229</v>
      </c>
      <c r="Q45" s="21">
        <v>-1.6311599999999999E-2</v>
      </c>
      <c r="R45" s="21">
        <v>35</v>
      </c>
      <c r="S45" s="21">
        <v>7.5622599999999998E-2</v>
      </c>
      <c r="T45">
        <f t="shared" si="2"/>
        <v>16.311599999999999</v>
      </c>
      <c r="U45">
        <f t="shared" si="3"/>
        <v>1.24447557924</v>
      </c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1.4987200000000001</v>
      </c>
      <c r="H46" s="21">
        <v>30.285299999999999</v>
      </c>
      <c r="I46" s="21">
        <v>-1.04828E-2</v>
      </c>
      <c r="J46" s="21">
        <v>36</v>
      </c>
      <c r="K46" s="21">
        <v>1.4987200000000001</v>
      </c>
      <c r="L46">
        <f t="shared" si="0"/>
        <v>10.482800000000001</v>
      </c>
      <c r="M46">
        <f t="shared" si="1"/>
        <v>15.710782016000001</v>
      </c>
      <c r="N46" s="9"/>
      <c r="O46" s="21">
        <v>8.1329299999999993E-2</v>
      </c>
      <c r="P46" s="21">
        <v>36.533000000000001</v>
      </c>
      <c r="Q46" s="21">
        <v>-1.6308599999999999E-2</v>
      </c>
      <c r="R46" s="21">
        <v>36</v>
      </c>
      <c r="S46" s="21">
        <v>8.0566399999999996E-2</v>
      </c>
      <c r="T46">
        <f t="shared" si="2"/>
        <v>16.308599999999998</v>
      </c>
      <c r="U46">
        <f t="shared" si="3"/>
        <v>1.3263670219799997</v>
      </c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1.4936799999999999</v>
      </c>
      <c r="H47" s="21">
        <v>30.295400000000001</v>
      </c>
      <c r="I47" s="21">
        <v>-1.0623199999999999E-2</v>
      </c>
      <c r="J47" s="21">
        <v>37</v>
      </c>
      <c r="K47" s="21">
        <v>1.49261</v>
      </c>
      <c r="L47">
        <f t="shared" si="0"/>
        <v>10.623199999999999</v>
      </c>
      <c r="M47">
        <f t="shared" si="1"/>
        <v>15.867661375999997</v>
      </c>
      <c r="N47" s="9"/>
      <c r="O47" s="21">
        <v>8.6364700000000003E-2</v>
      </c>
      <c r="P47" s="21">
        <v>36.542999999999999</v>
      </c>
      <c r="Q47" s="21">
        <v>-1.6299399999999999E-2</v>
      </c>
      <c r="R47" s="21">
        <v>37</v>
      </c>
      <c r="S47" s="21">
        <v>8.5632299999999995E-2</v>
      </c>
      <c r="T47">
        <f t="shared" si="2"/>
        <v>16.299399999999999</v>
      </c>
      <c r="U47">
        <f t="shared" si="3"/>
        <v>1.4076927911799999</v>
      </c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1.48865</v>
      </c>
      <c r="H48" s="21">
        <v>30.305499999999999</v>
      </c>
      <c r="I48" s="21">
        <v>-1.0760499999999999E-2</v>
      </c>
      <c r="J48" s="21">
        <v>38</v>
      </c>
      <c r="K48" s="21">
        <v>1.48773</v>
      </c>
      <c r="L48">
        <f t="shared" si="0"/>
        <v>10.760499999999999</v>
      </c>
      <c r="M48">
        <f t="shared" si="1"/>
        <v>16.018618324999998</v>
      </c>
      <c r="N48" s="9"/>
      <c r="O48" s="21">
        <v>9.1400099999999998E-2</v>
      </c>
      <c r="P48" s="21">
        <v>36.553100000000001</v>
      </c>
      <c r="Q48" s="21">
        <v>-1.6287200000000002E-2</v>
      </c>
      <c r="R48" s="21">
        <v>38</v>
      </c>
      <c r="S48" s="21">
        <v>9.0637200000000001E-2</v>
      </c>
      <c r="T48">
        <f t="shared" si="2"/>
        <v>16.287200000000002</v>
      </c>
      <c r="U48">
        <f t="shared" si="3"/>
        <v>1.4886517087200002</v>
      </c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1.4836100000000001</v>
      </c>
      <c r="H49" s="21">
        <v>30.3156</v>
      </c>
      <c r="I49" s="21">
        <v>-1.0891700000000001E-2</v>
      </c>
      <c r="J49" s="21">
        <v>39</v>
      </c>
      <c r="K49" s="21">
        <v>1.48224</v>
      </c>
      <c r="L49">
        <f t="shared" si="0"/>
        <v>10.8917</v>
      </c>
      <c r="M49">
        <f t="shared" si="1"/>
        <v>16.159035037000002</v>
      </c>
      <c r="N49" s="9"/>
      <c r="O49" s="21">
        <v>9.6435499999999993E-2</v>
      </c>
      <c r="P49" s="21">
        <v>36.563200000000002</v>
      </c>
      <c r="Q49" s="21">
        <v>-1.6284199999999999E-2</v>
      </c>
      <c r="R49" s="21">
        <v>39</v>
      </c>
      <c r="S49" s="21">
        <v>9.5672599999999997E-2</v>
      </c>
      <c r="T49">
        <f t="shared" si="2"/>
        <v>16.284199999999998</v>
      </c>
      <c r="U49">
        <f t="shared" si="3"/>
        <v>1.5703749690999997</v>
      </c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1.47858</v>
      </c>
      <c r="H50" s="21">
        <v>30.325600000000001</v>
      </c>
      <c r="I50" s="21">
        <v>-1.1013800000000001E-2</v>
      </c>
      <c r="J50" s="21">
        <v>40</v>
      </c>
      <c r="K50" s="21">
        <v>1.47797</v>
      </c>
      <c r="L50">
        <f t="shared" si="0"/>
        <v>11.0138</v>
      </c>
      <c r="M50">
        <f t="shared" si="1"/>
        <v>16.284784404</v>
      </c>
      <c r="N50" s="9"/>
      <c r="O50" s="21">
        <v>0.10147100000000001</v>
      </c>
      <c r="P50" s="21">
        <v>36.573300000000003</v>
      </c>
      <c r="Q50" s="21">
        <v>-1.62781E-2</v>
      </c>
      <c r="R50" s="21">
        <v>40</v>
      </c>
      <c r="S50" s="21">
        <v>0.100677</v>
      </c>
      <c r="T50">
        <f t="shared" si="2"/>
        <v>16.278099999999998</v>
      </c>
      <c r="U50">
        <f t="shared" si="3"/>
        <v>1.6517550851</v>
      </c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1.4735400000000001</v>
      </c>
      <c r="H51" s="21">
        <v>30.335699999999999</v>
      </c>
      <c r="I51" s="21">
        <v>-1.11267E-2</v>
      </c>
      <c r="J51" s="21">
        <v>41</v>
      </c>
      <c r="K51" s="21">
        <v>1.4730799999999999</v>
      </c>
      <c r="L51">
        <f t="shared" si="0"/>
        <v>11.1267</v>
      </c>
      <c r="M51">
        <f t="shared" si="1"/>
        <v>16.395637518000001</v>
      </c>
      <c r="N51" s="9"/>
      <c r="O51" s="21">
        <v>0.106506</v>
      </c>
      <c r="P51" s="21">
        <v>36.583300000000001</v>
      </c>
      <c r="Q51" s="21">
        <v>-1.62781E-2</v>
      </c>
      <c r="R51" s="21">
        <v>41</v>
      </c>
      <c r="S51" s="21">
        <v>0.105743</v>
      </c>
      <c r="T51">
        <f t="shared" si="2"/>
        <v>16.278099999999998</v>
      </c>
      <c r="U51">
        <f t="shared" si="3"/>
        <v>1.7337153185999998</v>
      </c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1.46851</v>
      </c>
      <c r="H52" s="21">
        <v>30.345800000000001</v>
      </c>
      <c r="I52" s="21">
        <v>-1.12335E-2</v>
      </c>
      <c r="J52" s="21">
        <v>42</v>
      </c>
      <c r="K52" s="21">
        <v>1.46759</v>
      </c>
      <c r="L52">
        <f t="shared" si="0"/>
        <v>11.233500000000001</v>
      </c>
      <c r="M52">
        <f t="shared" si="1"/>
        <v>16.496507085000001</v>
      </c>
      <c r="N52" s="9"/>
      <c r="O52" s="21">
        <v>0.111542</v>
      </c>
      <c r="P52" s="21">
        <v>36.593400000000003</v>
      </c>
      <c r="Q52" s="21">
        <v>-1.6268899999999999E-2</v>
      </c>
      <c r="R52" s="21">
        <v>42</v>
      </c>
      <c r="S52" s="21">
        <v>0.110779</v>
      </c>
      <c r="T52">
        <f t="shared" si="2"/>
        <v>16.268899999999999</v>
      </c>
      <c r="U52">
        <f t="shared" si="3"/>
        <v>1.8146656438</v>
      </c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1.46347</v>
      </c>
      <c r="H53" s="21">
        <v>30.355799999999999</v>
      </c>
      <c r="I53" s="21">
        <v>-1.1334199999999999E-2</v>
      </c>
      <c r="J53" s="21">
        <v>43</v>
      </c>
      <c r="K53" s="21">
        <v>1.4623999999999999</v>
      </c>
      <c r="L53">
        <f t="shared" si="0"/>
        <v>11.334199999999999</v>
      </c>
      <c r="M53">
        <f t="shared" si="1"/>
        <v>16.587261674000001</v>
      </c>
      <c r="N53" s="9"/>
      <c r="O53" s="21">
        <v>0.116577</v>
      </c>
      <c r="P53" s="21">
        <v>36.603499999999997</v>
      </c>
      <c r="Q53" s="21">
        <v>-1.6268899999999999E-2</v>
      </c>
      <c r="R53" s="21">
        <v>43</v>
      </c>
      <c r="S53" s="21">
        <v>0.11572300000000001</v>
      </c>
      <c r="T53">
        <f t="shared" si="2"/>
        <v>16.268899999999999</v>
      </c>
      <c r="U53">
        <f t="shared" si="3"/>
        <v>1.8965795552999998</v>
      </c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1.45844</v>
      </c>
      <c r="H54" s="21">
        <v>30.3659</v>
      </c>
      <c r="I54" s="21">
        <v>-1.1428799999999999E-2</v>
      </c>
      <c r="J54" s="21">
        <v>44</v>
      </c>
      <c r="K54" s="21">
        <v>1.4578199999999999</v>
      </c>
      <c r="L54">
        <f t="shared" si="0"/>
        <v>11.428799999999999</v>
      </c>
      <c r="M54">
        <f t="shared" si="1"/>
        <v>16.668219071999999</v>
      </c>
      <c r="N54" s="9"/>
      <c r="O54" s="21">
        <v>0.121613</v>
      </c>
      <c r="P54" s="21">
        <v>36.613500000000002</v>
      </c>
      <c r="Q54" s="21">
        <v>-1.6268899999999999E-2</v>
      </c>
      <c r="R54" s="21">
        <v>44</v>
      </c>
      <c r="S54" s="21">
        <v>0.12088</v>
      </c>
      <c r="T54">
        <f t="shared" si="2"/>
        <v>16.268899999999999</v>
      </c>
      <c r="U54">
        <f t="shared" si="3"/>
        <v>1.9785097356999999</v>
      </c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1.4534</v>
      </c>
      <c r="H55" s="21">
        <v>30.376000000000001</v>
      </c>
      <c r="I55" s="21">
        <v>-1.15356E-2</v>
      </c>
      <c r="J55" s="21">
        <v>45</v>
      </c>
      <c r="K55" s="21">
        <v>1.4526399999999999</v>
      </c>
      <c r="L55">
        <f t="shared" si="0"/>
        <v>11.535600000000001</v>
      </c>
      <c r="M55">
        <f t="shared" si="1"/>
        <v>16.765841040000002</v>
      </c>
      <c r="N55" s="9"/>
      <c r="O55" s="21">
        <v>0.12664800000000001</v>
      </c>
      <c r="P55" s="21">
        <v>36.623600000000003</v>
      </c>
      <c r="Q55" s="21">
        <v>-1.6259800000000001E-2</v>
      </c>
      <c r="R55" s="21">
        <v>45</v>
      </c>
      <c r="S55" s="21">
        <v>0.125885</v>
      </c>
      <c r="T55">
        <f t="shared" si="2"/>
        <v>16.259800000000002</v>
      </c>
      <c r="U55">
        <f t="shared" si="3"/>
        <v>2.0592711504000003</v>
      </c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1.4483600000000001</v>
      </c>
      <c r="H56" s="21">
        <v>30.385999999999999</v>
      </c>
      <c r="I56" s="21">
        <v>-1.1633299999999999E-2</v>
      </c>
      <c r="J56" s="21">
        <v>46</v>
      </c>
      <c r="K56" s="21">
        <v>1.4474499999999999</v>
      </c>
      <c r="L56">
        <f t="shared" si="0"/>
        <v>11.633299999999998</v>
      </c>
      <c r="M56">
        <f t="shared" si="1"/>
        <v>16.849206387999999</v>
      </c>
      <c r="N56" s="9"/>
      <c r="O56" s="21">
        <v>0.13168299999999999</v>
      </c>
      <c r="P56" s="21">
        <v>36.633699999999997</v>
      </c>
      <c r="Q56" s="21">
        <v>-1.62506E-2</v>
      </c>
      <c r="R56" s="21">
        <v>46</v>
      </c>
      <c r="S56" s="21">
        <v>0.13098099999999999</v>
      </c>
      <c r="T56">
        <f t="shared" si="2"/>
        <v>16.250600000000002</v>
      </c>
      <c r="U56">
        <f t="shared" si="3"/>
        <v>2.1399277598000004</v>
      </c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1.44333</v>
      </c>
      <c r="H57" s="21">
        <v>30.396100000000001</v>
      </c>
      <c r="I57" s="21">
        <v>-1.1734E-2</v>
      </c>
      <c r="J57" s="21">
        <v>47</v>
      </c>
      <c r="K57" s="21">
        <v>1.4422600000000001</v>
      </c>
      <c r="L57">
        <f t="shared" si="0"/>
        <v>11.734</v>
      </c>
      <c r="M57">
        <f t="shared" si="1"/>
        <v>16.93603422</v>
      </c>
      <c r="N57" s="9"/>
      <c r="O57" s="21">
        <v>0.13671900000000001</v>
      </c>
      <c r="P57" s="21">
        <v>36.643700000000003</v>
      </c>
      <c r="Q57" s="21">
        <v>-1.62384E-2</v>
      </c>
      <c r="R57" s="21">
        <v>47</v>
      </c>
      <c r="S57" s="21">
        <v>0.13595599999999999</v>
      </c>
      <c r="T57">
        <f t="shared" si="2"/>
        <v>16.238399999999999</v>
      </c>
      <c r="U57">
        <f t="shared" si="3"/>
        <v>2.2200978095999999</v>
      </c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1.4382900000000001</v>
      </c>
      <c r="H58" s="21">
        <v>30.406199999999998</v>
      </c>
      <c r="I58" s="21">
        <v>-1.1837800000000001E-2</v>
      </c>
      <c r="J58" s="21">
        <v>48</v>
      </c>
      <c r="K58" s="21">
        <v>1.4370700000000001</v>
      </c>
      <c r="L58">
        <f t="shared" si="0"/>
        <v>11.837800000000001</v>
      </c>
      <c r="M58">
        <f t="shared" si="1"/>
        <v>17.026189362000004</v>
      </c>
      <c r="N58" s="9"/>
      <c r="O58" s="21">
        <v>0.14175399999999999</v>
      </c>
      <c r="P58" s="21">
        <v>36.653799999999997</v>
      </c>
      <c r="Q58" s="21">
        <v>-1.6220100000000001E-2</v>
      </c>
      <c r="R58" s="21">
        <v>48</v>
      </c>
      <c r="S58" s="21">
        <v>0.14093</v>
      </c>
      <c r="T58">
        <f t="shared" si="2"/>
        <v>16.220100000000002</v>
      </c>
      <c r="U58">
        <f t="shared" si="3"/>
        <v>2.2992640554000001</v>
      </c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1.43326</v>
      </c>
      <c r="H59" s="21">
        <v>30.4163</v>
      </c>
      <c r="I59" s="21">
        <v>-1.1941500000000001E-2</v>
      </c>
      <c r="J59" s="21">
        <v>49</v>
      </c>
      <c r="K59" s="21">
        <v>1.4325000000000001</v>
      </c>
      <c r="L59">
        <f t="shared" si="0"/>
        <v>11.941500000000001</v>
      </c>
      <c r="M59">
        <f t="shared" si="1"/>
        <v>17.115274290000002</v>
      </c>
      <c r="N59" s="9"/>
      <c r="O59" s="21">
        <v>0.14679</v>
      </c>
      <c r="P59" s="21">
        <v>36.663899999999998</v>
      </c>
      <c r="Q59" s="21">
        <v>-1.62109E-2</v>
      </c>
      <c r="R59" s="21">
        <v>49</v>
      </c>
      <c r="S59" s="21">
        <v>0.14602699999999999</v>
      </c>
      <c r="T59">
        <f t="shared" si="2"/>
        <v>16.210899999999999</v>
      </c>
      <c r="U59">
        <f t="shared" si="3"/>
        <v>2.3795980109999997</v>
      </c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1.42822</v>
      </c>
      <c r="H60" s="21">
        <v>30.426300000000001</v>
      </c>
      <c r="I60" s="21">
        <v>-1.2042199999999999E-2</v>
      </c>
      <c r="J60" s="21">
        <v>50</v>
      </c>
      <c r="K60" s="21">
        <v>1.4273100000000001</v>
      </c>
      <c r="L60">
        <f t="shared" si="0"/>
        <v>12.042199999999999</v>
      </c>
      <c r="M60">
        <f t="shared" si="1"/>
        <v>17.198910884</v>
      </c>
      <c r="N60" s="9"/>
      <c r="O60" s="21">
        <v>0.15182499999999999</v>
      </c>
      <c r="P60" s="21">
        <v>36.673999999999999</v>
      </c>
      <c r="Q60" s="21">
        <v>-1.61987E-2</v>
      </c>
      <c r="R60" s="21">
        <v>50</v>
      </c>
      <c r="S60" s="21">
        <v>0.151062</v>
      </c>
      <c r="T60">
        <f t="shared" si="2"/>
        <v>16.198699999999999</v>
      </c>
      <c r="U60">
        <f t="shared" si="3"/>
        <v>2.4593676274999998</v>
      </c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1.42319</v>
      </c>
      <c r="H61" s="21">
        <v>30.436399999999999</v>
      </c>
      <c r="I61" s="21">
        <v>-1.21338E-2</v>
      </c>
      <c r="J61" s="21">
        <v>51</v>
      </c>
      <c r="K61" s="21">
        <v>1.42181</v>
      </c>
      <c r="L61">
        <f t="shared" si="0"/>
        <v>12.133800000000001</v>
      </c>
      <c r="M61">
        <f t="shared" si="1"/>
        <v>17.268702822000002</v>
      </c>
      <c r="N61" s="9"/>
      <c r="O61" s="21">
        <v>0.15686</v>
      </c>
      <c r="P61" s="21">
        <v>36.683999999999997</v>
      </c>
      <c r="Q61" s="21">
        <v>-1.6186499999999999E-2</v>
      </c>
      <c r="R61" s="21">
        <v>51</v>
      </c>
      <c r="S61" s="21">
        <v>0.15618899999999999</v>
      </c>
      <c r="T61">
        <f t="shared" si="2"/>
        <v>16.186499999999999</v>
      </c>
      <c r="U61">
        <f t="shared" si="3"/>
        <v>2.5390143899999997</v>
      </c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1.41815</v>
      </c>
      <c r="H62" s="21">
        <v>30.4465</v>
      </c>
      <c r="I62" s="21">
        <v>-1.22223E-2</v>
      </c>
      <c r="J62" s="21">
        <v>52</v>
      </c>
      <c r="K62" s="21">
        <v>1.4178500000000001</v>
      </c>
      <c r="L62">
        <f t="shared" si="0"/>
        <v>12.222300000000001</v>
      </c>
      <c r="M62">
        <f t="shared" si="1"/>
        <v>17.333054745000002</v>
      </c>
      <c r="N62" s="9"/>
      <c r="O62" s="21">
        <v>0.16189600000000001</v>
      </c>
      <c r="P62" s="21">
        <v>36.694099999999999</v>
      </c>
      <c r="Q62" s="21">
        <v>-1.6180400000000001E-2</v>
      </c>
      <c r="R62" s="21">
        <v>52</v>
      </c>
      <c r="S62" s="21">
        <v>0.16107199999999999</v>
      </c>
      <c r="T62">
        <f t="shared" si="2"/>
        <v>16.180400000000002</v>
      </c>
      <c r="U62">
        <f t="shared" si="3"/>
        <v>2.6195420384000005</v>
      </c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1.4131199999999999</v>
      </c>
      <c r="H63" s="21">
        <v>30.456499999999998</v>
      </c>
      <c r="I63" s="21">
        <v>-1.2301599999999999E-2</v>
      </c>
      <c r="J63" s="21">
        <v>53</v>
      </c>
      <c r="K63" s="21">
        <v>1.41266</v>
      </c>
      <c r="L63">
        <f t="shared" si="0"/>
        <v>12.301599999999999</v>
      </c>
      <c r="M63">
        <f t="shared" si="1"/>
        <v>17.383636991999996</v>
      </c>
      <c r="N63" s="9"/>
      <c r="O63" s="21">
        <v>0.166931</v>
      </c>
      <c r="P63" s="21">
        <v>36.7042</v>
      </c>
      <c r="Q63" s="21">
        <v>-1.6174299999999999E-2</v>
      </c>
      <c r="R63" s="21">
        <v>53</v>
      </c>
      <c r="S63" s="21">
        <v>0.166107</v>
      </c>
      <c r="T63">
        <f t="shared" si="2"/>
        <v>16.174299999999999</v>
      </c>
      <c r="U63">
        <f t="shared" si="3"/>
        <v>2.6999920732999998</v>
      </c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1.40808</v>
      </c>
      <c r="H64" s="21">
        <v>30.4666</v>
      </c>
      <c r="I64" s="21">
        <v>-1.2377900000000001E-2</v>
      </c>
      <c r="J64" s="21">
        <v>54</v>
      </c>
      <c r="K64" s="21">
        <v>1.40717</v>
      </c>
      <c r="L64">
        <f t="shared" si="0"/>
        <v>12.3779</v>
      </c>
      <c r="M64">
        <f t="shared" si="1"/>
        <v>17.429073431999999</v>
      </c>
      <c r="N64" s="9"/>
      <c r="O64" s="21">
        <v>0.17196700000000001</v>
      </c>
      <c r="P64" s="21">
        <v>36.714199999999998</v>
      </c>
      <c r="Q64" s="21">
        <v>-1.6177400000000002E-2</v>
      </c>
      <c r="R64" s="21">
        <v>54</v>
      </c>
      <c r="S64" s="21">
        <v>0.171295</v>
      </c>
      <c r="T64">
        <f t="shared" si="2"/>
        <v>16.177400000000002</v>
      </c>
      <c r="U64">
        <f t="shared" si="3"/>
        <v>2.7819789458000006</v>
      </c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1.4030499999999999</v>
      </c>
      <c r="H65" s="21">
        <v>30.476700000000001</v>
      </c>
      <c r="I65" s="21">
        <v>-1.2451200000000001E-2</v>
      </c>
      <c r="J65" s="21">
        <v>55</v>
      </c>
      <c r="K65" s="21">
        <v>1.40198</v>
      </c>
      <c r="L65">
        <f t="shared" si="0"/>
        <v>12.4512</v>
      </c>
      <c r="M65">
        <f t="shared" si="1"/>
        <v>17.46965616</v>
      </c>
      <c r="N65" s="9"/>
      <c r="O65" s="21">
        <v>0.17700199999999999</v>
      </c>
      <c r="P65" s="21">
        <v>36.724299999999999</v>
      </c>
      <c r="Q65" s="21">
        <v>-1.6165200000000001E-2</v>
      </c>
      <c r="R65" s="21">
        <v>55</v>
      </c>
      <c r="S65" s="21">
        <v>0.17630000000000001</v>
      </c>
      <c r="T65">
        <f t="shared" si="2"/>
        <v>16.165200000000002</v>
      </c>
      <c r="U65">
        <f t="shared" si="3"/>
        <v>2.8612727304000001</v>
      </c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1.39801</v>
      </c>
      <c r="H66" s="21">
        <v>30.486799999999999</v>
      </c>
      <c r="I66" s="21">
        <v>-1.25092E-2</v>
      </c>
      <c r="J66" s="21">
        <v>56</v>
      </c>
      <c r="K66" s="21">
        <v>1.3964799999999999</v>
      </c>
      <c r="L66">
        <f t="shared" si="0"/>
        <v>12.5092</v>
      </c>
      <c r="M66">
        <f t="shared" si="1"/>
        <v>17.487986692</v>
      </c>
      <c r="N66" s="9"/>
      <c r="O66" s="21">
        <v>0.182037</v>
      </c>
      <c r="P66" s="21">
        <v>36.734400000000001</v>
      </c>
      <c r="Q66" s="21">
        <v>-1.6159099999999999E-2</v>
      </c>
      <c r="R66" s="21">
        <v>56</v>
      </c>
      <c r="S66" s="21">
        <v>0.18130499999999999</v>
      </c>
      <c r="T66">
        <f t="shared" si="2"/>
        <v>16.159099999999999</v>
      </c>
      <c r="U66">
        <f t="shared" si="3"/>
        <v>2.9415540866999996</v>
      </c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1.39297</v>
      </c>
      <c r="H67" s="21">
        <v>30.4968</v>
      </c>
      <c r="I67" s="21">
        <v>-1.25763E-2</v>
      </c>
      <c r="J67" s="21">
        <v>57</v>
      </c>
      <c r="K67" s="21">
        <v>1.39191</v>
      </c>
      <c r="L67">
        <f t="shared" si="0"/>
        <v>12.5763</v>
      </c>
      <c r="M67">
        <f t="shared" si="1"/>
        <v>17.518408611000002</v>
      </c>
      <c r="N67" s="9"/>
      <c r="O67" s="21">
        <v>0.18707299999999999</v>
      </c>
      <c r="P67" s="21">
        <v>36.744500000000002</v>
      </c>
      <c r="Q67" s="21">
        <v>-1.6156E-2</v>
      </c>
      <c r="R67" s="21">
        <v>57</v>
      </c>
      <c r="S67" s="21">
        <v>0.18631</v>
      </c>
      <c r="T67">
        <f t="shared" si="2"/>
        <v>16.155999999999999</v>
      </c>
      <c r="U67">
        <f t="shared" si="3"/>
        <v>3.0223513879999997</v>
      </c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1.38794</v>
      </c>
      <c r="H68" s="21">
        <v>30.506900000000002</v>
      </c>
      <c r="I68" s="21">
        <v>-1.2649499999999999E-2</v>
      </c>
      <c r="J68" s="21">
        <v>58</v>
      </c>
      <c r="K68" s="21">
        <v>1.38672</v>
      </c>
      <c r="L68">
        <f t="shared" si="0"/>
        <v>12.6495</v>
      </c>
      <c r="M68">
        <f t="shared" si="1"/>
        <v>17.55674703</v>
      </c>
      <c r="N68" s="9"/>
      <c r="O68" s="21">
        <v>0.192108</v>
      </c>
      <c r="P68" s="21">
        <v>36.7545</v>
      </c>
      <c r="Q68" s="21">
        <v>-1.6140700000000001E-2</v>
      </c>
      <c r="R68" s="21">
        <v>58</v>
      </c>
      <c r="S68" s="21">
        <v>0.19137599999999999</v>
      </c>
      <c r="T68">
        <f t="shared" si="2"/>
        <v>16.140700000000002</v>
      </c>
      <c r="U68">
        <f t="shared" si="3"/>
        <v>3.1007575956000006</v>
      </c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1.3829</v>
      </c>
      <c r="H69" s="21">
        <v>30.516999999999999</v>
      </c>
      <c r="I69" s="21">
        <v>-1.2725800000000001E-2</v>
      </c>
      <c r="J69" s="21">
        <v>59</v>
      </c>
      <c r="K69" s="21">
        <v>1.3821399999999999</v>
      </c>
      <c r="L69">
        <f t="shared" si="0"/>
        <v>12.725800000000001</v>
      </c>
      <c r="M69">
        <f t="shared" si="1"/>
        <v>17.598508820000003</v>
      </c>
      <c r="N69" s="9"/>
      <c r="O69" s="21">
        <v>0.19714400000000001</v>
      </c>
      <c r="P69" s="21">
        <v>36.764600000000002</v>
      </c>
      <c r="Q69" s="21">
        <v>-1.6131599999999999E-2</v>
      </c>
      <c r="R69" s="21">
        <v>59</v>
      </c>
      <c r="S69" s="21">
        <v>0.19647200000000001</v>
      </c>
      <c r="T69">
        <f t="shared" si="2"/>
        <v>16.131599999999999</v>
      </c>
      <c r="U69">
        <f t="shared" si="3"/>
        <v>3.1802481504000002</v>
      </c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1.3778699999999999</v>
      </c>
      <c r="H70" s="21">
        <v>30.527000000000001</v>
      </c>
      <c r="I70" s="21">
        <v>-1.2796E-2</v>
      </c>
      <c r="J70" s="21">
        <v>60</v>
      </c>
      <c r="K70" s="21">
        <v>1.3772599999999999</v>
      </c>
      <c r="L70">
        <f t="shared" si="0"/>
        <v>12.795999999999999</v>
      </c>
      <c r="M70">
        <f t="shared" si="1"/>
        <v>17.63122452</v>
      </c>
      <c r="N70" s="9"/>
      <c r="O70" s="21">
        <v>0.202179</v>
      </c>
      <c r="P70" s="21">
        <v>36.774700000000003</v>
      </c>
      <c r="Q70" s="21">
        <v>-1.61285E-2</v>
      </c>
      <c r="R70" s="21">
        <v>60</v>
      </c>
      <c r="S70" s="21">
        <v>0.20141600000000001</v>
      </c>
      <c r="T70">
        <f t="shared" si="2"/>
        <v>16.128499999999999</v>
      </c>
      <c r="U70">
        <f t="shared" si="3"/>
        <v>3.2608440014999998</v>
      </c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1.37283</v>
      </c>
      <c r="H71" s="21">
        <v>30.537099999999999</v>
      </c>
      <c r="I71" s="21">
        <v>-1.28662E-2</v>
      </c>
      <c r="J71" s="21">
        <v>61</v>
      </c>
      <c r="K71" s="21">
        <v>1.3720699999999999</v>
      </c>
      <c r="L71">
        <f t="shared" si="0"/>
        <v>12.866199999999999</v>
      </c>
      <c r="M71">
        <f t="shared" si="1"/>
        <v>17.663105345999998</v>
      </c>
      <c r="N71" s="9"/>
      <c r="O71" s="21">
        <v>0.20721400000000001</v>
      </c>
      <c r="P71" s="21">
        <v>36.784700000000001</v>
      </c>
      <c r="Q71" s="21">
        <v>-1.6131599999999999E-2</v>
      </c>
      <c r="R71" s="21">
        <v>61</v>
      </c>
      <c r="S71" s="21">
        <v>0.20632900000000001</v>
      </c>
      <c r="T71">
        <f t="shared" si="2"/>
        <v>16.131599999999999</v>
      </c>
      <c r="U71">
        <f t="shared" si="3"/>
        <v>3.3426933623999999</v>
      </c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1.3677999999999999</v>
      </c>
      <c r="H72" s="21">
        <v>30.5472</v>
      </c>
      <c r="I72" s="21">
        <v>-1.29272E-2</v>
      </c>
      <c r="J72" s="21">
        <v>62</v>
      </c>
      <c r="K72" s="21">
        <v>1.3668800000000001</v>
      </c>
      <c r="L72">
        <f t="shared" si="0"/>
        <v>12.927199999999999</v>
      </c>
      <c r="M72">
        <f t="shared" si="1"/>
        <v>17.681824159999998</v>
      </c>
      <c r="N72" s="9"/>
      <c r="O72" s="21">
        <v>0.21224999999999999</v>
      </c>
      <c r="P72" s="21">
        <v>36.794800000000002</v>
      </c>
      <c r="Q72" s="21">
        <v>-1.6131599999999999E-2</v>
      </c>
      <c r="R72" s="21">
        <v>62</v>
      </c>
      <c r="S72" s="21">
        <v>0.21154800000000001</v>
      </c>
      <c r="T72">
        <f t="shared" si="2"/>
        <v>16.131599999999999</v>
      </c>
      <c r="U72">
        <f t="shared" si="3"/>
        <v>3.4239320999999996</v>
      </c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1.36276</v>
      </c>
      <c r="H73" s="21">
        <v>30.557300000000001</v>
      </c>
      <c r="I73" s="21">
        <v>-1.2988299999999999E-2</v>
      </c>
      <c r="J73" s="21">
        <v>63</v>
      </c>
      <c r="K73" s="21">
        <v>1.3616900000000001</v>
      </c>
      <c r="L73">
        <f t="shared" si="0"/>
        <v>12.988299999999999</v>
      </c>
      <c r="M73">
        <f t="shared" si="1"/>
        <v>17.699935707999998</v>
      </c>
      <c r="N73" s="9"/>
      <c r="O73" s="21">
        <v>0.21728500000000001</v>
      </c>
      <c r="P73" s="21">
        <v>36.804900000000004</v>
      </c>
      <c r="Q73" s="21">
        <v>-1.6122399999999999E-2</v>
      </c>
      <c r="R73" s="21">
        <v>63</v>
      </c>
      <c r="S73" s="21">
        <v>0.21652199999999999</v>
      </c>
      <c r="T73">
        <f t="shared" si="2"/>
        <v>16.122399999999999</v>
      </c>
      <c r="U73">
        <f t="shared" si="3"/>
        <v>3.5031556839999998</v>
      </c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1.3577300000000001</v>
      </c>
      <c r="H74" s="21">
        <v>30.567299999999999</v>
      </c>
      <c r="I74" s="21">
        <v>-1.30524E-2</v>
      </c>
      <c r="J74" s="21">
        <v>64</v>
      </c>
      <c r="K74" s="21">
        <v>1.3568100000000001</v>
      </c>
      <c r="L74">
        <f t="shared" si="0"/>
        <v>13.0524</v>
      </c>
      <c r="M74">
        <f t="shared" si="1"/>
        <v>17.721635052000003</v>
      </c>
      <c r="N74" s="9"/>
      <c r="O74" s="21">
        <v>0.22232099999999999</v>
      </c>
      <c r="P74" s="21">
        <v>36.814999999999998</v>
      </c>
      <c r="Q74" s="21">
        <v>-1.6113300000000001E-2</v>
      </c>
      <c r="R74" s="21">
        <v>64</v>
      </c>
      <c r="S74" s="21">
        <v>0.221527</v>
      </c>
      <c r="T74">
        <f t="shared" si="2"/>
        <v>16.113299999999999</v>
      </c>
      <c r="U74">
        <f t="shared" si="3"/>
        <v>3.5823249692999997</v>
      </c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1.3526899999999999</v>
      </c>
      <c r="H75" s="21">
        <v>30.577400000000001</v>
      </c>
      <c r="I75" s="21">
        <v>-1.3119499999999999E-2</v>
      </c>
      <c r="J75" s="21">
        <v>65</v>
      </c>
      <c r="K75" s="21">
        <v>1.35162</v>
      </c>
      <c r="L75">
        <f t="shared" si="0"/>
        <v>13.119499999999999</v>
      </c>
      <c r="M75">
        <f t="shared" si="1"/>
        <v>17.746616454999998</v>
      </c>
      <c r="N75" s="9"/>
      <c r="O75" s="21">
        <v>0.227356</v>
      </c>
      <c r="P75" s="21">
        <v>36.825000000000003</v>
      </c>
      <c r="Q75" s="21">
        <v>-1.6110200000000002E-2</v>
      </c>
      <c r="R75" s="21">
        <v>65</v>
      </c>
      <c r="S75" s="21">
        <v>0.226685</v>
      </c>
      <c r="T75">
        <f t="shared" si="2"/>
        <v>16.110200000000003</v>
      </c>
      <c r="U75">
        <f t="shared" si="3"/>
        <v>3.6627506312000007</v>
      </c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1.3476600000000001</v>
      </c>
      <c r="H76" s="21">
        <v>30.587499999999999</v>
      </c>
      <c r="I76" s="21">
        <v>-1.31775E-2</v>
      </c>
      <c r="J76" s="21">
        <v>66</v>
      </c>
      <c r="K76" s="21">
        <v>1.3464400000000001</v>
      </c>
      <c r="L76">
        <f t="shared" ref="L76:L139" si="4">-I76/$F$2*1000</f>
        <v>13.1775</v>
      </c>
      <c r="M76">
        <f t="shared" ref="M76:M139" si="5">L76*G76</f>
        <v>17.758789650000001</v>
      </c>
      <c r="N76" s="9"/>
      <c r="O76" s="21">
        <v>0.23239099999999999</v>
      </c>
      <c r="P76" s="21">
        <v>36.835099999999997</v>
      </c>
      <c r="Q76" s="21">
        <v>-1.6110200000000002E-2</v>
      </c>
      <c r="R76" s="21">
        <v>66</v>
      </c>
      <c r="S76" s="21">
        <v>0.23168900000000001</v>
      </c>
      <c r="T76">
        <f t="shared" ref="T76:T139" si="6">-Q76/$F$2*1000</f>
        <v>16.110200000000003</v>
      </c>
      <c r="U76">
        <f t="shared" ref="U76:U139" si="7">T76*O76</f>
        <v>3.7438654882000004</v>
      </c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1.3426199999999999</v>
      </c>
      <c r="H77" s="21">
        <v>30.5975</v>
      </c>
      <c r="I77" s="21">
        <v>-1.3229400000000001E-2</v>
      </c>
      <c r="J77" s="21">
        <v>67</v>
      </c>
      <c r="K77" s="21">
        <v>1.3412500000000001</v>
      </c>
      <c r="L77">
        <f t="shared" si="4"/>
        <v>13.2294</v>
      </c>
      <c r="M77">
        <f t="shared" si="5"/>
        <v>17.762057027999997</v>
      </c>
      <c r="N77" s="9"/>
      <c r="O77" s="21">
        <v>0.237427</v>
      </c>
      <c r="P77" s="21">
        <v>36.845199999999998</v>
      </c>
      <c r="Q77" s="21">
        <v>-1.61041E-2</v>
      </c>
      <c r="R77" s="21">
        <v>67</v>
      </c>
      <c r="S77" s="21">
        <v>0.23672499999999999</v>
      </c>
      <c r="T77">
        <f t="shared" si="6"/>
        <v>16.104099999999999</v>
      </c>
      <c r="U77">
        <f t="shared" si="7"/>
        <v>3.8235481506999998</v>
      </c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1.3375900000000001</v>
      </c>
      <c r="H78" s="21">
        <v>30.607600000000001</v>
      </c>
      <c r="I78" s="21">
        <v>-1.3281299999999999E-2</v>
      </c>
      <c r="J78" s="21">
        <v>68</v>
      </c>
      <c r="K78" s="21">
        <v>1.33636</v>
      </c>
      <c r="L78">
        <f t="shared" si="4"/>
        <v>13.2813</v>
      </c>
      <c r="M78">
        <f t="shared" si="5"/>
        <v>17.764934067000002</v>
      </c>
      <c r="N78" s="9"/>
      <c r="O78" s="21">
        <v>0.24246200000000001</v>
      </c>
      <c r="P78" s="21">
        <v>36.855200000000004</v>
      </c>
      <c r="Q78" s="21">
        <v>-1.60889E-2</v>
      </c>
      <c r="R78" s="21">
        <v>68</v>
      </c>
      <c r="S78" s="21">
        <v>0.24166899999999999</v>
      </c>
      <c r="T78">
        <f t="shared" si="6"/>
        <v>16.088899999999999</v>
      </c>
      <c r="U78">
        <f t="shared" si="7"/>
        <v>3.9009468718</v>
      </c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1.3325499999999999</v>
      </c>
      <c r="H79" s="21">
        <v>30.617699999999999</v>
      </c>
      <c r="I79" s="21">
        <v>-1.33148E-2</v>
      </c>
      <c r="J79" s="21">
        <v>69</v>
      </c>
      <c r="K79" s="21">
        <v>1.3324</v>
      </c>
      <c r="L79">
        <f t="shared" si="4"/>
        <v>13.3148</v>
      </c>
      <c r="M79">
        <f t="shared" si="5"/>
        <v>17.742636739999998</v>
      </c>
      <c r="N79" s="9"/>
      <c r="O79" s="21">
        <v>0.247498</v>
      </c>
      <c r="P79" s="21">
        <v>36.865299999999998</v>
      </c>
      <c r="Q79" s="21">
        <v>-1.6070600000000001E-2</v>
      </c>
      <c r="R79" s="21">
        <v>69</v>
      </c>
      <c r="S79" s="21">
        <v>0.246643</v>
      </c>
      <c r="T79">
        <f t="shared" si="6"/>
        <v>16.070600000000002</v>
      </c>
      <c r="U79">
        <f t="shared" si="7"/>
        <v>3.9774413588000006</v>
      </c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1.32751</v>
      </c>
      <c r="H80" s="21">
        <v>30.627800000000001</v>
      </c>
      <c r="I80" s="21">
        <v>-1.33606E-2</v>
      </c>
      <c r="J80" s="21">
        <v>70</v>
      </c>
      <c r="K80" s="21">
        <v>1.3269</v>
      </c>
      <c r="L80">
        <f t="shared" si="4"/>
        <v>13.3606</v>
      </c>
      <c r="M80">
        <f t="shared" si="5"/>
        <v>17.736330106</v>
      </c>
      <c r="N80" s="9"/>
      <c r="O80" s="21">
        <v>0.25253300000000001</v>
      </c>
      <c r="P80" s="21">
        <v>36.875399999999999</v>
      </c>
      <c r="Q80" s="21">
        <v>-1.6058300000000001E-2</v>
      </c>
      <c r="R80" s="21">
        <v>70</v>
      </c>
      <c r="S80" s="21">
        <v>0.25176999999999999</v>
      </c>
      <c r="T80">
        <f t="shared" si="6"/>
        <v>16.058300000000003</v>
      </c>
      <c r="U80">
        <f t="shared" si="7"/>
        <v>4.0552506739000007</v>
      </c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1.3224800000000001</v>
      </c>
      <c r="H81" s="21">
        <v>30.637799999999999</v>
      </c>
      <c r="I81" s="21">
        <v>-1.3424699999999999E-2</v>
      </c>
      <c r="J81" s="21">
        <v>71</v>
      </c>
      <c r="K81" s="21">
        <v>1.32141</v>
      </c>
      <c r="L81">
        <f t="shared" si="4"/>
        <v>13.4247</v>
      </c>
      <c r="M81">
        <f t="shared" si="5"/>
        <v>17.753897256000002</v>
      </c>
      <c r="N81" s="9"/>
      <c r="O81" s="21">
        <v>0.25756800000000002</v>
      </c>
      <c r="P81" s="21">
        <v>36.8855</v>
      </c>
      <c r="Q81" s="21">
        <v>-1.6055300000000002E-2</v>
      </c>
      <c r="R81" s="21">
        <v>71</v>
      </c>
      <c r="S81" s="21">
        <v>0.25683600000000001</v>
      </c>
      <c r="T81">
        <f t="shared" si="6"/>
        <v>16.055300000000003</v>
      </c>
      <c r="U81">
        <f t="shared" si="7"/>
        <v>4.1353315104000012</v>
      </c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1.3174399999999999</v>
      </c>
      <c r="H82" s="21">
        <v>30.6479</v>
      </c>
      <c r="I82" s="21">
        <v>-1.34796E-2</v>
      </c>
      <c r="J82" s="21">
        <v>72</v>
      </c>
      <c r="K82" s="21">
        <v>1.3168299999999999</v>
      </c>
      <c r="L82">
        <f t="shared" si="4"/>
        <v>13.4796</v>
      </c>
      <c r="M82">
        <f t="shared" si="5"/>
        <v>17.758564223999997</v>
      </c>
      <c r="N82" s="9"/>
      <c r="O82" s="21">
        <v>0.262604</v>
      </c>
      <c r="P82" s="21">
        <v>36.895499999999998</v>
      </c>
      <c r="Q82" s="21">
        <v>-1.6046100000000001E-2</v>
      </c>
      <c r="R82" s="21">
        <v>72</v>
      </c>
      <c r="S82" s="21">
        <v>0.26180999999999999</v>
      </c>
      <c r="T82">
        <f t="shared" si="6"/>
        <v>16.046099999999999</v>
      </c>
      <c r="U82">
        <f t="shared" si="7"/>
        <v>4.2137700443999995</v>
      </c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1.3124100000000001</v>
      </c>
      <c r="H83" s="21">
        <v>30.658000000000001</v>
      </c>
      <c r="I83" s="21">
        <v>-1.35254E-2</v>
      </c>
      <c r="J83" s="21">
        <v>73</v>
      </c>
      <c r="K83" s="21">
        <v>1.31134</v>
      </c>
      <c r="L83">
        <f t="shared" si="4"/>
        <v>13.525399999999999</v>
      </c>
      <c r="M83">
        <f t="shared" si="5"/>
        <v>17.750870213999999</v>
      </c>
      <c r="N83" s="9"/>
      <c r="O83" s="21">
        <v>0.26763900000000002</v>
      </c>
      <c r="P83" s="21">
        <v>36.9056</v>
      </c>
      <c r="Q83" s="21">
        <v>-1.60492E-2</v>
      </c>
      <c r="R83" s="21">
        <v>73</v>
      </c>
      <c r="S83" s="21">
        <v>0.26675399999999999</v>
      </c>
      <c r="T83">
        <f t="shared" si="6"/>
        <v>16.049199999999999</v>
      </c>
      <c r="U83">
        <f t="shared" si="7"/>
        <v>4.2953918387999996</v>
      </c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1.3073699999999999</v>
      </c>
      <c r="H84" s="21">
        <v>30.667999999999999</v>
      </c>
      <c r="I84" s="21">
        <v>-1.35712E-2</v>
      </c>
      <c r="J84" s="21">
        <v>74</v>
      </c>
      <c r="K84" s="21">
        <v>1.30646</v>
      </c>
      <c r="L84">
        <f t="shared" si="4"/>
        <v>13.571200000000001</v>
      </c>
      <c r="M84">
        <f t="shared" si="5"/>
        <v>17.742579744</v>
      </c>
      <c r="N84" s="9"/>
      <c r="O84" s="21">
        <v>0.272675</v>
      </c>
      <c r="P84" s="21">
        <v>36.915700000000001</v>
      </c>
      <c r="Q84" s="21">
        <v>-1.60492E-2</v>
      </c>
      <c r="R84" s="21">
        <v>74</v>
      </c>
      <c r="S84" s="21">
        <v>0.27185100000000001</v>
      </c>
      <c r="T84">
        <f t="shared" si="6"/>
        <v>16.049199999999999</v>
      </c>
      <c r="U84">
        <f t="shared" si="7"/>
        <v>4.37621561</v>
      </c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1.3023400000000001</v>
      </c>
      <c r="H85" s="21">
        <v>30.678100000000001</v>
      </c>
      <c r="I85" s="21">
        <v>-1.36078E-2</v>
      </c>
      <c r="J85" s="21">
        <v>75</v>
      </c>
      <c r="K85" s="21">
        <v>1.3012699999999999</v>
      </c>
      <c r="L85">
        <f t="shared" si="4"/>
        <v>13.607799999999999</v>
      </c>
      <c r="M85">
        <f t="shared" si="5"/>
        <v>17.721982252</v>
      </c>
      <c r="N85" s="9"/>
      <c r="O85" s="21">
        <v>0.27771000000000001</v>
      </c>
      <c r="P85" s="21">
        <v>36.925699999999999</v>
      </c>
      <c r="Q85" s="21">
        <v>-1.6043100000000001E-2</v>
      </c>
      <c r="R85" s="21">
        <v>75</v>
      </c>
      <c r="S85" s="21">
        <v>0.27691700000000002</v>
      </c>
      <c r="T85">
        <f t="shared" si="6"/>
        <v>16.043100000000003</v>
      </c>
      <c r="U85">
        <f t="shared" si="7"/>
        <v>4.4553293010000008</v>
      </c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1.2972999999999999</v>
      </c>
      <c r="H86" s="21">
        <v>30.688199999999998</v>
      </c>
      <c r="I86" s="21">
        <v>-1.3650499999999999E-2</v>
      </c>
      <c r="J86" s="21">
        <v>76</v>
      </c>
      <c r="K86" s="21">
        <v>1.2966899999999999</v>
      </c>
      <c r="L86">
        <f t="shared" si="4"/>
        <v>13.650499999999999</v>
      </c>
      <c r="M86">
        <f t="shared" si="5"/>
        <v>17.708793649999997</v>
      </c>
      <c r="N86" s="9"/>
      <c r="O86" s="21">
        <v>0.28274500000000002</v>
      </c>
      <c r="P86" s="21">
        <v>36.9358</v>
      </c>
      <c r="Q86" s="21">
        <v>-1.6036999999999999E-2</v>
      </c>
      <c r="R86" s="21">
        <v>76</v>
      </c>
      <c r="S86" s="21">
        <v>0.28183000000000002</v>
      </c>
      <c r="T86">
        <f t="shared" si="6"/>
        <v>16.036999999999999</v>
      </c>
      <c r="U86">
        <f t="shared" si="7"/>
        <v>4.5343815650000003</v>
      </c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1.29227</v>
      </c>
      <c r="H87" s="21">
        <v>30.6982</v>
      </c>
      <c r="I87" s="21">
        <v>-1.3693200000000001E-2</v>
      </c>
      <c r="J87" s="21">
        <v>77</v>
      </c>
      <c r="K87" s="21">
        <v>1.2915000000000001</v>
      </c>
      <c r="L87">
        <f t="shared" si="4"/>
        <v>13.693200000000001</v>
      </c>
      <c r="M87">
        <f t="shared" si="5"/>
        <v>17.695311564000001</v>
      </c>
      <c r="N87" s="9"/>
      <c r="O87" s="21">
        <v>0.28778100000000001</v>
      </c>
      <c r="P87" s="21">
        <v>36.945900000000002</v>
      </c>
      <c r="Q87" s="21">
        <v>-1.6015600000000001E-2</v>
      </c>
      <c r="R87" s="21">
        <v>77</v>
      </c>
      <c r="S87" s="21">
        <v>0.287018</v>
      </c>
      <c r="T87">
        <f t="shared" si="6"/>
        <v>16.015600000000003</v>
      </c>
      <c r="U87">
        <f t="shared" si="7"/>
        <v>4.6089853836000012</v>
      </c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1.2872300000000001</v>
      </c>
      <c r="H88" s="21">
        <v>30.708300000000001</v>
      </c>
      <c r="I88" s="21">
        <v>-1.3732899999999999E-2</v>
      </c>
      <c r="J88" s="21">
        <v>78</v>
      </c>
      <c r="K88" s="21">
        <v>1.2866200000000001</v>
      </c>
      <c r="L88">
        <f t="shared" si="4"/>
        <v>13.732899999999999</v>
      </c>
      <c r="M88">
        <f t="shared" si="5"/>
        <v>17.677400866999999</v>
      </c>
      <c r="N88" s="9"/>
      <c r="O88" s="21">
        <v>0.29281600000000002</v>
      </c>
      <c r="P88" s="21">
        <v>36.956000000000003</v>
      </c>
      <c r="Q88" s="21">
        <v>-1.60217E-2</v>
      </c>
      <c r="R88" s="21">
        <v>78</v>
      </c>
      <c r="S88" s="21">
        <v>0.29205300000000001</v>
      </c>
      <c r="T88">
        <f t="shared" si="6"/>
        <v>16.021699999999999</v>
      </c>
      <c r="U88">
        <f t="shared" si="7"/>
        <v>4.6914101072000003</v>
      </c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1.2822</v>
      </c>
      <c r="H89" s="21">
        <v>30.718399999999999</v>
      </c>
      <c r="I89" s="21">
        <v>-1.3766499999999999E-2</v>
      </c>
      <c r="J89" s="21">
        <v>79</v>
      </c>
      <c r="K89" s="21">
        <v>1.2814300000000001</v>
      </c>
      <c r="L89">
        <f t="shared" si="4"/>
        <v>13.766499999999999</v>
      </c>
      <c r="M89">
        <f t="shared" si="5"/>
        <v>17.651406299999998</v>
      </c>
      <c r="N89" s="9"/>
      <c r="O89" s="21">
        <v>0.29785200000000001</v>
      </c>
      <c r="P89" s="21">
        <v>36.966000000000001</v>
      </c>
      <c r="Q89" s="21">
        <v>-1.6027799999999998E-2</v>
      </c>
      <c r="R89" s="21">
        <v>79</v>
      </c>
      <c r="S89" s="21">
        <v>0.29702800000000001</v>
      </c>
      <c r="T89">
        <f t="shared" si="6"/>
        <v>16.027799999999999</v>
      </c>
      <c r="U89">
        <f t="shared" si="7"/>
        <v>4.7739122855999998</v>
      </c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1.2771600000000001</v>
      </c>
      <c r="H90" s="21">
        <v>30.7285</v>
      </c>
      <c r="I90" s="21">
        <v>-1.38031E-2</v>
      </c>
      <c r="J90" s="21">
        <v>80</v>
      </c>
      <c r="K90" s="21">
        <v>1.2762500000000001</v>
      </c>
      <c r="L90">
        <f t="shared" si="4"/>
        <v>13.803100000000001</v>
      </c>
      <c r="M90">
        <f t="shared" si="5"/>
        <v>17.628767196000002</v>
      </c>
      <c r="N90" s="9"/>
      <c r="O90" s="21">
        <v>0.30288700000000002</v>
      </c>
      <c r="P90" s="21">
        <v>36.976100000000002</v>
      </c>
      <c r="Q90" s="21">
        <v>-1.6024799999999999E-2</v>
      </c>
      <c r="R90" s="21">
        <v>80</v>
      </c>
      <c r="S90" s="21">
        <v>0.30209399999999997</v>
      </c>
      <c r="T90">
        <f t="shared" si="6"/>
        <v>16.024799999999999</v>
      </c>
      <c r="U90">
        <f t="shared" si="7"/>
        <v>4.8537035976</v>
      </c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1.27213</v>
      </c>
      <c r="H91" s="21">
        <v>30.738499999999998</v>
      </c>
      <c r="I91" s="21">
        <v>-1.38397E-2</v>
      </c>
      <c r="J91" s="21">
        <v>81</v>
      </c>
      <c r="K91" s="21">
        <v>1.2704500000000001</v>
      </c>
      <c r="L91">
        <f t="shared" si="4"/>
        <v>13.839700000000001</v>
      </c>
      <c r="M91">
        <f t="shared" si="5"/>
        <v>17.605897560999999</v>
      </c>
      <c r="N91" s="9"/>
      <c r="O91" s="21">
        <v>0.30792199999999997</v>
      </c>
      <c r="P91" s="21">
        <v>36.986199999999997</v>
      </c>
      <c r="Q91" s="21">
        <v>-1.60217E-2</v>
      </c>
      <c r="R91" s="21">
        <v>81</v>
      </c>
      <c r="S91" s="21">
        <v>0.30706800000000001</v>
      </c>
      <c r="T91">
        <f t="shared" si="6"/>
        <v>16.021699999999999</v>
      </c>
      <c r="U91">
        <f t="shared" si="7"/>
        <v>4.9334339073999995</v>
      </c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1.26709</v>
      </c>
      <c r="H92" s="21">
        <v>30.7486</v>
      </c>
      <c r="I92" s="21">
        <v>-1.38794E-2</v>
      </c>
      <c r="J92" s="21">
        <v>82</v>
      </c>
      <c r="K92" s="21">
        <v>1.26617</v>
      </c>
      <c r="L92">
        <f t="shared" si="4"/>
        <v>13.8794</v>
      </c>
      <c r="M92">
        <f t="shared" si="5"/>
        <v>17.586448946000001</v>
      </c>
      <c r="N92" s="9"/>
      <c r="O92" s="21">
        <v>0.31295800000000001</v>
      </c>
      <c r="P92" s="21">
        <v>36.996200000000002</v>
      </c>
      <c r="Q92" s="21">
        <v>-1.6015600000000001E-2</v>
      </c>
      <c r="R92" s="21">
        <v>82</v>
      </c>
      <c r="S92" s="21">
        <v>0.31213400000000002</v>
      </c>
      <c r="T92">
        <f t="shared" si="6"/>
        <v>16.015600000000003</v>
      </c>
      <c r="U92">
        <f t="shared" si="7"/>
        <v>5.0122101448000009</v>
      </c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1.2620499999999999</v>
      </c>
      <c r="H93" s="21">
        <v>30.758700000000001</v>
      </c>
      <c r="I93" s="21">
        <v>-1.3916E-2</v>
      </c>
      <c r="J93" s="21">
        <v>83</v>
      </c>
      <c r="K93" s="21">
        <v>1.26068</v>
      </c>
      <c r="L93">
        <f t="shared" si="4"/>
        <v>13.916</v>
      </c>
      <c r="M93">
        <f t="shared" si="5"/>
        <v>17.562687799999999</v>
      </c>
      <c r="N93" s="9"/>
      <c r="O93" s="21">
        <v>0.31799300000000003</v>
      </c>
      <c r="P93" s="21">
        <v>37.006300000000003</v>
      </c>
      <c r="Q93" s="21">
        <v>-1.60187E-2</v>
      </c>
      <c r="R93" s="21">
        <v>83</v>
      </c>
      <c r="S93" s="21">
        <v>0.31719999999999998</v>
      </c>
      <c r="T93">
        <f t="shared" si="6"/>
        <v>16.018699999999999</v>
      </c>
      <c r="U93">
        <f t="shared" si="7"/>
        <v>5.0938344690999999</v>
      </c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1.25702</v>
      </c>
      <c r="H94" s="21">
        <v>30.768699999999999</v>
      </c>
      <c r="I94" s="21">
        <v>-1.39557E-2</v>
      </c>
      <c r="J94" s="21">
        <v>84</v>
      </c>
      <c r="K94" s="21">
        <v>1.2561</v>
      </c>
      <c r="L94">
        <f t="shared" si="4"/>
        <v>13.9557</v>
      </c>
      <c r="M94">
        <f t="shared" si="5"/>
        <v>17.542594014000002</v>
      </c>
      <c r="N94" s="9"/>
      <c r="O94" s="21">
        <v>0.32302900000000001</v>
      </c>
      <c r="P94" s="21">
        <v>37.016399999999997</v>
      </c>
      <c r="Q94" s="21">
        <v>-1.6009499999999999E-2</v>
      </c>
      <c r="R94" s="21">
        <v>84</v>
      </c>
      <c r="S94" s="21">
        <v>0.32214399999999999</v>
      </c>
      <c r="T94">
        <f t="shared" si="6"/>
        <v>16.009499999999999</v>
      </c>
      <c r="U94">
        <f t="shared" si="7"/>
        <v>5.1715327755000002</v>
      </c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1.2519800000000001</v>
      </c>
      <c r="H95" s="21">
        <v>30.7788</v>
      </c>
      <c r="I95" s="21">
        <v>-1.3992299999999999E-2</v>
      </c>
      <c r="J95" s="21">
        <v>85</v>
      </c>
      <c r="K95" s="21">
        <v>1.25183</v>
      </c>
      <c r="L95">
        <f t="shared" si="4"/>
        <v>13.992299999999998</v>
      </c>
      <c r="M95">
        <f t="shared" si="5"/>
        <v>17.518079753999999</v>
      </c>
      <c r="N95" s="9"/>
      <c r="O95" s="21">
        <v>0.32806400000000002</v>
      </c>
      <c r="P95" s="21">
        <v>37.026400000000002</v>
      </c>
      <c r="Q95" s="21">
        <v>-1.5994299999999999E-2</v>
      </c>
      <c r="R95" s="21">
        <v>85</v>
      </c>
      <c r="S95" s="21">
        <v>0.32720900000000003</v>
      </c>
      <c r="T95">
        <f t="shared" si="6"/>
        <v>15.994299999999999</v>
      </c>
      <c r="U95">
        <f t="shared" si="7"/>
        <v>5.2471540352000003</v>
      </c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1.24695</v>
      </c>
      <c r="H96" s="21">
        <v>30.788900000000002</v>
      </c>
      <c r="I96" s="21">
        <v>-1.4035000000000001E-2</v>
      </c>
      <c r="J96" s="21">
        <v>86</v>
      </c>
      <c r="K96" s="21">
        <v>1.24573</v>
      </c>
      <c r="L96">
        <f t="shared" si="4"/>
        <v>14.035</v>
      </c>
      <c r="M96">
        <f t="shared" si="5"/>
        <v>17.500943249999999</v>
      </c>
      <c r="N96" s="9"/>
      <c r="O96" s="21">
        <v>0.33309899999999998</v>
      </c>
      <c r="P96" s="21">
        <v>37.036499999999997</v>
      </c>
      <c r="Q96" s="21">
        <v>-1.5988200000000001E-2</v>
      </c>
      <c r="R96" s="21">
        <v>86</v>
      </c>
      <c r="S96" s="21">
        <v>0.33233600000000002</v>
      </c>
      <c r="T96">
        <f t="shared" si="6"/>
        <v>15.988200000000001</v>
      </c>
      <c r="U96">
        <f t="shared" si="7"/>
        <v>5.3256534318000002</v>
      </c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1.2419100000000001</v>
      </c>
      <c r="H97" s="21">
        <v>30.798999999999999</v>
      </c>
      <c r="I97" s="21">
        <v>-1.4068600000000001E-2</v>
      </c>
      <c r="J97" s="21">
        <v>87</v>
      </c>
      <c r="K97" s="21">
        <v>1.24054</v>
      </c>
      <c r="L97">
        <f t="shared" si="4"/>
        <v>14.0686</v>
      </c>
      <c r="M97">
        <f t="shared" si="5"/>
        <v>17.471935026000001</v>
      </c>
      <c r="N97" s="9"/>
      <c r="O97" s="21">
        <v>0.33813500000000002</v>
      </c>
      <c r="P97" s="21">
        <v>37.046599999999998</v>
      </c>
      <c r="Q97" s="21">
        <v>-1.5982099999999999E-2</v>
      </c>
      <c r="R97" s="21">
        <v>87</v>
      </c>
      <c r="S97" s="21">
        <v>0.33743299999999998</v>
      </c>
      <c r="T97">
        <f t="shared" si="6"/>
        <v>15.982099999999999</v>
      </c>
      <c r="U97">
        <f t="shared" si="7"/>
        <v>5.4041073835000004</v>
      </c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1.23688</v>
      </c>
      <c r="H98" s="21">
        <v>30.809000000000001</v>
      </c>
      <c r="I98" s="21">
        <v>-1.41052E-2</v>
      </c>
      <c r="J98" s="21">
        <v>88</v>
      </c>
      <c r="K98" s="21">
        <v>1.23566</v>
      </c>
      <c r="L98">
        <f t="shared" si="4"/>
        <v>14.1052</v>
      </c>
      <c r="M98">
        <f t="shared" si="5"/>
        <v>17.446439775999998</v>
      </c>
      <c r="N98" s="9"/>
      <c r="O98" s="21">
        <v>0.34316999999999998</v>
      </c>
      <c r="P98" s="21">
        <v>37.056699999999999</v>
      </c>
      <c r="Q98" s="21">
        <v>-1.5976000000000001E-2</v>
      </c>
      <c r="R98" s="21">
        <v>88</v>
      </c>
      <c r="S98" s="21">
        <v>0.34243800000000002</v>
      </c>
      <c r="T98">
        <f t="shared" si="6"/>
        <v>15.976000000000001</v>
      </c>
      <c r="U98">
        <f t="shared" si="7"/>
        <v>5.48248392</v>
      </c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1.23184</v>
      </c>
      <c r="H99" s="21">
        <v>30.819099999999999</v>
      </c>
      <c r="I99" s="21">
        <v>-1.4135699999999999E-2</v>
      </c>
      <c r="J99" s="21">
        <v>89</v>
      </c>
      <c r="K99" s="21">
        <v>1.23047</v>
      </c>
      <c r="L99">
        <f t="shared" si="4"/>
        <v>14.1357</v>
      </c>
      <c r="M99">
        <f t="shared" si="5"/>
        <v>17.412920688</v>
      </c>
      <c r="N99" s="9"/>
      <c r="O99" s="21">
        <v>0.34820600000000002</v>
      </c>
      <c r="P99" s="21">
        <v>37.066699999999997</v>
      </c>
      <c r="Q99" s="21">
        <v>-1.5963700000000001E-2</v>
      </c>
      <c r="R99" s="21">
        <v>89</v>
      </c>
      <c r="S99" s="21">
        <v>0.34738200000000002</v>
      </c>
      <c r="T99">
        <f t="shared" si="6"/>
        <v>15.963700000000001</v>
      </c>
      <c r="U99">
        <f t="shared" si="7"/>
        <v>5.5586561222000004</v>
      </c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1.22681</v>
      </c>
      <c r="H100" s="21">
        <v>30.8292</v>
      </c>
      <c r="I100" s="21">
        <v>-1.41724E-2</v>
      </c>
      <c r="J100" s="21">
        <v>90</v>
      </c>
      <c r="K100" s="21">
        <v>1.22559</v>
      </c>
      <c r="L100">
        <f t="shared" si="4"/>
        <v>14.1724</v>
      </c>
      <c r="M100">
        <f t="shared" si="5"/>
        <v>17.386842043999998</v>
      </c>
      <c r="N100" s="9"/>
      <c r="O100" s="21">
        <v>0.35324100000000003</v>
      </c>
      <c r="P100" s="21">
        <v>37.076799999999999</v>
      </c>
      <c r="Q100" s="21">
        <v>-1.5957599999999999E-2</v>
      </c>
      <c r="R100" s="21">
        <v>90</v>
      </c>
      <c r="S100" s="21">
        <v>0.35250900000000002</v>
      </c>
      <c r="T100">
        <f t="shared" si="6"/>
        <v>15.957599999999999</v>
      </c>
      <c r="U100">
        <f t="shared" si="7"/>
        <v>5.6368785816000004</v>
      </c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1.22177</v>
      </c>
      <c r="H101" s="21">
        <v>30.839200000000002</v>
      </c>
      <c r="I101" s="21">
        <v>-1.42059E-2</v>
      </c>
      <c r="J101" s="21">
        <v>91</v>
      </c>
      <c r="K101" s="21">
        <v>1.2206999999999999</v>
      </c>
      <c r="L101">
        <f t="shared" si="4"/>
        <v>14.2059</v>
      </c>
      <c r="M101">
        <f t="shared" si="5"/>
        <v>17.356342442999999</v>
      </c>
      <c r="N101" s="9"/>
      <c r="O101" s="21">
        <v>0.35827599999999998</v>
      </c>
      <c r="P101" s="21">
        <v>37.0869</v>
      </c>
      <c r="Q101" s="21">
        <v>-1.5957599999999999E-2</v>
      </c>
      <c r="R101" s="21">
        <v>91</v>
      </c>
      <c r="S101" s="21">
        <v>0.35745199999999999</v>
      </c>
      <c r="T101">
        <f t="shared" si="6"/>
        <v>15.957599999999999</v>
      </c>
      <c r="U101">
        <f t="shared" si="7"/>
        <v>5.7172250975999992</v>
      </c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1.2167399999999999</v>
      </c>
      <c r="H102" s="21">
        <v>30.849299999999999</v>
      </c>
      <c r="I102" s="21">
        <v>-1.42334E-2</v>
      </c>
      <c r="J102" s="21">
        <v>92</v>
      </c>
      <c r="K102" s="21">
        <v>1.2152099999999999</v>
      </c>
      <c r="L102">
        <f t="shared" si="4"/>
        <v>14.2334</v>
      </c>
      <c r="M102">
        <f t="shared" si="5"/>
        <v>17.318347115999998</v>
      </c>
      <c r="N102" s="9"/>
      <c r="O102" s="21">
        <v>0.36331200000000002</v>
      </c>
      <c r="P102" s="21">
        <v>37.096899999999998</v>
      </c>
      <c r="Q102" s="21">
        <v>-1.59668E-2</v>
      </c>
      <c r="R102" s="21">
        <v>92</v>
      </c>
      <c r="S102" s="21">
        <v>0.36254900000000001</v>
      </c>
      <c r="T102">
        <f t="shared" si="6"/>
        <v>15.966799999999999</v>
      </c>
      <c r="U102">
        <f t="shared" si="7"/>
        <v>5.8009300416</v>
      </c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1.2117</v>
      </c>
      <c r="H103" s="21">
        <v>30.859400000000001</v>
      </c>
      <c r="I103" s="21">
        <v>-1.42548E-2</v>
      </c>
      <c r="J103" s="21">
        <v>93</v>
      </c>
      <c r="K103" s="21">
        <v>1.2100200000000001</v>
      </c>
      <c r="L103">
        <f t="shared" si="4"/>
        <v>14.254799999999999</v>
      </c>
      <c r="M103">
        <f t="shared" si="5"/>
        <v>17.272541159999999</v>
      </c>
      <c r="N103" s="9"/>
      <c r="O103" s="21">
        <v>0.36834699999999998</v>
      </c>
      <c r="P103" s="21">
        <v>37.106999999999999</v>
      </c>
      <c r="Q103" s="21">
        <v>-1.5972900000000002E-2</v>
      </c>
      <c r="R103" s="21">
        <v>93</v>
      </c>
      <c r="S103" s="21">
        <v>0.36749300000000001</v>
      </c>
      <c r="T103">
        <f t="shared" si="6"/>
        <v>15.972900000000001</v>
      </c>
      <c r="U103">
        <f t="shared" si="7"/>
        <v>5.8835697962999998</v>
      </c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1.2066699999999999</v>
      </c>
      <c r="H104" s="21">
        <v>30.869499999999999</v>
      </c>
      <c r="I104" s="21">
        <v>-1.4279200000000001E-2</v>
      </c>
      <c r="J104" s="21">
        <v>94</v>
      </c>
      <c r="K104" s="21">
        <v>1.2057500000000001</v>
      </c>
      <c r="L104">
        <f t="shared" si="4"/>
        <v>14.279200000000001</v>
      </c>
      <c r="M104">
        <f t="shared" si="5"/>
        <v>17.230282264</v>
      </c>
      <c r="N104" s="9"/>
      <c r="O104" s="21">
        <v>0.37338300000000002</v>
      </c>
      <c r="P104" s="21">
        <v>37.117100000000001</v>
      </c>
      <c r="Q104" s="21">
        <v>-1.5972900000000002E-2</v>
      </c>
      <c r="R104" s="21">
        <v>94</v>
      </c>
      <c r="S104" s="21">
        <v>0.372589</v>
      </c>
      <c r="T104">
        <f t="shared" si="6"/>
        <v>15.972900000000001</v>
      </c>
      <c r="U104">
        <f t="shared" si="7"/>
        <v>5.9640093207000007</v>
      </c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1.20163</v>
      </c>
      <c r="H105" s="21">
        <v>30.8795</v>
      </c>
      <c r="I105" s="21">
        <v>-1.43097E-2</v>
      </c>
      <c r="J105" s="21">
        <v>95</v>
      </c>
      <c r="K105" s="21">
        <v>1.1999500000000001</v>
      </c>
      <c r="L105">
        <f t="shared" si="4"/>
        <v>14.309699999999999</v>
      </c>
      <c r="M105">
        <f t="shared" si="5"/>
        <v>17.194964810999998</v>
      </c>
      <c r="N105" s="9"/>
      <c r="O105" s="21">
        <v>0.37841799999999998</v>
      </c>
      <c r="P105" s="21">
        <v>37.127200000000002</v>
      </c>
      <c r="Q105" s="21">
        <v>-1.5976000000000001E-2</v>
      </c>
      <c r="R105" s="21">
        <v>95</v>
      </c>
      <c r="S105" s="21">
        <v>0.37759399999999999</v>
      </c>
      <c r="T105">
        <f t="shared" si="6"/>
        <v>15.976000000000001</v>
      </c>
      <c r="U105">
        <f t="shared" si="7"/>
        <v>6.0456059680000003</v>
      </c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1.19659</v>
      </c>
      <c r="H106" s="21">
        <v>30.889600000000002</v>
      </c>
      <c r="I106" s="21">
        <v>-1.43372E-2</v>
      </c>
      <c r="J106" s="21">
        <v>96</v>
      </c>
      <c r="K106" s="21">
        <v>1.1950700000000001</v>
      </c>
      <c r="L106">
        <f t="shared" si="4"/>
        <v>14.337199999999999</v>
      </c>
      <c r="M106">
        <f t="shared" si="5"/>
        <v>17.155750147999999</v>
      </c>
      <c r="N106" s="9"/>
      <c r="O106" s="21">
        <v>0.38345299999999999</v>
      </c>
      <c r="P106" s="21">
        <v>37.1372</v>
      </c>
      <c r="Q106" s="21">
        <v>-1.5972900000000002E-2</v>
      </c>
      <c r="R106" s="21">
        <v>96</v>
      </c>
      <c r="S106" s="21">
        <v>0.382629</v>
      </c>
      <c r="T106">
        <f t="shared" si="6"/>
        <v>15.972900000000001</v>
      </c>
      <c r="U106">
        <f t="shared" si="7"/>
        <v>6.1248564236999998</v>
      </c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1.19156</v>
      </c>
      <c r="H107" s="21">
        <v>30.899699999999999</v>
      </c>
      <c r="I107" s="21">
        <v>-1.4367700000000001E-2</v>
      </c>
      <c r="J107" s="21">
        <v>97</v>
      </c>
      <c r="K107" s="21">
        <v>1.1908000000000001</v>
      </c>
      <c r="L107">
        <f t="shared" si="4"/>
        <v>14.367700000000001</v>
      </c>
      <c r="M107">
        <f t="shared" si="5"/>
        <v>17.119976612000002</v>
      </c>
      <c r="N107" s="9"/>
      <c r="O107" s="21">
        <v>0.38848899999999997</v>
      </c>
      <c r="P107" s="21">
        <v>37.147300000000001</v>
      </c>
      <c r="Q107" s="21">
        <v>-1.5972900000000002E-2</v>
      </c>
      <c r="R107" s="21">
        <v>97</v>
      </c>
      <c r="S107" s="21">
        <v>0.38772600000000002</v>
      </c>
      <c r="T107">
        <f t="shared" si="6"/>
        <v>15.972900000000001</v>
      </c>
      <c r="U107">
        <f t="shared" si="7"/>
        <v>6.2052959480999998</v>
      </c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1.18652</v>
      </c>
      <c r="H108" s="21">
        <v>30.909700000000001</v>
      </c>
      <c r="I108" s="21">
        <v>-1.44043E-2</v>
      </c>
      <c r="J108" s="21">
        <v>98</v>
      </c>
      <c r="K108" s="21">
        <v>1.1853</v>
      </c>
      <c r="L108">
        <f t="shared" si="4"/>
        <v>14.404299999999999</v>
      </c>
      <c r="M108">
        <f t="shared" si="5"/>
        <v>17.090990036000001</v>
      </c>
      <c r="N108" s="9"/>
      <c r="O108" s="21">
        <v>0.39352399999999998</v>
      </c>
      <c r="P108" s="21">
        <v>37.157400000000003</v>
      </c>
      <c r="Q108" s="21">
        <v>-1.5960700000000001E-2</v>
      </c>
      <c r="R108" s="21">
        <v>98</v>
      </c>
      <c r="S108" s="21">
        <v>0.39288299999999998</v>
      </c>
      <c r="T108">
        <f t="shared" si="6"/>
        <v>15.960700000000001</v>
      </c>
      <c r="U108">
        <f t="shared" si="7"/>
        <v>6.2809185068</v>
      </c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1.1814899999999999</v>
      </c>
      <c r="H109" s="21">
        <v>30.919799999999999</v>
      </c>
      <c r="I109" s="21">
        <v>-1.4434799999999999E-2</v>
      </c>
      <c r="J109" s="21">
        <v>99</v>
      </c>
      <c r="K109" s="21">
        <v>1.1807300000000001</v>
      </c>
      <c r="L109">
        <f t="shared" si="4"/>
        <v>14.434799999999999</v>
      </c>
      <c r="M109">
        <f t="shared" si="5"/>
        <v>17.054571851999999</v>
      </c>
      <c r="N109" s="9"/>
      <c r="O109" s="21">
        <v>0.39856000000000003</v>
      </c>
      <c r="P109" s="21">
        <v>37.167400000000001</v>
      </c>
      <c r="Q109" s="21">
        <v>-1.59515E-2</v>
      </c>
      <c r="R109" s="21">
        <v>99</v>
      </c>
      <c r="S109" s="21">
        <v>0.39785799999999999</v>
      </c>
      <c r="T109">
        <f t="shared" si="6"/>
        <v>15.951500000000001</v>
      </c>
      <c r="U109">
        <f t="shared" si="7"/>
        <v>6.3576298400000004</v>
      </c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1.17645</v>
      </c>
      <c r="H110" s="21">
        <v>30.9299</v>
      </c>
      <c r="I110" s="21">
        <v>-1.4456200000000001E-2</v>
      </c>
      <c r="J110" s="21">
        <v>100</v>
      </c>
      <c r="K110" s="21">
        <v>1.17554</v>
      </c>
      <c r="L110">
        <f t="shared" si="4"/>
        <v>14.456200000000001</v>
      </c>
      <c r="M110">
        <f t="shared" si="5"/>
        <v>17.006996490000002</v>
      </c>
      <c r="N110" s="9"/>
      <c r="O110" s="21">
        <v>0.40359499999999998</v>
      </c>
      <c r="P110" s="21">
        <v>37.177500000000002</v>
      </c>
      <c r="Q110" s="21">
        <v>-1.59363E-2</v>
      </c>
      <c r="R110" s="21">
        <v>100</v>
      </c>
      <c r="S110" s="21">
        <v>0.402893</v>
      </c>
      <c r="T110">
        <f t="shared" si="6"/>
        <v>15.936300000000001</v>
      </c>
      <c r="U110">
        <f t="shared" si="7"/>
        <v>6.4318109985000005</v>
      </c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1.1714199999999999</v>
      </c>
      <c r="H111" s="21">
        <v>30.94</v>
      </c>
      <c r="I111" s="21">
        <v>-1.44806E-2</v>
      </c>
      <c r="J111" s="21">
        <v>101</v>
      </c>
      <c r="K111" s="21">
        <v>1.17035</v>
      </c>
      <c r="L111">
        <f t="shared" si="4"/>
        <v>14.480599999999999</v>
      </c>
      <c r="M111">
        <f t="shared" si="5"/>
        <v>16.962864451999998</v>
      </c>
      <c r="N111" s="9"/>
      <c r="O111" s="21">
        <v>0.40862999999999999</v>
      </c>
      <c r="P111" s="21">
        <v>37.187600000000003</v>
      </c>
      <c r="Q111" s="21">
        <v>-1.59241E-2</v>
      </c>
      <c r="R111" s="21">
        <v>101</v>
      </c>
      <c r="S111" s="21">
        <v>0.40777600000000003</v>
      </c>
      <c r="T111">
        <f t="shared" si="6"/>
        <v>15.924099999999999</v>
      </c>
      <c r="U111">
        <f t="shared" si="7"/>
        <v>6.5070649829999994</v>
      </c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1.16638</v>
      </c>
      <c r="H112" s="21">
        <v>30.95</v>
      </c>
      <c r="I112" s="21">
        <v>-1.4508099999999999E-2</v>
      </c>
      <c r="J112" s="21">
        <v>102</v>
      </c>
      <c r="K112" s="21">
        <v>1.16547</v>
      </c>
      <c r="L112">
        <f t="shared" si="4"/>
        <v>14.508099999999999</v>
      </c>
      <c r="M112">
        <f t="shared" si="5"/>
        <v>16.921957677999998</v>
      </c>
      <c r="N112" s="9"/>
      <c r="O112" s="21">
        <v>0.41366599999999998</v>
      </c>
      <c r="P112" s="21">
        <v>37.197699999999998</v>
      </c>
      <c r="Q112" s="21">
        <v>-1.59271E-2</v>
      </c>
      <c r="R112" s="21">
        <v>102</v>
      </c>
      <c r="S112" s="21">
        <v>0.41281099999999998</v>
      </c>
      <c r="T112">
        <f t="shared" si="6"/>
        <v>15.927099999999999</v>
      </c>
      <c r="U112">
        <f t="shared" si="7"/>
        <v>6.5884997485999994</v>
      </c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1.1613500000000001</v>
      </c>
      <c r="H113" s="21">
        <v>30.960100000000001</v>
      </c>
      <c r="I113" s="21">
        <v>-1.4544700000000001E-2</v>
      </c>
      <c r="J113" s="21">
        <v>103</v>
      </c>
      <c r="K113" s="21">
        <v>1.16028</v>
      </c>
      <c r="L113">
        <f t="shared" si="4"/>
        <v>14.544700000000001</v>
      </c>
      <c r="M113">
        <f t="shared" si="5"/>
        <v>16.891487345000002</v>
      </c>
      <c r="N113" s="9"/>
      <c r="O113" s="21">
        <v>0.41870099999999999</v>
      </c>
      <c r="P113" s="21">
        <v>37.207700000000003</v>
      </c>
      <c r="Q113" s="21">
        <v>-1.5921000000000001E-2</v>
      </c>
      <c r="R113" s="21">
        <v>103</v>
      </c>
      <c r="S113" s="21">
        <v>0.417877</v>
      </c>
      <c r="T113">
        <f t="shared" si="6"/>
        <v>15.921000000000001</v>
      </c>
      <c r="U113">
        <f t="shared" si="7"/>
        <v>6.666138621</v>
      </c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1.1563099999999999</v>
      </c>
      <c r="H114" s="21">
        <v>30.970199999999998</v>
      </c>
      <c r="I114" s="21">
        <v>-1.45813E-2</v>
      </c>
      <c r="J114" s="21">
        <v>104</v>
      </c>
      <c r="K114" s="21">
        <v>1.15509</v>
      </c>
      <c r="L114">
        <f t="shared" si="4"/>
        <v>14.581300000000001</v>
      </c>
      <c r="M114">
        <f t="shared" si="5"/>
        <v>16.860503003000002</v>
      </c>
      <c r="N114" s="9"/>
      <c r="O114" s="21">
        <v>0.42373699999999997</v>
      </c>
      <c r="P114" s="21">
        <v>37.217799999999997</v>
      </c>
      <c r="Q114" s="21">
        <v>-1.5908800000000001E-2</v>
      </c>
      <c r="R114" s="21">
        <v>104</v>
      </c>
      <c r="S114" s="21">
        <v>0.42294300000000001</v>
      </c>
      <c r="T114">
        <f t="shared" si="6"/>
        <v>15.908800000000001</v>
      </c>
      <c r="U114">
        <f t="shared" si="7"/>
        <v>6.7411471856</v>
      </c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1.1512800000000001</v>
      </c>
      <c r="H115" s="21">
        <v>30.9802</v>
      </c>
      <c r="I115" s="21">
        <v>-1.46149E-2</v>
      </c>
      <c r="J115" s="21">
        <v>105</v>
      </c>
      <c r="K115" s="21">
        <v>1.15021</v>
      </c>
      <c r="L115">
        <f t="shared" si="4"/>
        <v>14.6149</v>
      </c>
      <c r="M115">
        <f t="shared" si="5"/>
        <v>16.825842072</v>
      </c>
      <c r="N115" s="9"/>
      <c r="O115" s="21">
        <v>0.42877199999999999</v>
      </c>
      <c r="P115" s="21">
        <v>37.227899999999998</v>
      </c>
      <c r="Q115" s="21">
        <v>-1.58966E-2</v>
      </c>
      <c r="R115" s="21">
        <v>105</v>
      </c>
      <c r="S115" s="21">
        <v>0.42788700000000002</v>
      </c>
      <c r="T115">
        <f t="shared" si="6"/>
        <v>15.896600000000001</v>
      </c>
      <c r="U115">
        <f t="shared" si="7"/>
        <v>6.8160169752000002</v>
      </c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1.1462399999999999</v>
      </c>
      <c r="H116" s="21">
        <v>30.990300000000001</v>
      </c>
      <c r="I116" s="21">
        <v>-1.4621E-2</v>
      </c>
      <c r="J116" s="21">
        <v>106</v>
      </c>
      <c r="K116" s="21">
        <v>1.1450199999999999</v>
      </c>
      <c r="L116">
        <f t="shared" si="4"/>
        <v>14.621</v>
      </c>
      <c r="M116">
        <f t="shared" si="5"/>
        <v>16.759175039999999</v>
      </c>
      <c r="N116" s="9"/>
      <c r="O116" s="21">
        <v>0.433807</v>
      </c>
      <c r="P116" s="21">
        <v>37.237900000000003</v>
      </c>
      <c r="Q116" s="21">
        <v>-1.5887499999999999E-2</v>
      </c>
      <c r="R116" s="21">
        <v>106</v>
      </c>
      <c r="S116" s="21">
        <v>0.43292199999999997</v>
      </c>
      <c r="T116">
        <f t="shared" si="6"/>
        <v>15.887499999999999</v>
      </c>
      <c r="U116">
        <f t="shared" si="7"/>
        <v>6.8921087124999998</v>
      </c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1.1412</v>
      </c>
      <c r="H117" s="21">
        <v>31.000399999999999</v>
      </c>
      <c r="I117" s="21">
        <v>-1.4648400000000001E-2</v>
      </c>
      <c r="J117" s="21">
        <v>107</v>
      </c>
      <c r="K117" s="21">
        <v>1.1404399999999999</v>
      </c>
      <c r="L117">
        <f t="shared" si="4"/>
        <v>14.648400000000001</v>
      </c>
      <c r="M117">
        <f t="shared" si="5"/>
        <v>16.716754080000001</v>
      </c>
      <c r="N117" s="9"/>
      <c r="O117" s="21">
        <v>0.43884299999999998</v>
      </c>
      <c r="P117" s="21">
        <v>37.247999999999998</v>
      </c>
      <c r="Q117" s="21">
        <v>-1.5878300000000001E-2</v>
      </c>
      <c r="R117" s="21">
        <v>107</v>
      </c>
      <c r="S117" s="21">
        <v>0.43792700000000001</v>
      </c>
      <c r="T117">
        <f t="shared" si="6"/>
        <v>15.878300000000001</v>
      </c>
      <c r="U117">
        <f t="shared" si="7"/>
        <v>6.9680808069000006</v>
      </c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1.1361699999999999</v>
      </c>
      <c r="H118" s="21">
        <v>31.010400000000001</v>
      </c>
      <c r="I118" s="21">
        <v>-1.46759E-2</v>
      </c>
      <c r="J118" s="21">
        <v>108</v>
      </c>
      <c r="K118" s="21">
        <v>1.1343399999999999</v>
      </c>
      <c r="L118">
        <f t="shared" si="4"/>
        <v>14.6759</v>
      </c>
      <c r="M118">
        <f t="shared" si="5"/>
        <v>16.674317302999999</v>
      </c>
      <c r="N118" s="9"/>
      <c r="O118" s="21">
        <v>0.44387799999999999</v>
      </c>
      <c r="P118" s="21">
        <v>37.258099999999999</v>
      </c>
      <c r="Q118" s="21">
        <v>-1.5869100000000001E-2</v>
      </c>
      <c r="R118" s="21">
        <v>108</v>
      </c>
      <c r="S118" s="21">
        <v>0.443054</v>
      </c>
      <c r="T118">
        <f t="shared" si="6"/>
        <v>15.869100000000001</v>
      </c>
      <c r="U118">
        <f t="shared" si="7"/>
        <v>7.0439443698000002</v>
      </c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1.13113</v>
      </c>
      <c r="H119" s="21">
        <v>31.020499999999998</v>
      </c>
      <c r="I119" s="21">
        <v>-1.46912E-2</v>
      </c>
      <c r="J119" s="21">
        <v>109</v>
      </c>
      <c r="K119" s="21">
        <v>1.1303700000000001</v>
      </c>
      <c r="L119">
        <f t="shared" si="4"/>
        <v>14.6912</v>
      </c>
      <c r="M119">
        <f t="shared" si="5"/>
        <v>16.617657055999999</v>
      </c>
      <c r="N119" s="9"/>
      <c r="O119" s="21">
        <v>0.44891399999999998</v>
      </c>
      <c r="P119" s="21">
        <v>37.2682</v>
      </c>
      <c r="Q119" s="21">
        <v>-1.5866100000000001E-2</v>
      </c>
      <c r="R119" s="21">
        <v>109</v>
      </c>
      <c r="S119" s="21">
        <v>0.44808999999999999</v>
      </c>
      <c r="T119">
        <f t="shared" si="6"/>
        <v>15.866100000000001</v>
      </c>
      <c r="U119">
        <f t="shared" si="7"/>
        <v>7.1225144154000004</v>
      </c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1.1261000000000001</v>
      </c>
      <c r="H120" s="21">
        <v>31.0306</v>
      </c>
      <c r="I120" s="21">
        <v>-1.47064E-2</v>
      </c>
      <c r="J120" s="21">
        <v>110</v>
      </c>
      <c r="K120" s="21">
        <v>1.1248800000000001</v>
      </c>
      <c r="L120">
        <f t="shared" si="4"/>
        <v>14.7064</v>
      </c>
      <c r="M120">
        <f t="shared" si="5"/>
        <v>16.560877040000001</v>
      </c>
      <c r="N120" s="9"/>
      <c r="O120" s="21">
        <v>0.45394899999999999</v>
      </c>
      <c r="P120" s="21">
        <v>37.278199999999998</v>
      </c>
      <c r="Q120" s="21">
        <v>-1.5853900000000001E-2</v>
      </c>
      <c r="R120" s="21">
        <v>110</v>
      </c>
      <c r="S120" s="21">
        <v>0.453094</v>
      </c>
      <c r="T120">
        <f t="shared" si="6"/>
        <v>15.853900000000001</v>
      </c>
      <c r="U120">
        <f t="shared" si="7"/>
        <v>7.1968620511000001</v>
      </c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1.1210599999999999</v>
      </c>
      <c r="H121" s="21">
        <v>31.040700000000001</v>
      </c>
      <c r="I121" s="21">
        <v>-1.47186E-2</v>
      </c>
      <c r="J121" s="21">
        <v>111</v>
      </c>
      <c r="K121" s="21">
        <v>1.1200000000000001</v>
      </c>
      <c r="L121">
        <f t="shared" si="4"/>
        <v>14.7186</v>
      </c>
      <c r="M121">
        <f t="shared" si="5"/>
        <v>16.500433716</v>
      </c>
      <c r="N121" s="9"/>
      <c r="O121" s="21">
        <v>0.458984</v>
      </c>
      <c r="P121" s="21">
        <v>37.2883</v>
      </c>
      <c r="Q121" s="21">
        <v>-1.58417E-2</v>
      </c>
      <c r="R121" s="21">
        <v>111</v>
      </c>
      <c r="S121" s="21">
        <v>0.45816000000000001</v>
      </c>
      <c r="T121">
        <f t="shared" si="6"/>
        <v>15.841699999999999</v>
      </c>
      <c r="U121">
        <f t="shared" si="7"/>
        <v>7.2710868328</v>
      </c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1.1160300000000001</v>
      </c>
      <c r="H122" s="21">
        <v>31.050699999999999</v>
      </c>
      <c r="I122" s="21">
        <v>-1.47308E-2</v>
      </c>
      <c r="J122" s="21">
        <v>112</v>
      </c>
      <c r="K122" s="21">
        <v>1.11511</v>
      </c>
      <c r="L122">
        <f t="shared" si="4"/>
        <v>14.7308</v>
      </c>
      <c r="M122">
        <f t="shared" si="5"/>
        <v>16.440014724000001</v>
      </c>
      <c r="N122" s="9"/>
      <c r="O122" s="21">
        <v>0.46401999999999999</v>
      </c>
      <c r="P122" s="21">
        <v>37.298400000000001</v>
      </c>
      <c r="Q122" s="21">
        <v>-1.5820299999999999E-2</v>
      </c>
      <c r="R122" s="21">
        <v>112</v>
      </c>
      <c r="S122" s="21">
        <v>0.46322600000000003</v>
      </c>
      <c r="T122">
        <f t="shared" si="6"/>
        <v>15.8203</v>
      </c>
      <c r="U122">
        <f t="shared" si="7"/>
        <v>7.3409356059999995</v>
      </c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1.1109899999999999</v>
      </c>
      <c r="H123" s="21">
        <v>31.0608</v>
      </c>
      <c r="I123" s="21">
        <v>-1.47522E-2</v>
      </c>
      <c r="J123" s="21">
        <v>113</v>
      </c>
      <c r="K123" s="21">
        <v>1.1096200000000001</v>
      </c>
      <c r="L123">
        <f t="shared" si="4"/>
        <v>14.7522</v>
      </c>
      <c r="M123">
        <f t="shared" si="5"/>
        <v>16.389546677999999</v>
      </c>
      <c r="N123" s="9"/>
      <c r="O123" s="21">
        <v>0.469055</v>
      </c>
      <c r="P123" s="21">
        <v>37.308399999999999</v>
      </c>
      <c r="Q123" s="21">
        <v>-1.5792799999999999E-2</v>
      </c>
      <c r="R123" s="21">
        <v>113</v>
      </c>
      <c r="S123" s="21">
        <v>0.46823100000000001</v>
      </c>
      <c r="T123">
        <f t="shared" si="6"/>
        <v>15.7928</v>
      </c>
      <c r="U123">
        <f t="shared" si="7"/>
        <v>7.4076918039999997</v>
      </c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1.1059600000000001</v>
      </c>
      <c r="H124" s="21">
        <v>31.070900000000002</v>
      </c>
      <c r="I124" s="21">
        <v>-1.4776600000000001E-2</v>
      </c>
      <c r="J124" s="21">
        <v>114</v>
      </c>
      <c r="K124" s="21">
        <v>1.10504</v>
      </c>
      <c r="L124">
        <f t="shared" si="4"/>
        <v>14.7766</v>
      </c>
      <c r="M124">
        <f t="shared" si="5"/>
        <v>16.342328536</v>
      </c>
      <c r="N124" s="9"/>
      <c r="O124" s="21">
        <v>0.47409099999999998</v>
      </c>
      <c r="P124" s="21">
        <v>37.3185</v>
      </c>
      <c r="Q124" s="21">
        <v>-1.5780599999999999E-2</v>
      </c>
      <c r="R124" s="21">
        <v>114</v>
      </c>
      <c r="S124" s="21">
        <v>0.47314499999999998</v>
      </c>
      <c r="T124">
        <f t="shared" si="6"/>
        <v>15.780599999999998</v>
      </c>
      <c r="U124">
        <f t="shared" si="7"/>
        <v>7.4814404345999987</v>
      </c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1.1009199999999999</v>
      </c>
      <c r="H125" s="21">
        <v>31.0809</v>
      </c>
      <c r="I125" s="21">
        <v>-1.47949E-2</v>
      </c>
      <c r="J125" s="21">
        <v>115</v>
      </c>
      <c r="K125" s="21">
        <v>1.09985</v>
      </c>
      <c r="L125">
        <f t="shared" si="4"/>
        <v>14.7949</v>
      </c>
      <c r="M125">
        <f t="shared" si="5"/>
        <v>16.288001307999998</v>
      </c>
      <c r="N125" s="9"/>
      <c r="O125" s="21">
        <v>0.479126</v>
      </c>
      <c r="P125" s="21">
        <v>37.328600000000002</v>
      </c>
      <c r="Q125" s="21">
        <v>-1.5765399999999999E-2</v>
      </c>
      <c r="R125" s="21">
        <v>115</v>
      </c>
      <c r="S125" s="21">
        <v>0.478302</v>
      </c>
      <c r="T125">
        <f t="shared" si="6"/>
        <v>15.7654</v>
      </c>
      <c r="U125">
        <f t="shared" si="7"/>
        <v>7.5536130404000001</v>
      </c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1.09589</v>
      </c>
      <c r="H126" s="21">
        <v>31.091000000000001</v>
      </c>
      <c r="I126" s="21">
        <v>-1.4810200000000001E-2</v>
      </c>
      <c r="J126" s="21">
        <v>116</v>
      </c>
      <c r="K126" s="21">
        <v>1.09467</v>
      </c>
      <c r="L126">
        <f t="shared" si="4"/>
        <v>14.8102</v>
      </c>
      <c r="M126">
        <f t="shared" si="5"/>
        <v>16.230350078000001</v>
      </c>
      <c r="N126" s="9"/>
      <c r="O126" s="21">
        <v>0.48416100000000001</v>
      </c>
      <c r="P126" s="21">
        <v>37.3386</v>
      </c>
      <c r="Q126" s="21">
        <v>-1.5765399999999999E-2</v>
      </c>
      <c r="R126" s="21">
        <v>116</v>
      </c>
      <c r="S126" s="21">
        <v>0.48327599999999998</v>
      </c>
      <c r="T126">
        <f t="shared" si="6"/>
        <v>15.7654</v>
      </c>
      <c r="U126">
        <f t="shared" si="7"/>
        <v>7.6329918293999999</v>
      </c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1.0908500000000001</v>
      </c>
      <c r="H127" s="21">
        <v>31.101099999999999</v>
      </c>
      <c r="I127" s="21">
        <v>-1.4831499999999999E-2</v>
      </c>
      <c r="J127" s="21">
        <v>117</v>
      </c>
      <c r="K127" s="21">
        <v>1.09009</v>
      </c>
      <c r="L127">
        <f t="shared" si="4"/>
        <v>14.831499999999998</v>
      </c>
      <c r="M127">
        <f t="shared" si="5"/>
        <v>16.178941774999998</v>
      </c>
      <c r="N127" s="9"/>
      <c r="O127" s="21">
        <v>0.48919699999999999</v>
      </c>
      <c r="P127" s="21">
        <v>37.348700000000001</v>
      </c>
      <c r="Q127" s="21">
        <v>-1.57593E-2</v>
      </c>
      <c r="R127" s="21">
        <v>117</v>
      </c>
      <c r="S127" s="21">
        <v>0.48840299999999998</v>
      </c>
      <c r="T127">
        <f t="shared" si="6"/>
        <v>15.7593</v>
      </c>
      <c r="U127">
        <f t="shared" si="7"/>
        <v>7.7094022821000001</v>
      </c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1.08582</v>
      </c>
      <c r="H128" s="21">
        <v>31.1112</v>
      </c>
      <c r="I128" s="21">
        <v>-1.4849899999999999E-2</v>
      </c>
      <c r="J128" s="21">
        <v>118</v>
      </c>
      <c r="K128" s="21">
        <v>1.08429</v>
      </c>
      <c r="L128">
        <f t="shared" si="4"/>
        <v>14.8499</v>
      </c>
      <c r="M128">
        <f t="shared" si="5"/>
        <v>16.124318418000001</v>
      </c>
      <c r="N128" s="9"/>
      <c r="O128" s="21">
        <v>0.494232</v>
      </c>
      <c r="P128" s="21">
        <v>37.358800000000002</v>
      </c>
      <c r="Q128" s="21">
        <v>-1.5756200000000001E-2</v>
      </c>
      <c r="R128" s="21">
        <v>118</v>
      </c>
      <c r="S128" s="21">
        <v>0.49343900000000002</v>
      </c>
      <c r="T128">
        <f t="shared" si="6"/>
        <v>15.756200000000002</v>
      </c>
      <c r="U128">
        <f t="shared" si="7"/>
        <v>7.7872182384000013</v>
      </c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1.0807800000000001</v>
      </c>
      <c r="H129" s="21">
        <v>31.121200000000002</v>
      </c>
      <c r="I129" s="21">
        <v>-1.4871199999999999E-2</v>
      </c>
      <c r="J129" s="21">
        <v>119</v>
      </c>
      <c r="K129" s="21">
        <v>1.0788</v>
      </c>
      <c r="L129">
        <f t="shared" si="4"/>
        <v>14.8712</v>
      </c>
      <c r="M129">
        <f t="shared" si="5"/>
        <v>16.072495536000002</v>
      </c>
      <c r="N129" s="9"/>
      <c r="O129" s="21">
        <v>0.49926799999999999</v>
      </c>
      <c r="P129" s="21">
        <v>37.368899999999996</v>
      </c>
      <c r="Q129" s="21">
        <v>-1.57501E-2</v>
      </c>
      <c r="R129" s="21">
        <v>119</v>
      </c>
      <c r="S129" s="21">
        <v>0.49847399999999997</v>
      </c>
      <c r="T129">
        <f t="shared" si="6"/>
        <v>15.7501</v>
      </c>
      <c r="U129">
        <f t="shared" si="7"/>
        <v>7.8635209267999997</v>
      </c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1.0757399999999999</v>
      </c>
      <c r="H130" s="21">
        <v>31.1313</v>
      </c>
      <c r="I130" s="21">
        <v>-1.48865E-2</v>
      </c>
      <c r="J130" s="21">
        <v>120</v>
      </c>
      <c r="K130" s="21">
        <v>1.0751299999999999</v>
      </c>
      <c r="L130">
        <f t="shared" si="4"/>
        <v>14.8865</v>
      </c>
      <c r="M130">
        <f t="shared" si="5"/>
        <v>16.014003509999998</v>
      </c>
      <c r="N130" s="9"/>
      <c r="O130" s="21">
        <v>0.50430299999999995</v>
      </c>
      <c r="P130" s="21">
        <v>37.378900000000002</v>
      </c>
      <c r="Q130" s="21">
        <v>-1.5744000000000001E-2</v>
      </c>
      <c r="R130" s="21">
        <v>120</v>
      </c>
      <c r="S130" s="21">
        <v>0.50344800000000001</v>
      </c>
      <c r="T130">
        <f t="shared" si="6"/>
        <v>15.744000000000002</v>
      </c>
      <c r="U130">
        <f t="shared" si="7"/>
        <v>7.9397464319999997</v>
      </c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1.0707100000000001</v>
      </c>
      <c r="H131" s="21">
        <v>31.141400000000001</v>
      </c>
      <c r="I131" s="21">
        <v>-1.48895E-2</v>
      </c>
      <c r="J131" s="21">
        <v>121</v>
      </c>
      <c r="K131" s="21">
        <v>1.0702499999999999</v>
      </c>
      <c r="L131">
        <f t="shared" si="4"/>
        <v>14.8895</v>
      </c>
      <c r="M131">
        <f t="shared" si="5"/>
        <v>15.942336545</v>
      </c>
      <c r="N131" s="9"/>
      <c r="O131" s="21">
        <v>0.50933799999999996</v>
      </c>
      <c r="P131" s="21">
        <v>37.389000000000003</v>
      </c>
      <c r="Q131" s="21">
        <v>-1.5744000000000001E-2</v>
      </c>
      <c r="R131" s="21">
        <v>121</v>
      </c>
      <c r="S131" s="21">
        <v>0.508575</v>
      </c>
      <c r="T131">
        <f t="shared" si="6"/>
        <v>15.744000000000002</v>
      </c>
      <c r="U131">
        <f t="shared" si="7"/>
        <v>8.0190174719999998</v>
      </c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1.0656699999999999</v>
      </c>
      <c r="H132" s="21">
        <v>31.151399999999999</v>
      </c>
      <c r="I132" s="21">
        <v>-1.4907800000000001E-2</v>
      </c>
      <c r="J132" s="21">
        <v>122</v>
      </c>
      <c r="K132" s="21">
        <v>1.0644499999999999</v>
      </c>
      <c r="L132">
        <f t="shared" si="4"/>
        <v>14.9078</v>
      </c>
      <c r="M132">
        <f t="shared" si="5"/>
        <v>15.886795225999998</v>
      </c>
      <c r="N132" s="9"/>
      <c r="O132" s="21">
        <v>0.514374</v>
      </c>
      <c r="P132" s="21">
        <v>37.399099999999997</v>
      </c>
      <c r="Q132" s="21">
        <v>-1.5741000000000002E-2</v>
      </c>
      <c r="R132" s="21">
        <v>122</v>
      </c>
      <c r="S132" s="21">
        <v>0.51351899999999995</v>
      </c>
      <c r="T132">
        <f t="shared" si="6"/>
        <v>15.741000000000001</v>
      </c>
      <c r="U132">
        <f t="shared" si="7"/>
        <v>8.0967611340000012</v>
      </c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1.06064</v>
      </c>
      <c r="H133" s="21">
        <v>31.1615</v>
      </c>
      <c r="I133" s="21">
        <v>-1.4919999999999999E-2</v>
      </c>
      <c r="J133" s="21">
        <v>123</v>
      </c>
      <c r="K133" s="21">
        <v>1.0592699999999999</v>
      </c>
      <c r="L133">
        <f t="shared" si="4"/>
        <v>14.92</v>
      </c>
      <c r="M133">
        <f t="shared" si="5"/>
        <v>15.8247488</v>
      </c>
      <c r="N133" s="9"/>
      <c r="O133" s="21">
        <v>0.51940900000000001</v>
      </c>
      <c r="P133" s="21">
        <v>37.409100000000002</v>
      </c>
      <c r="Q133" s="21">
        <v>-1.5728800000000001E-2</v>
      </c>
      <c r="R133" s="21">
        <v>123</v>
      </c>
      <c r="S133" s="21">
        <v>0.51858499999999996</v>
      </c>
      <c r="T133">
        <f t="shared" si="6"/>
        <v>15.728800000000001</v>
      </c>
      <c r="U133">
        <f t="shared" si="7"/>
        <v>8.1696802792000014</v>
      </c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1.0556000000000001</v>
      </c>
      <c r="H134" s="21">
        <v>31.171600000000002</v>
      </c>
      <c r="I134" s="21">
        <v>-1.4938399999999999E-2</v>
      </c>
      <c r="J134" s="21">
        <v>124</v>
      </c>
      <c r="K134" s="21">
        <v>1.0546899999999999</v>
      </c>
      <c r="L134">
        <f t="shared" si="4"/>
        <v>14.9384</v>
      </c>
      <c r="M134">
        <f t="shared" si="5"/>
        <v>15.768975040000001</v>
      </c>
      <c r="N134" s="9"/>
      <c r="O134" s="21">
        <v>0.52444500000000005</v>
      </c>
      <c r="P134" s="21">
        <v>37.419199999999996</v>
      </c>
      <c r="Q134" s="21">
        <v>-1.5722699999999999E-2</v>
      </c>
      <c r="R134" s="21">
        <v>124</v>
      </c>
      <c r="S134" s="21">
        <v>0.523621</v>
      </c>
      <c r="T134">
        <f t="shared" si="6"/>
        <v>15.7227</v>
      </c>
      <c r="U134">
        <f t="shared" si="7"/>
        <v>8.2456914015000002</v>
      </c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1.05057</v>
      </c>
      <c r="H135" s="21">
        <v>31.181699999999999</v>
      </c>
      <c r="I135" s="21">
        <v>-1.49658E-2</v>
      </c>
      <c r="J135" s="21">
        <v>125</v>
      </c>
      <c r="K135" s="21">
        <v>1.0495000000000001</v>
      </c>
      <c r="L135">
        <f t="shared" si="4"/>
        <v>14.9658</v>
      </c>
      <c r="M135">
        <f t="shared" si="5"/>
        <v>15.722620506</v>
      </c>
      <c r="N135" s="9"/>
      <c r="O135" s="21">
        <v>0.52947999999999995</v>
      </c>
      <c r="P135" s="21">
        <v>37.429299999999998</v>
      </c>
      <c r="Q135" s="21">
        <v>-1.5722699999999999E-2</v>
      </c>
      <c r="R135" s="21">
        <v>125</v>
      </c>
      <c r="S135" s="21">
        <v>0.52856400000000003</v>
      </c>
      <c r="T135">
        <f t="shared" si="6"/>
        <v>15.7227</v>
      </c>
      <c r="U135">
        <f t="shared" si="7"/>
        <v>8.3248551959999997</v>
      </c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1.0455300000000001</v>
      </c>
      <c r="H136" s="21">
        <v>31.191700000000001</v>
      </c>
      <c r="I136" s="21">
        <v>-1.4996300000000001E-2</v>
      </c>
      <c r="J136" s="21">
        <v>126</v>
      </c>
      <c r="K136" s="21">
        <v>1.0440100000000001</v>
      </c>
      <c r="L136">
        <f t="shared" si="4"/>
        <v>14.9963</v>
      </c>
      <c r="M136">
        <f t="shared" si="5"/>
        <v>15.679081539</v>
      </c>
      <c r="N136" s="9"/>
      <c r="O136" s="21">
        <v>0.53451499999999996</v>
      </c>
      <c r="P136" s="21">
        <v>37.439399999999999</v>
      </c>
      <c r="Q136" s="21">
        <v>-1.5716600000000001E-2</v>
      </c>
      <c r="R136" s="21">
        <v>126</v>
      </c>
      <c r="S136" s="21">
        <v>0.53366100000000005</v>
      </c>
      <c r="T136">
        <f t="shared" si="6"/>
        <v>15.716600000000001</v>
      </c>
      <c r="U136">
        <f t="shared" si="7"/>
        <v>8.4007584489999996</v>
      </c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1.0405</v>
      </c>
      <c r="H137" s="21">
        <v>31.201799999999999</v>
      </c>
      <c r="I137" s="21">
        <v>-1.50177E-2</v>
      </c>
      <c r="J137" s="21">
        <v>127</v>
      </c>
      <c r="K137" s="21">
        <v>1.0388200000000001</v>
      </c>
      <c r="L137">
        <f t="shared" si="4"/>
        <v>15.0177</v>
      </c>
      <c r="M137">
        <f t="shared" si="5"/>
        <v>15.625916849999999</v>
      </c>
      <c r="N137" s="9"/>
      <c r="O137" s="21">
        <v>0.539551</v>
      </c>
      <c r="P137" s="21">
        <v>37.449399999999997</v>
      </c>
      <c r="Q137" s="21">
        <v>-1.5710399999999999E-2</v>
      </c>
      <c r="R137" s="21">
        <v>127</v>
      </c>
      <c r="S137" s="21">
        <v>0.53866599999999998</v>
      </c>
      <c r="T137">
        <f t="shared" si="6"/>
        <v>15.7104</v>
      </c>
      <c r="U137">
        <f t="shared" si="7"/>
        <v>8.4765620304000002</v>
      </c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1.03546</v>
      </c>
      <c r="H138" s="21">
        <v>31.2119</v>
      </c>
      <c r="I138" s="21">
        <v>-1.5032999999999999E-2</v>
      </c>
      <c r="J138" s="21">
        <v>128</v>
      </c>
      <c r="K138" s="21">
        <v>1.0345500000000001</v>
      </c>
      <c r="L138">
        <f t="shared" si="4"/>
        <v>15.032999999999999</v>
      </c>
      <c r="M138">
        <f t="shared" si="5"/>
        <v>15.566070180000001</v>
      </c>
      <c r="N138" s="9"/>
      <c r="O138" s="21">
        <v>0.54458600000000001</v>
      </c>
      <c r="P138" s="21">
        <v>37.459499999999998</v>
      </c>
      <c r="Q138" s="21">
        <v>-1.57074E-2</v>
      </c>
      <c r="R138" s="21">
        <v>128</v>
      </c>
      <c r="S138" s="21">
        <v>0.54370099999999999</v>
      </c>
      <c r="T138">
        <f t="shared" si="6"/>
        <v>15.7074</v>
      </c>
      <c r="U138">
        <f t="shared" si="7"/>
        <v>8.5540301363999998</v>
      </c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1.03043</v>
      </c>
      <c r="H139" s="21">
        <v>31.221900000000002</v>
      </c>
      <c r="I139" s="21">
        <v>-1.5048199999999999E-2</v>
      </c>
      <c r="J139" s="21">
        <v>129</v>
      </c>
      <c r="K139" s="21">
        <v>1.0293600000000001</v>
      </c>
      <c r="L139">
        <f t="shared" si="4"/>
        <v>15.0482</v>
      </c>
      <c r="M139">
        <f t="shared" si="5"/>
        <v>15.506116725999998</v>
      </c>
      <c r="N139" s="9"/>
      <c r="O139" s="21">
        <v>0.54962200000000005</v>
      </c>
      <c r="P139" s="21">
        <v>37.4696</v>
      </c>
      <c r="Q139" s="21">
        <v>-1.5701300000000001E-2</v>
      </c>
      <c r="R139" s="21">
        <v>129</v>
      </c>
      <c r="S139" s="21">
        <v>0.54870600000000003</v>
      </c>
      <c r="T139">
        <f t="shared" si="6"/>
        <v>15.701300000000002</v>
      </c>
      <c r="U139">
        <f t="shared" si="7"/>
        <v>8.6297799086000015</v>
      </c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1.02539</v>
      </c>
      <c r="H140" s="21">
        <v>31.231999999999999</v>
      </c>
      <c r="I140" s="21">
        <v>-1.50604E-2</v>
      </c>
      <c r="J140" s="21">
        <v>130</v>
      </c>
      <c r="K140" s="21">
        <v>1.02417</v>
      </c>
      <c r="L140">
        <f t="shared" ref="L140:L203" si="8">-I140/$F$2*1000</f>
        <v>15.0604</v>
      </c>
      <c r="M140">
        <f t="shared" ref="M140:M203" si="9">L140*G140</f>
        <v>15.442783556</v>
      </c>
      <c r="N140" s="9"/>
      <c r="O140" s="21">
        <v>0.55465699999999996</v>
      </c>
      <c r="P140" s="21">
        <v>37.479599999999998</v>
      </c>
      <c r="Q140" s="21">
        <v>-1.56921E-2</v>
      </c>
      <c r="R140" s="21">
        <v>130</v>
      </c>
      <c r="S140" s="21">
        <v>0.55386400000000002</v>
      </c>
      <c r="T140">
        <f t="shared" ref="T140:T203" si="10">-Q140/$F$2*1000</f>
        <v>15.6921</v>
      </c>
      <c r="U140">
        <f t="shared" ref="U140:U203" si="11">T140*O140</f>
        <v>8.7037331096999999</v>
      </c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1.0203599999999999</v>
      </c>
      <c r="H141" s="21">
        <v>31.242100000000001</v>
      </c>
      <c r="I141" s="21">
        <v>-1.50726E-2</v>
      </c>
      <c r="J141" s="21">
        <v>131</v>
      </c>
      <c r="K141" s="21">
        <v>1.01898</v>
      </c>
      <c r="L141">
        <f t="shared" si="8"/>
        <v>15.0726</v>
      </c>
      <c r="M141">
        <f t="shared" si="9"/>
        <v>15.379478135999998</v>
      </c>
      <c r="N141" s="9"/>
      <c r="O141" s="21">
        <v>0.55969199999999997</v>
      </c>
      <c r="P141" s="21">
        <v>37.489699999999999</v>
      </c>
      <c r="Q141" s="21">
        <v>-1.56799E-2</v>
      </c>
      <c r="R141" s="21">
        <v>131</v>
      </c>
      <c r="S141" s="21">
        <v>0.55896000000000001</v>
      </c>
      <c r="T141">
        <f t="shared" si="10"/>
        <v>15.6799</v>
      </c>
      <c r="U141">
        <f t="shared" si="11"/>
        <v>8.7759145907999994</v>
      </c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1.01532</v>
      </c>
      <c r="H142" s="21">
        <v>31.252199999999998</v>
      </c>
      <c r="I142" s="21">
        <v>-1.50879E-2</v>
      </c>
      <c r="J142" s="21">
        <v>132</v>
      </c>
      <c r="K142" s="21">
        <v>1.0144</v>
      </c>
      <c r="L142">
        <f t="shared" si="8"/>
        <v>15.087899999999999</v>
      </c>
      <c r="M142">
        <f t="shared" si="9"/>
        <v>15.319046627999999</v>
      </c>
      <c r="N142" s="9"/>
      <c r="O142" s="21">
        <v>0.56472800000000001</v>
      </c>
      <c r="P142" s="21">
        <v>37.4998</v>
      </c>
      <c r="Q142" s="21">
        <v>-1.5673800000000002E-2</v>
      </c>
      <c r="R142" s="21">
        <v>132</v>
      </c>
      <c r="S142" s="21">
        <v>0.56387299999999996</v>
      </c>
      <c r="T142">
        <f t="shared" si="10"/>
        <v>15.673800000000002</v>
      </c>
      <c r="U142">
        <f t="shared" si="11"/>
        <v>8.8514337264000016</v>
      </c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1.0102800000000001</v>
      </c>
      <c r="H143" s="21">
        <v>31.2622</v>
      </c>
      <c r="I143" s="21">
        <v>-1.51001E-2</v>
      </c>
      <c r="J143" s="21">
        <v>133</v>
      </c>
      <c r="K143" s="21">
        <v>1.00952</v>
      </c>
      <c r="L143">
        <f t="shared" si="8"/>
        <v>15.100099999999999</v>
      </c>
      <c r="M143">
        <f t="shared" si="9"/>
        <v>15.255329028</v>
      </c>
      <c r="N143" s="9"/>
      <c r="O143" s="21">
        <v>0.56976300000000002</v>
      </c>
      <c r="P143" s="21">
        <v>37.509900000000002</v>
      </c>
      <c r="Q143" s="21">
        <v>-1.5655499999999999E-2</v>
      </c>
      <c r="R143" s="21">
        <v>133</v>
      </c>
      <c r="S143" s="21">
        <v>0.568909</v>
      </c>
      <c r="T143">
        <f t="shared" si="10"/>
        <v>15.6555</v>
      </c>
      <c r="U143">
        <f t="shared" si="11"/>
        <v>8.9199246465000002</v>
      </c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1.00525</v>
      </c>
      <c r="H144" s="21">
        <v>31.272300000000001</v>
      </c>
      <c r="I144" s="21">
        <v>-1.5115399999999999E-2</v>
      </c>
      <c r="J144" s="21">
        <v>134</v>
      </c>
      <c r="K144" s="21">
        <v>1.00403</v>
      </c>
      <c r="L144">
        <f t="shared" si="8"/>
        <v>15.115399999999999</v>
      </c>
      <c r="M144">
        <f t="shared" si="9"/>
        <v>15.194755849999998</v>
      </c>
      <c r="N144" s="9"/>
      <c r="O144" s="21">
        <v>0.57479899999999995</v>
      </c>
      <c r="P144" s="21">
        <v>37.5199</v>
      </c>
      <c r="Q144" s="21">
        <v>-1.56372E-2</v>
      </c>
      <c r="R144" s="21">
        <v>134</v>
      </c>
      <c r="S144" s="21">
        <v>0.57394400000000001</v>
      </c>
      <c r="T144">
        <f t="shared" si="10"/>
        <v>15.6372</v>
      </c>
      <c r="U144">
        <f t="shared" si="11"/>
        <v>8.9882469227999984</v>
      </c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1.00021</v>
      </c>
      <c r="H145" s="21">
        <v>31.282399999999999</v>
      </c>
      <c r="I145" s="21">
        <v>-1.5130599999999999E-2</v>
      </c>
      <c r="J145" s="21">
        <v>135</v>
      </c>
      <c r="K145" s="21">
        <v>0.99914599999999998</v>
      </c>
      <c r="L145">
        <f t="shared" si="8"/>
        <v>15.130599999999999</v>
      </c>
      <c r="M145">
        <f t="shared" si="9"/>
        <v>15.133777426</v>
      </c>
      <c r="N145" s="9"/>
      <c r="O145" s="21">
        <v>0.57983399999999996</v>
      </c>
      <c r="P145" s="21">
        <v>37.53</v>
      </c>
      <c r="Q145" s="21">
        <v>-1.5640299999999999E-2</v>
      </c>
      <c r="R145" s="21">
        <v>135</v>
      </c>
      <c r="S145" s="21">
        <v>0.57901000000000002</v>
      </c>
      <c r="T145">
        <f t="shared" si="10"/>
        <v>15.6403</v>
      </c>
      <c r="U145">
        <f t="shared" si="11"/>
        <v>9.0687777101999991</v>
      </c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0.99517800000000001</v>
      </c>
      <c r="H146" s="21">
        <v>31.292400000000001</v>
      </c>
      <c r="I146" s="21">
        <v>-1.5155E-2</v>
      </c>
      <c r="J146" s="21">
        <v>136</v>
      </c>
      <c r="K146" s="21">
        <v>0.99456800000000001</v>
      </c>
      <c r="L146">
        <f t="shared" si="8"/>
        <v>15.154999999999999</v>
      </c>
      <c r="M146">
        <f t="shared" si="9"/>
        <v>15.08192259</v>
      </c>
      <c r="N146" s="9"/>
      <c r="O146" s="21">
        <v>0.58486899999999997</v>
      </c>
      <c r="P146" s="21">
        <v>37.540100000000002</v>
      </c>
      <c r="Q146" s="21">
        <v>-1.5643299999999999E-2</v>
      </c>
      <c r="R146" s="21">
        <v>136</v>
      </c>
      <c r="S146" s="21">
        <v>0.58392299999999997</v>
      </c>
      <c r="T146">
        <f t="shared" si="10"/>
        <v>15.643299999999998</v>
      </c>
      <c r="U146">
        <f t="shared" si="11"/>
        <v>9.1492812276999977</v>
      </c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0.990143</v>
      </c>
      <c r="H147" s="21">
        <v>31.302499999999998</v>
      </c>
      <c r="I147" s="21">
        <v>-1.5170299999999999E-2</v>
      </c>
      <c r="J147" s="21">
        <v>137</v>
      </c>
      <c r="K147" s="21">
        <v>0.98907500000000004</v>
      </c>
      <c r="L147">
        <f t="shared" si="8"/>
        <v>15.170299999999999</v>
      </c>
      <c r="M147">
        <f t="shared" si="9"/>
        <v>15.020766352899999</v>
      </c>
      <c r="N147" s="9"/>
      <c r="O147" s="21">
        <v>0.58990500000000001</v>
      </c>
      <c r="P147" s="21">
        <v>37.5501</v>
      </c>
      <c r="Q147" s="21">
        <v>-1.5643299999999999E-2</v>
      </c>
      <c r="R147" s="21">
        <v>137</v>
      </c>
      <c r="S147" s="21">
        <v>0.58911100000000005</v>
      </c>
      <c r="T147">
        <f t="shared" si="10"/>
        <v>15.643299999999998</v>
      </c>
      <c r="U147">
        <f t="shared" si="11"/>
        <v>9.2280608864999998</v>
      </c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0.98510699999999995</v>
      </c>
      <c r="H148" s="21">
        <v>31.3126</v>
      </c>
      <c r="I148" s="21">
        <v>-1.5185499999999999E-2</v>
      </c>
      <c r="J148" s="21">
        <v>138</v>
      </c>
      <c r="K148" s="21">
        <v>0.98419199999999996</v>
      </c>
      <c r="L148">
        <f t="shared" si="8"/>
        <v>15.185499999999999</v>
      </c>
      <c r="M148">
        <f t="shared" si="9"/>
        <v>14.959342348499998</v>
      </c>
      <c r="N148" s="9"/>
      <c r="O148" s="21">
        <v>0.59494000000000002</v>
      </c>
      <c r="P148" s="21">
        <v>37.560200000000002</v>
      </c>
      <c r="Q148" s="21">
        <v>-1.5643299999999999E-2</v>
      </c>
      <c r="R148" s="21">
        <v>138</v>
      </c>
      <c r="S148" s="21">
        <v>0.594086</v>
      </c>
      <c r="T148">
        <f t="shared" si="10"/>
        <v>15.643299999999998</v>
      </c>
      <c r="U148">
        <f t="shared" si="11"/>
        <v>9.3068249019999989</v>
      </c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0.98007200000000005</v>
      </c>
      <c r="H149" s="21">
        <v>31.322700000000001</v>
      </c>
      <c r="I149" s="21">
        <v>-1.5203899999999999E-2</v>
      </c>
      <c r="J149" s="21">
        <v>139</v>
      </c>
      <c r="K149" s="21">
        <v>0.97839399999999999</v>
      </c>
      <c r="L149">
        <f t="shared" si="8"/>
        <v>15.203899999999999</v>
      </c>
      <c r="M149">
        <f t="shared" si="9"/>
        <v>14.9009166808</v>
      </c>
      <c r="N149" s="9"/>
      <c r="O149" s="21">
        <v>0.59997599999999995</v>
      </c>
      <c r="P149" s="21">
        <v>37.570300000000003</v>
      </c>
      <c r="Q149" s="21">
        <v>-1.5621899999999999E-2</v>
      </c>
      <c r="R149" s="21">
        <v>139</v>
      </c>
      <c r="S149" s="21">
        <v>0.59912100000000001</v>
      </c>
      <c r="T149">
        <f t="shared" si="10"/>
        <v>15.6219</v>
      </c>
      <c r="U149">
        <f t="shared" si="11"/>
        <v>9.3727650744000002</v>
      </c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0.97503700000000004</v>
      </c>
      <c r="H150" s="21">
        <v>31.332699999999999</v>
      </c>
      <c r="I150" s="21">
        <v>-1.521E-2</v>
      </c>
      <c r="J150" s="21">
        <v>140</v>
      </c>
      <c r="K150" s="21">
        <v>0.97351100000000002</v>
      </c>
      <c r="L150">
        <f t="shared" si="8"/>
        <v>15.209999999999999</v>
      </c>
      <c r="M150">
        <f t="shared" si="9"/>
        <v>14.830312769999999</v>
      </c>
      <c r="N150" s="9"/>
      <c r="O150" s="21">
        <v>0.60501099999999997</v>
      </c>
      <c r="P150" s="21">
        <v>37.580399999999997</v>
      </c>
      <c r="Q150" s="21">
        <v>-1.56036E-2</v>
      </c>
      <c r="R150" s="21">
        <v>140</v>
      </c>
      <c r="S150" s="21">
        <v>0.60424800000000001</v>
      </c>
      <c r="T150">
        <f t="shared" si="10"/>
        <v>15.6036</v>
      </c>
      <c r="U150">
        <f t="shared" si="11"/>
        <v>9.4403496395999991</v>
      </c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0.970001</v>
      </c>
      <c r="H151" s="21">
        <v>31.3428</v>
      </c>
      <c r="I151" s="21">
        <v>-1.5219099999999999E-2</v>
      </c>
      <c r="J151" s="21">
        <v>141</v>
      </c>
      <c r="K151" s="21">
        <v>0.96862800000000004</v>
      </c>
      <c r="L151">
        <f t="shared" si="8"/>
        <v>15.219099999999999</v>
      </c>
      <c r="M151">
        <f t="shared" si="9"/>
        <v>14.762542219099998</v>
      </c>
      <c r="N151" s="9"/>
      <c r="O151" s="21">
        <v>0.61004599999999998</v>
      </c>
      <c r="P151" s="21">
        <v>37.590400000000002</v>
      </c>
      <c r="Q151" s="21">
        <v>-1.5594500000000001E-2</v>
      </c>
      <c r="R151" s="21">
        <v>141</v>
      </c>
      <c r="S151" s="21">
        <v>0.60919199999999996</v>
      </c>
      <c r="T151">
        <f t="shared" si="10"/>
        <v>15.5945</v>
      </c>
      <c r="U151">
        <f t="shared" si="11"/>
        <v>9.5133623469999993</v>
      </c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0.96496599999999999</v>
      </c>
      <c r="H152" s="21">
        <v>31.352900000000002</v>
      </c>
      <c r="I152" s="21">
        <v>-1.52344E-2</v>
      </c>
      <c r="J152" s="21">
        <v>142</v>
      </c>
      <c r="K152" s="21">
        <v>0.96374499999999996</v>
      </c>
      <c r="L152">
        <f t="shared" si="8"/>
        <v>15.234400000000001</v>
      </c>
      <c r="M152">
        <f t="shared" si="9"/>
        <v>14.700678030400001</v>
      </c>
      <c r="N152" s="9"/>
      <c r="O152" s="21">
        <v>0.61508200000000002</v>
      </c>
      <c r="P152" s="21">
        <v>37.600499999999997</v>
      </c>
      <c r="Q152" s="21">
        <v>-1.55914E-2</v>
      </c>
      <c r="R152" s="21">
        <v>142</v>
      </c>
      <c r="S152" s="21">
        <v>0.61419699999999999</v>
      </c>
      <c r="T152">
        <f t="shared" si="10"/>
        <v>15.5914</v>
      </c>
      <c r="U152">
        <f t="shared" si="11"/>
        <v>9.5899894948000011</v>
      </c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0.95992999999999995</v>
      </c>
      <c r="H153" s="21">
        <v>31.3629</v>
      </c>
      <c r="I153" s="21">
        <v>-1.5240500000000001E-2</v>
      </c>
      <c r="J153" s="21">
        <v>143</v>
      </c>
      <c r="K153" s="21">
        <v>0.95855699999999999</v>
      </c>
      <c r="L153">
        <f t="shared" si="8"/>
        <v>15.240500000000001</v>
      </c>
      <c r="M153">
        <f t="shared" si="9"/>
        <v>14.629813165</v>
      </c>
      <c r="N153" s="9"/>
      <c r="O153" s="21">
        <v>0.62011700000000003</v>
      </c>
      <c r="P153" s="21">
        <v>37.610599999999998</v>
      </c>
      <c r="Q153" s="21">
        <v>-1.5588400000000001E-2</v>
      </c>
      <c r="R153" s="21">
        <v>143</v>
      </c>
      <c r="S153" s="21">
        <v>0.619232</v>
      </c>
      <c r="T153">
        <f t="shared" si="10"/>
        <v>15.5884</v>
      </c>
      <c r="U153">
        <f t="shared" si="11"/>
        <v>9.6666318428000011</v>
      </c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0.95489500000000005</v>
      </c>
      <c r="H154" s="21">
        <v>31.373000000000001</v>
      </c>
      <c r="I154" s="21">
        <v>-1.5252699999999999E-2</v>
      </c>
      <c r="J154" s="21">
        <v>144</v>
      </c>
      <c r="K154" s="21">
        <v>0.95367400000000002</v>
      </c>
      <c r="L154">
        <f t="shared" si="8"/>
        <v>15.252699999999999</v>
      </c>
      <c r="M154">
        <f t="shared" si="9"/>
        <v>14.5647269665</v>
      </c>
      <c r="N154" s="9"/>
      <c r="O154" s="21">
        <v>0.62515299999999996</v>
      </c>
      <c r="P154" s="21">
        <v>37.620600000000003</v>
      </c>
      <c r="Q154" s="21">
        <v>-1.55823E-2</v>
      </c>
      <c r="R154" s="21">
        <v>144</v>
      </c>
      <c r="S154" s="21">
        <v>0.624359</v>
      </c>
      <c r="T154">
        <f t="shared" si="10"/>
        <v>15.5823</v>
      </c>
      <c r="U154">
        <f t="shared" si="11"/>
        <v>9.7413215919000002</v>
      </c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0.94986000000000004</v>
      </c>
      <c r="H155" s="21">
        <v>31.383099999999999</v>
      </c>
      <c r="I155" s="21">
        <v>-1.5252699999999999E-2</v>
      </c>
      <c r="J155" s="21">
        <v>145</v>
      </c>
      <c r="K155" s="21">
        <v>0.94818100000000005</v>
      </c>
      <c r="L155">
        <f t="shared" si="8"/>
        <v>15.252699999999999</v>
      </c>
      <c r="M155">
        <f t="shared" si="9"/>
        <v>14.487929621999999</v>
      </c>
      <c r="N155" s="9"/>
      <c r="O155" s="21">
        <v>0.63018799999999997</v>
      </c>
      <c r="P155" s="21">
        <v>37.630699999999997</v>
      </c>
      <c r="Q155" s="21">
        <v>-1.5573099999999999E-2</v>
      </c>
      <c r="R155" s="21">
        <v>145</v>
      </c>
      <c r="S155" s="21">
        <v>0.62936400000000003</v>
      </c>
      <c r="T155">
        <f t="shared" si="10"/>
        <v>15.5731</v>
      </c>
      <c r="U155">
        <f t="shared" si="11"/>
        <v>9.8139807428000001</v>
      </c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0.944824</v>
      </c>
      <c r="H156" s="21">
        <v>31.3931</v>
      </c>
      <c r="I156" s="21">
        <v>-1.5271E-2</v>
      </c>
      <c r="J156" s="21">
        <v>146</v>
      </c>
      <c r="K156" s="21">
        <v>0.943604</v>
      </c>
      <c r="L156">
        <f t="shared" si="8"/>
        <v>15.270999999999999</v>
      </c>
      <c r="M156">
        <f t="shared" si="9"/>
        <v>14.428407303999998</v>
      </c>
      <c r="N156" s="9"/>
      <c r="O156" s="21">
        <v>0.63522299999999998</v>
      </c>
      <c r="P156" s="21">
        <v>37.640799999999999</v>
      </c>
      <c r="Q156" s="21">
        <v>-1.5560900000000001E-2</v>
      </c>
      <c r="R156" s="21">
        <v>146</v>
      </c>
      <c r="S156" s="21">
        <v>0.63443000000000005</v>
      </c>
      <c r="T156">
        <f t="shared" si="10"/>
        <v>15.5609</v>
      </c>
      <c r="U156">
        <f t="shared" si="11"/>
        <v>9.8846415807000003</v>
      </c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0.93978899999999999</v>
      </c>
      <c r="H157" s="21">
        <v>31.403199999999998</v>
      </c>
      <c r="I157" s="21">
        <v>-1.52771E-2</v>
      </c>
      <c r="J157" s="21">
        <v>147</v>
      </c>
      <c r="K157" s="21">
        <v>0.93933100000000003</v>
      </c>
      <c r="L157">
        <f t="shared" si="8"/>
        <v>15.277100000000001</v>
      </c>
      <c r="M157">
        <f t="shared" si="9"/>
        <v>14.3572505319</v>
      </c>
      <c r="N157" s="9"/>
      <c r="O157" s="21">
        <v>0.64025900000000002</v>
      </c>
      <c r="P157" s="21">
        <v>37.650799999999997</v>
      </c>
      <c r="Q157" s="21">
        <v>-1.5551799999999999E-2</v>
      </c>
      <c r="R157" s="21">
        <v>147</v>
      </c>
      <c r="S157" s="21">
        <v>0.63946499999999995</v>
      </c>
      <c r="T157">
        <f t="shared" si="10"/>
        <v>15.5518</v>
      </c>
      <c r="U157">
        <f t="shared" si="11"/>
        <v>9.9571799162000012</v>
      </c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0.93475299999999995</v>
      </c>
      <c r="H158" s="21">
        <v>31.4133</v>
      </c>
      <c r="I158" s="21">
        <v>-1.52832E-2</v>
      </c>
      <c r="J158" s="21">
        <v>148</v>
      </c>
      <c r="K158" s="21">
        <v>0.93353299999999995</v>
      </c>
      <c r="L158">
        <f t="shared" si="8"/>
        <v>15.283200000000001</v>
      </c>
      <c r="M158">
        <f t="shared" si="9"/>
        <v>14.2860170496</v>
      </c>
      <c r="N158" s="9"/>
      <c r="O158" s="21">
        <v>0.64529400000000003</v>
      </c>
      <c r="P158" s="21">
        <v>37.660899999999998</v>
      </c>
      <c r="Q158" s="21">
        <v>-1.5539600000000001E-2</v>
      </c>
      <c r="R158" s="21">
        <v>148</v>
      </c>
      <c r="S158" s="21">
        <v>0.64440900000000001</v>
      </c>
      <c r="T158">
        <f t="shared" si="10"/>
        <v>15.5396</v>
      </c>
      <c r="U158">
        <f t="shared" si="11"/>
        <v>10.027610642400001</v>
      </c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0.92971800000000004</v>
      </c>
      <c r="H159" s="21">
        <v>31.423400000000001</v>
      </c>
      <c r="I159" s="21">
        <v>-1.52893E-2</v>
      </c>
      <c r="J159" s="21">
        <v>149</v>
      </c>
      <c r="K159" s="21">
        <v>0.92864999999999998</v>
      </c>
      <c r="L159">
        <f t="shared" si="8"/>
        <v>15.289300000000001</v>
      </c>
      <c r="M159">
        <f t="shared" si="9"/>
        <v>14.214737417400002</v>
      </c>
      <c r="N159" s="9"/>
      <c r="O159" s="21">
        <v>0.65032999999999996</v>
      </c>
      <c r="P159" s="21">
        <v>37.670999999999999</v>
      </c>
      <c r="Q159" s="21">
        <v>-1.55304E-2</v>
      </c>
      <c r="R159" s="21">
        <v>149</v>
      </c>
      <c r="S159" s="21">
        <v>0.64947500000000002</v>
      </c>
      <c r="T159">
        <f t="shared" si="10"/>
        <v>15.5304</v>
      </c>
      <c r="U159">
        <f t="shared" si="11"/>
        <v>10.099885032</v>
      </c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0.92468300000000003</v>
      </c>
      <c r="H160" s="21">
        <v>31.433399999999999</v>
      </c>
      <c r="I160" s="21">
        <v>-1.5292399999999999E-2</v>
      </c>
      <c r="J160" s="21">
        <v>150</v>
      </c>
      <c r="K160" s="21">
        <v>0.923767</v>
      </c>
      <c r="L160">
        <f t="shared" si="8"/>
        <v>15.292399999999999</v>
      </c>
      <c r="M160">
        <f t="shared" si="9"/>
        <v>14.140622309199999</v>
      </c>
      <c r="N160" s="9"/>
      <c r="O160" s="21">
        <v>0.65536499999999998</v>
      </c>
      <c r="P160" s="21">
        <v>37.681100000000001</v>
      </c>
      <c r="Q160" s="21">
        <v>-1.55243E-2</v>
      </c>
      <c r="R160" s="21">
        <v>150</v>
      </c>
      <c r="S160" s="21">
        <v>0.65451000000000004</v>
      </c>
      <c r="T160">
        <f t="shared" si="10"/>
        <v>15.5243</v>
      </c>
      <c r="U160">
        <f t="shared" si="11"/>
        <v>10.174082869499999</v>
      </c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0.91964699999999999</v>
      </c>
      <c r="H161" s="21">
        <v>31.4435</v>
      </c>
      <c r="I161" s="21">
        <v>-1.5295400000000001E-2</v>
      </c>
      <c r="J161" s="21">
        <v>151</v>
      </c>
      <c r="K161" s="21">
        <v>0.91827400000000003</v>
      </c>
      <c r="L161">
        <f t="shared" si="8"/>
        <v>15.295400000000001</v>
      </c>
      <c r="M161">
        <f t="shared" si="9"/>
        <v>14.0663687238</v>
      </c>
      <c r="N161" s="9"/>
      <c r="O161" s="21">
        <v>0.66039999999999999</v>
      </c>
      <c r="P161" s="21">
        <v>37.691099999999999</v>
      </c>
      <c r="Q161" s="21">
        <v>-1.55151E-2</v>
      </c>
      <c r="R161" s="21">
        <v>151</v>
      </c>
      <c r="S161" s="21">
        <v>0.65963700000000003</v>
      </c>
      <c r="T161">
        <f t="shared" si="10"/>
        <v>15.5151</v>
      </c>
      <c r="U161">
        <f t="shared" si="11"/>
        <v>10.246172039999999</v>
      </c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0.91461199999999998</v>
      </c>
      <c r="H162" s="21">
        <v>31.453600000000002</v>
      </c>
      <c r="I162" s="21">
        <v>-1.5295400000000001E-2</v>
      </c>
      <c r="J162" s="21">
        <v>152</v>
      </c>
      <c r="K162" s="21">
        <v>0.91400099999999995</v>
      </c>
      <c r="L162">
        <f t="shared" si="8"/>
        <v>15.295400000000001</v>
      </c>
      <c r="M162">
        <f t="shared" si="9"/>
        <v>13.989356384800001</v>
      </c>
      <c r="N162" s="9"/>
      <c r="O162" s="21">
        <v>0.66543600000000003</v>
      </c>
      <c r="P162" s="21">
        <v>37.7012</v>
      </c>
      <c r="Q162" s="21">
        <v>-1.54999E-2</v>
      </c>
      <c r="R162" s="21">
        <v>152</v>
      </c>
      <c r="S162" s="21">
        <v>0.66458099999999998</v>
      </c>
      <c r="T162">
        <f t="shared" si="10"/>
        <v>15.4999</v>
      </c>
      <c r="U162">
        <f t="shared" si="11"/>
        <v>10.314191456400001</v>
      </c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0.90957600000000005</v>
      </c>
      <c r="H163" s="21">
        <v>31.4636</v>
      </c>
      <c r="I163" s="21">
        <v>-1.53046E-2</v>
      </c>
      <c r="J163" s="21">
        <v>153</v>
      </c>
      <c r="K163" s="21">
        <v>0.90850799999999998</v>
      </c>
      <c r="L163">
        <f t="shared" si="8"/>
        <v>15.304600000000001</v>
      </c>
      <c r="M163">
        <f t="shared" si="9"/>
        <v>13.920696849600001</v>
      </c>
      <c r="N163" s="9"/>
      <c r="O163" s="21">
        <v>0.67047100000000004</v>
      </c>
      <c r="P163" s="21">
        <v>37.711300000000001</v>
      </c>
      <c r="Q163" s="21">
        <v>-1.5484599999999999E-2</v>
      </c>
      <c r="R163" s="21">
        <v>153</v>
      </c>
      <c r="S163" s="21">
        <v>0.66952500000000004</v>
      </c>
      <c r="T163">
        <f t="shared" si="10"/>
        <v>15.484599999999999</v>
      </c>
      <c r="U163">
        <f t="shared" si="11"/>
        <v>10.3819752466</v>
      </c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0.90454100000000004</v>
      </c>
      <c r="H164" s="21">
        <v>31.473700000000001</v>
      </c>
      <c r="I164" s="21">
        <v>-1.53107E-2</v>
      </c>
      <c r="J164" s="21">
        <v>154</v>
      </c>
      <c r="K164" s="21">
        <v>0.90362500000000001</v>
      </c>
      <c r="L164">
        <f t="shared" si="8"/>
        <v>15.310700000000001</v>
      </c>
      <c r="M164">
        <f t="shared" si="9"/>
        <v>13.8491558887</v>
      </c>
      <c r="N164" s="9"/>
      <c r="O164" s="21">
        <v>0.67550699999999997</v>
      </c>
      <c r="P164" s="21">
        <v>37.721299999999999</v>
      </c>
      <c r="Q164" s="21">
        <v>-1.54755E-2</v>
      </c>
      <c r="R164" s="21">
        <v>154</v>
      </c>
      <c r="S164" s="21">
        <v>0.67471300000000001</v>
      </c>
      <c r="T164">
        <f t="shared" si="10"/>
        <v>15.4755</v>
      </c>
      <c r="U164">
        <f t="shared" si="11"/>
        <v>10.4538085785</v>
      </c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0.89950600000000003</v>
      </c>
      <c r="H165" s="21">
        <v>31.483799999999999</v>
      </c>
      <c r="I165" s="21">
        <v>-1.5329000000000001E-2</v>
      </c>
      <c r="J165" s="21">
        <v>155</v>
      </c>
      <c r="K165" s="21">
        <v>0.89874299999999996</v>
      </c>
      <c r="L165">
        <f t="shared" si="8"/>
        <v>15.329000000000001</v>
      </c>
      <c r="M165">
        <f t="shared" si="9"/>
        <v>13.788527474</v>
      </c>
      <c r="N165" s="9"/>
      <c r="O165" s="21">
        <v>0.68054199999999998</v>
      </c>
      <c r="P165" s="21">
        <v>37.731400000000001</v>
      </c>
      <c r="Q165" s="21">
        <v>-1.5466300000000001E-2</v>
      </c>
      <c r="R165" s="21">
        <v>155</v>
      </c>
      <c r="S165" s="21">
        <v>0.67968799999999996</v>
      </c>
      <c r="T165">
        <f t="shared" si="10"/>
        <v>15.4663</v>
      </c>
      <c r="U165">
        <f t="shared" si="11"/>
        <v>10.5254667346</v>
      </c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0.89446999999999999</v>
      </c>
      <c r="H166" s="21">
        <v>31.4939</v>
      </c>
      <c r="I166" s="21">
        <v>-1.5347299999999999E-2</v>
      </c>
      <c r="J166" s="21">
        <v>156</v>
      </c>
      <c r="K166" s="21">
        <v>0.89324999999999999</v>
      </c>
      <c r="L166">
        <f t="shared" si="8"/>
        <v>15.347299999999999</v>
      </c>
      <c r="M166">
        <f t="shared" si="9"/>
        <v>13.727699431</v>
      </c>
      <c r="N166" s="9"/>
      <c r="O166" s="21">
        <v>0.68557699999999999</v>
      </c>
      <c r="P166" s="21">
        <v>37.741500000000002</v>
      </c>
      <c r="Q166" s="21">
        <v>-1.54602E-2</v>
      </c>
      <c r="R166" s="21">
        <v>156</v>
      </c>
      <c r="S166" s="21">
        <v>0.68463099999999999</v>
      </c>
      <c r="T166">
        <f t="shared" si="10"/>
        <v>15.4602</v>
      </c>
      <c r="U166">
        <f t="shared" si="11"/>
        <v>10.5991575354</v>
      </c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0.88943499999999998</v>
      </c>
      <c r="H167" s="21">
        <v>31.503900000000002</v>
      </c>
      <c r="I167" s="21">
        <v>-1.5356399999999999E-2</v>
      </c>
      <c r="J167" s="21">
        <v>157</v>
      </c>
      <c r="K167" s="21">
        <v>0.88836700000000002</v>
      </c>
      <c r="L167">
        <f t="shared" si="8"/>
        <v>15.356399999999999</v>
      </c>
      <c r="M167">
        <f t="shared" si="9"/>
        <v>13.658519633999999</v>
      </c>
      <c r="N167" s="9"/>
      <c r="O167" s="21">
        <v>0.69061300000000003</v>
      </c>
      <c r="P167" s="21">
        <v>37.751600000000003</v>
      </c>
      <c r="Q167" s="21">
        <v>-1.54602E-2</v>
      </c>
      <c r="R167" s="21">
        <v>157</v>
      </c>
      <c r="S167" s="21">
        <v>0.68972800000000001</v>
      </c>
      <c r="T167">
        <f t="shared" si="10"/>
        <v>15.4602</v>
      </c>
      <c r="U167">
        <f t="shared" si="11"/>
        <v>10.6770151026</v>
      </c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0.88439900000000005</v>
      </c>
      <c r="H168" s="21">
        <v>31.513999999999999</v>
      </c>
      <c r="I168" s="21">
        <v>-1.5362499999999999E-2</v>
      </c>
      <c r="J168" s="21">
        <v>158</v>
      </c>
      <c r="K168" s="21">
        <v>0.88317900000000005</v>
      </c>
      <c r="L168">
        <f t="shared" si="8"/>
        <v>15.362499999999999</v>
      </c>
      <c r="M168">
        <f t="shared" si="9"/>
        <v>13.5865796375</v>
      </c>
      <c r="N168" s="9"/>
      <c r="O168" s="21">
        <v>0.69564800000000004</v>
      </c>
      <c r="P168" s="21">
        <v>37.761600000000001</v>
      </c>
      <c r="Q168" s="21">
        <v>-1.5457200000000001E-2</v>
      </c>
      <c r="R168" s="21">
        <v>158</v>
      </c>
      <c r="S168" s="21">
        <v>0.694824</v>
      </c>
      <c r="T168">
        <f t="shared" si="10"/>
        <v>15.4572</v>
      </c>
      <c r="U168">
        <f t="shared" si="11"/>
        <v>10.752770265600001</v>
      </c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0.87936400000000003</v>
      </c>
      <c r="H169" s="21">
        <v>31.524100000000001</v>
      </c>
      <c r="I169" s="21">
        <v>-1.5368700000000001E-2</v>
      </c>
      <c r="J169" s="21">
        <v>159</v>
      </c>
      <c r="K169" s="21">
        <v>0.87768599999999997</v>
      </c>
      <c r="L169">
        <f t="shared" si="8"/>
        <v>15.3687</v>
      </c>
      <c r="M169">
        <f t="shared" si="9"/>
        <v>13.514681506800001</v>
      </c>
      <c r="N169" s="9"/>
      <c r="O169" s="21">
        <v>0.70068399999999997</v>
      </c>
      <c r="P169" s="21">
        <v>37.771700000000003</v>
      </c>
      <c r="Q169" s="21">
        <v>-1.5444899999999999E-2</v>
      </c>
      <c r="R169" s="21">
        <v>159</v>
      </c>
      <c r="S169" s="21">
        <v>0.69986000000000004</v>
      </c>
      <c r="T169">
        <f t="shared" si="10"/>
        <v>15.444899999999999</v>
      </c>
      <c r="U169">
        <f t="shared" si="11"/>
        <v>10.821994311599999</v>
      </c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0.87432900000000002</v>
      </c>
      <c r="H170" s="21">
        <v>31.534099999999999</v>
      </c>
      <c r="I170" s="21">
        <v>-1.5387E-2</v>
      </c>
      <c r="J170" s="21">
        <v>160</v>
      </c>
      <c r="K170" s="21">
        <v>0.87341299999999999</v>
      </c>
      <c r="L170">
        <f t="shared" si="8"/>
        <v>15.387</v>
      </c>
      <c r="M170">
        <f t="shared" si="9"/>
        <v>13.453300323000001</v>
      </c>
      <c r="N170" s="9"/>
      <c r="O170" s="21">
        <v>0.70571899999999999</v>
      </c>
      <c r="P170" s="21">
        <v>37.781799999999997</v>
      </c>
      <c r="Q170" s="21">
        <v>-1.5444899999999999E-2</v>
      </c>
      <c r="R170" s="21">
        <v>160</v>
      </c>
      <c r="S170" s="21">
        <v>0.70492600000000005</v>
      </c>
      <c r="T170">
        <f t="shared" si="10"/>
        <v>15.444899999999999</v>
      </c>
      <c r="U170">
        <f t="shared" si="11"/>
        <v>10.899759383099999</v>
      </c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0.86929299999999998</v>
      </c>
      <c r="H171" s="21">
        <v>31.5442</v>
      </c>
      <c r="I171" s="21">
        <v>-1.5396099999999999E-2</v>
      </c>
      <c r="J171" s="21">
        <v>161</v>
      </c>
      <c r="K171" s="21">
        <v>0.86883500000000002</v>
      </c>
      <c r="L171">
        <f t="shared" si="8"/>
        <v>15.396099999999999</v>
      </c>
      <c r="M171">
        <f t="shared" si="9"/>
        <v>13.383721957299999</v>
      </c>
      <c r="N171" s="9"/>
      <c r="O171" s="21">
        <v>0.710754</v>
      </c>
      <c r="P171" s="21">
        <v>37.791800000000002</v>
      </c>
      <c r="Q171" s="21">
        <v>-1.5432700000000001E-2</v>
      </c>
      <c r="R171" s="21">
        <v>161</v>
      </c>
      <c r="S171" s="21">
        <v>0.70986899999999997</v>
      </c>
      <c r="T171">
        <f t="shared" si="10"/>
        <v>15.432700000000001</v>
      </c>
      <c r="U171">
        <f t="shared" si="11"/>
        <v>10.968853255800001</v>
      </c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0.86425799999999997</v>
      </c>
      <c r="H172" s="21">
        <v>31.554300000000001</v>
      </c>
      <c r="I172" s="21">
        <v>-1.54114E-2</v>
      </c>
      <c r="J172" s="21">
        <v>162</v>
      </c>
      <c r="K172" s="21">
        <v>0.86364700000000005</v>
      </c>
      <c r="L172">
        <f t="shared" si="8"/>
        <v>15.4114</v>
      </c>
      <c r="M172">
        <f t="shared" si="9"/>
        <v>13.3194257412</v>
      </c>
      <c r="N172" s="9"/>
      <c r="O172" s="21">
        <v>0.71579000000000004</v>
      </c>
      <c r="P172" s="21">
        <v>37.801900000000003</v>
      </c>
      <c r="Q172" s="21">
        <v>-1.54144E-2</v>
      </c>
      <c r="R172" s="21">
        <v>162</v>
      </c>
      <c r="S172" s="21">
        <v>0.71499599999999996</v>
      </c>
      <c r="T172">
        <f t="shared" si="10"/>
        <v>15.414400000000001</v>
      </c>
      <c r="U172">
        <f t="shared" si="11"/>
        <v>11.033473376000002</v>
      </c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0.85922200000000004</v>
      </c>
      <c r="H173" s="21">
        <v>31.564399999999999</v>
      </c>
      <c r="I173" s="21">
        <v>-1.5423600000000001E-2</v>
      </c>
      <c r="J173" s="21">
        <v>163</v>
      </c>
      <c r="K173" s="21">
        <v>0.85784899999999997</v>
      </c>
      <c r="L173">
        <f t="shared" si="8"/>
        <v>15.4236</v>
      </c>
      <c r="M173">
        <f t="shared" si="9"/>
        <v>13.2522964392</v>
      </c>
      <c r="N173" s="9"/>
      <c r="O173" s="21">
        <v>0.72082500000000005</v>
      </c>
      <c r="P173" s="21">
        <v>37.811999999999998</v>
      </c>
      <c r="Q173" s="21">
        <v>-1.5387E-2</v>
      </c>
      <c r="R173" s="21">
        <v>163</v>
      </c>
      <c r="S173" s="21">
        <v>0.720001</v>
      </c>
      <c r="T173">
        <f t="shared" si="10"/>
        <v>15.387</v>
      </c>
      <c r="U173">
        <f t="shared" si="11"/>
        <v>11.091334275000001</v>
      </c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0.85418700000000003</v>
      </c>
      <c r="H174" s="21">
        <v>31.574400000000001</v>
      </c>
      <c r="I174" s="21">
        <v>-1.54266E-2</v>
      </c>
      <c r="J174" s="21">
        <v>164</v>
      </c>
      <c r="K174" s="21">
        <v>0.852966</v>
      </c>
      <c r="L174">
        <f t="shared" si="8"/>
        <v>15.426600000000001</v>
      </c>
      <c r="M174">
        <f t="shared" si="9"/>
        <v>13.1772011742</v>
      </c>
      <c r="N174" s="9"/>
      <c r="O174" s="21">
        <v>0.72586099999999998</v>
      </c>
      <c r="P174" s="21">
        <v>37.822099999999999</v>
      </c>
      <c r="Q174" s="21">
        <v>-1.53717E-2</v>
      </c>
      <c r="R174" s="21">
        <v>164</v>
      </c>
      <c r="S174" s="21">
        <v>0.72497599999999995</v>
      </c>
      <c r="T174">
        <f t="shared" si="10"/>
        <v>15.371700000000001</v>
      </c>
      <c r="U174">
        <f t="shared" si="11"/>
        <v>11.1577175337</v>
      </c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0.84915200000000002</v>
      </c>
      <c r="H175" s="21">
        <v>31.584499999999998</v>
      </c>
      <c r="I175" s="21">
        <v>-1.5429699999999999E-2</v>
      </c>
      <c r="J175" s="21">
        <v>165</v>
      </c>
      <c r="K175" s="21">
        <v>0.84808300000000003</v>
      </c>
      <c r="L175">
        <f t="shared" si="8"/>
        <v>15.429699999999999</v>
      </c>
      <c r="M175">
        <f t="shared" si="9"/>
        <v>13.102160614399999</v>
      </c>
      <c r="N175" s="9"/>
      <c r="O175" s="21">
        <v>0.73089599999999999</v>
      </c>
      <c r="P175" s="21">
        <v>37.832099999999997</v>
      </c>
      <c r="Q175" s="21">
        <v>-1.5356399999999999E-2</v>
      </c>
      <c r="R175" s="21">
        <v>165</v>
      </c>
      <c r="S175" s="21">
        <v>0.73010299999999995</v>
      </c>
      <c r="T175">
        <f t="shared" si="10"/>
        <v>15.356399999999999</v>
      </c>
      <c r="U175">
        <f t="shared" si="11"/>
        <v>11.2239313344</v>
      </c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0.84411599999999998</v>
      </c>
      <c r="H176" s="21">
        <v>31.5946</v>
      </c>
      <c r="I176" s="21">
        <v>-1.5432700000000001E-2</v>
      </c>
      <c r="J176" s="21">
        <v>166</v>
      </c>
      <c r="K176" s="21">
        <v>0.84320099999999998</v>
      </c>
      <c r="L176">
        <f t="shared" si="8"/>
        <v>15.432700000000001</v>
      </c>
      <c r="M176">
        <f t="shared" si="9"/>
        <v>13.0269889932</v>
      </c>
      <c r="N176" s="9"/>
      <c r="O176" s="21">
        <v>0.735931</v>
      </c>
      <c r="P176" s="21">
        <v>37.842199999999998</v>
      </c>
      <c r="Q176" s="21">
        <v>-1.5335100000000001E-2</v>
      </c>
      <c r="R176" s="21">
        <v>166</v>
      </c>
      <c r="S176" s="21">
        <v>0.735016</v>
      </c>
      <c r="T176">
        <f t="shared" si="10"/>
        <v>15.335100000000001</v>
      </c>
      <c r="U176">
        <f t="shared" si="11"/>
        <v>11.2855754781</v>
      </c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0.83908099999999997</v>
      </c>
      <c r="H177" s="21">
        <v>31.604600000000001</v>
      </c>
      <c r="I177" s="21">
        <v>-1.5444899999999999E-2</v>
      </c>
      <c r="J177" s="21">
        <v>167</v>
      </c>
      <c r="K177" s="21">
        <v>0.83770800000000001</v>
      </c>
      <c r="L177">
        <f t="shared" si="8"/>
        <v>15.444899999999999</v>
      </c>
      <c r="M177">
        <f t="shared" si="9"/>
        <v>12.959522136899999</v>
      </c>
      <c r="N177" s="9"/>
      <c r="O177" s="21">
        <v>0.74096700000000004</v>
      </c>
      <c r="P177" s="21">
        <v>37.8523</v>
      </c>
      <c r="Q177" s="21">
        <v>-1.53198E-2</v>
      </c>
      <c r="R177" s="21">
        <v>167</v>
      </c>
      <c r="S177" s="21">
        <v>0.74017299999999997</v>
      </c>
      <c r="T177">
        <f t="shared" si="10"/>
        <v>15.319799999999999</v>
      </c>
      <c r="U177">
        <f t="shared" si="11"/>
        <v>11.351466246599999</v>
      </c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0.83404500000000004</v>
      </c>
      <c r="H178" s="21">
        <v>31.614699999999999</v>
      </c>
      <c r="I178" s="21">
        <v>-1.5463299999999999E-2</v>
      </c>
      <c r="J178" s="21">
        <v>168</v>
      </c>
      <c r="K178" s="21">
        <v>0.83282500000000004</v>
      </c>
      <c r="L178">
        <f t="shared" si="8"/>
        <v>15.463299999999998</v>
      </c>
      <c r="M178">
        <f t="shared" si="9"/>
        <v>12.897088048499999</v>
      </c>
      <c r="N178" s="9"/>
      <c r="O178" s="21">
        <v>0.74600200000000005</v>
      </c>
      <c r="P178" s="21">
        <v>37.862299999999998</v>
      </c>
      <c r="Q178" s="21">
        <v>-1.53046E-2</v>
      </c>
      <c r="R178" s="21">
        <v>168</v>
      </c>
      <c r="S178" s="21">
        <v>0.74514800000000003</v>
      </c>
      <c r="T178">
        <f t="shared" si="10"/>
        <v>15.304600000000001</v>
      </c>
      <c r="U178">
        <f t="shared" si="11"/>
        <v>11.4172622092</v>
      </c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0.82901000000000002</v>
      </c>
      <c r="H179" s="21">
        <v>31.6248</v>
      </c>
      <c r="I179" s="21">
        <v>-1.5463299999999999E-2</v>
      </c>
      <c r="J179" s="21">
        <v>169</v>
      </c>
      <c r="K179" s="21">
        <v>0.82794199999999996</v>
      </c>
      <c r="L179">
        <f t="shared" si="8"/>
        <v>15.463299999999998</v>
      </c>
      <c r="M179">
        <f t="shared" si="9"/>
        <v>12.819230332999998</v>
      </c>
      <c r="N179" s="9"/>
      <c r="O179" s="21">
        <v>0.75103799999999998</v>
      </c>
      <c r="P179" s="21">
        <v>37.872399999999999</v>
      </c>
      <c r="Q179" s="21">
        <v>-1.5292399999999999E-2</v>
      </c>
      <c r="R179" s="21">
        <v>169</v>
      </c>
      <c r="S179" s="21">
        <v>0.75015299999999996</v>
      </c>
      <c r="T179">
        <f t="shared" si="10"/>
        <v>15.292399999999999</v>
      </c>
      <c r="U179">
        <f t="shared" si="11"/>
        <v>11.485173511199999</v>
      </c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0.82397500000000001</v>
      </c>
      <c r="H180" s="21">
        <v>31.634899999999998</v>
      </c>
      <c r="I180" s="21">
        <v>-1.54541E-2</v>
      </c>
      <c r="J180" s="21">
        <v>170</v>
      </c>
      <c r="K180" s="21">
        <v>0.82336399999999998</v>
      </c>
      <c r="L180">
        <f t="shared" si="8"/>
        <v>15.4541</v>
      </c>
      <c r="M180">
        <f t="shared" si="9"/>
        <v>12.7337920475</v>
      </c>
      <c r="N180" s="9"/>
      <c r="O180" s="21">
        <v>0.756073</v>
      </c>
      <c r="P180" s="21">
        <v>37.8825</v>
      </c>
      <c r="Q180" s="21">
        <v>-1.5280200000000001E-2</v>
      </c>
      <c r="R180" s="21">
        <v>170</v>
      </c>
      <c r="S180" s="21">
        <v>0.75500500000000004</v>
      </c>
      <c r="T180">
        <f t="shared" si="10"/>
        <v>15.280200000000001</v>
      </c>
      <c r="U180">
        <f t="shared" si="11"/>
        <v>11.552946654600001</v>
      </c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0.81893899999999997</v>
      </c>
      <c r="H181" s="21">
        <v>31.6449</v>
      </c>
      <c r="I181" s="21">
        <v>-1.5457200000000001E-2</v>
      </c>
      <c r="J181" s="21">
        <v>171</v>
      </c>
      <c r="K181" s="21">
        <v>0.81726100000000002</v>
      </c>
      <c r="L181">
        <f t="shared" si="8"/>
        <v>15.4572</v>
      </c>
      <c r="M181">
        <f t="shared" si="9"/>
        <v>12.6585039108</v>
      </c>
      <c r="N181" s="9"/>
      <c r="O181" s="21">
        <v>0.76110800000000001</v>
      </c>
      <c r="P181" s="21">
        <v>37.892600000000002</v>
      </c>
      <c r="Q181" s="21">
        <v>-1.5286299999999999E-2</v>
      </c>
      <c r="R181" s="21">
        <v>171</v>
      </c>
      <c r="S181" s="21">
        <v>0.76019300000000001</v>
      </c>
      <c r="T181">
        <f t="shared" si="10"/>
        <v>15.286299999999999</v>
      </c>
      <c r="U181">
        <f t="shared" si="11"/>
        <v>11.634525220399999</v>
      </c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0.81390399999999996</v>
      </c>
      <c r="H182" s="21">
        <v>31.655000000000001</v>
      </c>
      <c r="I182" s="21">
        <v>-1.54755E-2</v>
      </c>
      <c r="J182" s="21">
        <v>172</v>
      </c>
      <c r="K182" s="21">
        <v>0.81359899999999996</v>
      </c>
      <c r="L182">
        <f t="shared" si="8"/>
        <v>15.4755</v>
      </c>
      <c r="M182">
        <f t="shared" si="9"/>
        <v>12.595571352</v>
      </c>
      <c r="N182" s="9"/>
      <c r="O182" s="21">
        <v>0.76614400000000005</v>
      </c>
      <c r="P182" s="21">
        <v>37.9026</v>
      </c>
      <c r="Q182" s="21">
        <v>-1.52893E-2</v>
      </c>
      <c r="R182" s="21">
        <v>172</v>
      </c>
      <c r="S182" s="21">
        <v>0.76507599999999998</v>
      </c>
      <c r="T182">
        <f t="shared" si="10"/>
        <v>15.289300000000001</v>
      </c>
      <c r="U182">
        <f t="shared" si="11"/>
        <v>11.713805459200001</v>
      </c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0.80886800000000003</v>
      </c>
      <c r="H183" s="21">
        <v>31.665099999999999</v>
      </c>
      <c r="I183" s="21">
        <v>-1.54999E-2</v>
      </c>
      <c r="J183" s="21">
        <v>173</v>
      </c>
      <c r="K183" s="21">
        <v>0.80718999999999996</v>
      </c>
      <c r="L183">
        <f t="shared" si="8"/>
        <v>15.4999</v>
      </c>
      <c r="M183">
        <f t="shared" si="9"/>
        <v>12.537373113200001</v>
      </c>
      <c r="N183" s="9"/>
      <c r="O183" s="21">
        <v>0.77117899999999995</v>
      </c>
      <c r="P183" s="21">
        <v>37.912700000000001</v>
      </c>
      <c r="Q183" s="21">
        <v>-1.5286299999999999E-2</v>
      </c>
      <c r="R183" s="21">
        <v>173</v>
      </c>
      <c r="S183" s="21">
        <v>0.76965300000000003</v>
      </c>
      <c r="T183">
        <f t="shared" si="10"/>
        <v>15.286299999999999</v>
      </c>
      <c r="U183">
        <f t="shared" si="11"/>
        <v>11.788473547699999</v>
      </c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0.80383300000000002</v>
      </c>
      <c r="H184" s="21">
        <v>31.6751</v>
      </c>
      <c r="I184" s="21">
        <v>-1.5509E-2</v>
      </c>
      <c r="J184" s="21">
        <v>174</v>
      </c>
      <c r="K184" s="21">
        <v>0.80261199999999999</v>
      </c>
      <c r="L184">
        <f t="shared" si="8"/>
        <v>15.509</v>
      </c>
      <c r="M184">
        <f t="shared" si="9"/>
        <v>12.466645997000001</v>
      </c>
      <c r="N184" s="9"/>
      <c r="O184" s="21">
        <v>0.77621499999999999</v>
      </c>
      <c r="P184" s="21">
        <v>37.922800000000002</v>
      </c>
      <c r="Q184" s="21">
        <v>-1.52771E-2</v>
      </c>
      <c r="R184" s="21">
        <v>174</v>
      </c>
      <c r="S184" s="21">
        <v>0.77545200000000003</v>
      </c>
      <c r="T184">
        <f t="shared" si="10"/>
        <v>15.277100000000001</v>
      </c>
      <c r="U184">
        <f t="shared" si="11"/>
        <v>11.8583141765</v>
      </c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0.79879800000000001</v>
      </c>
      <c r="H185" s="21">
        <v>31.685199999999998</v>
      </c>
      <c r="I185" s="21">
        <v>-1.5518199999999999E-2</v>
      </c>
      <c r="J185" s="21">
        <v>175</v>
      </c>
      <c r="K185" s="21">
        <v>0.79772900000000002</v>
      </c>
      <c r="L185">
        <f t="shared" si="8"/>
        <v>15.5182</v>
      </c>
      <c r="M185">
        <f t="shared" si="9"/>
        <v>12.395907123600001</v>
      </c>
      <c r="N185" s="9"/>
      <c r="O185" s="21">
        <v>0.78125</v>
      </c>
      <c r="P185" s="21">
        <v>37.9328</v>
      </c>
      <c r="Q185" s="21">
        <v>-1.5252699999999999E-2</v>
      </c>
      <c r="R185" s="21">
        <v>175</v>
      </c>
      <c r="S185" s="21">
        <v>0.78002899999999997</v>
      </c>
      <c r="T185">
        <f t="shared" si="10"/>
        <v>15.252699999999999</v>
      </c>
      <c r="U185">
        <f t="shared" si="11"/>
        <v>11.916171875</v>
      </c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0.79376199999999997</v>
      </c>
      <c r="H186" s="21">
        <v>31.6953</v>
      </c>
      <c r="I186" s="21">
        <v>-1.5539600000000001E-2</v>
      </c>
      <c r="J186" s="21">
        <v>176</v>
      </c>
      <c r="K186" s="21">
        <v>0.79193100000000005</v>
      </c>
      <c r="L186">
        <f t="shared" si="8"/>
        <v>15.5396</v>
      </c>
      <c r="M186">
        <f t="shared" si="9"/>
        <v>12.3347439752</v>
      </c>
      <c r="N186" s="9"/>
      <c r="O186" s="21">
        <v>0.78628500000000001</v>
      </c>
      <c r="P186" s="21">
        <v>37.942900000000002</v>
      </c>
      <c r="Q186" s="21">
        <v>-1.52374E-2</v>
      </c>
      <c r="R186" s="21">
        <v>176</v>
      </c>
      <c r="S186" s="21">
        <v>0.78521700000000005</v>
      </c>
      <c r="T186">
        <f t="shared" si="10"/>
        <v>15.237399999999999</v>
      </c>
      <c r="U186">
        <f t="shared" si="11"/>
        <v>11.980939058999999</v>
      </c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0.78872699999999996</v>
      </c>
      <c r="H187" s="21">
        <v>31.705300000000001</v>
      </c>
      <c r="I187" s="21">
        <v>-1.5564E-2</v>
      </c>
      <c r="J187" s="21">
        <v>177</v>
      </c>
      <c r="K187" s="21">
        <v>0.787659</v>
      </c>
      <c r="L187">
        <f t="shared" si="8"/>
        <v>15.564</v>
      </c>
      <c r="M187">
        <f t="shared" si="9"/>
        <v>12.275747028</v>
      </c>
      <c r="N187" s="9"/>
      <c r="O187" s="21">
        <v>0.79132100000000005</v>
      </c>
      <c r="P187" s="21">
        <v>37.953000000000003</v>
      </c>
      <c r="Q187" s="21">
        <v>-1.5225199999999999E-2</v>
      </c>
      <c r="R187" s="21">
        <v>177</v>
      </c>
      <c r="S187" s="21">
        <v>0.79010000000000002</v>
      </c>
      <c r="T187">
        <f t="shared" si="10"/>
        <v>15.225199999999999</v>
      </c>
      <c r="U187">
        <f t="shared" si="11"/>
        <v>12.048020489200001</v>
      </c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0.78369100000000003</v>
      </c>
      <c r="H188" s="21">
        <v>31.715399999999999</v>
      </c>
      <c r="I188" s="21">
        <v>-1.5566999999999999E-2</v>
      </c>
      <c r="J188" s="21">
        <v>178</v>
      </c>
      <c r="K188" s="21">
        <v>0.78277600000000003</v>
      </c>
      <c r="L188">
        <f t="shared" si="8"/>
        <v>15.566999999999998</v>
      </c>
      <c r="M188">
        <f t="shared" si="9"/>
        <v>12.199717797</v>
      </c>
      <c r="N188" s="9"/>
      <c r="O188" s="21">
        <v>0.79635599999999995</v>
      </c>
      <c r="P188" s="21">
        <v>37.963099999999997</v>
      </c>
      <c r="Q188" s="21">
        <v>-1.52222E-2</v>
      </c>
      <c r="R188" s="21">
        <v>178</v>
      </c>
      <c r="S188" s="21">
        <v>0.79589799999999999</v>
      </c>
      <c r="T188">
        <f t="shared" si="10"/>
        <v>15.222200000000001</v>
      </c>
      <c r="U188">
        <f t="shared" si="11"/>
        <v>12.1222903032</v>
      </c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0.77865600000000001</v>
      </c>
      <c r="H189" s="21">
        <v>31.7255</v>
      </c>
      <c r="I189" s="21">
        <v>-1.5566999999999999E-2</v>
      </c>
      <c r="J189" s="21">
        <v>179</v>
      </c>
      <c r="K189" s="21">
        <v>0.77758799999999995</v>
      </c>
      <c r="L189">
        <f t="shared" si="8"/>
        <v>15.566999999999998</v>
      </c>
      <c r="M189">
        <f t="shared" si="9"/>
        <v>12.121337951999999</v>
      </c>
      <c r="N189" s="9"/>
      <c r="O189" s="21">
        <v>0.80139199999999999</v>
      </c>
      <c r="P189" s="21">
        <v>37.973100000000002</v>
      </c>
      <c r="Q189" s="21">
        <v>-1.52161E-2</v>
      </c>
      <c r="R189" s="21">
        <v>179</v>
      </c>
      <c r="S189" s="21">
        <v>0.80017099999999997</v>
      </c>
      <c r="T189">
        <f t="shared" si="10"/>
        <v>15.216099999999999</v>
      </c>
      <c r="U189">
        <f t="shared" si="11"/>
        <v>12.1940608112</v>
      </c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0.773621</v>
      </c>
      <c r="H190" s="21">
        <v>31.735600000000002</v>
      </c>
      <c r="I190" s="21">
        <v>-1.5566999999999999E-2</v>
      </c>
      <c r="J190" s="21">
        <v>180</v>
      </c>
      <c r="K190" s="21">
        <v>0.77239999999999998</v>
      </c>
      <c r="L190">
        <f t="shared" si="8"/>
        <v>15.566999999999998</v>
      </c>
      <c r="M190">
        <f t="shared" si="9"/>
        <v>12.042958106999999</v>
      </c>
      <c r="N190" s="9"/>
      <c r="O190" s="21">
        <v>0.806427</v>
      </c>
      <c r="P190" s="21">
        <v>37.983199999999997</v>
      </c>
      <c r="Q190" s="21">
        <v>-1.5191700000000001E-2</v>
      </c>
      <c r="R190" s="21">
        <v>180</v>
      </c>
      <c r="S190" s="21">
        <v>0.80505400000000005</v>
      </c>
      <c r="T190">
        <f t="shared" si="10"/>
        <v>15.191700000000001</v>
      </c>
      <c r="U190">
        <f t="shared" si="11"/>
        <v>12.250997055900001</v>
      </c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0.76858499999999996</v>
      </c>
      <c r="H191" s="21">
        <v>31.7456</v>
      </c>
      <c r="I191" s="21">
        <v>-1.5566999999999999E-2</v>
      </c>
      <c r="J191" s="21">
        <v>181</v>
      </c>
      <c r="K191" s="21">
        <v>0.76690700000000001</v>
      </c>
      <c r="L191">
        <f t="shared" si="8"/>
        <v>15.566999999999998</v>
      </c>
      <c r="M191">
        <f t="shared" si="9"/>
        <v>11.964562694999998</v>
      </c>
      <c r="N191" s="9"/>
      <c r="O191" s="21">
        <v>0.81146200000000002</v>
      </c>
      <c r="P191" s="21">
        <v>37.993299999999998</v>
      </c>
      <c r="Q191" s="21">
        <v>-1.51825E-2</v>
      </c>
      <c r="R191" s="21">
        <v>181</v>
      </c>
      <c r="S191" s="21">
        <v>0.81115700000000002</v>
      </c>
      <c r="T191">
        <f t="shared" si="10"/>
        <v>15.182499999999999</v>
      </c>
      <c r="U191">
        <f t="shared" si="11"/>
        <v>12.320021815</v>
      </c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0.76354999999999995</v>
      </c>
      <c r="H192" s="21">
        <v>31.755700000000001</v>
      </c>
      <c r="I192" s="21">
        <v>-1.5573099999999999E-2</v>
      </c>
      <c r="J192" s="21">
        <v>182</v>
      </c>
      <c r="K192" s="21">
        <v>0.76263400000000003</v>
      </c>
      <c r="L192">
        <f t="shared" si="8"/>
        <v>15.5731</v>
      </c>
      <c r="M192">
        <f t="shared" si="9"/>
        <v>11.890840505</v>
      </c>
      <c r="N192" s="9"/>
      <c r="O192" s="21">
        <v>0.81649799999999995</v>
      </c>
      <c r="P192" s="21">
        <v>38.003300000000003</v>
      </c>
      <c r="Q192" s="21">
        <v>-1.5173300000000001E-2</v>
      </c>
      <c r="R192" s="21">
        <v>182</v>
      </c>
      <c r="S192" s="21">
        <v>0.81542999999999999</v>
      </c>
      <c r="T192">
        <f t="shared" si="10"/>
        <v>15.173300000000001</v>
      </c>
      <c r="U192">
        <f t="shared" si="11"/>
        <v>12.388969103400001</v>
      </c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0.75851400000000002</v>
      </c>
      <c r="H193" s="21">
        <v>31.765799999999999</v>
      </c>
      <c r="I193" s="21">
        <v>-1.55762E-2</v>
      </c>
      <c r="J193" s="21">
        <v>183</v>
      </c>
      <c r="K193" s="21">
        <v>0.75744599999999995</v>
      </c>
      <c r="L193">
        <f t="shared" si="8"/>
        <v>15.5762</v>
      </c>
      <c r="M193">
        <f t="shared" si="9"/>
        <v>11.814765766800001</v>
      </c>
      <c r="N193" s="9"/>
      <c r="O193" s="21">
        <v>0.82153299999999996</v>
      </c>
      <c r="P193" s="21">
        <v>38.013399999999997</v>
      </c>
      <c r="Q193" s="21">
        <v>-1.51489E-2</v>
      </c>
      <c r="R193" s="21">
        <v>183</v>
      </c>
      <c r="S193" s="21">
        <v>0.82061799999999996</v>
      </c>
      <c r="T193">
        <f t="shared" si="10"/>
        <v>15.148899999999999</v>
      </c>
      <c r="U193">
        <f t="shared" si="11"/>
        <v>12.445321263699999</v>
      </c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0.75347900000000001</v>
      </c>
      <c r="H194" s="21">
        <v>31.7758</v>
      </c>
      <c r="I194" s="21">
        <v>-1.55792E-2</v>
      </c>
      <c r="J194" s="21">
        <v>184</v>
      </c>
      <c r="K194" s="21">
        <v>0.75225799999999998</v>
      </c>
      <c r="L194">
        <f t="shared" si="8"/>
        <v>15.5792</v>
      </c>
      <c r="M194">
        <f t="shared" si="9"/>
        <v>11.738600036799999</v>
      </c>
      <c r="N194" s="9"/>
      <c r="O194" s="21">
        <v>0.826569</v>
      </c>
      <c r="P194" s="21">
        <v>38.023499999999999</v>
      </c>
      <c r="Q194" s="21">
        <v>-1.51337E-2</v>
      </c>
      <c r="R194" s="21">
        <v>184</v>
      </c>
      <c r="S194" s="21">
        <v>0.82580600000000004</v>
      </c>
      <c r="T194">
        <f t="shared" si="10"/>
        <v>15.133699999999999</v>
      </c>
      <c r="U194">
        <f t="shared" si="11"/>
        <v>12.509047275299999</v>
      </c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0.748444</v>
      </c>
      <c r="H195" s="21">
        <v>31.785900000000002</v>
      </c>
      <c r="I195" s="21">
        <v>-1.55792E-2</v>
      </c>
      <c r="J195" s="21">
        <v>185</v>
      </c>
      <c r="K195" s="21">
        <v>0.74761999999999995</v>
      </c>
      <c r="L195">
        <f t="shared" si="8"/>
        <v>15.5792</v>
      </c>
      <c r="M195">
        <f t="shared" si="9"/>
        <v>11.6601587648</v>
      </c>
      <c r="N195" s="9"/>
      <c r="O195" s="21">
        <v>0.83160400000000001</v>
      </c>
      <c r="P195" s="21">
        <v>38.033499999999997</v>
      </c>
      <c r="Q195" s="21">
        <v>-1.5124500000000001E-2</v>
      </c>
      <c r="R195" s="21">
        <v>185</v>
      </c>
      <c r="S195" s="21">
        <v>0.83038299999999998</v>
      </c>
      <c r="T195">
        <f t="shared" si="10"/>
        <v>15.124500000000001</v>
      </c>
      <c r="U195">
        <f t="shared" si="11"/>
        <v>12.577594698</v>
      </c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0.74340799999999996</v>
      </c>
      <c r="H196" s="21">
        <v>31.795999999999999</v>
      </c>
      <c r="I196" s="21">
        <v>-1.55853E-2</v>
      </c>
      <c r="J196" s="21">
        <v>186</v>
      </c>
      <c r="K196" s="21">
        <v>0.74255400000000005</v>
      </c>
      <c r="L196">
        <f t="shared" si="8"/>
        <v>15.5853</v>
      </c>
      <c r="M196">
        <f t="shared" si="9"/>
        <v>11.586236702399999</v>
      </c>
      <c r="N196" s="9"/>
      <c r="O196" s="21">
        <v>0.83663900000000002</v>
      </c>
      <c r="P196" s="21">
        <v>38.043599999999998</v>
      </c>
      <c r="Q196" s="21">
        <v>-1.5124500000000001E-2</v>
      </c>
      <c r="R196" s="21">
        <v>186</v>
      </c>
      <c r="S196" s="21">
        <v>0.83618199999999998</v>
      </c>
      <c r="T196">
        <f t="shared" si="10"/>
        <v>15.124500000000001</v>
      </c>
      <c r="U196">
        <f t="shared" si="11"/>
        <v>12.653746555500001</v>
      </c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0.73837299999999995</v>
      </c>
      <c r="H197" s="21">
        <v>31.806100000000001</v>
      </c>
      <c r="I197" s="21">
        <v>-1.55914E-2</v>
      </c>
      <c r="J197" s="21">
        <v>187</v>
      </c>
      <c r="K197" s="21">
        <v>0.73742700000000005</v>
      </c>
      <c r="L197">
        <f t="shared" si="8"/>
        <v>15.5914</v>
      </c>
      <c r="M197">
        <f t="shared" si="9"/>
        <v>11.512268792199999</v>
      </c>
      <c r="N197" s="9"/>
      <c r="O197" s="21">
        <v>0.84167499999999995</v>
      </c>
      <c r="P197" s="21">
        <v>38.053699999999999</v>
      </c>
      <c r="Q197" s="21">
        <v>-1.5115399999999999E-2</v>
      </c>
      <c r="R197" s="21">
        <v>187</v>
      </c>
      <c r="S197" s="21">
        <v>0.84075900000000003</v>
      </c>
      <c r="T197">
        <f t="shared" si="10"/>
        <v>15.115399999999999</v>
      </c>
      <c r="U197">
        <f t="shared" si="11"/>
        <v>12.722254294999999</v>
      </c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0.73333700000000002</v>
      </c>
      <c r="H198" s="21">
        <v>31.816099999999999</v>
      </c>
      <c r="I198" s="21">
        <v>-1.55853E-2</v>
      </c>
      <c r="J198" s="21">
        <v>188</v>
      </c>
      <c r="K198" s="21">
        <v>0.73245199999999999</v>
      </c>
      <c r="L198">
        <f t="shared" si="8"/>
        <v>15.5853</v>
      </c>
      <c r="M198">
        <f t="shared" si="9"/>
        <v>11.4292771461</v>
      </c>
      <c r="N198" s="9"/>
      <c r="O198" s="21">
        <v>0.84670999999999996</v>
      </c>
      <c r="P198" s="21">
        <v>38.063800000000001</v>
      </c>
      <c r="Q198" s="21">
        <v>-1.5096999999999999E-2</v>
      </c>
      <c r="R198" s="21">
        <v>188</v>
      </c>
      <c r="S198" s="21">
        <v>0.846252</v>
      </c>
      <c r="T198">
        <f t="shared" si="10"/>
        <v>15.097</v>
      </c>
      <c r="U198">
        <f t="shared" si="11"/>
        <v>12.78278087</v>
      </c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0.728302</v>
      </c>
      <c r="H199" s="21">
        <v>31.8262</v>
      </c>
      <c r="I199" s="21">
        <v>-1.55975E-2</v>
      </c>
      <c r="J199" s="21">
        <v>189</v>
      </c>
      <c r="K199" s="21">
        <v>0.72744799999999998</v>
      </c>
      <c r="L199">
        <f t="shared" si="8"/>
        <v>15.5975</v>
      </c>
      <c r="M199">
        <f t="shared" si="9"/>
        <v>11.359690445</v>
      </c>
      <c r="N199" s="9"/>
      <c r="O199" s="21">
        <v>0.851746</v>
      </c>
      <c r="P199" s="21">
        <v>38.073799999999999</v>
      </c>
      <c r="Q199" s="21">
        <v>-1.5081799999999999E-2</v>
      </c>
      <c r="R199" s="21">
        <v>189</v>
      </c>
      <c r="S199" s="21">
        <v>0.85052499999999998</v>
      </c>
      <c r="T199">
        <f t="shared" si="10"/>
        <v>15.081799999999999</v>
      </c>
      <c r="U199">
        <f t="shared" si="11"/>
        <v>12.845862822799999</v>
      </c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0.72326699999999999</v>
      </c>
      <c r="H200" s="21">
        <v>31.836300000000001</v>
      </c>
      <c r="I200" s="21">
        <v>-1.5600599999999999E-2</v>
      </c>
      <c r="J200" s="21">
        <v>190</v>
      </c>
      <c r="K200" s="21">
        <v>0.72238199999999997</v>
      </c>
      <c r="L200">
        <f t="shared" si="8"/>
        <v>15.6006</v>
      </c>
      <c r="M200">
        <f t="shared" si="9"/>
        <v>11.2833991602</v>
      </c>
      <c r="N200" s="9"/>
      <c r="O200" s="21">
        <v>0.85678100000000001</v>
      </c>
      <c r="P200" s="21">
        <v>38.0839</v>
      </c>
      <c r="Q200" s="21">
        <v>-1.50574E-2</v>
      </c>
      <c r="R200" s="21">
        <v>190</v>
      </c>
      <c r="S200" s="21">
        <v>0.85571299999999995</v>
      </c>
      <c r="T200">
        <f t="shared" si="10"/>
        <v>15.057399999999999</v>
      </c>
      <c r="U200">
        <f t="shared" si="11"/>
        <v>12.9008942294</v>
      </c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0.71823099999999995</v>
      </c>
      <c r="H201" s="21">
        <v>31.846299999999999</v>
      </c>
      <c r="I201" s="21">
        <v>-1.5594500000000001E-2</v>
      </c>
      <c r="J201" s="21">
        <v>191</v>
      </c>
      <c r="K201" s="21">
        <v>0.71740700000000002</v>
      </c>
      <c r="L201">
        <f t="shared" si="8"/>
        <v>15.5945</v>
      </c>
      <c r="M201">
        <f t="shared" si="9"/>
        <v>11.2004533295</v>
      </c>
      <c r="N201" s="9"/>
      <c r="O201" s="21">
        <v>0.86181600000000003</v>
      </c>
      <c r="P201" s="21">
        <v>38.094000000000001</v>
      </c>
      <c r="Q201" s="21">
        <v>-1.5042099999999999E-2</v>
      </c>
      <c r="R201" s="21">
        <v>191</v>
      </c>
      <c r="S201" s="21">
        <v>0.86059600000000003</v>
      </c>
      <c r="T201">
        <f t="shared" si="10"/>
        <v>15.0421</v>
      </c>
      <c r="U201">
        <f t="shared" si="11"/>
        <v>12.9635224536</v>
      </c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0.71319600000000005</v>
      </c>
      <c r="H202" s="21">
        <v>31.856400000000001</v>
      </c>
      <c r="I202" s="21">
        <v>-1.55975E-2</v>
      </c>
      <c r="J202" s="21">
        <v>192</v>
      </c>
      <c r="K202" s="21">
        <v>0.712341</v>
      </c>
      <c r="L202">
        <f t="shared" si="8"/>
        <v>15.5975</v>
      </c>
      <c r="M202">
        <f t="shared" si="9"/>
        <v>11.124074610000001</v>
      </c>
      <c r="N202" s="9"/>
      <c r="O202" s="21">
        <v>0.86685199999999996</v>
      </c>
      <c r="P202" s="21">
        <v>38.103999999999999</v>
      </c>
      <c r="Q202" s="21">
        <v>-1.5008499999999999E-2</v>
      </c>
      <c r="R202" s="21">
        <v>192</v>
      </c>
      <c r="S202" s="21">
        <v>0.86517299999999997</v>
      </c>
      <c r="T202">
        <f t="shared" si="10"/>
        <v>15.0085</v>
      </c>
      <c r="U202">
        <f t="shared" si="11"/>
        <v>13.010148242</v>
      </c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0.70816000000000001</v>
      </c>
      <c r="H203" s="21">
        <v>31.866499999999998</v>
      </c>
      <c r="I203" s="21">
        <v>-1.56036E-2</v>
      </c>
      <c r="J203" s="21">
        <v>193</v>
      </c>
      <c r="K203" s="21">
        <v>0.70727499999999999</v>
      </c>
      <c r="L203">
        <f t="shared" si="8"/>
        <v>15.6036</v>
      </c>
      <c r="M203">
        <f t="shared" si="9"/>
        <v>11.049845376</v>
      </c>
      <c r="N203" s="9"/>
      <c r="O203" s="21">
        <v>0.87188699999999997</v>
      </c>
      <c r="P203" s="21">
        <v>38.114100000000001</v>
      </c>
      <c r="Q203" s="21">
        <v>-1.49841E-2</v>
      </c>
      <c r="R203" s="21">
        <v>193</v>
      </c>
      <c r="S203" s="21">
        <v>0.87097199999999997</v>
      </c>
      <c r="T203">
        <f t="shared" si="10"/>
        <v>14.9841</v>
      </c>
      <c r="U203">
        <f t="shared" si="11"/>
        <v>13.064441996699999</v>
      </c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0.703125</v>
      </c>
      <c r="H204" s="21">
        <v>31.8766</v>
      </c>
      <c r="I204" s="21">
        <v>-1.5609700000000001E-2</v>
      </c>
      <c r="J204" s="21">
        <v>194</v>
      </c>
      <c r="K204" s="21">
        <v>0.70223999999999998</v>
      </c>
      <c r="L204">
        <f t="shared" ref="L204:L267" si="12">-I204/$F$2*1000</f>
        <v>15.6097</v>
      </c>
      <c r="M204">
        <f t="shared" ref="M204:M267" si="13">L204*G204</f>
        <v>10.9755703125</v>
      </c>
      <c r="N204" s="9"/>
      <c r="O204" s="21">
        <v>0.87692300000000001</v>
      </c>
      <c r="P204" s="21">
        <v>38.124200000000002</v>
      </c>
      <c r="Q204" s="21">
        <v>-1.49658E-2</v>
      </c>
      <c r="R204" s="21">
        <v>194</v>
      </c>
      <c r="S204" s="21">
        <v>0.87616000000000005</v>
      </c>
      <c r="T204">
        <f t="shared" ref="T204:T267" si="14">-Q204/$F$2*1000</f>
        <v>14.9658</v>
      </c>
      <c r="U204">
        <f t="shared" ref="U204:U267" si="15">T204*O204</f>
        <v>13.123854233399999</v>
      </c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0.69808999999999999</v>
      </c>
      <c r="H205" s="21">
        <v>31.886600000000001</v>
      </c>
      <c r="I205" s="21">
        <v>-1.5606699999999999E-2</v>
      </c>
      <c r="J205" s="21">
        <v>195</v>
      </c>
      <c r="K205" s="21">
        <v>0.69714399999999999</v>
      </c>
      <c r="L205">
        <f t="shared" si="12"/>
        <v>15.6067</v>
      </c>
      <c r="M205">
        <f t="shared" si="13"/>
        <v>10.894881203000001</v>
      </c>
      <c r="N205" s="9"/>
      <c r="O205" s="21">
        <v>0.88195800000000002</v>
      </c>
      <c r="P205" s="21">
        <v>38.134300000000003</v>
      </c>
      <c r="Q205" s="21">
        <v>-1.4944499999999999E-2</v>
      </c>
      <c r="R205" s="21">
        <v>195</v>
      </c>
      <c r="S205" s="21">
        <v>0.88043199999999999</v>
      </c>
      <c r="T205">
        <f t="shared" si="14"/>
        <v>14.9445</v>
      </c>
      <c r="U205">
        <f t="shared" si="15"/>
        <v>13.180421331</v>
      </c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0.69305399999999995</v>
      </c>
      <c r="H206" s="21">
        <v>31.896699999999999</v>
      </c>
      <c r="I206" s="21">
        <v>-1.5606699999999999E-2</v>
      </c>
      <c r="J206" s="21">
        <v>196</v>
      </c>
      <c r="K206" s="21">
        <v>0.69232199999999999</v>
      </c>
      <c r="L206">
        <f t="shared" si="12"/>
        <v>15.6067</v>
      </c>
      <c r="M206">
        <f t="shared" si="13"/>
        <v>10.816285861799999</v>
      </c>
      <c r="N206" s="9"/>
      <c r="O206" s="21">
        <v>0.88699300000000003</v>
      </c>
      <c r="P206" s="21">
        <v>38.144300000000001</v>
      </c>
      <c r="Q206" s="21">
        <v>-1.49353E-2</v>
      </c>
      <c r="R206" s="21">
        <v>196</v>
      </c>
      <c r="S206" s="21">
        <v>0.88622999999999996</v>
      </c>
      <c r="T206">
        <f t="shared" si="14"/>
        <v>14.9353</v>
      </c>
      <c r="U206">
        <f t="shared" si="15"/>
        <v>13.247506552900001</v>
      </c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0.68801900000000005</v>
      </c>
      <c r="H207" s="21">
        <v>31.9068</v>
      </c>
      <c r="I207" s="21">
        <v>-1.5621899999999999E-2</v>
      </c>
      <c r="J207" s="21">
        <v>197</v>
      </c>
      <c r="K207" s="21">
        <v>0.687164</v>
      </c>
      <c r="L207">
        <f t="shared" si="12"/>
        <v>15.6219</v>
      </c>
      <c r="M207">
        <f t="shared" si="13"/>
        <v>10.7481640161</v>
      </c>
      <c r="N207" s="9"/>
      <c r="O207" s="21">
        <v>0.89202899999999996</v>
      </c>
      <c r="P207" s="21">
        <v>38.154400000000003</v>
      </c>
      <c r="Q207" s="21">
        <v>-1.49231E-2</v>
      </c>
      <c r="R207" s="21">
        <v>197</v>
      </c>
      <c r="S207" s="21">
        <v>0.89141800000000004</v>
      </c>
      <c r="T207">
        <f t="shared" si="14"/>
        <v>14.9231</v>
      </c>
      <c r="U207">
        <f t="shared" si="15"/>
        <v>13.311837969899999</v>
      </c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0.68298300000000001</v>
      </c>
      <c r="H208" s="21">
        <v>31.916799999999999</v>
      </c>
      <c r="I208" s="21">
        <v>-1.5646400000000001E-2</v>
      </c>
      <c r="J208" s="21">
        <v>198</v>
      </c>
      <c r="K208" s="21">
        <v>0.68209799999999998</v>
      </c>
      <c r="L208">
        <f t="shared" si="12"/>
        <v>15.646400000000002</v>
      </c>
      <c r="M208">
        <f t="shared" si="13"/>
        <v>10.686225211200002</v>
      </c>
      <c r="N208" s="9"/>
      <c r="O208" s="21">
        <v>0.89706399999999997</v>
      </c>
      <c r="P208" s="21">
        <v>38.164499999999997</v>
      </c>
      <c r="Q208" s="21">
        <v>-1.4913900000000001E-2</v>
      </c>
      <c r="R208" s="21">
        <v>198</v>
      </c>
      <c r="S208" s="21">
        <v>0.89599600000000001</v>
      </c>
      <c r="T208">
        <f t="shared" si="14"/>
        <v>14.9139</v>
      </c>
      <c r="U208">
        <f t="shared" si="15"/>
        <v>13.378722789599999</v>
      </c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0.677948</v>
      </c>
      <c r="H209" s="21">
        <v>31.9269</v>
      </c>
      <c r="I209" s="21">
        <v>-1.56647E-2</v>
      </c>
      <c r="J209" s="21">
        <v>199</v>
      </c>
      <c r="K209" s="21">
        <v>0.67712399999999995</v>
      </c>
      <c r="L209">
        <f t="shared" si="12"/>
        <v>15.6647</v>
      </c>
      <c r="M209">
        <f t="shared" si="13"/>
        <v>10.619852035599999</v>
      </c>
      <c r="N209" s="9"/>
      <c r="O209" s="21">
        <v>0.90210000000000001</v>
      </c>
      <c r="P209" s="21">
        <v>38.174500000000002</v>
      </c>
      <c r="Q209" s="21">
        <v>-1.4904799999999999E-2</v>
      </c>
      <c r="R209" s="21">
        <v>199</v>
      </c>
      <c r="S209" s="21">
        <v>0.90087899999999999</v>
      </c>
      <c r="T209">
        <f t="shared" si="14"/>
        <v>14.9048</v>
      </c>
      <c r="U209">
        <f t="shared" si="15"/>
        <v>13.445620079999999</v>
      </c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0.67291299999999998</v>
      </c>
      <c r="H210" s="21">
        <v>31.937000000000001</v>
      </c>
      <c r="I210" s="21">
        <v>-1.5673800000000002E-2</v>
      </c>
      <c r="J210" s="21">
        <v>200</v>
      </c>
      <c r="K210" s="21">
        <v>0.67205800000000004</v>
      </c>
      <c r="L210">
        <f t="shared" si="12"/>
        <v>15.673800000000002</v>
      </c>
      <c r="M210">
        <f t="shared" si="13"/>
        <v>10.5471037794</v>
      </c>
      <c r="N210" s="9"/>
      <c r="O210" s="21">
        <v>0.90713500000000002</v>
      </c>
      <c r="P210" s="21">
        <v>38.184600000000003</v>
      </c>
      <c r="Q210" s="21">
        <v>-1.48865E-2</v>
      </c>
      <c r="R210" s="21">
        <v>200</v>
      </c>
      <c r="S210" s="21">
        <v>0.90637199999999996</v>
      </c>
      <c r="T210">
        <f t="shared" si="14"/>
        <v>14.8865</v>
      </c>
      <c r="U210">
        <f t="shared" si="15"/>
        <v>13.504065177499999</v>
      </c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0.66787700000000005</v>
      </c>
      <c r="H211" s="21">
        <v>31.947099999999999</v>
      </c>
      <c r="I211" s="21">
        <v>-1.56799E-2</v>
      </c>
      <c r="J211" s="21">
        <v>201</v>
      </c>
      <c r="K211" s="21">
        <v>0.66702300000000003</v>
      </c>
      <c r="L211">
        <f t="shared" si="12"/>
        <v>15.6799</v>
      </c>
      <c r="M211">
        <f t="shared" si="13"/>
        <v>10.472244572300001</v>
      </c>
      <c r="N211" s="9"/>
      <c r="O211" s="21">
        <v>0.91217000000000004</v>
      </c>
      <c r="P211" s="21">
        <v>38.194699999999997</v>
      </c>
      <c r="Q211" s="21">
        <v>-1.4871199999999999E-2</v>
      </c>
      <c r="R211" s="21">
        <v>201</v>
      </c>
      <c r="S211" s="21">
        <v>0.91156000000000004</v>
      </c>
      <c r="T211">
        <f t="shared" si="14"/>
        <v>14.8712</v>
      </c>
      <c r="U211">
        <f t="shared" si="15"/>
        <v>13.565062504</v>
      </c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0.66284200000000004</v>
      </c>
      <c r="H212" s="21">
        <v>31.957100000000001</v>
      </c>
      <c r="I212" s="21">
        <v>-1.5676900000000001E-2</v>
      </c>
      <c r="J212" s="21">
        <v>202</v>
      </c>
      <c r="K212" s="21">
        <v>0.66192600000000001</v>
      </c>
      <c r="L212">
        <f t="shared" si="12"/>
        <v>15.6769</v>
      </c>
      <c r="M212">
        <f t="shared" si="13"/>
        <v>10.391307749800001</v>
      </c>
      <c r="N212" s="9"/>
      <c r="O212" s="21">
        <v>0.91720599999999997</v>
      </c>
      <c r="P212" s="21">
        <v>38.204799999999999</v>
      </c>
      <c r="Q212" s="21">
        <v>-1.4849899999999999E-2</v>
      </c>
      <c r="R212" s="21">
        <v>202</v>
      </c>
      <c r="S212" s="21">
        <v>0.91613800000000001</v>
      </c>
      <c r="T212">
        <f t="shared" si="14"/>
        <v>14.8499</v>
      </c>
      <c r="U212">
        <f t="shared" si="15"/>
        <v>13.620417379399999</v>
      </c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0.657806</v>
      </c>
      <c r="H213" s="21">
        <v>31.967199999999998</v>
      </c>
      <c r="I213" s="21">
        <v>-1.5689100000000001E-2</v>
      </c>
      <c r="J213" s="21">
        <v>203</v>
      </c>
      <c r="K213" s="21">
        <v>0.65686</v>
      </c>
      <c r="L213">
        <f t="shared" si="12"/>
        <v>15.689100000000002</v>
      </c>
      <c r="M213">
        <f t="shared" si="13"/>
        <v>10.320384114600001</v>
      </c>
      <c r="N213" s="9"/>
      <c r="O213" s="21">
        <v>0.92224099999999998</v>
      </c>
      <c r="P213" s="21">
        <v>38.214799999999997</v>
      </c>
      <c r="Q213" s="21">
        <v>-1.4822399999999999E-2</v>
      </c>
      <c r="R213" s="21">
        <v>203</v>
      </c>
      <c r="S213" s="21">
        <v>0.92102099999999998</v>
      </c>
      <c r="T213">
        <f t="shared" si="14"/>
        <v>14.8224</v>
      </c>
      <c r="U213">
        <f t="shared" si="15"/>
        <v>13.669824998399999</v>
      </c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0.65277099999999999</v>
      </c>
      <c r="H214" s="21">
        <v>31.9773</v>
      </c>
      <c r="I214" s="21">
        <v>-1.5698199999999999E-2</v>
      </c>
      <c r="J214" s="21">
        <v>204</v>
      </c>
      <c r="K214" s="21">
        <v>0.65188599999999997</v>
      </c>
      <c r="L214">
        <f t="shared" si="12"/>
        <v>15.698199999999998</v>
      </c>
      <c r="M214">
        <f t="shared" si="13"/>
        <v>10.247329712199999</v>
      </c>
      <c r="N214" s="9"/>
      <c r="O214" s="21">
        <v>0.92727700000000002</v>
      </c>
      <c r="P214" s="21">
        <v>38.224899999999998</v>
      </c>
      <c r="Q214" s="21">
        <v>-1.47919E-2</v>
      </c>
      <c r="R214" s="21">
        <v>204</v>
      </c>
      <c r="S214" s="21">
        <v>0.92620800000000003</v>
      </c>
      <c r="T214">
        <f t="shared" si="14"/>
        <v>14.7919</v>
      </c>
      <c r="U214">
        <f t="shared" si="15"/>
        <v>13.7161886563</v>
      </c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0.64773599999999998</v>
      </c>
      <c r="H215" s="21">
        <v>31.987300000000001</v>
      </c>
      <c r="I215" s="21">
        <v>-1.5695199999999999E-2</v>
      </c>
      <c r="J215" s="21">
        <v>205</v>
      </c>
      <c r="K215" s="21">
        <v>0.64688100000000004</v>
      </c>
      <c r="L215">
        <f t="shared" si="12"/>
        <v>15.6952</v>
      </c>
      <c r="M215">
        <f t="shared" si="13"/>
        <v>10.166346067199999</v>
      </c>
      <c r="N215" s="9"/>
      <c r="O215" s="21">
        <v>0.93231200000000003</v>
      </c>
      <c r="P215" s="21">
        <v>38.234999999999999</v>
      </c>
      <c r="Q215" s="21">
        <v>-1.47644E-2</v>
      </c>
      <c r="R215" s="21">
        <v>205</v>
      </c>
      <c r="S215" s="21">
        <v>0.930786</v>
      </c>
      <c r="T215">
        <f t="shared" si="14"/>
        <v>14.7644</v>
      </c>
      <c r="U215">
        <f t="shared" si="15"/>
        <v>13.765027292800001</v>
      </c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0.64270000000000005</v>
      </c>
      <c r="H216" s="21">
        <v>31.997399999999999</v>
      </c>
      <c r="I216" s="21">
        <v>-1.5698199999999999E-2</v>
      </c>
      <c r="J216" s="21">
        <v>206</v>
      </c>
      <c r="K216" s="21">
        <v>0.641876</v>
      </c>
      <c r="L216">
        <f t="shared" si="12"/>
        <v>15.698199999999998</v>
      </c>
      <c r="M216">
        <f t="shared" si="13"/>
        <v>10.089233139999999</v>
      </c>
      <c r="N216" s="9"/>
      <c r="O216" s="21">
        <v>0.93734700000000004</v>
      </c>
      <c r="P216" s="21">
        <v>38.244999999999997</v>
      </c>
      <c r="Q216" s="21">
        <v>-1.4767499999999999E-2</v>
      </c>
      <c r="R216" s="21">
        <v>206</v>
      </c>
      <c r="S216" s="21">
        <v>0.93627899999999997</v>
      </c>
      <c r="T216">
        <f t="shared" si="14"/>
        <v>14.7675</v>
      </c>
      <c r="U216">
        <f t="shared" si="15"/>
        <v>13.842271822500001</v>
      </c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0.63766500000000004</v>
      </c>
      <c r="H217" s="21">
        <v>32.0075</v>
      </c>
      <c r="I217" s="21">
        <v>-1.5704300000000001E-2</v>
      </c>
      <c r="J217" s="21">
        <v>207</v>
      </c>
      <c r="K217" s="21">
        <v>0.63678000000000001</v>
      </c>
      <c r="L217">
        <f t="shared" si="12"/>
        <v>15.704300000000002</v>
      </c>
      <c r="M217">
        <f t="shared" si="13"/>
        <v>10.014082459500001</v>
      </c>
      <c r="N217" s="9"/>
      <c r="O217" s="21">
        <v>0.94238299999999997</v>
      </c>
      <c r="P217" s="21">
        <v>38.255099999999999</v>
      </c>
      <c r="Q217" s="21">
        <v>-1.47583E-2</v>
      </c>
      <c r="R217" s="21">
        <v>207</v>
      </c>
      <c r="S217" s="21">
        <v>0.94146700000000005</v>
      </c>
      <c r="T217">
        <f t="shared" si="14"/>
        <v>14.7583</v>
      </c>
      <c r="U217">
        <f t="shared" si="15"/>
        <v>13.9079710289</v>
      </c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0.632629</v>
      </c>
      <c r="H218" s="21">
        <v>32.017499999999998</v>
      </c>
      <c r="I218" s="21">
        <v>-1.5713499999999998E-2</v>
      </c>
      <c r="J218" s="21">
        <v>208</v>
      </c>
      <c r="K218" s="21">
        <v>0.63180499999999995</v>
      </c>
      <c r="L218">
        <f t="shared" si="12"/>
        <v>15.713499999999998</v>
      </c>
      <c r="M218">
        <f t="shared" si="13"/>
        <v>9.9408157914999986</v>
      </c>
      <c r="N218" s="9"/>
      <c r="O218" s="21">
        <v>0.94741799999999998</v>
      </c>
      <c r="P218" s="21">
        <v>38.2652</v>
      </c>
      <c r="Q218" s="21">
        <v>-1.4736900000000001E-2</v>
      </c>
      <c r="R218" s="21">
        <v>208</v>
      </c>
      <c r="S218" s="21">
        <v>0.94574000000000003</v>
      </c>
      <c r="T218">
        <f t="shared" si="14"/>
        <v>14.7369</v>
      </c>
      <c r="U218">
        <f t="shared" si="15"/>
        <v>13.9620043242</v>
      </c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0.62759399999999999</v>
      </c>
      <c r="H219" s="21">
        <v>32.0276</v>
      </c>
      <c r="I219" s="21">
        <v>-1.57074E-2</v>
      </c>
      <c r="J219" s="21">
        <v>209</v>
      </c>
      <c r="K219" s="21">
        <v>0.62680100000000005</v>
      </c>
      <c r="L219">
        <f t="shared" si="12"/>
        <v>15.7074</v>
      </c>
      <c r="M219">
        <f t="shared" si="13"/>
        <v>9.8578699955999998</v>
      </c>
      <c r="N219" s="9"/>
      <c r="O219" s="21">
        <v>0.95245400000000002</v>
      </c>
      <c r="P219" s="21">
        <v>38.275300000000001</v>
      </c>
      <c r="Q219" s="21">
        <v>-1.4715600000000001E-2</v>
      </c>
      <c r="R219" s="21">
        <v>209</v>
      </c>
      <c r="S219" s="21">
        <v>0.951233</v>
      </c>
      <c r="T219">
        <f t="shared" si="14"/>
        <v>14.7156</v>
      </c>
      <c r="U219">
        <f t="shared" si="15"/>
        <v>14.015932082400001</v>
      </c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0.62255899999999997</v>
      </c>
      <c r="H220" s="21">
        <v>32.037700000000001</v>
      </c>
      <c r="I220" s="21">
        <v>-1.5701300000000001E-2</v>
      </c>
      <c r="J220" s="21">
        <v>210</v>
      </c>
      <c r="K220" s="21">
        <v>0.62173500000000004</v>
      </c>
      <c r="L220">
        <f t="shared" si="12"/>
        <v>15.701300000000002</v>
      </c>
      <c r="M220">
        <f t="shared" si="13"/>
        <v>9.7749856267000013</v>
      </c>
      <c r="N220" s="9"/>
      <c r="O220" s="21">
        <v>0.95748900000000003</v>
      </c>
      <c r="P220" s="21">
        <v>38.285299999999999</v>
      </c>
      <c r="Q220" s="21">
        <v>-1.47034E-2</v>
      </c>
      <c r="R220" s="21">
        <v>210</v>
      </c>
      <c r="S220" s="21">
        <v>0.95672599999999997</v>
      </c>
      <c r="T220">
        <f t="shared" si="14"/>
        <v>14.7034</v>
      </c>
      <c r="U220">
        <f t="shared" si="15"/>
        <v>14.078343762600001</v>
      </c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0.61752300000000004</v>
      </c>
      <c r="H221" s="21">
        <v>32.047800000000002</v>
      </c>
      <c r="I221" s="21">
        <v>-1.5704300000000001E-2</v>
      </c>
      <c r="J221" s="21">
        <v>211</v>
      </c>
      <c r="K221" s="21">
        <v>0.61651599999999995</v>
      </c>
      <c r="L221">
        <f t="shared" si="12"/>
        <v>15.704300000000002</v>
      </c>
      <c r="M221">
        <f t="shared" si="13"/>
        <v>9.6977664489000013</v>
      </c>
      <c r="N221" s="9"/>
      <c r="O221" s="21">
        <v>0.96252400000000005</v>
      </c>
      <c r="P221" s="21">
        <v>38.295400000000001</v>
      </c>
      <c r="Q221" s="21">
        <v>-1.4678999999999999E-2</v>
      </c>
      <c r="R221" s="21">
        <v>211</v>
      </c>
      <c r="S221" s="21">
        <v>0.96130400000000005</v>
      </c>
      <c r="T221">
        <f t="shared" si="14"/>
        <v>14.678999999999998</v>
      </c>
      <c r="U221">
        <f t="shared" si="15"/>
        <v>14.128889795999999</v>
      </c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0.61248800000000003</v>
      </c>
      <c r="H222" s="21">
        <v>32.0578</v>
      </c>
      <c r="I222" s="21">
        <v>-1.5716600000000001E-2</v>
      </c>
      <c r="J222" s="21">
        <v>212</v>
      </c>
      <c r="K222" s="21">
        <v>0.61166399999999999</v>
      </c>
      <c r="L222">
        <f t="shared" si="12"/>
        <v>15.716600000000001</v>
      </c>
      <c r="M222">
        <f t="shared" si="13"/>
        <v>9.626228900800001</v>
      </c>
      <c r="N222" s="9"/>
      <c r="O222" s="21">
        <v>0.96755999999999998</v>
      </c>
      <c r="P222" s="21">
        <v>38.305500000000002</v>
      </c>
      <c r="Q222" s="21">
        <v>-1.4639299999999999E-2</v>
      </c>
      <c r="R222" s="21">
        <v>212</v>
      </c>
      <c r="S222" s="21">
        <v>0.96618700000000002</v>
      </c>
      <c r="T222">
        <f t="shared" si="14"/>
        <v>14.639299999999999</v>
      </c>
      <c r="U222">
        <f t="shared" si="15"/>
        <v>14.164401107999998</v>
      </c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0.60745199999999999</v>
      </c>
      <c r="H223" s="21">
        <v>32.067900000000002</v>
      </c>
      <c r="I223" s="21">
        <v>-1.5744000000000001E-2</v>
      </c>
      <c r="J223" s="21">
        <v>213</v>
      </c>
      <c r="K223" s="21">
        <v>0.60659799999999997</v>
      </c>
      <c r="L223">
        <f t="shared" si="12"/>
        <v>15.744000000000002</v>
      </c>
      <c r="M223">
        <f t="shared" si="13"/>
        <v>9.5637242880000013</v>
      </c>
      <c r="N223" s="9"/>
      <c r="O223" s="21">
        <v>0.97259499999999999</v>
      </c>
      <c r="P223" s="21">
        <v>38.3155</v>
      </c>
      <c r="Q223" s="21">
        <v>-1.4611799999999999E-2</v>
      </c>
      <c r="R223" s="21">
        <v>213</v>
      </c>
      <c r="S223" s="21">
        <v>0.97106899999999996</v>
      </c>
      <c r="T223">
        <f t="shared" si="14"/>
        <v>14.611799999999999</v>
      </c>
      <c r="U223">
        <f t="shared" si="15"/>
        <v>14.211363620999999</v>
      </c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0.60241699999999998</v>
      </c>
      <c r="H224" s="21">
        <v>32.078000000000003</v>
      </c>
      <c r="I224" s="21">
        <v>-1.57593E-2</v>
      </c>
      <c r="J224" s="21">
        <v>214</v>
      </c>
      <c r="K224" s="21">
        <v>0.60156299999999996</v>
      </c>
      <c r="L224">
        <f t="shared" si="12"/>
        <v>15.7593</v>
      </c>
      <c r="M224">
        <f t="shared" si="13"/>
        <v>9.4936702280999992</v>
      </c>
      <c r="N224" s="9"/>
      <c r="O224" s="21">
        <v>0.97763100000000003</v>
      </c>
      <c r="P224" s="21">
        <v>38.325600000000001</v>
      </c>
      <c r="Q224" s="21">
        <v>-1.4593500000000001E-2</v>
      </c>
      <c r="R224" s="21">
        <v>214</v>
      </c>
      <c r="S224" s="21">
        <v>0.97625700000000004</v>
      </c>
      <c r="T224">
        <f t="shared" si="14"/>
        <v>14.593500000000001</v>
      </c>
      <c r="U224">
        <f t="shared" si="15"/>
        <v>14.2670579985</v>
      </c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0.59738199999999997</v>
      </c>
      <c r="H225" s="21">
        <v>32.088000000000001</v>
      </c>
      <c r="I225" s="21">
        <v>-1.5771500000000001E-2</v>
      </c>
      <c r="J225" s="21">
        <v>215</v>
      </c>
      <c r="K225" s="21">
        <v>0.59658800000000001</v>
      </c>
      <c r="L225">
        <f t="shared" si="12"/>
        <v>15.771500000000001</v>
      </c>
      <c r="M225">
        <f t="shared" si="13"/>
        <v>9.421610213000001</v>
      </c>
      <c r="N225" s="9"/>
      <c r="O225" s="21">
        <v>0.98266600000000004</v>
      </c>
      <c r="P225" s="21">
        <v>38.335700000000003</v>
      </c>
      <c r="Q225" s="21">
        <v>-1.4578199999999999E-2</v>
      </c>
      <c r="R225" s="21">
        <v>215</v>
      </c>
      <c r="S225" s="21">
        <v>0.98175000000000001</v>
      </c>
      <c r="T225">
        <f t="shared" si="14"/>
        <v>14.578199999999999</v>
      </c>
      <c r="U225">
        <f t="shared" si="15"/>
        <v>14.3255014812</v>
      </c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0.59234600000000004</v>
      </c>
      <c r="H226" s="21">
        <v>32.098100000000002</v>
      </c>
      <c r="I226" s="21">
        <v>-1.5783700000000001E-2</v>
      </c>
      <c r="J226" s="21">
        <v>216</v>
      </c>
      <c r="K226" s="21">
        <v>0.59149200000000002</v>
      </c>
      <c r="L226">
        <f t="shared" si="12"/>
        <v>15.783700000000001</v>
      </c>
      <c r="M226">
        <f t="shared" si="13"/>
        <v>9.3494115602000019</v>
      </c>
      <c r="N226" s="9"/>
      <c r="O226" s="21">
        <v>0.98770100000000005</v>
      </c>
      <c r="P226" s="21">
        <v>38.345700000000001</v>
      </c>
      <c r="Q226" s="21">
        <v>-1.4550799999999999E-2</v>
      </c>
      <c r="R226" s="21">
        <v>216</v>
      </c>
      <c r="S226" s="21">
        <v>0.98693799999999998</v>
      </c>
      <c r="T226">
        <f t="shared" si="14"/>
        <v>14.550799999999999</v>
      </c>
      <c r="U226">
        <f t="shared" si="15"/>
        <v>14.3718397108</v>
      </c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0.58731100000000003</v>
      </c>
      <c r="H227" s="21">
        <v>32.108199999999997</v>
      </c>
      <c r="I227" s="21">
        <v>-1.5795900000000002E-2</v>
      </c>
      <c r="J227" s="21">
        <v>217</v>
      </c>
      <c r="K227" s="21">
        <v>0.58651699999999996</v>
      </c>
      <c r="L227">
        <f t="shared" si="12"/>
        <v>15.795900000000001</v>
      </c>
      <c r="M227">
        <f t="shared" si="13"/>
        <v>9.2771058249000014</v>
      </c>
      <c r="N227" s="9"/>
      <c r="O227" s="21">
        <v>0.99273699999999998</v>
      </c>
      <c r="P227" s="21">
        <v>38.355800000000002</v>
      </c>
      <c r="Q227" s="21">
        <v>-1.45325E-2</v>
      </c>
      <c r="R227" s="21">
        <v>217</v>
      </c>
      <c r="S227" s="21">
        <v>0.99243199999999998</v>
      </c>
      <c r="T227">
        <f t="shared" si="14"/>
        <v>14.532500000000001</v>
      </c>
      <c r="U227">
        <f t="shared" si="15"/>
        <v>14.4269504525</v>
      </c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0.58227499999999999</v>
      </c>
      <c r="H228" s="21">
        <v>32.118299999999998</v>
      </c>
      <c r="I228" s="21">
        <v>-1.5802E-2</v>
      </c>
      <c r="J228" s="21">
        <v>218</v>
      </c>
      <c r="K228" s="21">
        <v>0.58129900000000001</v>
      </c>
      <c r="L228">
        <f t="shared" si="12"/>
        <v>15.802</v>
      </c>
      <c r="M228">
        <f t="shared" si="13"/>
        <v>9.20110955</v>
      </c>
      <c r="N228" s="9"/>
      <c r="O228" s="21">
        <v>0.99777199999999999</v>
      </c>
      <c r="P228" s="21">
        <v>38.365900000000003</v>
      </c>
      <c r="Q228" s="21">
        <v>-1.45142E-2</v>
      </c>
      <c r="R228" s="21">
        <v>218</v>
      </c>
      <c r="S228" s="21">
        <v>0.99670400000000003</v>
      </c>
      <c r="T228">
        <f t="shared" si="14"/>
        <v>14.514199999999999</v>
      </c>
      <c r="U228">
        <f t="shared" si="15"/>
        <v>14.481862362399999</v>
      </c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0.57723999999999998</v>
      </c>
      <c r="H229" s="21">
        <v>32.128300000000003</v>
      </c>
      <c r="I229" s="21">
        <v>-1.5811200000000001E-2</v>
      </c>
      <c r="J229" s="21">
        <v>219</v>
      </c>
      <c r="K229" s="21">
        <v>0.57632399999999995</v>
      </c>
      <c r="L229">
        <f t="shared" si="12"/>
        <v>15.811200000000001</v>
      </c>
      <c r="M229">
        <f t="shared" si="13"/>
        <v>9.1268570879999995</v>
      </c>
      <c r="N229" s="9"/>
      <c r="O229" s="21">
        <v>1.00281</v>
      </c>
      <c r="P229" s="21">
        <v>38.375999999999998</v>
      </c>
      <c r="Q229" s="21">
        <v>-1.44989E-2</v>
      </c>
      <c r="R229" s="21">
        <v>219</v>
      </c>
      <c r="S229" s="21">
        <v>1.0022</v>
      </c>
      <c r="T229">
        <f t="shared" si="14"/>
        <v>14.498900000000001</v>
      </c>
      <c r="U229">
        <f t="shared" si="15"/>
        <v>14.539641909</v>
      </c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0.57220499999999996</v>
      </c>
      <c r="H230" s="21">
        <v>32.138399999999997</v>
      </c>
      <c r="I230" s="21">
        <v>-1.58142E-2</v>
      </c>
      <c r="J230" s="21">
        <v>220</v>
      </c>
      <c r="K230" s="21">
        <v>0.57125899999999996</v>
      </c>
      <c r="L230">
        <f t="shared" si="12"/>
        <v>15.8142</v>
      </c>
      <c r="M230">
        <f t="shared" si="13"/>
        <v>9.0489643109999989</v>
      </c>
      <c r="N230" s="9"/>
      <c r="O230" s="21">
        <v>1.0078400000000001</v>
      </c>
      <c r="P230" s="21">
        <v>38.386000000000003</v>
      </c>
      <c r="Q230" s="21">
        <v>-1.44745E-2</v>
      </c>
      <c r="R230" s="21">
        <v>220</v>
      </c>
      <c r="S230" s="21">
        <v>1.00739</v>
      </c>
      <c r="T230">
        <f t="shared" si="14"/>
        <v>14.474499999999999</v>
      </c>
      <c r="U230">
        <f t="shared" si="15"/>
        <v>14.587980079999999</v>
      </c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0.56716900000000003</v>
      </c>
      <c r="H231" s="21">
        <v>32.148499999999999</v>
      </c>
      <c r="I231" s="21">
        <v>-1.5808099999999999E-2</v>
      </c>
      <c r="J231" s="21">
        <v>221</v>
      </c>
      <c r="K231" s="21">
        <v>0.56625400000000004</v>
      </c>
      <c r="L231">
        <f t="shared" si="12"/>
        <v>15.808099999999998</v>
      </c>
      <c r="M231">
        <f t="shared" si="13"/>
        <v>8.965864268899999</v>
      </c>
      <c r="N231" s="9"/>
      <c r="O231" s="21">
        <v>1.01288</v>
      </c>
      <c r="P231" s="21">
        <v>38.396099999999997</v>
      </c>
      <c r="Q231" s="21">
        <v>-1.44501E-2</v>
      </c>
      <c r="R231" s="21">
        <v>221</v>
      </c>
      <c r="S231" s="21">
        <v>1.01166</v>
      </c>
      <c r="T231">
        <f t="shared" si="14"/>
        <v>14.450100000000001</v>
      </c>
      <c r="U231">
        <f t="shared" si="15"/>
        <v>14.636217288000001</v>
      </c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0.56213400000000002</v>
      </c>
      <c r="H232" s="21">
        <v>32.158499999999997</v>
      </c>
      <c r="I232" s="21">
        <v>-1.5823400000000001E-2</v>
      </c>
      <c r="J232" s="21">
        <v>222</v>
      </c>
      <c r="K232" s="21">
        <v>0.56133999999999995</v>
      </c>
      <c r="L232">
        <f t="shared" si="12"/>
        <v>15.823400000000001</v>
      </c>
      <c r="M232">
        <f t="shared" si="13"/>
        <v>8.8948711356000008</v>
      </c>
      <c r="N232" s="9"/>
      <c r="O232" s="21">
        <v>1.0179100000000001</v>
      </c>
      <c r="P232" s="21">
        <v>38.406199999999998</v>
      </c>
      <c r="Q232" s="21">
        <v>-1.44318E-2</v>
      </c>
      <c r="R232" s="21">
        <v>222</v>
      </c>
      <c r="S232" s="21">
        <v>1.01685</v>
      </c>
      <c r="T232">
        <f t="shared" si="14"/>
        <v>14.431799999999999</v>
      </c>
      <c r="U232">
        <f t="shared" si="15"/>
        <v>14.690273538</v>
      </c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0.55709799999999998</v>
      </c>
      <c r="H233" s="21">
        <v>32.168599999999998</v>
      </c>
      <c r="I233" s="21">
        <v>-1.5820299999999999E-2</v>
      </c>
      <c r="J233" s="21">
        <v>223</v>
      </c>
      <c r="K233" s="21">
        <v>0.55624399999999996</v>
      </c>
      <c r="L233">
        <f t="shared" si="12"/>
        <v>15.8203</v>
      </c>
      <c r="M233">
        <f t="shared" si="13"/>
        <v>8.8134574893999993</v>
      </c>
      <c r="N233" s="9"/>
      <c r="O233" s="21">
        <v>1.02295</v>
      </c>
      <c r="P233" s="21">
        <v>38.416200000000003</v>
      </c>
      <c r="Q233" s="21">
        <v>-1.44104E-2</v>
      </c>
      <c r="R233" s="21">
        <v>223</v>
      </c>
      <c r="S233" s="21">
        <v>1.02142</v>
      </c>
      <c r="T233">
        <f t="shared" si="14"/>
        <v>14.410400000000001</v>
      </c>
      <c r="U233">
        <f t="shared" si="15"/>
        <v>14.741118680000001</v>
      </c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0.55206299999999997</v>
      </c>
      <c r="H234" s="21">
        <v>32.178699999999999</v>
      </c>
      <c r="I234" s="21">
        <v>-1.5823400000000001E-2</v>
      </c>
      <c r="J234" s="21">
        <v>224</v>
      </c>
      <c r="K234" s="21">
        <v>0.55127000000000004</v>
      </c>
      <c r="L234">
        <f t="shared" si="12"/>
        <v>15.823400000000001</v>
      </c>
      <c r="M234">
        <f t="shared" si="13"/>
        <v>8.7355136741999999</v>
      </c>
      <c r="N234" s="9"/>
      <c r="O234" s="21">
        <v>1.0279799999999999</v>
      </c>
      <c r="P234" s="21">
        <v>38.426299999999998</v>
      </c>
      <c r="Q234" s="21">
        <v>-1.4385999999999999E-2</v>
      </c>
      <c r="R234" s="21">
        <v>224</v>
      </c>
      <c r="S234" s="21">
        <v>1.0269200000000001</v>
      </c>
      <c r="T234">
        <f t="shared" si="14"/>
        <v>14.385999999999999</v>
      </c>
      <c r="U234">
        <f t="shared" si="15"/>
        <v>14.788520279999998</v>
      </c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0.54702799999999996</v>
      </c>
      <c r="H235" s="21">
        <v>32.188800000000001</v>
      </c>
      <c r="I235" s="21">
        <v>-1.5823400000000001E-2</v>
      </c>
      <c r="J235" s="21">
        <v>225</v>
      </c>
      <c r="K235" s="21">
        <v>0.54614300000000005</v>
      </c>
      <c r="L235">
        <f t="shared" si="12"/>
        <v>15.823400000000001</v>
      </c>
      <c r="M235">
        <f t="shared" si="13"/>
        <v>8.6558428551999995</v>
      </c>
      <c r="N235" s="9"/>
      <c r="O235" s="21">
        <v>1.03302</v>
      </c>
      <c r="P235" s="21">
        <v>38.436399999999999</v>
      </c>
      <c r="Q235" s="21">
        <v>-1.43646E-2</v>
      </c>
      <c r="R235" s="21">
        <v>225</v>
      </c>
      <c r="S235" s="21">
        <v>1.03241</v>
      </c>
      <c r="T235">
        <f t="shared" si="14"/>
        <v>14.364599999999999</v>
      </c>
      <c r="U235">
        <f t="shared" si="15"/>
        <v>14.838919091999999</v>
      </c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0.54199200000000003</v>
      </c>
      <c r="H236" s="21">
        <v>32.198799999999999</v>
      </c>
      <c r="I236" s="21">
        <v>-1.5817299999999999E-2</v>
      </c>
      <c r="J236" s="21">
        <v>226</v>
      </c>
      <c r="K236" s="21">
        <v>0.54104600000000003</v>
      </c>
      <c r="L236">
        <f t="shared" si="12"/>
        <v>15.817299999999999</v>
      </c>
      <c r="M236">
        <f t="shared" si="13"/>
        <v>8.5728500616000005</v>
      </c>
      <c r="N236" s="9"/>
      <c r="O236" s="21">
        <v>1.03806</v>
      </c>
      <c r="P236" s="21">
        <v>38.4465</v>
      </c>
      <c r="Q236" s="21">
        <v>-1.4328E-2</v>
      </c>
      <c r="R236" s="21">
        <v>226</v>
      </c>
      <c r="S236" s="21">
        <v>1.0363800000000001</v>
      </c>
      <c r="T236">
        <f t="shared" si="14"/>
        <v>14.328000000000001</v>
      </c>
      <c r="U236">
        <f t="shared" si="15"/>
        <v>14.87332368</v>
      </c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0.53695700000000002</v>
      </c>
      <c r="H237" s="21">
        <v>32.2089</v>
      </c>
      <c r="I237" s="21">
        <v>-1.5808099999999999E-2</v>
      </c>
      <c r="J237" s="21">
        <v>227</v>
      </c>
      <c r="K237" s="21">
        <v>0.53607199999999999</v>
      </c>
      <c r="L237">
        <f t="shared" si="12"/>
        <v>15.808099999999998</v>
      </c>
      <c r="M237">
        <f t="shared" si="13"/>
        <v>8.4882699516999995</v>
      </c>
      <c r="N237" s="9"/>
      <c r="O237" s="21">
        <v>1.0430900000000001</v>
      </c>
      <c r="P237" s="21">
        <v>38.456499999999998</v>
      </c>
      <c r="Q237" s="21">
        <v>-1.43036E-2</v>
      </c>
      <c r="R237" s="21">
        <v>227</v>
      </c>
      <c r="S237" s="21">
        <v>1.0418700000000001</v>
      </c>
      <c r="T237">
        <f t="shared" si="14"/>
        <v>14.303599999999999</v>
      </c>
      <c r="U237">
        <f t="shared" si="15"/>
        <v>14.919942124</v>
      </c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0.53192099999999998</v>
      </c>
      <c r="H238" s="21">
        <v>32.219000000000001</v>
      </c>
      <c r="I238" s="21">
        <v>-1.58142E-2</v>
      </c>
      <c r="J238" s="21">
        <v>228</v>
      </c>
      <c r="K238" s="21">
        <v>0.53103599999999995</v>
      </c>
      <c r="L238">
        <f t="shared" si="12"/>
        <v>15.8142</v>
      </c>
      <c r="M238">
        <f t="shared" si="13"/>
        <v>8.4119050782000002</v>
      </c>
      <c r="N238" s="9"/>
      <c r="O238" s="21">
        <v>1.04813</v>
      </c>
      <c r="P238" s="21">
        <v>38.4666</v>
      </c>
      <c r="Q238" s="21">
        <v>-1.4285300000000001E-2</v>
      </c>
      <c r="R238" s="21">
        <v>228</v>
      </c>
      <c r="S238" s="21">
        <v>1.0470600000000001</v>
      </c>
      <c r="T238">
        <f t="shared" si="14"/>
        <v>14.285300000000001</v>
      </c>
      <c r="U238">
        <f t="shared" si="15"/>
        <v>14.972851489000002</v>
      </c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0.52688599999999997</v>
      </c>
      <c r="H239" s="21">
        <v>32.228999999999999</v>
      </c>
      <c r="I239" s="21">
        <v>-1.5820299999999999E-2</v>
      </c>
      <c r="J239" s="21">
        <v>229</v>
      </c>
      <c r="K239" s="21">
        <v>0.52603100000000003</v>
      </c>
      <c r="L239">
        <f t="shared" si="12"/>
        <v>15.8203</v>
      </c>
      <c r="M239">
        <f t="shared" si="13"/>
        <v>8.3354945857999994</v>
      </c>
      <c r="N239" s="9"/>
      <c r="O239" s="21">
        <v>1.0531600000000001</v>
      </c>
      <c r="P239" s="21">
        <v>38.476700000000001</v>
      </c>
      <c r="Q239" s="21">
        <v>-1.42548E-2</v>
      </c>
      <c r="R239" s="21">
        <v>229</v>
      </c>
      <c r="S239" s="21">
        <v>1.0522499999999999</v>
      </c>
      <c r="T239">
        <f t="shared" si="14"/>
        <v>14.254799999999999</v>
      </c>
      <c r="U239">
        <f t="shared" si="15"/>
        <v>15.012585168000001</v>
      </c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0.52185099999999995</v>
      </c>
      <c r="H240" s="21">
        <v>32.239100000000001</v>
      </c>
      <c r="I240" s="21">
        <v>-1.5823400000000001E-2</v>
      </c>
      <c r="J240" s="21">
        <v>230</v>
      </c>
      <c r="K240" s="21">
        <v>0.52102700000000002</v>
      </c>
      <c r="L240">
        <f t="shared" si="12"/>
        <v>15.823400000000001</v>
      </c>
      <c r="M240">
        <f t="shared" si="13"/>
        <v>8.2574571133999992</v>
      </c>
      <c r="N240" s="9"/>
      <c r="O240" s="21">
        <v>1.0582</v>
      </c>
      <c r="P240" s="21">
        <v>38.486699999999999</v>
      </c>
      <c r="Q240" s="21">
        <v>-1.42212E-2</v>
      </c>
      <c r="R240" s="21">
        <v>230</v>
      </c>
      <c r="S240" s="21">
        <v>1.0571299999999999</v>
      </c>
      <c r="T240">
        <f t="shared" si="14"/>
        <v>14.2212</v>
      </c>
      <c r="U240">
        <f t="shared" si="15"/>
        <v>15.048873840000001</v>
      </c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0.51681500000000002</v>
      </c>
      <c r="H241" s="21">
        <v>32.249200000000002</v>
      </c>
      <c r="I241" s="21">
        <v>-1.5826400000000001E-2</v>
      </c>
      <c r="J241" s="21">
        <v>231</v>
      </c>
      <c r="K241" s="21">
        <v>0.51605199999999996</v>
      </c>
      <c r="L241">
        <f t="shared" si="12"/>
        <v>15.826400000000001</v>
      </c>
      <c r="M241">
        <f t="shared" si="13"/>
        <v>8.1793209160000018</v>
      </c>
      <c r="N241" s="9"/>
      <c r="O241" s="21">
        <v>1.0632299999999999</v>
      </c>
      <c r="P241" s="21">
        <v>38.4968</v>
      </c>
      <c r="Q241" s="21">
        <v>-1.4190700000000001E-2</v>
      </c>
      <c r="R241" s="21">
        <v>231</v>
      </c>
      <c r="S241" s="21">
        <v>1.0623199999999999</v>
      </c>
      <c r="T241">
        <f t="shared" si="14"/>
        <v>14.1907</v>
      </c>
      <c r="U241">
        <f t="shared" si="15"/>
        <v>15.087977960999998</v>
      </c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0.51178000000000001</v>
      </c>
      <c r="H242" s="21">
        <v>32.259300000000003</v>
      </c>
      <c r="I242" s="21">
        <v>-1.5823400000000001E-2</v>
      </c>
      <c r="J242" s="21">
        <v>232</v>
      </c>
      <c r="K242" s="21">
        <v>0.51083400000000001</v>
      </c>
      <c r="L242">
        <f t="shared" si="12"/>
        <v>15.823400000000001</v>
      </c>
      <c r="M242">
        <f t="shared" si="13"/>
        <v>8.0980996520000001</v>
      </c>
      <c r="N242" s="9"/>
      <c r="O242" s="21">
        <v>1.0682700000000001</v>
      </c>
      <c r="P242" s="21">
        <v>38.506900000000002</v>
      </c>
      <c r="Q242" s="21">
        <v>-1.4163200000000001E-2</v>
      </c>
      <c r="R242" s="21">
        <v>232</v>
      </c>
      <c r="S242" s="21">
        <v>1.0671999999999999</v>
      </c>
      <c r="T242">
        <f t="shared" si="14"/>
        <v>14.163200000000002</v>
      </c>
      <c r="U242">
        <f t="shared" si="15"/>
        <v>15.130121664000002</v>
      </c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0.50674399999999997</v>
      </c>
      <c r="H243" s="21">
        <v>32.269300000000001</v>
      </c>
      <c r="I243" s="21">
        <v>-1.5826400000000001E-2</v>
      </c>
      <c r="J243" s="21">
        <v>233</v>
      </c>
      <c r="K243" s="21">
        <v>0.50595100000000004</v>
      </c>
      <c r="L243">
        <f t="shared" si="12"/>
        <v>15.826400000000001</v>
      </c>
      <c r="M243">
        <f t="shared" si="13"/>
        <v>8.0199332416000004</v>
      </c>
      <c r="N243" s="9"/>
      <c r="O243" s="21">
        <v>1.0732999999999999</v>
      </c>
      <c r="P243" s="21">
        <v>38.517000000000003</v>
      </c>
      <c r="Q243" s="21">
        <v>-1.41418E-2</v>
      </c>
      <c r="R243" s="21">
        <v>233</v>
      </c>
      <c r="S243" s="21">
        <v>1.0720799999999999</v>
      </c>
      <c r="T243">
        <f t="shared" si="14"/>
        <v>14.1418</v>
      </c>
      <c r="U243">
        <f t="shared" si="15"/>
        <v>15.178393939999999</v>
      </c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0.50170899999999996</v>
      </c>
      <c r="H244" s="21">
        <v>32.279400000000003</v>
      </c>
      <c r="I244" s="21">
        <v>-1.5826400000000001E-2</v>
      </c>
      <c r="J244" s="21">
        <v>234</v>
      </c>
      <c r="K244" s="21">
        <v>0.50079300000000004</v>
      </c>
      <c r="L244">
        <f t="shared" si="12"/>
        <v>15.826400000000001</v>
      </c>
      <c r="M244">
        <f t="shared" si="13"/>
        <v>7.9402473175999999</v>
      </c>
      <c r="N244" s="9"/>
      <c r="O244" s="21">
        <v>1.0783400000000001</v>
      </c>
      <c r="P244" s="21">
        <v>38.527000000000001</v>
      </c>
      <c r="Q244" s="21">
        <v>-1.4108300000000001E-2</v>
      </c>
      <c r="R244" s="21">
        <v>234</v>
      </c>
      <c r="S244" s="21">
        <v>1.07697</v>
      </c>
      <c r="T244">
        <f t="shared" si="14"/>
        <v>14.1083</v>
      </c>
      <c r="U244">
        <f t="shared" si="15"/>
        <v>15.213544222000001</v>
      </c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0.496674</v>
      </c>
      <c r="H245" s="21">
        <v>32.289499999999997</v>
      </c>
      <c r="I245" s="21">
        <v>-1.5835599999999998E-2</v>
      </c>
      <c r="J245" s="21">
        <v>235</v>
      </c>
      <c r="K245" s="21">
        <v>0.49585000000000001</v>
      </c>
      <c r="L245">
        <f t="shared" si="12"/>
        <v>15.835599999999998</v>
      </c>
      <c r="M245">
        <f t="shared" si="13"/>
        <v>7.8651307943999988</v>
      </c>
      <c r="N245" s="9"/>
      <c r="O245" s="21">
        <v>1.0833699999999999</v>
      </c>
      <c r="P245" s="21">
        <v>38.537100000000002</v>
      </c>
      <c r="Q245" s="21">
        <v>-1.4071699999999999E-2</v>
      </c>
      <c r="R245" s="21">
        <v>235</v>
      </c>
      <c r="S245" s="21">
        <v>1.0821499999999999</v>
      </c>
      <c r="T245">
        <f t="shared" si="14"/>
        <v>14.0717</v>
      </c>
      <c r="U245">
        <f t="shared" si="15"/>
        <v>15.244857628999998</v>
      </c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0.49163800000000002</v>
      </c>
      <c r="H246" s="21">
        <v>32.299500000000002</v>
      </c>
      <c r="I246" s="21">
        <v>-1.5838600000000001E-2</v>
      </c>
      <c r="J246" s="21">
        <v>236</v>
      </c>
      <c r="K246" s="21">
        <v>0.49084499999999998</v>
      </c>
      <c r="L246">
        <f t="shared" si="12"/>
        <v>15.838600000000001</v>
      </c>
      <c r="M246">
        <f t="shared" si="13"/>
        <v>7.7868576268000007</v>
      </c>
      <c r="N246" s="9"/>
      <c r="O246" s="21">
        <v>1.0884100000000001</v>
      </c>
      <c r="P246" s="21">
        <v>38.547199999999997</v>
      </c>
      <c r="Q246" s="21">
        <v>-1.4047199999999999E-2</v>
      </c>
      <c r="R246" s="21">
        <v>236</v>
      </c>
      <c r="S246" s="21">
        <v>1.08734</v>
      </c>
      <c r="T246">
        <f t="shared" si="14"/>
        <v>14.0472</v>
      </c>
      <c r="U246">
        <f t="shared" si="15"/>
        <v>15.289112952000002</v>
      </c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0.48660300000000001</v>
      </c>
      <c r="H247" s="21">
        <v>32.309600000000003</v>
      </c>
      <c r="I247" s="21">
        <v>-1.5832499999999999E-2</v>
      </c>
      <c r="J247" s="21">
        <v>237</v>
      </c>
      <c r="K247" s="21">
        <v>0.48587000000000002</v>
      </c>
      <c r="L247">
        <f t="shared" si="12"/>
        <v>15.8325</v>
      </c>
      <c r="M247">
        <f t="shared" si="13"/>
        <v>7.7041419974999998</v>
      </c>
      <c r="N247" s="9"/>
      <c r="O247" s="21">
        <v>1.09344</v>
      </c>
      <c r="P247" s="21">
        <v>38.557200000000002</v>
      </c>
      <c r="Q247" s="21">
        <v>-1.40167E-2</v>
      </c>
      <c r="R247" s="21">
        <v>237</v>
      </c>
      <c r="S247" s="21">
        <v>1.09161</v>
      </c>
      <c r="T247">
        <f t="shared" si="14"/>
        <v>14.0167</v>
      </c>
      <c r="U247">
        <f t="shared" si="15"/>
        <v>15.326420448</v>
      </c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0.48156700000000002</v>
      </c>
      <c r="H248" s="21">
        <v>32.319699999999997</v>
      </c>
      <c r="I248" s="21">
        <v>-1.58295E-2</v>
      </c>
      <c r="J248" s="21">
        <v>238</v>
      </c>
      <c r="K248" s="21">
        <v>0.48074299999999998</v>
      </c>
      <c r="L248">
        <f t="shared" si="12"/>
        <v>15.829499999999999</v>
      </c>
      <c r="M248">
        <f t="shared" si="13"/>
        <v>7.6229648265000005</v>
      </c>
      <c r="N248" s="9"/>
      <c r="O248" s="21">
        <v>1.0984799999999999</v>
      </c>
      <c r="P248" s="21">
        <v>38.567300000000003</v>
      </c>
      <c r="Q248" s="21">
        <v>-1.3983199999999999E-2</v>
      </c>
      <c r="R248" s="21">
        <v>238</v>
      </c>
      <c r="S248" s="21">
        <v>1.09711</v>
      </c>
      <c r="T248">
        <f t="shared" si="14"/>
        <v>13.9832</v>
      </c>
      <c r="U248">
        <f t="shared" si="15"/>
        <v>15.360265535999998</v>
      </c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0.47653200000000001</v>
      </c>
      <c r="H249" s="21">
        <v>32.329799999999999</v>
      </c>
      <c r="I249" s="21">
        <v>-1.58295E-2</v>
      </c>
      <c r="J249" s="21">
        <v>239</v>
      </c>
      <c r="K249" s="21">
        <v>0.47570800000000002</v>
      </c>
      <c r="L249">
        <f t="shared" si="12"/>
        <v>15.829499999999999</v>
      </c>
      <c r="M249">
        <f t="shared" si="13"/>
        <v>7.543263294</v>
      </c>
      <c r="N249" s="9"/>
      <c r="O249" s="21">
        <v>1.1035200000000001</v>
      </c>
      <c r="P249" s="21">
        <v>38.577399999999997</v>
      </c>
      <c r="Q249" s="21">
        <v>-1.39557E-2</v>
      </c>
      <c r="R249" s="21">
        <v>239</v>
      </c>
      <c r="S249" s="21">
        <v>1.1026</v>
      </c>
      <c r="T249">
        <f t="shared" si="14"/>
        <v>13.9557</v>
      </c>
      <c r="U249">
        <f t="shared" si="15"/>
        <v>15.400394064</v>
      </c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0.471497</v>
      </c>
      <c r="H250" s="21">
        <v>32.339799999999997</v>
      </c>
      <c r="I250" s="21">
        <v>-1.5838600000000001E-2</v>
      </c>
      <c r="J250" s="21">
        <v>240</v>
      </c>
      <c r="K250" s="21">
        <v>0.47061199999999997</v>
      </c>
      <c r="L250">
        <f t="shared" si="12"/>
        <v>15.838600000000001</v>
      </c>
      <c r="M250">
        <f t="shared" si="13"/>
        <v>7.4678523842000004</v>
      </c>
      <c r="N250" s="9"/>
      <c r="O250" s="21">
        <v>1.1085499999999999</v>
      </c>
      <c r="P250" s="21">
        <v>38.587499999999999</v>
      </c>
      <c r="Q250" s="21">
        <v>-1.39282E-2</v>
      </c>
      <c r="R250" s="21">
        <v>240</v>
      </c>
      <c r="S250" s="21">
        <v>1.10748</v>
      </c>
      <c r="T250">
        <f t="shared" si="14"/>
        <v>13.9282</v>
      </c>
      <c r="U250">
        <f t="shared" si="15"/>
        <v>15.440106109999999</v>
      </c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0.46646100000000001</v>
      </c>
      <c r="H251" s="21">
        <v>32.349899999999998</v>
      </c>
      <c r="I251" s="21">
        <v>-1.58447E-2</v>
      </c>
      <c r="J251" s="21">
        <v>241</v>
      </c>
      <c r="K251" s="21">
        <v>0.465698</v>
      </c>
      <c r="L251">
        <f t="shared" si="12"/>
        <v>15.8447</v>
      </c>
      <c r="M251">
        <f t="shared" si="13"/>
        <v>7.3909346067000001</v>
      </c>
      <c r="N251" s="9"/>
      <c r="O251" s="21">
        <v>1.1135900000000001</v>
      </c>
      <c r="P251" s="21">
        <v>38.597499999999997</v>
      </c>
      <c r="Q251" s="21">
        <v>-1.3897700000000001E-2</v>
      </c>
      <c r="R251" s="21">
        <v>241</v>
      </c>
      <c r="S251" s="21">
        <v>1.1123700000000001</v>
      </c>
      <c r="T251">
        <f t="shared" si="14"/>
        <v>13.8977</v>
      </c>
      <c r="U251">
        <f t="shared" si="15"/>
        <v>15.476339743000002</v>
      </c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0.461426</v>
      </c>
      <c r="H252" s="21">
        <v>32.36</v>
      </c>
      <c r="I252" s="21">
        <v>-1.5850800000000002E-2</v>
      </c>
      <c r="J252" s="21">
        <v>242</v>
      </c>
      <c r="K252" s="21">
        <v>0.46050999999999997</v>
      </c>
      <c r="L252">
        <f t="shared" si="12"/>
        <v>15.850800000000001</v>
      </c>
      <c r="M252">
        <f t="shared" si="13"/>
        <v>7.3139712408000008</v>
      </c>
      <c r="N252" s="9"/>
      <c r="O252" s="21">
        <v>1.1186199999999999</v>
      </c>
      <c r="P252" s="21">
        <v>38.607599999999998</v>
      </c>
      <c r="Q252" s="21">
        <v>-1.3858000000000001E-2</v>
      </c>
      <c r="R252" s="21">
        <v>242</v>
      </c>
      <c r="S252" s="21">
        <v>1.11755</v>
      </c>
      <c r="T252">
        <f t="shared" si="14"/>
        <v>13.858000000000001</v>
      </c>
      <c r="U252">
        <f t="shared" si="15"/>
        <v>15.501835959999999</v>
      </c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0.45639000000000002</v>
      </c>
      <c r="H253" s="21">
        <v>32.369999999999997</v>
      </c>
      <c r="I253" s="21">
        <v>-1.5859999999999999E-2</v>
      </c>
      <c r="J253" s="21">
        <v>243</v>
      </c>
      <c r="K253" s="21">
        <v>0.455536</v>
      </c>
      <c r="L253">
        <f t="shared" si="12"/>
        <v>15.86</v>
      </c>
      <c r="M253">
        <f t="shared" si="13"/>
        <v>7.2383454</v>
      </c>
      <c r="N253" s="9"/>
      <c r="O253" s="21">
        <v>1.1236600000000001</v>
      </c>
      <c r="P253" s="21">
        <v>38.617699999999999</v>
      </c>
      <c r="Q253" s="21">
        <v>-1.38123E-2</v>
      </c>
      <c r="R253" s="21">
        <v>243</v>
      </c>
      <c r="S253" s="21">
        <v>1.1224400000000001</v>
      </c>
      <c r="T253">
        <f t="shared" si="14"/>
        <v>13.8123</v>
      </c>
      <c r="U253">
        <f t="shared" si="15"/>
        <v>15.520329018000002</v>
      </c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0.45135500000000001</v>
      </c>
      <c r="H254" s="21">
        <v>32.380099999999999</v>
      </c>
      <c r="I254" s="21">
        <v>-1.5862999999999999E-2</v>
      </c>
      <c r="J254" s="21">
        <v>244</v>
      </c>
      <c r="K254" s="21">
        <v>0.45053100000000001</v>
      </c>
      <c r="L254">
        <f t="shared" si="12"/>
        <v>15.862999999999998</v>
      </c>
      <c r="M254">
        <f t="shared" si="13"/>
        <v>7.1598443649999988</v>
      </c>
      <c r="N254" s="9"/>
      <c r="O254" s="21">
        <v>1.12869</v>
      </c>
      <c r="P254" s="21">
        <v>38.627699999999997</v>
      </c>
      <c r="Q254" s="21">
        <v>-1.37634E-2</v>
      </c>
      <c r="R254" s="21">
        <v>244</v>
      </c>
      <c r="S254" s="21">
        <v>1.1270100000000001</v>
      </c>
      <c r="T254">
        <f t="shared" si="14"/>
        <v>13.763400000000001</v>
      </c>
      <c r="U254">
        <f t="shared" si="15"/>
        <v>15.534611946</v>
      </c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0.44631999999999999</v>
      </c>
      <c r="H255" s="21">
        <v>32.3902</v>
      </c>
      <c r="I255" s="21">
        <v>-1.5875199999999999E-2</v>
      </c>
      <c r="J255" s="21">
        <v>245</v>
      </c>
      <c r="K255" s="21">
        <v>0.445465</v>
      </c>
      <c r="L255">
        <f t="shared" si="12"/>
        <v>15.8752</v>
      </c>
      <c r="M255">
        <f t="shared" si="13"/>
        <v>7.0854192639999996</v>
      </c>
      <c r="N255" s="9"/>
      <c r="O255" s="21">
        <v>1.1337299999999999</v>
      </c>
      <c r="P255" s="21">
        <v>38.637799999999999</v>
      </c>
      <c r="Q255" s="21">
        <v>-1.3720700000000001E-2</v>
      </c>
      <c r="R255" s="21">
        <v>245</v>
      </c>
      <c r="S255" s="21">
        <v>1.1325099999999999</v>
      </c>
      <c r="T255">
        <f t="shared" si="14"/>
        <v>13.720700000000001</v>
      </c>
      <c r="U255">
        <f t="shared" si="15"/>
        <v>15.555569211</v>
      </c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0.44128400000000001</v>
      </c>
      <c r="H256" s="21">
        <v>32.400199999999998</v>
      </c>
      <c r="I256" s="21">
        <v>-1.58844E-2</v>
      </c>
      <c r="J256" s="21">
        <v>246</v>
      </c>
      <c r="K256" s="21">
        <v>0.44042999999999999</v>
      </c>
      <c r="L256">
        <f t="shared" si="12"/>
        <v>15.884399999999999</v>
      </c>
      <c r="M256">
        <f t="shared" si="13"/>
        <v>7.0095315696</v>
      </c>
      <c r="N256" s="9"/>
      <c r="O256" s="21">
        <v>1.13876</v>
      </c>
      <c r="P256" s="21">
        <v>38.6479</v>
      </c>
      <c r="Q256" s="21">
        <v>-1.3681E-2</v>
      </c>
      <c r="R256" s="21">
        <v>246</v>
      </c>
      <c r="S256" s="21">
        <v>1.1373899999999999</v>
      </c>
      <c r="T256">
        <f t="shared" si="14"/>
        <v>13.681000000000001</v>
      </c>
      <c r="U256">
        <f t="shared" si="15"/>
        <v>15.579375560000001</v>
      </c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0.436249</v>
      </c>
      <c r="H257" s="21">
        <v>32.410299999999999</v>
      </c>
      <c r="I257" s="21">
        <v>-1.5887499999999999E-2</v>
      </c>
      <c r="J257" s="21">
        <v>247</v>
      </c>
      <c r="K257" s="21">
        <v>0.43551600000000001</v>
      </c>
      <c r="L257">
        <f t="shared" si="12"/>
        <v>15.887499999999999</v>
      </c>
      <c r="M257">
        <f t="shared" si="13"/>
        <v>6.9309059875000001</v>
      </c>
      <c r="N257" s="9"/>
      <c r="O257" s="21">
        <v>1.1437999999999999</v>
      </c>
      <c r="P257" s="21">
        <v>38.657899999999998</v>
      </c>
      <c r="Q257" s="21">
        <v>-1.36414E-2</v>
      </c>
      <c r="R257" s="21">
        <v>247</v>
      </c>
      <c r="S257" s="21">
        <v>1.1431899999999999</v>
      </c>
      <c r="T257">
        <f t="shared" si="14"/>
        <v>13.641399999999999</v>
      </c>
      <c r="U257">
        <f t="shared" si="15"/>
        <v>15.603033319999998</v>
      </c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0.43121300000000001</v>
      </c>
      <c r="H258" s="21">
        <v>32.420400000000001</v>
      </c>
      <c r="I258" s="21">
        <v>-1.5881300000000001E-2</v>
      </c>
      <c r="J258" s="21">
        <v>248</v>
      </c>
      <c r="K258" s="21">
        <v>0.43032799999999999</v>
      </c>
      <c r="L258">
        <f t="shared" si="12"/>
        <v>15.881300000000001</v>
      </c>
      <c r="M258">
        <f t="shared" si="13"/>
        <v>6.8482230169000005</v>
      </c>
      <c r="N258" s="9"/>
      <c r="O258" s="21">
        <v>1.14883</v>
      </c>
      <c r="P258" s="21">
        <v>38.667999999999999</v>
      </c>
      <c r="Q258" s="21">
        <v>-1.36017E-2</v>
      </c>
      <c r="R258" s="21">
        <v>248</v>
      </c>
      <c r="S258" s="21">
        <v>1.1474599999999999</v>
      </c>
      <c r="T258">
        <f t="shared" si="14"/>
        <v>13.601699999999999</v>
      </c>
      <c r="U258">
        <f t="shared" si="15"/>
        <v>15.626041011</v>
      </c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0.426178</v>
      </c>
      <c r="H259" s="21">
        <v>32.430500000000002</v>
      </c>
      <c r="I259" s="21">
        <v>-1.5887499999999999E-2</v>
      </c>
      <c r="J259" s="21">
        <v>249</v>
      </c>
      <c r="K259" s="21">
        <v>0.42535400000000001</v>
      </c>
      <c r="L259">
        <f t="shared" si="12"/>
        <v>15.887499999999999</v>
      </c>
      <c r="M259">
        <f t="shared" si="13"/>
        <v>6.7709029749999994</v>
      </c>
      <c r="N259" s="9"/>
      <c r="O259" s="21">
        <v>1.15387</v>
      </c>
      <c r="P259" s="21">
        <v>38.678100000000001</v>
      </c>
      <c r="Q259" s="21">
        <v>-1.3559E-2</v>
      </c>
      <c r="R259" s="21">
        <v>249</v>
      </c>
      <c r="S259" s="21">
        <v>1.1529499999999999</v>
      </c>
      <c r="T259">
        <f t="shared" si="14"/>
        <v>13.558999999999999</v>
      </c>
      <c r="U259">
        <f t="shared" si="15"/>
        <v>15.645323329999998</v>
      </c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0.42114299999999999</v>
      </c>
      <c r="H260" s="21">
        <v>32.4405</v>
      </c>
      <c r="I260" s="21">
        <v>-1.5899699999999999E-2</v>
      </c>
      <c r="J260" s="21">
        <v>250</v>
      </c>
      <c r="K260" s="21">
        <v>0.420319</v>
      </c>
      <c r="L260">
        <f t="shared" si="12"/>
        <v>15.899699999999999</v>
      </c>
      <c r="M260">
        <f t="shared" si="13"/>
        <v>6.6960473570999994</v>
      </c>
      <c r="N260" s="9"/>
      <c r="O260" s="21">
        <v>1.1589100000000001</v>
      </c>
      <c r="P260" s="21">
        <v>38.688200000000002</v>
      </c>
      <c r="Q260" s="21">
        <v>-1.3516200000000001E-2</v>
      </c>
      <c r="R260" s="21">
        <v>250</v>
      </c>
      <c r="S260" s="21">
        <v>1.15784</v>
      </c>
      <c r="T260">
        <f t="shared" si="14"/>
        <v>13.516200000000001</v>
      </c>
      <c r="U260">
        <f t="shared" si="15"/>
        <v>15.664059342000003</v>
      </c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0.416107</v>
      </c>
      <c r="H261" s="21">
        <v>32.450600000000001</v>
      </c>
      <c r="I261" s="21">
        <v>-1.5908800000000001E-2</v>
      </c>
      <c r="J261" s="21">
        <v>251</v>
      </c>
      <c r="K261" s="21">
        <v>0.41525299999999998</v>
      </c>
      <c r="L261">
        <f t="shared" si="12"/>
        <v>15.908800000000001</v>
      </c>
      <c r="M261">
        <f t="shared" si="13"/>
        <v>6.6197630416000006</v>
      </c>
      <c r="N261" s="9"/>
      <c r="O261" s="21">
        <v>1.16394</v>
      </c>
      <c r="P261" s="21">
        <v>38.6982</v>
      </c>
      <c r="Q261" s="21">
        <v>-1.34857E-2</v>
      </c>
      <c r="R261" s="21">
        <v>251</v>
      </c>
      <c r="S261" s="21">
        <v>1.16364</v>
      </c>
      <c r="T261">
        <f t="shared" si="14"/>
        <v>13.4857</v>
      </c>
      <c r="U261">
        <f t="shared" si="15"/>
        <v>15.696545658</v>
      </c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0.41107199999999999</v>
      </c>
      <c r="H262" s="21">
        <v>32.460700000000003</v>
      </c>
      <c r="I262" s="21">
        <v>-1.5908800000000001E-2</v>
      </c>
      <c r="J262" s="21">
        <v>252</v>
      </c>
      <c r="K262" s="21">
        <v>0.410217</v>
      </c>
      <c r="L262">
        <f t="shared" si="12"/>
        <v>15.908800000000001</v>
      </c>
      <c r="M262">
        <f t="shared" si="13"/>
        <v>6.5396622336000005</v>
      </c>
      <c r="N262" s="9"/>
      <c r="O262" s="21">
        <v>1.1689799999999999</v>
      </c>
      <c r="P262" s="21">
        <v>38.708300000000001</v>
      </c>
      <c r="Q262" s="21">
        <v>-1.3458299999999999E-2</v>
      </c>
      <c r="R262" s="21">
        <v>252</v>
      </c>
      <c r="S262" s="21">
        <v>1.16791</v>
      </c>
      <c r="T262">
        <f t="shared" si="14"/>
        <v>13.458299999999999</v>
      </c>
      <c r="U262">
        <f t="shared" si="15"/>
        <v>15.732483533999998</v>
      </c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0.40603600000000001</v>
      </c>
      <c r="H263" s="21">
        <v>32.470700000000001</v>
      </c>
      <c r="I263" s="21">
        <v>-1.5908800000000001E-2</v>
      </c>
      <c r="J263" s="21">
        <v>253</v>
      </c>
      <c r="K263" s="21">
        <v>0.40512100000000001</v>
      </c>
      <c r="L263">
        <f t="shared" si="12"/>
        <v>15.908800000000001</v>
      </c>
      <c r="M263">
        <f t="shared" si="13"/>
        <v>6.4595455168000004</v>
      </c>
      <c r="N263" s="9"/>
      <c r="O263" s="21">
        <v>1.17401</v>
      </c>
      <c r="P263" s="21">
        <v>38.718400000000003</v>
      </c>
      <c r="Q263" s="21">
        <v>-1.3418599999999999E-2</v>
      </c>
      <c r="R263" s="21">
        <v>253</v>
      </c>
      <c r="S263" s="21">
        <v>1.17249</v>
      </c>
      <c r="T263">
        <f t="shared" si="14"/>
        <v>13.4186</v>
      </c>
      <c r="U263">
        <f t="shared" si="15"/>
        <v>15.753570586</v>
      </c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0.401001</v>
      </c>
      <c r="H264" s="21">
        <v>32.480800000000002</v>
      </c>
      <c r="I264" s="21">
        <v>-1.59241E-2</v>
      </c>
      <c r="J264" s="21">
        <v>254</v>
      </c>
      <c r="K264" s="21">
        <v>0.400146</v>
      </c>
      <c r="L264">
        <f t="shared" si="12"/>
        <v>15.924099999999999</v>
      </c>
      <c r="M264">
        <f t="shared" si="13"/>
        <v>6.3855800240999994</v>
      </c>
      <c r="N264" s="9"/>
      <c r="O264" s="21">
        <v>1.1790499999999999</v>
      </c>
      <c r="P264" s="21">
        <v>38.728400000000001</v>
      </c>
      <c r="Q264" s="21">
        <v>-1.3384999999999999E-2</v>
      </c>
      <c r="R264" s="21">
        <v>254</v>
      </c>
      <c r="S264" s="21">
        <v>1.17767</v>
      </c>
      <c r="T264">
        <f t="shared" si="14"/>
        <v>13.385</v>
      </c>
      <c r="U264">
        <f t="shared" si="15"/>
        <v>15.781584249999998</v>
      </c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0.39596599999999998</v>
      </c>
      <c r="H265" s="21">
        <v>32.490900000000003</v>
      </c>
      <c r="I265" s="21">
        <v>-1.59363E-2</v>
      </c>
      <c r="J265" s="21">
        <v>255</v>
      </c>
      <c r="K265" s="21">
        <v>0.39520300000000003</v>
      </c>
      <c r="L265">
        <f t="shared" si="12"/>
        <v>15.936300000000001</v>
      </c>
      <c r="M265">
        <f t="shared" si="13"/>
        <v>6.3102329658</v>
      </c>
      <c r="N265" s="9"/>
      <c r="O265" s="21">
        <v>1.18408</v>
      </c>
      <c r="P265" s="21">
        <v>38.738500000000002</v>
      </c>
      <c r="Q265" s="21">
        <v>-1.33423E-2</v>
      </c>
      <c r="R265" s="21">
        <v>255</v>
      </c>
      <c r="S265" s="21">
        <v>1.1831700000000001</v>
      </c>
      <c r="T265">
        <f t="shared" si="14"/>
        <v>13.3423</v>
      </c>
      <c r="U265">
        <f t="shared" si="15"/>
        <v>15.798350584</v>
      </c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0.39093</v>
      </c>
      <c r="H266" s="21">
        <v>32.500999999999998</v>
      </c>
      <c r="I266" s="21">
        <v>-1.59393E-2</v>
      </c>
      <c r="J266" s="21">
        <v>256</v>
      </c>
      <c r="K266" s="21">
        <v>0.39013700000000001</v>
      </c>
      <c r="L266">
        <f t="shared" si="12"/>
        <v>15.939299999999999</v>
      </c>
      <c r="M266">
        <f t="shared" si="13"/>
        <v>6.2311505489999996</v>
      </c>
      <c r="N266" s="9"/>
      <c r="O266" s="21">
        <v>1.18912</v>
      </c>
      <c r="P266" s="21">
        <v>38.748600000000003</v>
      </c>
      <c r="Q266" s="21">
        <v>-1.32996E-2</v>
      </c>
      <c r="R266" s="21">
        <v>256</v>
      </c>
      <c r="S266" s="21">
        <v>1.1874400000000001</v>
      </c>
      <c r="T266">
        <f t="shared" si="14"/>
        <v>13.2996</v>
      </c>
      <c r="U266">
        <f t="shared" si="15"/>
        <v>15.814820352</v>
      </c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0.38589499999999999</v>
      </c>
      <c r="H267" s="21">
        <v>32.511000000000003</v>
      </c>
      <c r="I267" s="21">
        <v>-1.5942399999999999E-2</v>
      </c>
      <c r="J267" s="21">
        <v>257</v>
      </c>
      <c r="K267" s="21">
        <v>0.385071</v>
      </c>
      <c r="L267">
        <f t="shared" si="12"/>
        <v>15.942399999999999</v>
      </c>
      <c r="M267">
        <f t="shared" si="13"/>
        <v>6.1520924479999994</v>
      </c>
      <c r="N267" s="9"/>
      <c r="O267" s="21">
        <v>1.19415</v>
      </c>
      <c r="P267" s="21">
        <v>38.758699999999997</v>
      </c>
      <c r="Q267" s="21">
        <v>-1.32538E-2</v>
      </c>
      <c r="R267" s="21">
        <v>257</v>
      </c>
      <c r="S267" s="21">
        <v>1.19293</v>
      </c>
      <c r="T267">
        <f t="shared" si="14"/>
        <v>13.2538</v>
      </c>
      <c r="U267">
        <f t="shared" si="15"/>
        <v>15.82702527</v>
      </c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0.380859</v>
      </c>
      <c r="H268" s="21">
        <v>32.521099999999997</v>
      </c>
      <c r="I268" s="21">
        <v>-1.5945399999999998E-2</v>
      </c>
      <c r="J268" s="21">
        <v>258</v>
      </c>
      <c r="K268" s="21">
        <v>0.38000499999999998</v>
      </c>
      <c r="L268">
        <f t="shared" ref="L268:L331" si="16">-I268/$F$2*1000</f>
        <v>15.945399999999999</v>
      </c>
      <c r="M268">
        <f t="shared" ref="M268:M331" si="17">L268*G268</f>
        <v>6.0729490985999997</v>
      </c>
      <c r="N268" s="9"/>
      <c r="O268" s="21">
        <v>1.19919</v>
      </c>
      <c r="P268" s="21">
        <v>38.768700000000003</v>
      </c>
      <c r="Q268" s="21">
        <v>-1.32202E-2</v>
      </c>
      <c r="R268" s="21">
        <v>258</v>
      </c>
      <c r="S268" s="21">
        <v>1.19781</v>
      </c>
      <c r="T268">
        <f t="shared" ref="T268:T331" si="18">-Q268/$F$2*1000</f>
        <v>13.2202</v>
      </c>
      <c r="U268">
        <f t="shared" ref="U268:U331" si="19">T268*O268</f>
        <v>15.853531638</v>
      </c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0.37582399999999999</v>
      </c>
      <c r="H269" s="21">
        <v>32.531199999999998</v>
      </c>
      <c r="I269" s="21">
        <v>-1.5954599999999999E-2</v>
      </c>
      <c r="J269" s="21">
        <v>259</v>
      </c>
      <c r="K269" s="21">
        <v>0.37490800000000002</v>
      </c>
      <c r="L269">
        <f t="shared" si="16"/>
        <v>15.954599999999999</v>
      </c>
      <c r="M269">
        <f t="shared" si="17"/>
        <v>5.9961215903999996</v>
      </c>
      <c r="N269" s="9"/>
      <c r="O269" s="21">
        <v>1.2042200000000001</v>
      </c>
      <c r="P269" s="21">
        <v>38.778799999999997</v>
      </c>
      <c r="Q269" s="21">
        <v>-1.31836E-2</v>
      </c>
      <c r="R269" s="21">
        <v>259</v>
      </c>
      <c r="S269" s="21">
        <v>1.2027000000000001</v>
      </c>
      <c r="T269">
        <f t="shared" si="18"/>
        <v>13.1836</v>
      </c>
      <c r="U269">
        <f t="shared" si="19"/>
        <v>15.875954792000002</v>
      </c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0.37078899999999998</v>
      </c>
      <c r="H270" s="21">
        <v>32.541200000000003</v>
      </c>
      <c r="I270" s="21">
        <v>-1.59668E-2</v>
      </c>
      <c r="J270" s="21">
        <v>260</v>
      </c>
      <c r="K270" s="21">
        <v>0.36993399999999999</v>
      </c>
      <c r="L270">
        <f t="shared" si="16"/>
        <v>15.966799999999999</v>
      </c>
      <c r="M270">
        <f t="shared" si="17"/>
        <v>5.9203138051999993</v>
      </c>
      <c r="N270" s="9"/>
      <c r="O270" s="21">
        <v>1.20926</v>
      </c>
      <c r="P270" s="21">
        <v>38.788899999999998</v>
      </c>
      <c r="Q270" s="21">
        <v>-1.3147000000000001E-2</v>
      </c>
      <c r="R270" s="21">
        <v>260</v>
      </c>
      <c r="S270" s="21">
        <v>1.2081900000000001</v>
      </c>
      <c r="T270">
        <f t="shared" si="18"/>
        <v>13.147</v>
      </c>
      <c r="U270">
        <f t="shared" si="19"/>
        <v>15.898141220000001</v>
      </c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0.36575299999999999</v>
      </c>
      <c r="H271" s="21">
        <v>32.551299999999998</v>
      </c>
      <c r="I271" s="21">
        <v>-1.5979E-2</v>
      </c>
      <c r="J271" s="21">
        <v>261</v>
      </c>
      <c r="K271" s="21">
        <v>0.36505100000000001</v>
      </c>
      <c r="L271">
        <f t="shared" si="16"/>
        <v>15.979000000000001</v>
      </c>
      <c r="M271">
        <f t="shared" si="17"/>
        <v>5.8443671870000005</v>
      </c>
      <c r="N271" s="9"/>
      <c r="O271" s="21">
        <v>1.2142900000000001</v>
      </c>
      <c r="P271" s="21">
        <v>38.798900000000003</v>
      </c>
      <c r="Q271" s="21">
        <v>-1.31042E-2</v>
      </c>
      <c r="R271" s="21">
        <v>261</v>
      </c>
      <c r="S271" s="21">
        <v>1.2136800000000001</v>
      </c>
      <c r="T271">
        <f t="shared" si="18"/>
        <v>13.104200000000001</v>
      </c>
      <c r="U271">
        <f t="shared" si="19"/>
        <v>15.912299018000002</v>
      </c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0.36071799999999998</v>
      </c>
      <c r="H272" s="21">
        <v>32.561399999999999</v>
      </c>
      <c r="I272" s="21">
        <v>-1.5985099999999999E-2</v>
      </c>
      <c r="J272" s="21">
        <v>262</v>
      </c>
      <c r="K272" s="21">
        <v>0.35989399999999999</v>
      </c>
      <c r="L272">
        <f t="shared" si="16"/>
        <v>15.985099999999999</v>
      </c>
      <c r="M272">
        <f t="shared" si="17"/>
        <v>5.766113301799999</v>
      </c>
      <c r="N272" s="9"/>
      <c r="O272" s="21">
        <v>1.21933</v>
      </c>
      <c r="P272" s="21">
        <v>38.808999999999997</v>
      </c>
      <c r="Q272" s="21">
        <v>-1.30615E-2</v>
      </c>
      <c r="R272" s="21">
        <v>262</v>
      </c>
      <c r="S272" s="21">
        <v>1.2182599999999999</v>
      </c>
      <c r="T272">
        <f t="shared" si="18"/>
        <v>13.061500000000001</v>
      </c>
      <c r="U272">
        <f t="shared" si="19"/>
        <v>15.926278795000002</v>
      </c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0.355682</v>
      </c>
      <c r="H273" s="21">
        <v>32.5715</v>
      </c>
      <c r="I273" s="21">
        <v>-1.5991200000000001E-2</v>
      </c>
      <c r="J273" s="21">
        <v>263</v>
      </c>
      <c r="K273" s="21">
        <v>0.35488900000000001</v>
      </c>
      <c r="L273">
        <f t="shared" si="16"/>
        <v>15.991200000000001</v>
      </c>
      <c r="M273">
        <f t="shared" si="17"/>
        <v>5.6877819984000002</v>
      </c>
      <c r="N273" s="9"/>
      <c r="O273" s="21">
        <v>1.22437</v>
      </c>
      <c r="P273" s="21">
        <v>38.819099999999999</v>
      </c>
      <c r="Q273" s="21">
        <v>-1.30157E-2</v>
      </c>
      <c r="R273" s="21">
        <v>263</v>
      </c>
      <c r="S273" s="21">
        <v>1.2231399999999999</v>
      </c>
      <c r="T273">
        <f t="shared" si="18"/>
        <v>13.015700000000001</v>
      </c>
      <c r="U273">
        <f t="shared" si="19"/>
        <v>15.936032609</v>
      </c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0.35064699999999999</v>
      </c>
      <c r="H274" s="21">
        <v>32.581499999999998</v>
      </c>
      <c r="I274" s="21">
        <v>-1.5997299999999999E-2</v>
      </c>
      <c r="J274" s="21">
        <v>264</v>
      </c>
      <c r="K274" s="21">
        <v>0.34979199999999999</v>
      </c>
      <c r="L274">
        <f t="shared" si="16"/>
        <v>15.997299999999999</v>
      </c>
      <c r="M274">
        <f t="shared" si="17"/>
        <v>5.6094052530999994</v>
      </c>
      <c r="N274" s="9"/>
      <c r="O274" s="21">
        <v>1.2294</v>
      </c>
      <c r="P274" s="21">
        <v>38.8292</v>
      </c>
      <c r="Q274" s="21">
        <v>-1.29669E-2</v>
      </c>
      <c r="R274" s="21">
        <v>264</v>
      </c>
      <c r="S274" s="21">
        <v>1.22803</v>
      </c>
      <c r="T274">
        <f t="shared" si="18"/>
        <v>12.966900000000001</v>
      </c>
      <c r="U274">
        <f t="shared" si="19"/>
        <v>15.941506860000002</v>
      </c>
    </row>
    <row r="275" spans="6:101">
      <c r="F275" s="9"/>
      <c r="G275" s="21">
        <v>0.34561199999999997</v>
      </c>
      <c r="H275" s="21">
        <v>32.5916</v>
      </c>
      <c r="I275" s="21">
        <v>-1.6003400000000001E-2</v>
      </c>
      <c r="J275" s="21">
        <v>265</v>
      </c>
      <c r="K275" s="21">
        <v>0.34484900000000002</v>
      </c>
      <c r="L275">
        <f t="shared" si="16"/>
        <v>16.003399999999999</v>
      </c>
      <c r="M275">
        <f t="shared" si="17"/>
        <v>5.5309670807999991</v>
      </c>
      <c r="N275" s="9"/>
      <c r="O275" s="21">
        <v>1.23444</v>
      </c>
      <c r="P275" s="21">
        <v>38.839199999999998</v>
      </c>
      <c r="Q275" s="21">
        <v>-1.2912E-2</v>
      </c>
      <c r="R275" s="21">
        <v>265</v>
      </c>
      <c r="S275" s="21">
        <v>1.23291</v>
      </c>
      <c r="T275">
        <f t="shared" si="18"/>
        <v>12.911999999999999</v>
      </c>
      <c r="U275">
        <f t="shared" si="19"/>
        <v>15.939089279999999</v>
      </c>
    </row>
    <row r="276" spans="6:101">
      <c r="F276" s="9"/>
      <c r="G276" s="21">
        <v>0.34057599999999999</v>
      </c>
      <c r="H276" s="21">
        <v>32.601700000000001</v>
      </c>
      <c r="I276" s="21">
        <v>-1.60065E-2</v>
      </c>
      <c r="J276" s="21">
        <v>266</v>
      </c>
      <c r="K276" s="21">
        <v>0.33972200000000002</v>
      </c>
      <c r="L276">
        <f t="shared" si="16"/>
        <v>16.006499999999999</v>
      </c>
      <c r="M276">
        <f t="shared" si="17"/>
        <v>5.4514297439999995</v>
      </c>
      <c r="N276" s="9"/>
      <c r="O276" s="21">
        <v>1.2394700000000001</v>
      </c>
      <c r="P276" s="21">
        <v>38.849299999999999</v>
      </c>
      <c r="Q276" s="21">
        <v>-1.28571E-2</v>
      </c>
      <c r="R276" s="21">
        <v>266</v>
      </c>
      <c r="S276" s="21">
        <v>1.2381</v>
      </c>
      <c r="T276">
        <f t="shared" si="18"/>
        <v>12.857099999999999</v>
      </c>
      <c r="U276">
        <f t="shared" si="19"/>
        <v>15.935989737</v>
      </c>
    </row>
    <row r="277" spans="6:101">
      <c r="F277" s="9"/>
      <c r="G277" s="21">
        <v>0.33554099999999998</v>
      </c>
      <c r="H277" s="21">
        <v>32.611699999999999</v>
      </c>
      <c r="I277" s="21">
        <v>-1.6012599999999998E-2</v>
      </c>
      <c r="J277" s="21">
        <v>267</v>
      </c>
      <c r="K277" s="21">
        <v>0.33471699999999999</v>
      </c>
      <c r="L277">
        <f t="shared" si="16"/>
        <v>16.012599999999999</v>
      </c>
      <c r="M277">
        <f t="shared" si="17"/>
        <v>5.372883816599999</v>
      </c>
      <c r="N277" s="9"/>
      <c r="O277" s="21">
        <v>1.24451</v>
      </c>
      <c r="P277" s="21">
        <v>38.859400000000001</v>
      </c>
      <c r="Q277" s="21">
        <v>-1.2799100000000001E-2</v>
      </c>
      <c r="R277" s="21">
        <v>267</v>
      </c>
      <c r="S277" s="21">
        <v>1.24329</v>
      </c>
      <c r="T277">
        <f t="shared" si="18"/>
        <v>12.799100000000001</v>
      </c>
      <c r="U277">
        <f t="shared" si="19"/>
        <v>15.928607941000001</v>
      </c>
    </row>
    <row r="278" spans="6:101">
      <c r="F278" s="9"/>
      <c r="G278" s="21">
        <v>0.33050499999999999</v>
      </c>
      <c r="H278" s="21">
        <v>32.6218</v>
      </c>
      <c r="I278" s="21">
        <v>-1.60065E-2</v>
      </c>
      <c r="J278" s="21">
        <v>268</v>
      </c>
      <c r="K278" s="21">
        <v>0.32965100000000003</v>
      </c>
      <c r="L278">
        <f t="shared" si="16"/>
        <v>16.006499999999999</v>
      </c>
      <c r="M278">
        <f t="shared" si="17"/>
        <v>5.2902282824999993</v>
      </c>
      <c r="N278" s="9"/>
      <c r="O278" s="21">
        <v>1.2495400000000001</v>
      </c>
      <c r="P278" s="21">
        <v>38.869399999999999</v>
      </c>
      <c r="Q278" s="21">
        <v>-1.27502E-2</v>
      </c>
      <c r="R278" s="21">
        <v>268</v>
      </c>
      <c r="S278" s="21">
        <v>1.24847</v>
      </c>
      <c r="T278">
        <f t="shared" si="18"/>
        <v>12.7502</v>
      </c>
      <c r="U278">
        <f t="shared" si="19"/>
        <v>15.931884908000001</v>
      </c>
    </row>
    <row r="279" spans="6:101">
      <c r="F279" s="9"/>
      <c r="G279" s="21">
        <v>0.32546999999999998</v>
      </c>
      <c r="H279" s="21">
        <v>32.631900000000002</v>
      </c>
      <c r="I279" s="21">
        <v>-1.6009499999999999E-2</v>
      </c>
      <c r="J279" s="21">
        <v>269</v>
      </c>
      <c r="K279" s="21">
        <v>0.32464599999999999</v>
      </c>
      <c r="L279">
        <f t="shared" si="16"/>
        <v>16.009499999999999</v>
      </c>
      <c r="M279">
        <f t="shared" si="17"/>
        <v>5.2106119649999991</v>
      </c>
      <c r="N279" s="9"/>
      <c r="O279" s="21">
        <v>1.25458</v>
      </c>
      <c r="P279" s="21">
        <v>38.8795</v>
      </c>
      <c r="Q279" s="21">
        <v>-1.26953E-2</v>
      </c>
      <c r="R279" s="21">
        <v>269</v>
      </c>
      <c r="S279" s="21">
        <v>1.25427</v>
      </c>
      <c r="T279">
        <f t="shared" si="18"/>
        <v>12.6953</v>
      </c>
      <c r="U279">
        <f t="shared" si="19"/>
        <v>15.927269473999999</v>
      </c>
    </row>
    <row r="280" spans="6:101">
      <c r="F280" s="9"/>
      <c r="G280" s="21">
        <v>0.32043500000000003</v>
      </c>
      <c r="H280" s="21">
        <v>32.642000000000003</v>
      </c>
      <c r="I280" s="21">
        <v>-1.60065E-2</v>
      </c>
      <c r="J280" s="21">
        <v>270</v>
      </c>
      <c r="K280" s="21">
        <v>0.31964100000000001</v>
      </c>
      <c r="L280">
        <f t="shared" si="16"/>
        <v>16.006499999999999</v>
      </c>
      <c r="M280">
        <f t="shared" si="17"/>
        <v>5.1290428275000002</v>
      </c>
      <c r="N280" s="9"/>
      <c r="O280" s="21">
        <v>1.2596099999999999</v>
      </c>
      <c r="P280" s="21">
        <v>38.889600000000002</v>
      </c>
      <c r="Q280" s="21">
        <v>-1.2649499999999999E-2</v>
      </c>
      <c r="R280" s="21">
        <v>270</v>
      </c>
      <c r="S280" s="21">
        <v>1.25885</v>
      </c>
      <c r="T280">
        <f t="shared" si="18"/>
        <v>12.6495</v>
      </c>
      <c r="U280">
        <f t="shared" si="19"/>
        <v>15.933436694999997</v>
      </c>
    </row>
    <row r="281" spans="6:101">
      <c r="F281" s="9"/>
      <c r="G281" s="21">
        <v>0.31539899999999998</v>
      </c>
      <c r="H281" s="21">
        <v>32.652000000000001</v>
      </c>
      <c r="I281" s="21">
        <v>-1.6009499999999999E-2</v>
      </c>
      <c r="J281" s="21">
        <v>271</v>
      </c>
      <c r="K281" s="21">
        <v>0.314606</v>
      </c>
      <c r="L281">
        <f t="shared" si="16"/>
        <v>16.009499999999999</v>
      </c>
      <c r="M281">
        <f t="shared" si="17"/>
        <v>5.0493802904999994</v>
      </c>
      <c r="N281" s="9"/>
      <c r="O281" s="21">
        <v>1.2646500000000001</v>
      </c>
      <c r="P281" s="21">
        <v>38.899700000000003</v>
      </c>
      <c r="Q281" s="21">
        <v>-1.26068E-2</v>
      </c>
      <c r="R281" s="21">
        <v>271</v>
      </c>
      <c r="S281" s="21">
        <v>1.26373</v>
      </c>
      <c r="T281">
        <f t="shared" si="18"/>
        <v>12.6068</v>
      </c>
      <c r="U281">
        <f t="shared" si="19"/>
        <v>15.94318962</v>
      </c>
    </row>
    <row r="282" spans="6:101">
      <c r="F282" s="9"/>
      <c r="G282" s="21">
        <v>0.31036399999999997</v>
      </c>
      <c r="H282" s="21">
        <v>32.662100000000002</v>
      </c>
      <c r="I282" s="21">
        <v>-1.60065E-2</v>
      </c>
      <c r="J282" s="21">
        <v>272</v>
      </c>
      <c r="K282" s="21">
        <v>0.30960100000000002</v>
      </c>
      <c r="L282">
        <f t="shared" si="16"/>
        <v>16.006499999999999</v>
      </c>
      <c r="M282">
        <f t="shared" si="17"/>
        <v>4.9678413659999991</v>
      </c>
      <c r="N282" s="9"/>
      <c r="O282" s="21">
        <v>1.2696799999999999</v>
      </c>
      <c r="P282" s="21">
        <v>38.909700000000001</v>
      </c>
      <c r="Q282" s="21">
        <v>-1.2545799999999999E-2</v>
      </c>
      <c r="R282" s="21">
        <v>272</v>
      </c>
      <c r="S282" s="21">
        <v>1.2686200000000001</v>
      </c>
      <c r="T282">
        <f t="shared" si="18"/>
        <v>12.5458</v>
      </c>
      <c r="U282">
        <f t="shared" si="19"/>
        <v>15.929151343999999</v>
      </c>
    </row>
    <row r="283" spans="6:101">
      <c r="F283" s="9"/>
      <c r="G283" s="21">
        <v>0.30532799999999999</v>
      </c>
      <c r="H283" s="21">
        <v>32.672199999999997</v>
      </c>
      <c r="I283" s="21">
        <v>-1.6012599999999998E-2</v>
      </c>
      <c r="J283" s="21">
        <v>273</v>
      </c>
      <c r="K283" s="21">
        <v>0.304504</v>
      </c>
      <c r="L283">
        <f t="shared" si="16"/>
        <v>16.012599999999999</v>
      </c>
      <c r="M283">
        <f t="shared" si="17"/>
        <v>4.8890951327999996</v>
      </c>
      <c r="N283" s="9"/>
      <c r="O283" s="21">
        <v>1.2747200000000001</v>
      </c>
      <c r="P283" s="21">
        <v>38.919800000000002</v>
      </c>
      <c r="Q283" s="21">
        <v>-1.24908E-2</v>
      </c>
      <c r="R283" s="21">
        <v>273</v>
      </c>
      <c r="S283" s="21">
        <v>1.2738</v>
      </c>
      <c r="T283">
        <f t="shared" si="18"/>
        <v>12.4908</v>
      </c>
      <c r="U283">
        <f t="shared" si="19"/>
        <v>15.922272576000001</v>
      </c>
    </row>
    <row r="284" spans="6:101">
      <c r="F284" s="9"/>
      <c r="G284" s="21">
        <v>0.30029299999999998</v>
      </c>
      <c r="H284" s="21">
        <v>32.682200000000002</v>
      </c>
      <c r="I284" s="21">
        <v>-1.6015600000000001E-2</v>
      </c>
      <c r="J284" s="21">
        <v>274</v>
      </c>
      <c r="K284" s="21">
        <v>0.29949999999999999</v>
      </c>
      <c r="L284">
        <f t="shared" si="16"/>
        <v>16.015600000000003</v>
      </c>
      <c r="M284">
        <f t="shared" si="17"/>
        <v>4.8093725708000008</v>
      </c>
      <c r="N284" s="9"/>
      <c r="O284" s="21">
        <v>1.2797499999999999</v>
      </c>
      <c r="P284" s="21">
        <v>38.929900000000004</v>
      </c>
      <c r="Q284" s="21">
        <v>-1.24359E-2</v>
      </c>
      <c r="R284" s="21">
        <v>274</v>
      </c>
      <c r="S284" s="21">
        <v>1.2793000000000001</v>
      </c>
      <c r="T284">
        <f t="shared" si="18"/>
        <v>12.4359</v>
      </c>
      <c r="U284">
        <f t="shared" si="19"/>
        <v>15.914843025</v>
      </c>
    </row>
    <row r="285" spans="6:101">
      <c r="F285" s="9"/>
      <c r="G285" s="21">
        <v>0.29525800000000002</v>
      </c>
      <c r="H285" s="21">
        <v>32.692300000000003</v>
      </c>
      <c r="I285" s="21">
        <v>-1.60187E-2</v>
      </c>
      <c r="J285" s="21">
        <v>275</v>
      </c>
      <c r="K285" s="21">
        <v>0.294464</v>
      </c>
      <c r="L285">
        <f t="shared" si="16"/>
        <v>16.018699999999999</v>
      </c>
      <c r="M285">
        <f t="shared" si="17"/>
        <v>4.7296493246000004</v>
      </c>
      <c r="N285" s="9"/>
      <c r="O285" s="21">
        <v>1.2847900000000001</v>
      </c>
      <c r="P285" s="21">
        <v>38.939900000000002</v>
      </c>
      <c r="Q285" s="21">
        <v>-1.2383999999999999E-2</v>
      </c>
      <c r="R285" s="21">
        <v>275</v>
      </c>
      <c r="S285" s="21">
        <v>1.2841800000000001</v>
      </c>
      <c r="T285">
        <f t="shared" si="18"/>
        <v>12.383999999999999</v>
      </c>
      <c r="U285">
        <f t="shared" si="19"/>
        <v>15.910839359999999</v>
      </c>
    </row>
    <row r="286" spans="6:101">
      <c r="F286" s="9"/>
      <c r="G286" s="21">
        <v>0.29022199999999998</v>
      </c>
      <c r="H286" s="21">
        <v>32.702399999999997</v>
      </c>
      <c r="I286" s="21">
        <v>-1.60187E-2</v>
      </c>
      <c r="J286" s="21">
        <v>276</v>
      </c>
      <c r="K286" s="21">
        <v>0.28945900000000002</v>
      </c>
      <c r="L286">
        <f t="shared" si="16"/>
        <v>16.018699999999999</v>
      </c>
      <c r="M286">
        <f t="shared" si="17"/>
        <v>4.6489791513999998</v>
      </c>
      <c r="N286" s="9"/>
      <c r="O286" s="21">
        <v>1.28983</v>
      </c>
      <c r="P286" s="21">
        <v>38.950000000000003</v>
      </c>
      <c r="Q286" s="21">
        <v>-1.2326E-2</v>
      </c>
      <c r="R286" s="21">
        <v>276</v>
      </c>
      <c r="S286" s="21">
        <v>1.2887599999999999</v>
      </c>
      <c r="T286">
        <f t="shared" si="18"/>
        <v>12.326000000000001</v>
      </c>
      <c r="U286">
        <f t="shared" si="19"/>
        <v>15.898444580000001</v>
      </c>
    </row>
    <row r="287" spans="6:101">
      <c r="F287" s="9"/>
      <c r="G287" s="21">
        <v>0.28518700000000002</v>
      </c>
      <c r="H287" s="21">
        <v>32.712400000000002</v>
      </c>
      <c r="I287" s="21">
        <v>-1.6015600000000001E-2</v>
      </c>
      <c r="J287" s="21">
        <v>277</v>
      </c>
      <c r="K287" s="21">
        <v>0.28442400000000001</v>
      </c>
      <c r="L287">
        <f t="shared" si="16"/>
        <v>16.015600000000003</v>
      </c>
      <c r="M287">
        <f t="shared" si="17"/>
        <v>4.5674409172000008</v>
      </c>
      <c r="N287" s="9"/>
      <c r="O287" s="21">
        <v>1.2948599999999999</v>
      </c>
      <c r="P287" s="21">
        <v>38.960099999999997</v>
      </c>
      <c r="Q287" s="21">
        <v>-1.22772E-2</v>
      </c>
      <c r="R287" s="21">
        <v>277</v>
      </c>
      <c r="S287" s="21">
        <v>1.2939499999999999</v>
      </c>
      <c r="T287">
        <f t="shared" si="18"/>
        <v>12.277200000000001</v>
      </c>
      <c r="U287">
        <f t="shared" si="19"/>
        <v>15.897255191999999</v>
      </c>
    </row>
    <row r="288" spans="6:101">
      <c r="F288" s="9"/>
      <c r="G288" s="21">
        <v>0.28015099999999998</v>
      </c>
      <c r="H288" s="21">
        <v>32.722499999999997</v>
      </c>
      <c r="I288" s="21">
        <v>-1.60217E-2</v>
      </c>
      <c r="J288" s="21">
        <v>278</v>
      </c>
      <c r="K288" s="21">
        <v>0.27938800000000003</v>
      </c>
      <c r="L288">
        <f t="shared" si="16"/>
        <v>16.021699999999999</v>
      </c>
      <c r="M288">
        <f t="shared" si="17"/>
        <v>4.4884952766999993</v>
      </c>
      <c r="N288" s="9"/>
      <c r="O288" s="21">
        <v>1.2999000000000001</v>
      </c>
      <c r="P288" s="21">
        <v>38.970199999999998</v>
      </c>
      <c r="Q288" s="21">
        <v>-1.22162E-2</v>
      </c>
      <c r="R288" s="21">
        <v>278</v>
      </c>
      <c r="S288" s="21">
        <v>1.2988299999999999</v>
      </c>
      <c r="T288">
        <f t="shared" si="18"/>
        <v>12.216200000000001</v>
      </c>
      <c r="U288">
        <f t="shared" si="19"/>
        <v>15.879838380000001</v>
      </c>
    </row>
    <row r="289" spans="6:21">
      <c r="F289" s="9"/>
      <c r="G289" s="21">
        <v>0.27511600000000003</v>
      </c>
      <c r="H289" s="21">
        <v>32.732599999999998</v>
      </c>
      <c r="I289" s="21">
        <v>-1.60187E-2</v>
      </c>
      <c r="J289" s="21">
        <v>279</v>
      </c>
      <c r="K289" s="21">
        <v>0.27435300000000001</v>
      </c>
      <c r="L289">
        <f t="shared" si="16"/>
        <v>16.018699999999999</v>
      </c>
      <c r="M289">
        <f t="shared" si="17"/>
        <v>4.4070006692000003</v>
      </c>
      <c r="N289" s="9"/>
      <c r="O289" s="21">
        <v>1.3049299999999999</v>
      </c>
      <c r="P289" s="21">
        <v>38.980200000000004</v>
      </c>
      <c r="Q289" s="21">
        <v>-1.2158199999999999E-2</v>
      </c>
      <c r="R289" s="21">
        <v>279</v>
      </c>
      <c r="S289" s="21">
        <v>1.3037099999999999</v>
      </c>
      <c r="T289">
        <f t="shared" si="18"/>
        <v>12.158199999999999</v>
      </c>
      <c r="U289">
        <f t="shared" si="19"/>
        <v>15.865599925999998</v>
      </c>
    </row>
    <row r="290" spans="6:21">
      <c r="F290" s="9"/>
      <c r="G290" s="21">
        <v>0.27008100000000002</v>
      </c>
      <c r="H290" s="21">
        <v>32.742699999999999</v>
      </c>
      <c r="I290" s="21">
        <v>-1.60217E-2</v>
      </c>
      <c r="J290" s="21">
        <v>280</v>
      </c>
      <c r="K290" s="21">
        <v>0.269318</v>
      </c>
      <c r="L290">
        <f t="shared" si="16"/>
        <v>16.021699999999999</v>
      </c>
      <c r="M290">
        <f t="shared" si="17"/>
        <v>4.3271567577000001</v>
      </c>
      <c r="N290" s="9"/>
      <c r="O290" s="21">
        <v>1.3099700000000001</v>
      </c>
      <c r="P290" s="21">
        <v>38.990299999999998</v>
      </c>
      <c r="Q290" s="21">
        <v>-1.2088E-2</v>
      </c>
      <c r="R290" s="21">
        <v>280</v>
      </c>
      <c r="S290" s="21">
        <v>1.3085899999999999</v>
      </c>
      <c r="T290">
        <f t="shared" si="18"/>
        <v>12.087999999999999</v>
      </c>
      <c r="U290">
        <f t="shared" si="19"/>
        <v>15.83491736</v>
      </c>
    </row>
    <row r="291" spans="6:21">
      <c r="F291" s="9"/>
      <c r="G291" s="21">
        <v>0.26504499999999998</v>
      </c>
      <c r="H291" s="21">
        <v>32.752699999999997</v>
      </c>
      <c r="I291" s="21">
        <v>-1.60217E-2</v>
      </c>
      <c r="J291" s="21">
        <v>281</v>
      </c>
      <c r="K291" s="21">
        <v>0.26428200000000002</v>
      </c>
      <c r="L291">
        <f t="shared" si="16"/>
        <v>16.021699999999999</v>
      </c>
      <c r="M291">
        <f t="shared" si="17"/>
        <v>4.2464714764999991</v>
      </c>
      <c r="N291" s="9"/>
      <c r="O291" s="21">
        <v>1.3149999999999999</v>
      </c>
      <c r="P291" s="21">
        <v>39.000399999999999</v>
      </c>
      <c r="Q291" s="21">
        <v>-1.20178E-2</v>
      </c>
      <c r="R291" s="21">
        <v>281</v>
      </c>
      <c r="S291" s="21">
        <v>1.3137799999999999</v>
      </c>
      <c r="T291">
        <f t="shared" si="18"/>
        <v>12.017800000000001</v>
      </c>
      <c r="U291">
        <f t="shared" si="19"/>
        <v>15.803407</v>
      </c>
    </row>
    <row r="292" spans="6:21">
      <c r="F292" s="9"/>
      <c r="G292" s="21">
        <v>0.26001000000000002</v>
      </c>
      <c r="H292" s="21">
        <v>32.762799999999999</v>
      </c>
      <c r="I292" s="21">
        <v>-1.60217E-2</v>
      </c>
      <c r="J292" s="21">
        <v>282</v>
      </c>
      <c r="K292" s="21">
        <v>0.25918600000000003</v>
      </c>
      <c r="L292">
        <f t="shared" si="16"/>
        <v>16.021699999999999</v>
      </c>
      <c r="M292">
        <f t="shared" si="17"/>
        <v>4.1658022170000004</v>
      </c>
      <c r="N292" s="9"/>
      <c r="O292" s="21">
        <v>1.3200400000000001</v>
      </c>
      <c r="P292" s="21">
        <v>39.010399999999997</v>
      </c>
      <c r="Q292" s="21">
        <v>-1.19507E-2</v>
      </c>
      <c r="R292" s="21">
        <v>282</v>
      </c>
      <c r="S292" s="21">
        <v>1.31897</v>
      </c>
      <c r="T292">
        <f t="shared" si="18"/>
        <v>11.950699999999999</v>
      </c>
      <c r="U292">
        <f t="shared" si="19"/>
        <v>15.775402028</v>
      </c>
    </row>
    <row r="293" spans="6:21">
      <c r="F293" s="9"/>
      <c r="G293" s="21">
        <v>0.25497399999999998</v>
      </c>
      <c r="H293" s="21">
        <v>32.7729</v>
      </c>
      <c r="I293" s="21">
        <v>-1.60339E-2</v>
      </c>
      <c r="J293" s="21">
        <v>283</v>
      </c>
      <c r="K293" s="21">
        <v>0.25421100000000002</v>
      </c>
      <c r="L293">
        <f t="shared" si="16"/>
        <v>16.033899999999999</v>
      </c>
      <c r="M293">
        <f t="shared" si="17"/>
        <v>4.0882276185999995</v>
      </c>
      <c r="N293" s="9"/>
      <c r="O293" s="21">
        <v>1.32507</v>
      </c>
      <c r="P293" s="21">
        <v>39.020499999999998</v>
      </c>
      <c r="Q293" s="21">
        <v>-1.18774E-2</v>
      </c>
      <c r="R293" s="21">
        <v>283</v>
      </c>
      <c r="S293" s="21">
        <v>1.32446</v>
      </c>
      <c r="T293">
        <f t="shared" si="18"/>
        <v>11.8774</v>
      </c>
      <c r="U293">
        <f t="shared" si="19"/>
        <v>15.738386417999999</v>
      </c>
    </row>
    <row r="294" spans="6:21">
      <c r="F294" s="9"/>
      <c r="G294" s="21">
        <v>0.24993899999999999</v>
      </c>
      <c r="H294" s="21">
        <v>32.782899999999998</v>
      </c>
      <c r="I294" s="21">
        <v>-1.60339E-2</v>
      </c>
      <c r="J294" s="21">
        <v>284</v>
      </c>
      <c r="K294" s="21">
        <v>0.24917600000000001</v>
      </c>
      <c r="L294">
        <f t="shared" si="16"/>
        <v>16.033899999999999</v>
      </c>
      <c r="M294">
        <f t="shared" si="17"/>
        <v>4.0074969320999996</v>
      </c>
      <c r="N294" s="9"/>
      <c r="O294" s="21">
        <v>1.3301099999999999</v>
      </c>
      <c r="P294" s="21">
        <v>39.0306</v>
      </c>
      <c r="Q294" s="21">
        <v>-1.18011E-2</v>
      </c>
      <c r="R294" s="21">
        <v>284</v>
      </c>
      <c r="S294" s="21">
        <v>1.32904</v>
      </c>
      <c r="T294">
        <f t="shared" si="18"/>
        <v>11.8011</v>
      </c>
      <c r="U294">
        <f t="shared" si="19"/>
        <v>15.696761120999998</v>
      </c>
    </row>
    <row r="295" spans="6:21">
      <c r="F295" s="9"/>
      <c r="G295" s="21">
        <v>0.24490400000000001</v>
      </c>
      <c r="H295" s="21">
        <v>32.792999999999999</v>
      </c>
      <c r="I295" s="21">
        <v>-1.6043100000000001E-2</v>
      </c>
      <c r="J295" s="21">
        <v>285</v>
      </c>
      <c r="K295" s="21">
        <v>0.24410999999999999</v>
      </c>
      <c r="L295">
        <f t="shared" si="16"/>
        <v>16.043100000000003</v>
      </c>
      <c r="M295">
        <f t="shared" si="17"/>
        <v>3.9290193624000009</v>
      </c>
      <c r="N295" s="9"/>
      <c r="O295" s="21">
        <v>1.33514</v>
      </c>
      <c r="P295" s="21">
        <v>39.040599999999998</v>
      </c>
      <c r="Q295" s="21">
        <v>-1.1727899999999999E-2</v>
      </c>
      <c r="R295" s="21">
        <v>285</v>
      </c>
      <c r="S295" s="21">
        <v>1.33392</v>
      </c>
      <c r="T295">
        <f t="shared" si="18"/>
        <v>11.7279</v>
      </c>
      <c r="U295">
        <f t="shared" si="19"/>
        <v>15.658388406</v>
      </c>
    </row>
    <row r="296" spans="6:21">
      <c r="F296" s="9"/>
      <c r="G296" s="21">
        <v>0.239868</v>
      </c>
      <c r="H296" s="21">
        <v>32.803100000000001</v>
      </c>
      <c r="I296" s="21">
        <v>-1.6039999999999999E-2</v>
      </c>
      <c r="J296" s="21">
        <v>286</v>
      </c>
      <c r="K296" s="21">
        <v>0.23907500000000001</v>
      </c>
      <c r="L296">
        <f t="shared" si="16"/>
        <v>16.04</v>
      </c>
      <c r="M296">
        <f t="shared" si="17"/>
        <v>3.8474827199999999</v>
      </c>
      <c r="N296" s="9"/>
      <c r="O296" s="21">
        <v>1.3401799999999999</v>
      </c>
      <c r="P296" s="21">
        <v>39.050699999999999</v>
      </c>
      <c r="Q296" s="21">
        <v>-1.1660800000000001E-2</v>
      </c>
      <c r="R296" s="21">
        <v>286</v>
      </c>
      <c r="S296" s="21">
        <v>1.33972</v>
      </c>
      <c r="T296">
        <f t="shared" si="18"/>
        <v>11.6608</v>
      </c>
      <c r="U296">
        <f t="shared" si="19"/>
        <v>15.627570943999999</v>
      </c>
    </row>
    <row r="297" spans="6:21">
      <c r="F297" s="9"/>
      <c r="G297" s="21">
        <v>0.23483299999999999</v>
      </c>
      <c r="H297" s="21">
        <v>32.813200000000002</v>
      </c>
      <c r="I297" s="21">
        <v>-1.6055300000000002E-2</v>
      </c>
      <c r="J297" s="21">
        <v>287</v>
      </c>
      <c r="K297" s="21">
        <v>0.234039</v>
      </c>
      <c r="L297">
        <f t="shared" si="16"/>
        <v>16.055300000000003</v>
      </c>
      <c r="M297">
        <f t="shared" si="17"/>
        <v>3.7703142649000005</v>
      </c>
      <c r="N297" s="9"/>
      <c r="O297" s="21">
        <v>1.34521</v>
      </c>
      <c r="P297" s="21">
        <v>39.0608</v>
      </c>
      <c r="Q297" s="21">
        <v>-1.15906E-2</v>
      </c>
      <c r="R297" s="21">
        <v>287</v>
      </c>
      <c r="S297" s="21">
        <v>1.3443000000000001</v>
      </c>
      <c r="T297">
        <f t="shared" si="18"/>
        <v>11.5906</v>
      </c>
      <c r="U297">
        <f t="shared" si="19"/>
        <v>15.591791026000001</v>
      </c>
    </row>
    <row r="298" spans="6:21">
      <c r="F298" s="9"/>
      <c r="G298" s="21">
        <v>0.229797</v>
      </c>
      <c r="H298" s="21">
        <v>32.8232</v>
      </c>
      <c r="I298" s="21">
        <v>-1.6064499999999999E-2</v>
      </c>
      <c r="J298" s="21">
        <v>288</v>
      </c>
      <c r="K298" s="21">
        <v>0.22906499999999999</v>
      </c>
      <c r="L298">
        <f t="shared" si="16"/>
        <v>16.064499999999999</v>
      </c>
      <c r="M298">
        <f t="shared" si="17"/>
        <v>3.6915739064999999</v>
      </c>
      <c r="N298" s="9"/>
      <c r="O298" s="21">
        <v>1.35025</v>
      </c>
      <c r="P298" s="21">
        <v>39.070900000000002</v>
      </c>
      <c r="Q298" s="21">
        <v>-1.1511199999999999E-2</v>
      </c>
      <c r="R298" s="21">
        <v>288</v>
      </c>
      <c r="S298" s="21">
        <v>1.3488800000000001</v>
      </c>
      <c r="T298">
        <f t="shared" si="18"/>
        <v>11.511199999999999</v>
      </c>
      <c r="U298">
        <f t="shared" si="19"/>
        <v>15.542997799999998</v>
      </c>
    </row>
    <row r="299" spans="6:21">
      <c r="F299" s="9"/>
      <c r="G299" s="21">
        <v>0.22476199999999999</v>
      </c>
      <c r="H299" s="21">
        <v>32.833300000000001</v>
      </c>
      <c r="I299" s="21">
        <v>-1.6064499999999999E-2</v>
      </c>
      <c r="J299" s="21">
        <v>289</v>
      </c>
      <c r="K299" s="21">
        <v>0.223999</v>
      </c>
      <c r="L299">
        <f t="shared" si="16"/>
        <v>16.064499999999999</v>
      </c>
      <c r="M299">
        <f t="shared" si="17"/>
        <v>3.6106891489999997</v>
      </c>
      <c r="N299" s="9"/>
      <c r="O299" s="21">
        <v>1.3552900000000001</v>
      </c>
      <c r="P299" s="21">
        <v>39.0809</v>
      </c>
      <c r="Q299" s="21">
        <v>-1.1441E-2</v>
      </c>
      <c r="R299" s="21">
        <v>289</v>
      </c>
      <c r="S299" s="21">
        <v>1.3543700000000001</v>
      </c>
      <c r="T299">
        <f t="shared" si="18"/>
        <v>11.440999999999999</v>
      </c>
      <c r="U299">
        <f t="shared" si="19"/>
        <v>15.505872889999999</v>
      </c>
    </row>
    <row r="300" spans="6:21">
      <c r="F300" s="9"/>
      <c r="G300" s="21">
        <v>0.21972700000000001</v>
      </c>
      <c r="H300" s="21">
        <v>32.843400000000003</v>
      </c>
      <c r="I300" s="21">
        <v>-1.60614E-2</v>
      </c>
      <c r="J300" s="21">
        <v>290</v>
      </c>
      <c r="K300" s="21">
        <v>0.219025</v>
      </c>
      <c r="L300">
        <f t="shared" si="16"/>
        <v>16.061399999999999</v>
      </c>
      <c r="M300">
        <f t="shared" si="17"/>
        <v>3.5291232377999999</v>
      </c>
      <c r="N300" s="9"/>
      <c r="O300" s="21">
        <v>1.36032</v>
      </c>
      <c r="P300" s="21">
        <v>39.091000000000001</v>
      </c>
      <c r="Q300" s="21">
        <v>-1.13647E-2</v>
      </c>
      <c r="R300" s="21">
        <v>290</v>
      </c>
      <c r="S300" s="21">
        <v>1.3595600000000001</v>
      </c>
      <c r="T300">
        <f t="shared" si="18"/>
        <v>11.364700000000001</v>
      </c>
      <c r="U300">
        <f t="shared" si="19"/>
        <v>15.459628704000002</v>
      </c>
    </row>
    <row r="301" spans="6:21">
      <c r="F301" s="9"/>
      <c r="G301" s="21">
        <v>0.21469099999999999</v>
      </c>
      <c r="H301" s="21">
        <v>32.853400000000001</v>
      </c>
      <c r="I301" s="21">
        <v>-1.6058300000000001E-2</v>
      </c>
      <c r="J301" s="21">
        <v>291</v>
      </c>
      <c r="K301" s="21">
        <v>0.213898</v>
      </c>
      <c r="L301">
        <f t="shared" si="16"/>
        <v>16.058300000000003</v>
      </c>
      <c r="M301">
        <f t="shared" si="17"/>
        <v>3.4475724853000003</v>
      </c>
      <c r="N301" s="9"/>
      <c r="O301" s="21">
        <v>1.3653599999999999</v>
      </c>
      <c r="P301" s="21">
        <v>39.101100000000002</v>
      </c>
      <c r="Q301" s="21">
        <v>-1.1291499999999999E-2</v>
      </c>
      <c r="R301" s="21">
        <v>291</v>
      </c>
      <c r="S301" s="21">
        <v>1.3644400000000001</v>
      </c>
      <c r="T301">
        <f t="shared" si="18"/>
        <v>11.291499999999999</v>
      </c>
      <c r="U301">
        <f t="shared" si="19"/>
        <v>15.416962439999997</v>
      </c>
    </row>
    <row r="302" spans="6:21">
      <c r="F302" s="9"/>
      <c r="G302" s="21">
        <v>0.20965600000000001</v>
      </c>
      <c r="H302" s="21">
        <v>32.863500000000002</v>
      </c>
      <c r="I302" s="21">
        <v>-1.6064499999999999E-2</v>
      </c>
      <c r="J302" s="21">
        <v>292</v>
      </c>
      <c r="K302" s="21">
        <v>0.20886199999999999</v>
      </c>
      <c r="L302">
        <f t="shared" si="16"/>
        <v>16.064499999999999</v>
      </c>
      <c r="M302">
        <f t="shared" si="17"/>
        <v>3.3680188119999999</v>
      </c>
      <c r="N302" s="9"/>
      <c r="O302" s="21">
        <v>1.37039</v>
      </c>
      <c r="P302" s="21">
        <v>39.1111</v>
      </c>
      <c r="Q302" s="21">
        <v>-1.12213E-2</v>
      </c>
      <c r="R302" s="21">
        <v>292</v>
      </c>
      <c r="S302" s="21">
        <v>1.3699300000000001</v>
      </c>
      <c r="T302">
        <f t="shared" si="18"/>
        <v>11.221299999999999</v>
      </c>
      <c r="U302">
        <f t="shared" si="19"/>
        <v>15.377557307</v>
      </c>
    </row>
    <row r="303" spans="6:21">
      <c r="F303" s="9"/>
      <c r="G303" s="21">
        <v>0.20462</v>
      </c>
      <c r="H303" s="21">
        <v>32.873600000000003</v>
      </c>
      <c r="I303" s="21">
        <v>-1.6076699999999999E-2</v>
      </c>
      <c r="J303" s="21">
        <v>293</v>
      </c>
      <c r="K303" s="21">
        <v>0.20397899999999999</v>
      </c>
      <c r="L303">
        <f t="shared" si="16"/>
        <v>16.076699999999999</v>
      </c>
      <c r="M303">
        <f t="shared" si="17"/>
        <v>3.2896143539999998</v>
      </c>
      <c r="N303" s="9"/>
      <c r="O303" s="21">
        <v>1.3754299999999999</v>
      </c>
      <c r="P303" s="21">
        <v>39.121200000000002</v>
      </c>
      <c r="Q303" s="21">
        <v>-1.1135900000000001E-2</v>
      </c>
      <c r="R303" s="21">
        <v>293</v>
      </c>
      <c r="S303" s="21">
        <v>1.3745099999999999</v>
      </c>
      <c r="T303">
        <f t="shared" si="18"/>
        <v>11.135900000000001</v>
      </c>
      <c r="U303">
        <f t="shared" si="19"/>
        <v>15.316650937</v>
      </c>
    </row>
    <row r="304" spans="6:21">
      <c r="F304" s="9"/>
      <c r="G304" s="21">
        <v>0.19958500000000001</v>
      </c>
      <c r="H304" s="21">
        <v>32.883699999999997</v>
      </c>
      <c r="I304" s="21">
        <v>-1.6079699999999999E-2</v>
      </c>
      <c r="J304" s="21">
        <v>294</v>
      </c>
      <c r="K304" s="21">
        <v>0.198853</v>
      </c>
      <c r="L304">
        <f t="shared" si="16"/>
        <v>16.079699999999999</v>
      </c>
      <c r="M304">
        <f t="shared" si="17"/>
        <v>3.2092669245000001</v>
      </c>
      <c r="N304" s="9"/>
      <c r="O304" s="21">
        <v>1.38046</v>
      </c>
      <c r="P304" s="21">
        <v>39.131300000000003</v>
      </c>
      <c r="Q304" s="21">
        <v>-1.1047400000000001E-2</v>
      </c>
      <c r="R304" s="21">
        <v>294</v>
      </c>
      <c r="S304" s="21">
        <v>1.3796999999999999</v>
      </c>
      <c r="T304">
        <f t="shared" si="18"/>
        <v>11.047400000000001</v>
      </c>
      <c r="U304">
        <f t="shared" si="19"/>
        <v>15.250493804000003</v>
      </c>
    </row>
    <row r="305" spans="6:21">
      <c r="F305" s="9"/>
      <c r="G305" s="21">
        <v>0.19455</v>
      </c>
      <c r="H305" s="21">
        <v>32.893700000000003</v>
      </c>
      <c r="I305" s="21">
        <v>-1.6085800000000001E-2</v>
      </c>
      <c r="J305" s="21">
        <v>295</v>
      </c>
      <c r="K305" s="21">
        <v>0.19381699999999999</v>
      </c>
      <c r="L305">
        <f t="shared" si="16"/>
        <v>16.085800000000003</v>
      </c>
      <c r="M305">
        <f t="shared" si="17"/>
        <v>3.1294923900000007</v>
      </c>
      <c r="N305" s="9"/>
      <c r="O305" s="21">
        <v>1.3855</v>
      </c>
      <c r="P305" s="21">
        <v>39.141399999999997</v>
      </c>
      <c r="Q305" s="21">
        <v>-1.09619E-2</v>
      </c>
      <c r="R305" s="21">
        <v>295</v>
      </c>
      <c r="S305" s="21">
        <v>1.3845799999999999</v>
      </c>
      <c r="T305">
        <f t="shared" si="18"/>
        <v>10.9619</v>
      </c>
      <c r="U305">
        <f t="shared" si="19"/>
        <v>15.187712449999999</v>
      </c>
    </row>
    <row r="306" spans="6:21">
      <c r="F306" s="9"/>
      <c r="G306" s="21">
        <v>0.18951399999999999</v>
      </c>
      <c r="H306" s="21">
        <v>32.903799999999997</v>
      </c>
      <c r="I306" s="21">
        <v>-1.6085800000000001E-2</v>
      </c>
      <c r="J306" s="21">
        <v>296</v>
      </c>
      <c r="K306" s="21">
        <v>0.18859899999999999</v>
      </c>
      <c r="L306">
        <f t="shared" si="16"/>
        <v>16.085800000000003</v>
      </c>
      <c r="M306">
        <f t="shared" si="17"/>
        <v>3.0484843012000002</v>
      </c>
      <c r="N306" s="9"/>
      <c r="O306" s="21">
        <v>1.39053</v>
      </c>
      <c r="P306" s="21">
        <v>39.151400000000002</v>
      </c>
      <c r="Q306" s="21">
        <v>-1.08673E-2</v>
      </c>
      <c r="R306" s="21">
        <v>296</v>
      </c>
      <c r="S306" s="21">
        <v>1.38947</v>
      </c>
      <c r="T306">
        <f t="shared" si="18"/>
        <v>10.8673</v>
      </c>
      <c r="U306">
        <f t="shared" si="19"/>
        <v>15.111306669000001</v>
      </c>
    </row>
    <row r="307" spans="6:21">
      <c r="F307" s="9"/>
      <c r="G307" s="21">
        <v>0.184479</v>
      </c>
      <c r="H307" s="21">
        <v>32.913899999999998</v>
      </c>
      <c r="I307" s="21">
        <v>-1.6085800000000001E-2</v>
      </c>
      <c r="J307" s="21">
        <v>297</v>
      </c>
      <c r="K307" s="21">
        <v>0.18371599999999999</v>
      </c>
      <c r="L307">
        <f t="shared" si="16"/>
        <v>16.085800000000003</v>
      </c>
      <c r="M307">
        <f t="shared" si="17"/>
        <v>2.9674922982000007</v>
      </c>
      <c r="N307" s="9"/>
      <c r="O307" s="21">
        <v>1.39557</v>
      </c>
      <c r="P307" s="21">
        <v>39.161499999999997</v>
      </c>
      <c r="Q307" s="21">
        <v>-1.07727E-2</v>
      </c>
      <c r="R307" s="21">
        <v>297</v>
      </c>
      <c r="S307" s="21">
        <v>1.3946499999999999</v>
      </c>
      <c r="T307">
        <f t="shared" si="18"/>
        <v>10.7727</v>
      </c>
      <c r="U307">
        <f t="shared" si="19"/>
        <v>15.034056939000001</v>
      </c>
    </row>
    <row r="308" spans="6:21">
      <c r="F308" s="9"/>
      <c r="G308" s="21">
        <v>0.17944299999999999</v>
      </c>
      <c r="H308" s="21">
        <v>32.923900000000003</v>
      </c>
      <c r="I308" s="21">
        <v>-1.60889E-2</v>
      </c>
      <c r="J308" s="21">
        <v>298</v>
      </c>
      <c r="K308" s="21">
        <v>0.17865</v>
      </c>
      <c r="L308">
        <f t="shared" si="16"/>
        <v>16.088899999999999</v>
      </c>
      <c r="M308">
        <f t="shared" si="17"/>
        <v>2.8870404826999998</v>
      </c>
      <c r="N308" s="9"/>
      <c r="O308" s="21">
        <v>1.4006000000000001</v>
      </c>
      <c r="P308" s="21">
        <v>39.171599999999998</v>
      </c>
      <c r="Q308" s="21">
        <v>-1.06873E-2</v>
      </c>
      <c r="R308" s="21">
        <v>298</v>
      </c>
      <c r="S308" s="21">
        <v>1.39984</v>
      </c>
      <c r="T308">
        <f t="shared" si="18"/>
        <v>10.6873</v>
      </c>
      <c r="U308">
        <f t="shared" si="19"/>
        <v>14.968632380000001</v>
      </c>
    </row>
    <row r="309" spans="6:21">
      <c r="F309" s="9"/>
      <c r="G309" s="21">
        <v>0.17440800000000001</v>
      </c>
      <c r="H309" s="21">
        <v>32.933999999999997</v>
      </c>
      <c r="I309" s="21">
        <v>-1.6107199999999999E-2</v>
      </c>
      <c r="J309" s="21">
        <v>299</v>
      </c>
      <c r="K309" s="21">
        <v>0.173706</v>
      </c>
      <c r="L309">
        <f t="shared" si="16"/>
        <v>16.107199999999999</v>
      </c>
      <c r="M309">
        <f t="shared" si="17"/>
        <v>2.8092245376</v>
      </c>
      <c r="N309" s="9"/>
      <c r="O309" s="21">
        <v>1.40564</v>
      </c>
      <c r="P309" s="21">
        <v>39.181600000000003</v>
      </c>
      <c r="Q309" s="21">
        <v>-1.05957E-2</v>
      </c>
      <c r="R309" s="21">
        <v>299</v>
      </c>
      <c r="S309" s="21">
        <v>1.40472</v>
      </c>
      <c r="T309">
        <f t="shared" si="18"/>
        <v>10.595699999999999</v>
      </c>
      <c r="U309">
        <f t="shared" si="19"/>
        <v>14.893739747999998</v>
      </c>
    </row>
    <row r="310" spans="6:21">
      <c r="F310" s="9"/>
      <c r="G310" s="21">
        <v>0.169373</v>
      </c>
      <c r="H310" s="21">
        <v>32.944099999999999</v>
      </c>
      <c r="I310" s="21">
        <v>-1.6125500000000001E-2</v>
      </c>
      <c r="J310" s="21">
        <v>300</v>
      </c>
      <c r="K310" s="21">
        <v>0.16867099999999999</v>
      </c>
      <c r="L310">
        <f t="shared" si="16"/>
        <v>16.125500000000002</v>
      </c>
      <c r="M310">
        <f t="shared" si="17"/>
        <v>2.7312243115000006</v>
      </c>
      <c r="N310" s="9"/>
      <c r="O310" s="21">
        <v>1.4106799999999999</v>
      </c>
      <c r="P310" s="21">
        <v>39.191699999999997</v>
      </c>
      <c r="Q310" s="21">
        <v>-1.05042E-2</v>
      </c>
      <c r="R310" s="21">
        <v>300</v>
      </c>
      <c r="S310" s="21">
        <v>1.40961</v>
      </c>
      <c r="T310">
        <f t="shared" si="18"/>
        <v>10.504200000000001</v>
      </c>
      <c r="U310">
        <f t="shared" si="19"/>
        <v>14.818064856000001</v>
      </c>
    </row>
    <row r="311" spans="6:21">
      <c r="F311" s="9"/>
      <c r="G311" s="21">
        <v>0.16433700000000001</v>
      </c>
      <c r="H311" s="21">
        <v>32.9542</v>
      </c>
      <c r="I311" s="21">
        <v>-1.6134599999999999E-2</v>
      </c>
      <c r="J311" s="21">
        <v>301</v>
      </c>
      <c r="K311" s="21">
        <v>0.163574</v>
      </c>
      <c r="L311">
        <f t="shared" si="16"/>
        <v>16.134599999999999</v>
      </c>
      <c r="M311">
        <f t="shared" si="17"/>
        <v>2.6515117602</v>
      </c>
      <c r="N311" s="9"/>
      <c r="O311" s="21">
        <v>1.41571</v>
      </c>
      <c r="P311" s="21">
        <v>39.201799999999999</v>
      </c>
      <c r="Q311" s="21">
        <v>-1.04034E-2</v>
      </c>
      <c r="R311" s="21">
        <v>301</v>
      </c>
      <c r="S311" s="21">
        <v>1.41479</v>
      </c>
      <c r="T311">
        <f t="shared" si="18"/>
        <v>10.4034</v>
      </c>
      <c r="U311">
        <f t="shared" si="19"/>
        <v>14.728197414</v>
      </c>
    </row>
    <row r="312" spans="6:21">
      <c r="F312" s="9"/>
      <c r="G312" s="21">
        <v>0.159302</v>
      </c>
      <c r="H312" s="21">
        <v>32.964199999999998</v>
      </c>
      <c r="I312" s="21">
        <v>-1.61438E-2</v>
      </c>
      <c r="J312" s="21">
        <v>302</v>
      </c>
      <c r="K312" s="21">
        <v>0.15853900000000001</v>
      </c>
      <c r="L312">
        <f t="shared" si="16"/>
        <v>16.143799999999999</v>
      </c>
      <c r="M312">
        <f t="shared" si="17"/>
        <v>2.5717396276</v>
      </c>
      <c r="N312" s="9"/>
      <c r="O312" s="21">
        <v>1.42075</v>
      </c>
      <c r="P312" s="21">
        <v>39.2119</v>
      </c>
      <c r="Q312" s="21">
        <v>-1.03027E-2</v>
      </c>
      <c r="R312" s="21">
        <v>302</v>
      </c>
      <c r="S312" s="21">
        <v>1.41998</v>
      </c>
      <c r="T312">
        <f t="shared" si="18"/>
        <v>10.3027</v>
      </c>
      <c r="U312">
        <f t="shared" si="19"/>
        <v>14.637561024999998</v>
      </c>
    </row>
    <row r="313" spans="6:21">
      <c r="F313" s="9"/>
      <c r="G313" s="21">
        <v>0.15426599999999999</v>
      </c>
      <c r="H313" s="21">
        <v>32.974299999999999</v>
      </c>
      <c r="I313" s="21">
        <v>-1.6153000000000001E-2</v>
      </c>
      <c r="J313" s="21">
        <v>303</v>
      </c>
      <c r="K313" s="21">
        <v>0.153473</v>
      </c>
      <c r="L313">
        <f t="shared" si="16"/>
        <v>16.153000000000002</v>
      </c>
      <c r="M313">
        <f t="shared" si="17"/>
        <v>2.4918586980000001</v>
      </c>
      <c r="N313" s="9"/>
      <c r="O313" s="21">
        <v>1.42578</v>
      </c>
      <c r="P313" s="21">
        <v>39.221899999999998</v>
      </c>
      <c r="Q313" s="21">
        <v>-1.02051E-2</v>
      </c>
      <c r="R313" s="21">
        <v>303</v>
      </c>
      <c r="S313" s="21">
        <v>1.42456</v>
      </c>
      <c r="T313">
        <f t="shared" si="18"/>
        <v>10.2051</v>
      </c>
      <c r="U313">
        <f t="shared" si="19"/>
        <v>14.550227478</v>
      </c>
    </row>
    <row r="314" spans="6:21">
      <c r="F314" s="9"/>
      <c r="G314" s="21">
        <v>0.149231</v>
      </c>
      <c r="H314" s="21">
        <v>32.984400000000001</v>
      </c>
      <c r="I314" s="21">
        <v>-1.6165200000000001E-2</v>
      </c>
      <c r="J314" s="21">
        <v>304</v>
      </c>
      <c r="K314" s="21">
        <v>0.14849899999999999</v>
      </c>
      <c r="L314">
        <f t="shared" si="16"/>
        <v>16.165200000000002</v>
      </c>
      <c r="M314">
        <f t="shared" si="17"/>
        <v>2.4123489612000002</v>
      </c>
      <c r="N314" s="9"/>
      <c r="O314" s="21">
        <v>1.43082</v>
      </c>
      <c r="P314" s="21">
        <v>39.231999999999999</v>
      </c>
      <c r="Q314" s="21">
        <v>-1.00952E-2</v>
      </c>
      <c r="R314" s="21">
        <v>304</v>
      </c>
      <c r="S314" s="21">
        <v>1.43005</v>
      </c>
      <c r="T314">
        <f t="shared" si="18"/>
        <v>10.0952</v>
      </c>
      <c r="U314">
        <f t="shared" si="19"/>
        <v>14.444414064</v>
      </c>
    </row>
    <row r="315" spans="6:21">
      <c r="F315" s="9"/>
      <c r="G315" s="21">
        <v>0.14419599999999999</v>
      </c>
      <c r="H315" s="21">
        <v>32.994399999999999</v>
      </c>
      <c r="I315" s="21">
        <v>-1.61835E-2</v>
      </c>
      <c r="J315" s="21">
        <v>305</v>
      </c>
      <c r="K315" s="21">
        <v>0.14346300000000001</v>
      </c>
      <c r="L315">
        <f t="shared" si="16"/>
        <v>16.183499999999999</v>
      </c>
      <c r="M315">
        <f t="shared" si="17"/>
        <v>2.3335959659999999</v>
      </c>
      <c r="N315" s="9"/>
      <c r="O315" s="21">
        <v>1.4358500000000001</v>
      </c>
      <c r="P315" s="21">
        <v>39.242100000000001</v>
      </c>
      <c r="Q315" s="21">
        <v>-9.9792500000000003E-3</v>
      </c>
      <c r="R315" s="21">
        <v>305</v>
      </c>
      <c r="S315" s="21">
        <v>1.4352400000000001</v>
      </c>
      <c r="T315">
        <f t="shared" si="18"/>
        <v>9.9792500000000004</v>
      </c>
      <c r="U315">
        <f t="shared" si="19"/>
        <v>14.328706112500001</v>
      </c>
    </row>
    <row r="316" spans="6:21">
      <c r="F316" s="9"/>
      <c r="G316" s="21">
        <v>0.13916000000000001</v>
      </c>
      <c r="H316" s="21">
        <v>33.0045</v>
      </c>
      <c r="I316" s="21">
        <v>-1.6192600000000001E-2</v>
      </c>
      <c r="J316" s="21">
        <v>306</v>
      </c>
      <c r="K316" s="21">
        <v>0.13839699999999999</v>
      </c>
      <c r="L316">
        <f t="shared" si="16"/>
        <v>16.192600000000002</v>
      </c>
      <c r="M316">
        <f t="shared" si="17"/>
        <v>2.2533622160000006</v>
      </c>
      <c r="N316" s="9"/>
      <c r="O316" s="21">
        <v>1.44089</v>
      </c>
      <c r="P316" s="21">
        <v>39.252099999999999</v>
      </c>
      <c r="Q316" s="21">
        <v>-9.8632800000000003E-3</v>
      </c>
      <c r="R316" s="21">
        <v>306</v>
      </c>
      <c r="S316" s="21">
        <v>1.4398200000000001</v>
      </c>
      <c r="T316">
        <f t="shared" si="18"/>
        <v>9.8632799999999996</v>
      </c>
      <c r="U316">
        <f t="shared" si="19"/>
        <v>14.2119015192</v>
      </c>
    </row>
    <row r="317" spans="6:21">
      <c r="F317" s="9"/>
      <c r="G317" s="21">
        <v>0.13412499999999999</v>
      </c>
      <c r="H317" s="21">
        <v>33.014600000000002</v>
      </c>
      <c r="I317" s="21">
        <v>-1.6201799999999999E-2</v>
      </c>
      <c r="J317" s="21">
        <v>307</v>
      </c>
      <c r="K317" s="21">
        <v>0.133301</v>
      </c>
      <c r="L317">
        <f t="shared" si="16"/>
        <v>16.201799999999999</v>
      </c>
      <c r="M317">
        <f t="shared" si="17"/>
        <v>2.1730664249999996</v>
      </c>
      <c r="N317" s="9"/>
      <c r="O317" s="21">
        <v>1.4459200000000001</v>
      </c>
      <c r="P317" s="21">
        <v>39.2622</v>
      </c>
      <c r="Q317" s="21">
        <v>-9.7534200000000005E-3</v>
      </c>
      <c r="R317" s="21">
        <v>307</v>
      </c>
      <c r="S317" s="21">
        <v>1.4453100000000001</v>
      </c>
      <c r="T317">
        <f t="shared" si="18"/>
        <v>9.7534200000000002</v>
      </c>
      <c r="U317">
        <f t="shared" si="19"/>
        <v>14.102665046400002</v>
      </c>
    </row>
    <row r="318" spans="6:21">
      <c r="F318" s="9"/>
      <c r="G318" s="21">
        <v>0.12908900000000001</v>
      </c>
      <c r="H318" s="21">
        <v>33.0246</v>
      </c>
      <c r="I318" s="21">
        <v>-1.6204799999999998E-2</v>
      </c>
      <c r="J318" s="21">
        <v>308</v>
      </c>
      <c r="K318" s="21">
        <v>0.12826499999999999</v>
      </c>
      <c r="L318">
        <f t="shared" si="16"/>
        <v>16.204799999999999</v>
      </c>
      <c r="M318">
        <f t="shared" si="17"/>
        <v>2.0918614272</v>
      </c>
      <c r="N318" s="9"/>
      <c r="O318" s="21">
        <v>1.45096</v>
      </c>
      <c r="P318" s="21">
        <v>39.272300000000001</v>
      </c>
      <c r="Q318" s="21">
        <v>-9.6435500000000007E-3</v>
      </c>
      <c r="R318" s="21">
        <v>308</v>
      </c>
      <c r="S318" s="21">
        <v>1.4501999999999999</v>
      </c>
      <c r="T318">
        <f t="shared" si="18"/>
        <v>9.6435500000000012</v>
      </c>
      <c r="U318">
        <f t="shared" si="19"/>
        <v>13.992405308000002</v>
      </c>
    </row>
    <row r="319" spans="6:21">
      <c r="F319" s="9"/>
      <c r="G319" s="21">
        <v>0.124054</v>
      </c>
      <c r="H319" s="21">
        <v>33.034700000000001</v>
      </c>
      <c r="I319" s="21">
        <v>-1.61987E-2</v>
      </c>
      <c r="J319" s="21">
        <v>309</v>
      </c>
      <c r="K319" s="21">
        <v>0.123322</v>
      </c>
      <c r="L319">
        <f t="shared" si="16"/>
        <v>16.198699999999999</v>
      </c>
      <c r="M319">
        <f t="shared" si="17"/>
        <v>2.0095135298</v>
      </c>
      <c r="N319" s="9"/>
      <c r="O319" s="21">
        <v>1.4559899999999999</v>
      </c>
      <c r="P319" s="21">
        <v>39.282400000000003</v>
      </c>
      <c r="Q319" s="21">
        <v>-9.5275900000000007E-3</v>
      </c>
      <c r="R319" s="21">
        <v>309</v>
      </c>
      <c r="S319" s="21">
        <v>1.4550799999999999</v>
      </c>
      <c r="T319">
        <f t="shared" si="18"/>
        <v>9.52759</v>
      </c>
      <c r="U319">
        <f t="shared" si="19"/>
        <v>13.8720757641</v>
      </c>
    </row>
    <row r="320" spans="6:21">
      <c r="F320" s="9"/>
      <c r="G320" s="21">
        <v>0.119019</v>
      </c>
      <c r="H320" s="21">
        <v>33.044800000000002</v>
      </c>
      <c r="I320" s="21">
        <v>-1.6189599999999998E-2</v>
      </c>
      <c r="J320" s="21">
        <v>310</v>
      </c>
      <c r="K320" s="21">
        <v>0.118256</v>
      </c>
      <c r="L320">
        <f t="shared" si="16"/>
        <v>16.189599999999999</v>
      </c>
      <c r="M320">
        <f t="shared" si="17"/>
        <v>1.9268700023999998</v>
      </c>
      <c r="N320" s="9"/>
      <c r="O320" s="21">
        <v>1.4610300000000001</v>
      </c>
      <c r="P320" s="21">
        <v>39.292400000000001</v>
      </c>
      <c r="Q320" s="21">
        <v>-9.4055200000000005E-3</v>
      </c>
      <c r="R320" s="21">
        <v>310</v>
      </c>
      <c r="S320" s="21">
        <v>1.45966</v>
      </c>
      <c r="T320">
        <f t="shared" si="18"/>
        <v>9.405520000000001</v>
      </c>
      <c r="U320">
        <f t="shared" si="19"/>
        <v>13.741746885600001</v>
      </c>
    </row>
    <row r="321" spans="6:21">
      <c r="F321" s="9"/>
      <c r="G321" s="21">
        <v>0.113983</v>
      </c>
      <c r="H321" s="21">
        <v>33.054900000000004</v>
      </c>
      <c r="I321" s="21">
        <v>-1.61835E-2</v>
      </c>
      <c r="J321" s="21">
        <v>311</v>
      </c>
      <c r="K321" s="21">
        <v>0.113251</v>
      </c>
      <c r="L321">
        <f t="shared" si="16"/>
        <v>16.183499999999999</v>
      </c>
      <c r="M321">
        <f t="shared" si="17"/>
        <v>1.8446438804999998</v>
      </c>
      <c r="N321" s="9"/>
      <c r="O321" s="21">
        <v>1.4660599999999999</v>
      </c>
      <c r="P321" s="21">
        <v>39.302500000000002</v>
      </c>
      <c r="Q321" s="21">
        <v>-9.2864999999999996E-3</v>
      </c>
      <c r="R321" s="21">
        <v>311</v>
      </c>
      <c r="S321" s="21">
        <v>1.46515</v>
      </c>
      <c r="T321">
        <f t="shared" si="18"/>
        <v>9.2865000000000002</v>
      </c>
      <c r="U321">
        <f t="shared" si="19"/>
        <v>13.61456619</v>
      </c>
    </row>
    <row r="322" spans="6:21">
      <c r="F322" s="9"/>
      <c r="G322" s="21">
        <v>0.108948</v>
      </c>
      <c r="H322" s="21">
        <v>33.064900000000002</v>
      </c>
      <c r="I322" s="21">
        <v>-1.61957E-2</v>
      </c>
      <c r="J322" s="21">
        <v>312</v>
      </c>
      <c r="K322" s="21">
        <v>0.10821500000000001</v>
      </c>
      <c r="L322">
        <f t="shared" si="16"/>
        <v>16.195699999999999</v>
      </c>
      <c r="M322">
        <f t="shared" si="17"/>
        <v>1.7644891236</v>
      </c>
      <c r="N322" s="9"/>
      <c r="O322" s="21">
        <v>1.4711000000000001</v>
      </c>
      <c r="P322" s="21">
        <v>39.312600000000003</v>
      </c>
      <c r="Q322" s="21">
        <v>-9.1613800000000002E-3</v>
      </c>
      <c r="R322" s="21">
        <v>312</v>
      </c>
      <c r="S322" s="21">
        <v>1.47095</v>
      </c>
      <c r="T322">
        <f t="shared" si="18"/>
        <v>9.1613799999999994</v>
      </c>
      <c r="U322">
        <f t="shared" si="19"/>
        <v>13.477306118</v>
      </c>
    </row>
    <row r="323" spans="6:21">
      <c r="F323" s="9"/>
      <c r="G323" s="21">
        <v>0.103912</v>
      </c>
      <c r="H323" s="21">
        <v>33.075000000000003</v>
      </c>
      <c r="I323" s="21">
        <v>-1.61987E-2</v>
      </c>
      <c r="J323" s="21">
        <v>313</v>
      </c>
      <c r="K323" s="21">
        <v>0.103088</v>
      </c>
      <c r="L323">
        <f t="shared" si="16"/>
        <v>16.198699999999999</v>
      </c>
      <c r="M323">
        <f t="shared" si="17"/>
        <v>1.6832393144</v>
      </c>
      <c r="N323" s="9"/>
      <c r="O323" s="21">
        <v>1.47614</v>
      </c>
      <c r="P323" s="21">
        <v>39.322600000000001</v>
      </c>
      <c r="Q323" s="21">
        <v>-9.0148899999999994E-3</v>
      </c>
      <c r="R323" s="21">
        <v>313</v>
      </c>
      <c r="S323" s="21">
        <v>1.47522</v>
      </c>
      <c r="T323">
        <f t="shared" si="18"/>
        <v>9.0148899999999994</v>
      </c>
      <c r="U323">
        <f t="shared" si="19"/>
        <v>13.307239724599999</v>
      </c>
    </row>
    <row r="324" spans="6:21">
      <c r="F324" s="9"/>
      <c r="G324" s="21">
        <v>9.8877000000000007E-2</v>
      </c>
      <c r="H324" s="21">
        <v>33.085099999999997</v>
      </c>
      <c r="I324" s="21">
        <v>-1.61957E-2</v>
      </c>
      <c r="J324" s="21">
        <v>314</v>
      </c>
      <c r="K324" s="21">
        <v>9.8114000000000007E-2</v>
      </c>
      <c r="L324">
        <f t="shared" si="16"/>
        <v>16.195699999999999</v>
      </c>
      <c r="M324">
        <f t="shared" si="17"/>
        <v>1.6013822288999999</v>
      </c>
      <c r="N324" s="9"/>
      <c r="O324" s="21">
        <v>1.4811700000000001</v>
      </c>
      <c r="P324" s="21">
        <v>39.332700000000003</v>
      </c>
      <c r="Q324" s="21">
        <v>-8.8775599999999996E-3</v>
      </c>
      <c r="R324" s="21">
        <v>314</v>
      </c>
      <c r="S324" s="21">
        <v>1.4798</v>
      </c>
      <c r="T324">
        <f t="shared" si="18"/>
        <v>8.877559999999999</v>
      </c>
      <c r="U324">
        <f t="shared" si="19"/>
        <v>13.149175545199999</v>
      </c>
    </row>
    <row r="325" spans="6:21">
      <c r="F325" s="9"/>
      <c r="G325" s="21">
        <v>9.3841599999999997E-2</v>
      </c>
      <c r="H325" s="21">
        <v>33.095100000000002</v>
      </c>
      <c r="I325" s="21">
        <v>-1.6207900000000001E-2</v>
      </c>
      <c r="J325" s="21">
        <v>315</v>
      </c>
      <c r="K325" s="21">
        <v>9.31091E-2</v>
      </c>
      <c r="L325">
        <f t="shared" si="16"/>
        <v>16.207900000000002</v>
      </c>
      <c r="M325">
        <f t="shared" si="17"/>
        <v>1.5209752686400002</v>
      </c>
      <c r="N325" s="9"/>
      <c r="O325" s="21">
        <v>1.48621</v>
      </c>
      <c r="P325" s="21">
        <v>39.342799999999997</v>
      </c>
      <c r="Q325" s="21">
        <v>-8.7402299999999999E-3</v>
      </c>
      <c r="R325" s="21">
        <v>315</v>
      </c>
      <c r="S325" s="21">
        <v>1.48499</v>
      </c>
      <c r="T325">
        <f t="shared" si="18"/>
        <v>8.7402300000000004</v>
      </c>
      <c r="U325">
        <f t="shared" si="19"/>
        <v>12.989817228300002</v>
      </c>
    </row>
    <row r="326" spans="6:21">
      <c r="F326" s="9"/>
      <c r="G326" s="21">
        <v>8.8806200000000002E-2</v>
      </c>
      <c r="H326" s="21">
        <v>33.105200000000004</v>
      </c>
      <c r="I326" s="21">
        <v>-1.6201799999999999E-2</v>
      </c>
      <c r="J326" s="21">
        <v>316</v>
      </c>
      <c r="K326" s="21">
        <v>8.8012699999999999E-2</v>
      </c>
      <c r="L326">
        <f t="shared" si="16"/>
        <v>16.201799999999999</v>
      </c>
      <c r="M326">
        <f t="shared" si="17"/>
        <v>1.4388202911599999</v>
      </c>
      <c r="N326" s="9"/>
      <c r="O326" s="21">
        <v>1.4912399999999999</v>
      </c>
      <c r="P326" s="21">
        <v>39.352800000000002</v>
      </c>
      <c r="Q326" s="21">
        <v>-8.5906999999999997E-3</v>
      </c>
      <c r="R326" s="21">
        <v>316</v>
      </c>
      <c r="S326" s="21">
        <v>1.49017</v>
      </c>
      <c r="T326">
        <f t="shared" si="18"/>
        <v>8.5907</v>
      </c>
      <c r="U326">
        <f t="shared" si="19"/>
        <v>12.810795467999998</v>
      </c>
    </row>
    <row r="327" spans="6:21">
      <c r="F327" s="9"/>
      <c r="G327" s="21">
        <v>8.3770800000000006E-2</v>
      </c>
      <c r="H327" s="21">
        <v>33.115299999999998</v>
      </c>
      <c r="I327" s="21">
        <v>-1.61987E-2</v>
      </c>
      <c r="J327" s="21">
        <v>317</v>
      </c>
      <c r="K327" s="21">
        <v>8.3068799999999998E-2</v>
      </c>
      <c r="L327">
        <f t="shared" si="16"/>
        <v>16.198699999999999</v>
      </c>
      <c r="M327">
        <f t="shared" si="17"/>
        <v>1.3569780579599999</v>
      </c>
      <c r="N327" s="9"/>
      <c r="O327" s="21">
        <v>1.4962800000000001</v>
      </c>
      <c r="P327" s="21">
        <v>39.362900000000003</v>
      </c>
      <c r="Q327" s="21">
        <v>-8.4381100000000004E-3</v>
      </c>
      <c r="R327" s="21">
        <v>317</v>
      </c>
      <c r="S327" s="21">
        <v>1.49536</v>
      </c>
      <c r="T327">
        <f t="shared" si="18"/>
        <v>8.43811</v>
      </c>
      <c r="U327">
        <f t="shared" si="19"/>
        <v>12.6257752308</v>
      </c>
    </row>
    <row r="328" spans="6:21">
      <c r="F328" s="9"/>
      <c r="G328" s="21">
        <v>7.8735399999999997E-2</v>
      </c>
      <c r="H328" s="21">
        <v>33.125399999999999</v>
      </c>
      <c r="I328" s="21">
        <v>-1.61957E-2</v>
      </c>
      <c r="J328" s="21">
        <v>318</v>
      </c>
      <c r="K328" s="21">
        <v>7.8094499999999997E-2</v>
      </c>
      <c r="L328">
        <f t="shared" si="16"/>
        <v>16.195699999999999</v>
      </c>
      <c r="M328">
        <f t="shared" si="17"/>
        <v>1.2751749177799998</v>
      </c>
      <c r="N328" s="9"/>
      <c r="O328" s="21">
        <v>1.5013099999999999</v>
      </c>
      <c r="P328" s="21">
        <v>39.372999999999998</v>
      </c>
      <c r="Q328" s="21">
        <v>-8.2763699999999999E-3</v>
      </c>
      <c r="R328" s="21">
        <v>318</v>
      </c>
      <c r="S328" s="21">
        <v>1.5005500000000001</v>
      </c>
      <c r="T328">
        <f t="shared" si="18"/>
        <v>8.27637</v>
      </c>
      <c r="U328">
        <f t="shared" si="19"/>
        <v>12.425397044699999</v>
      </c>
    </row>
    <row r="329" spans="6:21">
      <c r="F329" s="9"/>
      <c r="G329" s="21">
        <v>7.3700000000000002E-2</v>
      </c>
      <c r="H329" s="21">
        <v>33.135399999999997</v>
      </c>
      <c r="I329" s="21">
        <v>-1.61987E-2</v>
      </c>
      <c r="J329" s="21">
        <v>319</v>
      </c>
      <c r="K329" s="21">
        <v>7.2997999999999993E-2</v>
      </c>
      <c r="L329">
        <f t="shared" si="16"/>
        <v>16.198699999999999</v>
      </c>
      <c r="M329">
        <f t="shared" si="17"/>
        <v>1.1938441899999999</v>
      </c>
      <c r="N329" s="9"/>
      <c r="O329" s="21">
        <v>1.5063500000000001</v>
      </c>
      <c r="P329" s="21">
        <v>39.383099999999999</v>
      </c>
      <c r="Q329" s="21">
        <v>-8.1268299999999998E-3</v>
      </c>
      <c r="R329" s="21">
        <v>319</v>
      </c>
      <c r="S329" s="21">
        <v>1.50482</v>
      </c>
      <c r="T329">
        <f t="shared" si="18"/>
        <v>8.12683</v>
      </c>
      <c r="U329">
        <f t="shared" si="19"/>
        <v>12.2418503705</v>
      </c>
    </row>
    <row r="330" spans="6:21">
      <c r="F330" s="9"/>
      <c r="G330" s="21">
        <v>6.8664600000000006E-2</v>
      </c>
      <c r="H330" s="21">
        <v>33.145499999999998</v>
      </c>
      <c r="I330" s="21">
        <v>-1.61987E-2</v>
      </c>
      <c r="J330" s="21">
        <v>320</v>
      </c>
      <c r="K330" s="21">
        <v>6.8084699999999998E-2</v>
      </c>
      <c r="L330">
        <f t="shared" si="16"/>
        <v>16.198699999999999</v>
      </c>
      <c r="M330">
        <f t="shared" si="17"/>
        <v>1.11227725602</v>
      </c>
      <c r="N330" s="9"/>
      <c r="O330" s="21">
        <v>1.5113799999999999</v>
      </c>
      <c r="P330" s="21">
        <v>39.393099999999997</v>
      </c>
      <c r="Q330" s="21">
        <v>-7.9559299999999999E-3</v>
      </c>
      <c r="R330" s="21">
        <v>320</v>
      </c>
      <c r="S330" s="21">
        <v>1.5106200000000001</v>
      </c>
      <c r="T330">
        <f t="shared" si="18"/>
        <v>7.9559300000000004</v>
      </c>
      <c r="U330">
        <f t="shared" si="19"/>
        <v>12.024433483399999</v>
      </c>
    </row>
    <row r="331" spans="6:21">
      <c r="F331" s="9"/>
      <c r="G331" s="21">
        <v>6.3629199999999997E-2</v>
      </c>
      <c r="H331" s="21">
        <v>33.1556</v>
      </c>
      <c r="I331" s="21">
        <v>-1.61987E-2</v>
      </c>
      <c r="J331" s="21">
        <v>321</v>
      </c>
      <c r="K331" s="21">
        <v>6.28967E-2</v>
      </c>
      <c r="L331">
        <f t="shared" si="16"/>
        <v>16.198699999999999</v>
      </c>
      <c r="M331">
        <f t="shared" si="17"/>
        <v>1.0307103220399998</v>
      </c>
      <c r="N331" s="9"/>
      <c r="O331" s="21">
        <v>1.5164200000000001</v>
      </c>
      <c r="P331" s="21">
        <v>39.403199999999998</v>
      </c>
      <c r="Q331" s="21">
        <v>-7.7911400000000002E-3</v>
      </c>
      <c r="R331" s="21">
        <v>321</v>
      </c>
      <c r="S331" s="21">
        <v>1.5161100000000001</v>
      </c>
      <c r="T331">
        <f t="shared" si="18"/>
        <v>7.7911400000000004</v>
      </c>
      <c r="U331">
        <f t="shared" si="19"/>
        <v>11.814640518800001</v>
      </c>
    </row>
    <row r="332" spans="6:21">
      <c r="F332" s="9"/>
      <c r="G332" s="21">
        <v>5.8593800000000001E-2</v>
      </c>
      <c r="H332" s="21">
        <v>33.165599999999998</v>
      </c>
      <c r="I332" s="21">
        <v>-1.61987E-2</v>
      </c>
      <c r="J332" s="21">
        <v>322</v>
      </c>
      <c r="K332" s="21">
        <v>5.7861299999999997E-2</v>
      </c>
      <c r="L332">
        <f t="shared" ref="L332:L364" si="20">-I332/$F$2*1000</f>
        <v>16.198699999999999</v>
      </c>
      <c r="M332">
        <f t="shared" ref="M332:M364" si="21">L332*G332</f>
        <v>0.94914338805999998</v>
      </c>
      <c r="N332" s="9"/>
      <c r="O332" s="21">
        <v>1.52145</v>
      </c>
      <c r="P332" s="21">
        <v>39.4133</v>
      </c>
      <c r="Q332" s="21">
        <v>-7.6110800000000001E-3</v>
      </c>
      <c r="R332" s="21">
        <v>322</v>
      </c>
      <c r="S332" s="21">
        <v>1.5200800000000001</v>
      </c>
      <c r="T332">
        <f t="shared" ref="T332:T364" si="22">-Q332/$F$2*1000</f>
        <v>7.6110800000000003</v>
      </c>
      <c r="U332">
        <f t="shared" ref="U332:U364" si="23">T332*O332</f>
        <v>11.579877666</v>
      </c>
    </row>
    <row r="333" spans="6:21">
      <c r="F333" s="9"/>
      <c r="G333" s="21">
        <v>5.3558300000000003E-2</v>
      </c>
      <c r="H333" s="21">
        <v>33.175699999999999</v>
      </c>
      <c r="I333" s="21">
        <v>-1.61987E-2</v>
      </c>
      <c r="J333" s="21">
        <v>323</v>
      </c>
      <c r="K333" s="21">
        <v>5.2978499999999998E-2</v>
      </c>
      <c r="L333">
        <f t="shared" si="20"/>
        <v>16.198699999999999</v>
      </c>
      <c r="M333">
        <f t="shared" si="21"/>
        <v>0.86757483421000003</v>
      </c>
      <c r="N333" s="9"/>
      <c r="O333" s="21">
        <v>1.5264899999999999</v>
      </c>
      <c r="P333" s="21">
        <v>39.423299999999998</v>
      </c>
      <c r="Q333" s="21">
        <v>-7.4432400000000003E-3</v>
      </c>
      <c r="R333" s="21">
        <v>323</v>
      </c>
      <c r="S333" s="21">
        <v>1.5258799999999999</v>
      </c>
      <c r="T333">
        <f t="shared" si="22"/>
        <v>7.4432400000000003</v>
      </c>
      <c r="U333">
        <f t="shared" si="23"/>
        <v>11.3620314276</v>
      </c>
    </row>
    <row r="334" spans="6:21">
      <c r="F334" s="9"/>
      <c r="G334" s="21">
        <v>4.8522900000000001E-2</v>
      </c>
      <c r="H334" s="21">
        <v>33.1858</v>
      </c>
      <c r="I334" s="21">
        <v>-1.6201799999999999E-2</v>
      </c>
      <c r="J334" s="21">
        <v>324</v>
      </c>
      <c r="K334" s="21">
        <v>4.8278799999999997E-2</v>
      </c>
      <c r="L334">
        <f t="shared" si="20"/>
        <v>16.201799999999999</v>
      </c>
      <c r="M334">
        <f t="shared" si="21"/>
        <v>0.78615832121999996</v>
      </c>
      <c r="N334" s="9"/>
      <c r="O334" s="21">
        <v>1.53152</v>
      </c>
      <c r="P334" s="21">
        <v>39.433399999999999</v>
      </c>
      <c r="Q334" s="21">
        <v>-7.2662400000000002E-3</v>
      </c>
      <c r="R334" s="21">
        <v>324</v>
      </c>
      <c r="S334" s="21">
        <v>1.5310699999999999</v>
      </c>
      <c r="T334">
        <f t="shared" si="22"/>
        <v>7.2662399999999998</v>
      </c>
      <c r="U334">
        <f t="shared" si="23"/>
        <v>11.128391884799999</v>
      </c>
    </row>
    <row r="335" spans="6:21">
      <c r="F335" s="9"/>
      <c r="G335" s="21">
        <v>4.3487499999999998E-2</v>
      </c>
      <c r="H335" s="21">
        <v>33.195900000000002</v>
      </c>
      <c r="I335" s="21">
        <v>-1.61987E-2</v>
      </c>
      <c r="J335" s="21">
        <v>325</v>
      </c>
      <c r="K335" s="21">
        <v>4.3273899999999997E-2</v>
      </c>
      <c r="L335">
        <f t="shared" si="20"/>
        <v>16.198699999999999</v>
      </c>
      <c r="M335">
        <f t="shared" si="21"/>
        <v>0.70444096624999997</v>
      </c>
      <c r="N335" s="9"/>
      <c r="O335" s="21">
        <v>1.5365599999999999</v>
      </c>
      <c r="P335" s="21">
        <v>39.4435</v>
      </c>
      <c r="Q335" s="21">
        <v>-7.0892300000000002E-3</v>
      </c>
      <c r="R335" s="21">
        <v>325</v>
      </c>
      <c r="S335" s="21">
        <v>1.5359499999999999</v>
      </c>
      <c r="T335">
        <f t="shared" si="22"/>
        <v>7.0892300000000006</v>
      </c>
      <c r="U335">
        <f t="shared" si="23"/>
        <v>10.893027248800001</v>
      </c>
    </row>
    <row r="336" spans="6:21">
      <c r="F336" s="9"/>
      <c r="G336" s="21">
        <v>3.8452100000000003E-2</v>
      </c>
      <c r="H336" s="21">
        <v>33.2059</v>
      </c>
      <c r="I336" s="21">
        <v>-1.61987E-2</v>
      </c>
      <c r="J336" s="21">
        <v>326</v>
      </c>
      <c r="K336" s="21">
        <v>3.8253799999999998E-2</v>
      </c>
      <c r="L336">
        <f t="shared" si="20"/>
        <v>16.198699999999999</v>
      </c>
      <c r="M336">
        <f t="shared" si="21"/>
        <v>0.62287403227000004</v>
      </c>
      <c r="N336" s="9"/>
      <c r="O336" s="21">
        <v>1.5416000000000001</v>
      </c>
      <c r="P336" s="21">
        <v>39.453600000000002</v>
      </c>
      <c r="Q336" s="21">
        <v>-6.90918E-3</v>
      </c>
      <c r="R336" s="21">
        <v>326</v>
      </c>
      <c r="S336" s="21">
        <v>1.54053</v>
      </c>
      <c r="T336">
        <f t="shared" si="22"/>
        <v>6.9091800000000001</v>
      </c>
      <c r="U336">
        <f t="shared" si="23"/>
        <v>10.651191888000001</v>
      </c>
    </row>
    <row r="337" spans="6:21">
      <c r="F337" s="9"/>
      <c r="G337" s="21">
        <v>3.3416700000000001E-2</v>
      </c>
      <c r="H337" s="21">
        <v>33.216000000000001</v>
      </c>
      <c r="I337" s="21">
        <v>-1.6192600000000001E-2</v>
      </c>
      <c r="J337" s="21">
        <v>327</v>
      </c>
      <c r="K337" s="21">
        <v>3.3020000000000001E-2</v>
      </c>
      <c r="L337">
        <f t="shared" si="20"/>
        <v>16.192600000000002</v>
      </c>
      <c r="M337">
        <f t="shared" si="21"/>
        <v>0.54110325642000012</v>
      </c>
      <c r="N337" s="9"/>
      <c r="O337" s="21">
        <v>1.5466299999999999</v>
      </c>
      <c r="P337" s="21">
        <v>39.4636</v>
      </c>
      <c r="Q337" s="21">
        <v>-6.70471E-3</v>
      </c>
      <c r="R337" s="21">
        <v>327</v>
      </c>
      <c r="S337" s="21">
        <v>1.54572</v>
      </c>
      <c r="T337">
        <f t="shared" si="22"/>
        <v>6.7047100000000004</v>
      </c>
      <c r="U337">
        <f t="shared" si="23"/>
        <v>10.3697056273</v>
      </c>
    </row>
    <row r="338" spans="6:21">
      <c r="F338" s="9"/>
      <c r="G338" s="21">
        <v>2.8381300000000002E-2</v>
      </c>
      <c r="H338" s="21">
        <v>33.226100000000002</v>
      </c>
      <c r="I338" s="21">
        <v>-1.61957E-2</v>
      </c>
      <c r="J338" s="21">
        <v>328</v>
      </c>
      <c r="K338" s="21">
        <v>2.81158E-2</v>
      </c>
      <c r="L338">
        <f t="shared" si="20"/>
        <v>16.195699999999999</v>
      </c>
      <c r="M338">
        <f t="shared" si="21"/>
        <v>0.45965502041</v>
      </c>
      <c r="N338" s="9"/>
      <c r="O338" s="21">
        <v>1.5516700000000001</v>
      </c>
      <c r="P338" s="21">
        <v>39.473700000000001</v>
      </c>
      <c r="Q338" s="21">
        <v>-6.4941399999999998E-3</v>
      </c>
      <c r="R338" s="21">
        <v>328</v>
      </c>
      <c r="S338" s="21">
        <v>1.5508999999999999</v>
      </c>
      <c r="T338">
        <f t="shared" si="22"/>
        <v>6.4941399999999998</v>
      </c>
      <c r="U338">
        <f t="shared" si="23"/>
        <v>10.0767622138</v>
      </c>
    </row>
    <row r="339" spans="6:21">
      <c r="F339" s="9"/>
      <c r="G339" s="21">
        <v>2.3345899999999999E-2</v>
      </c>
      <c r="H339" s="21">
        <v>33.2361</v>
      </c>
      <c r="I339" s="21">
        <v>-1.6204799999999998E-2</v>
      </c>
      <c r="J339" s="21">
        <v>329</v>
      </c>
      <c r="K339" s="21">
        <v>2.3089599999999998E-2</v>
      </c>
      <c r="L339">
        <f t="shared" si="20"/>
        <v>16.204799999999999</v>
      </c>
      <c r="M339">
        <f t="shared" si="21"/>
        <v>0.37831564031999998</v>
      </c>
      <c r="N339" s="9"/>
      <c r="O339" s="21">
        <v>1.5567</v>
      </c>
      <c r="P339" s="21">
        <v>39.483800000000002</v>
      </c>
      <c r="Q339" s="21">
        <v>-6.3018800000000002E-3</v>
      </c>
      <c r="R339" s="21">
        <v>329</v>
      </c>
      <c r="S339" s="21">
        <v>1.5564</v>
      </c>
      <c r="T339">
        <f t="shared" si="22"/>
        <v>6.3018800000000006</v>
      </c>
      <c r="U339">
        <f t="shared" si="23"/>
        <v>9.8101365960000013</v>
      </c>
    </row>
    <row r="340" spans="6:21">
      <c r="F340" s="9"/>
      <c r="G340" s="21">
        <v>1.83105E-2</v>
      </c>
      <c r="H340" s="21">
        <v>33.246200000000002</v>
      </c>
      <c r="I340" s="21">
        <v>-1.6216999999999999E-2</v>
      </c>
      <c r="J340" s="21">
        <v>330</v>
      </c>
      <c r="K340" s="21">
        <v>1.78497E-2</v>
      </c>
      <c r="L340">
        <f t="shared" si="20"/>
        <v>16.216999999999999</v>
      </c>
      <c r="M340">
        <f t="shared" si="21"/>
        <v>0.29694137849999996</v>
      </c>
      <c r="N340" s="9"/>
      <c r="O340" s="21">
        <v>1.5617399999999999</v>
      </c>
      <c r="P340" s="21">
        <v>39.4938</v>
      </c>
      <c r="Q340" s="21">
        <v>-6.0852099999999998E-3</v>
      </c>
      <c r="R340" s="21">
        <v>330</v>
      </c>
      <c r="S340" s="21">
        <v>1.56036</v>
      </c>
      <c r="T340">
        <f t="shared" si="22"/>
        <v>6.08521</v>
      </c>
      <c r="U340">
        <f t="shared" si="23"/>
        <v>9.5035158653999989</v>
      </c>
    </row>
    <row r="341" spans="6:21">
      <c r="F341" s="9"/>
      <c r="G341" s="21">
        <v>1.32751E-2</v>
      </c>
      <c r="H341" s="21">
        <v>33.256300000000003</v>
      </c>
      <c r="I341" s="21">
        <v>-1.6232300000000002E-2</v>
      </c>
      <c r="J341" s="21">
        <v>331</v>
      </c>
      <c r="K341" s="21">
        <v>1.29791E-2</v>
      </c>
      <c r="L341">
        <f t="shared" si="20"/>
        <v>16.232300000000002</v>
      </c>
      <c r="M341">
        <f t="shared" si="21"/>
        <v>0.21548540573000002</v>
      </c>
      <c r="N341" s="9"/>
      <c r="O341" s="21">
        <v>1.56677</v>
      </c>
      <c r="P341" s="21">
        <v>39.503900000000002</v>
      </c>
      <c r="Q341" s="21">
        <v>-5.8563199999999999E-3</v>
      </c>
      <c r="R341" s="21">
        <v>331</v>
      </c>
      <c r="S341" s="21">
        <v>1.56586</v>
      </c>
      <c r="T341">
        <f t="shared" si="22"/>
        <v>5.8563200000000002</v>
      </c>
      <c r="U341">
        <f t="shared" si="23"/>
        <v>9.1755064863999998</v>
      </c>
    </row>
    <row r="342" spans="6:21">
      <c r="F342" s="9"/>
      <c r="G342" s="21">
        <v>8.2397500000000005E-3</v>
      </c>
      <c r="H342" s="21">
        <v>33.266399999999997</v>
      </c>
      <c r="I342" s="21">
        <v>-1.62384E-2</v>
      </c>
      <c r="J342" s="21">
        <v>332</v>
      </c>
      <c r="K342" s="21">
        <v>7.8826899999999995E-3</v>
      </c>
      <c r="L342">
        <f t="shared" si="20"/>
        <v>16.238399999999999</v>
      </c>
      <c r="M342">
        <f t="shared" si="21"/>
        <v>0.13380035639999999</v>
      </c>
      <c r="N342" s="9"/>
      <c r="O342" s="21">
        <v>1.5718099999999999</v>
      </c>
      <c r="P342" s="21">
        <v>39.514000000000003</v>
      </c>
      <c r="Q342" s="21">
        <v>-5.62744E-3</v>
      </c>
      <c r="R342" s="21">
        <v>332</v>
      </c>
      <c r="S342" s="21">
        <v>1.57104</v>
      </c>
      <c r="T342">
        <f t="shared" si="22"/>
        <v>5.62744</v>
      </c>
      <c r="U342">
        <f t="shared" si="23"/>
        <v>8.8452664664</v>
      </c>
    </row>
    <row r="343" spans="6:21">
      <c r="F343" s="9"/>
      <c r="G343" s="21">
        <v>3.2043499999999999E-3</v>
      </c>
      <c r="H343" s="21">
        <v>33.276400000000002</v>
      </c>
      <c r="I343" s="21">
        <v>-1.6244499999999999E-2</v>
      </c>
      <c r="J343" s="21">
        <v>333</v>
      </c>
      <c r="K343" s="21">
        <v>2.8503399999999998E-3</v>
      </c>
      <c r="L343">
        <f t="shared" si="20"/>
        <v>16.244499999999999</v>
      </c>
      <c r="M343">
        <f t="shared" si="21"/>
        <v>5.2053063574999996E-2</v>
      </c>
      <c r="N343" s="9"/>
      <c r="O343" s="21">
        <v>1.57684</v>
      </c>
      <c r="P343" s="21">
        <v>39.524099999999997</v>
      </c>
      <c r="Q343" s="21">
        <v>-5.3772000000000004E-3</v>
      </c>
      <c r="R343" s="21">
        <v>333</v>
      </c>
      <c r="S343" s="21">
        <v>1.5759300000000001</v>
      </c>
      <c r="T343">
        <f t="shared" si="22"/>
        <v>5.3772000000000002</v>
      </c>
      <c r="U343">
        <f t="shared" si="23"/>
        <v>8.4789840480000009</v>
      </c>
    </row>
    <row r="344" spans="6:21">
      <c r="F344" s="9"/>
      <c r="G344" s="21">
        <v>-1.8310500000000001E-3</v>
      </c>
      <c r="H344" s="21">
        <v>33.286499999999997</v>
      </c>
      <c r="I344" s="21">
        <v>-1.6247600000000001E-2</v>
      </c>
      <c r="J344" s="21">
        <v>334</v>
      </c>
      <c r="K344" s="21">
        <v>-2.2064200000000002E-3</v>
      </c>
      <c r="L344">
        <f t="shared" si="20"/>
        <v>16.247600000000002</v>
      </c>
      <c r="M344">
        <f t="shared" si="21"/>
        <v>-2.9750167980000006E-2</v>
      </c>
      <c r="N344" s="9"/>
      <c r="O344" s="21">
        <v>1.58188</v>
      </c>
      <c r="P344" s="21">
        <v>39.534100000000002</v>
      </c>
      <c r="Q344" s="21">
        <v>-5.1147500000000004E-3</v>
      </c>
      <c r="R344" s="21">
        <v>334</v>
      </c>
      <c r="S344" s="21">
        <v>1.5811200000000001</v>
      </c>
      <c r="T344">
        <f t="shared" si="22"/>
        <v>5.1147500000000008</v>
      </c>
      <c r="U344">
        <f t="shared" si="23"/>
        <v>8.0909207300000006</v>
      </c>
    </row>
    <row r="345" spans="6:21">
      <c r="F345" s="9"/>
      <c r="G345" s="21">
        <v>-6.8664599999999996E-3</v>
      </c>
      <c r="H345" s="21">
        <v>33.296599999999998</v>
      </c>
      <c r="I345" s="21">
        <v>-1.6247600000000001E-2</v>
      </c>
      <c r="J345" s="21">
        <v>335</v>
      </c>
      <c r="K345" s="21">
        <v>-7.2723400000000004E-3</v>
      </c>
      <c r="L345">
        <f t="shared" si="20"/>
        <v>16.247600000000002</v>
      </c>
      <c r="M345">
        <f t="shared" si="21"/>
        <v>-0.111563495496</v>
      </c>
      <c r="N345" s="9"/>
      <c r="O345" s="21">
        <v>1.58691</v>
      </c>
      <c r="P345" s="21">
        <v>39.544199999999996</v>
      </c>
      <c r="Q345" s="21">
        <v>-4.8513799999999998E-3</v>
      </c>
      <c r="R345" s="21">
        <v>335</v>
      </c>
      <c r="S345" s="21">
        <v>1.58569</v>
      </c>
      <c r="T345">
        <f t="shared" si="22"/>
        <v>4.8513799999999998</v>
      </c>
      <c r="U345">
        <f t="shared" si="23"/>
        <v>7.6987034357999997</v>
      </c>
    </row>
    <row r="346" spans="6:21">
      <c r="F346" s="9"/>
      <c r="G346" s="21">
        <v>-1.19019E-2</v>
      </c>
      <c r="H346" s="21">
        <v>33.306600000000003</v>
      </c>
      <c r="I346" s="21">
        <v>-1.6244499999999999E-2</v>
      </c>
      <c r="J346" s="21">
        <v>336</v>
      </c>
      <c r="K346" s="21">
        <v>-1.23444E-2</v>
      </c>
      <c r="L346">
        <f t="shared" si="20"/>
        <v>16.244499999999999</v>
      </c>
      <c r="M346">
        <f t="shared" si="21"/>
        <v>-0.19334041454999998</v>
      </c>
      <c r="N346" s="9"/>
      <c r="O346" s="21">
        <v>1.59195</v>
      </c>
      <c r="P346" s="21">
        <v>39.554299999999998</v>
      </c>
      <c r="Q346" s="21">
        <v>-4.5761100000000004E-3</v>
      </c>
      <c r="R346" s="21">
        <v>336</v>
      </c>
      <c r="S346" s="21">
        <v>1.5908800000000001</v>
      </c>
      <c r="T346">
        <f t="shared" si="22"/>
        <v>4.5761100000000008</v>
      </c>
      <c r="U346">
        <f t="shared" si="23"/>
        <v>7.2849383145000015</v>
      </c>
    </row>
    <row r="347" spans="6:21">
      <c r="F347" s="9"/>
      <c r="G347" s="21">
        <v>-1.6937299999999999E-2</v>
      </c>
      <c r="H347" s="21">
        <v>33.316699999999997</v>
      </c>
      <c r="I347" s="21">
        <v>-1.6256699999999999E-2</v>
      </c>
      <c r="J347" s="21">
        <v>337</v>
      </c>
      <c r="K347" s="21">
        <v>-1.74255E-2</v>
      </c>
      <c r="L347">
        <f t="shared" si="20"/>
        <v>16.256699999999999</v>
      </c>
      <c r="M347">
        <f t="shared" si="21"/>
        <v>-0.27534460490999996</v>
      </c>
      <c r="N347" s="9"/>
      <c r="O347" s="21">
        <v>1.5969800000000001</v>
      </c>
      <c r="P347" s="21">
        <v>39.564300000000003</v>
      </c>
      <c r="Q347" s="21">
        <v>-4.2895499999999996E-3</v>
      </c>
      <c r="R347" s="21">
        <v>337</v>
      </c>
      <c r="S347" s="21">
        <v>1.5963700000000001</v>
      </c>
      <c r="T347">
        <f t="shared" si="22"/>
        <v>4.2895499999999993</v>
      </c>
      <c r="U347">
        <f t="shared" si="23"/>
        <v>6.850325558999999</v>
      </c>
    </row>
    <row r="348" spans="6:21">
      <c r="F348" s="9"/>
      <c r="G348" s="21">
        <v>-2.1972700000000001E-2</v>
      </c>
      <c r="H348" s="21">
        <v>33.326799999999999</v>
      </c>
      <c r="I348" s="21">
        <v>-1.6268899999999999E-2</v>
      </c>
      <c r="J348" s="21">
        <v>338</v>
      </c>
      <c r="K348" s="21">
        <v>-2.2412100000000001E-2</v>
      </c>
      <c r="L348">
        <f t="shared" si="20"/>
        <v>16.268899999999999</v>
      </c>
      <c r="M348">
        <f t="shared" si="21"/>
        <v>-0.35747165903</v>
      </c>
      <c r="N348" s="9"/>
      <c r="O348" s="21">
        <v>1.60202</v>
      </c>
      <c r="P348" s="21">
        <v>39.574399999999997</v>
      </c>
      <c r="Q348" s="21">
        <v>-3.9736900000000002E-3</v>
      </c>
      <c r="R348" s="21">
        <v>338</v>
      </c>
      <c r="S348" s="21">
        <v>1.6012599999999999</v>
      </c>
      <c r="T348">
        <f t="shared" si="22"/>
        <v>3.9736900000000004</v>
      </c>
      <c r="U348">
        <f t="shared" si="23"/>
        <v>6.365930853800001</v>
      </c>
    </row>
    <row r="349" spans="6:21">
      <c r="F349" s="9"/>
      <c r="G349" s="21">
        <v>-2.70081E-2</v>
      </c>
      <c r="H349" s="21">
        <v>33.3369</v>
      </c>
      <c r="I349" s="21">
        <v>-1.6287200000000002E-2</v>
      </c>
      <c r="J349" s="21">
        <v>339</v>
      </c>
      <c r="K349" s="21">
        <v>-2.7572599999999999E-2</v>
      </c>
      <c r="L349">
        <f t="shared" si="20"/>
        <v>16.287200000000002</v>
      </c>
      <c r="M349">
        <f t="shared" si="21"/>
        <v>-0.43988632632000008</v>
      </c>
      <c r="N349" s="9"/>
      <c r="O349" s="21">
        <v>1.6070599999999999</v>
      </c>
      <c r="P349" s="21">
        <v>39.584499999999998</v>
      </c>
      <c r="Q349" s="21">
        <v>-3.6557E-3</v>
      </c>
      <c r="R349" s="21">
        <v>339</v>
      </c>
      <c r="S349" s="21">
        <v>1.6061399999999999</v>
      </c>
      <c r="T349">
        <f t="shared" si="22"/>
        <v>3.6556999999999999</v>
      </c>
      <c r="U349">
        <f t="shared" si="23"/>
        <v>5.8749292419999994</v>
      </c>
    </row>
    <row r="350" spans="6:21">
      <c r="F350" s="9"/>
      <c r="G350" s="21">
        <v>-3.2043500000000003E-2</v>
      </c>
      <c r="H350" s="21">
        <v>33.346899999999998</v>
      </c>
      <c r="I350" s="21">
        <v>-1.6299399999999999E-2</v>
      </c>
      <c r="J350" s="21">
        <v>340</v>
      </c>
      <c r="K350" s="21">
        <v>-3.25195E-2</v>
      </c>
      <c r="L350">
        <f t="shared" si="20"/>
        <v>16.299399999999999</v>
      </c>
      <c r="M350">
        <f t="shared" si="21"/>
        <v>-0.52228982390000001</v>
      </c>
      <c r="N350" s="9"/>
      <c r="O350" s="21">
        <v>1.61209</v>
      </c>
      <c r="P350" s="21">
        <v>39.5946</v>
      </c>
      <c r="Q350" s="21">
        <v>-3.3258099999999998E-3</v>
      </c>
      <c r="R350" s="21">
        <v>340</v>
      </c>
      <c r="S350" s="21">
        <v>1.6113299999999999</v>
      </c>
      <c r="T350">
        <f t="shared" si="22"/>
        <v>3.3258099999999997</v>
      </c>
      <c r="U350">
        <f t="shared" si="23"/>
        <v>5.3615050428999993</v>
      </c>
    </row>
    <row r="351" spans="6:21">
      <c r="F351" s="9"/>
      <c r="G351" s="21">
        <v>-3.7078899999999998E-2</v>
      </c>
      <c r="H351" s="21">
        <v>33.356999999999999</v>
      </c>
      <c r="I351" s="21">
        <v>-1.6299399999999999E-2</v>
      </c>
      <c r="J351" s="21">
        <v>341</v>
      </c>
      <c r="K351" s="21">
        <v>-3.7542699999999998E-2</v>
      </c>
      <c r="L351">
        <f t="shared" si="20"/>
        <v>16.299399999999999</v>
      </c>
      <c r="M351">
        <f t="shared" si="21"/>
        <v>-0.60436382265999988</v>
      </c>
      <c r="N351" s="9"/>
      <c r="O351" s="21">
        <v>1.61713</v>
      </c>
      <c r="P351" s="21">
        <v>39.604599999999998</v>
      </c>
      <c r="Q351" s="21">
        <v>-2.9696700000000002E-3</v>
      </c>
      <c r="R351" s="21">
        <v>341</v>
      </c>
      <c r="S351" s="21">
        <v>1.61652</v>
      </c>
      <c r="T351">
        <f t="shared" si="22"/>
        <v>2.9696700000000003</v>
      </c>
      <c r="U351">
        <f t="shared" si="23"/>
        <v>4.8023424471</v>
      </c>
    </row>
    <row r="352" spans="6:21">
      <c r="F352" s="9"/>
      <c r="G352" s="21">
        <v>-4.21143E-2</v>
      </c>
      <c r="H352" s="21">
        <v>33.367100000000001</v>
      </c>
      <c r="I352" s="21">
        <v>-1.6302500000000001E-2</v>
      </c>
      <c r="J352" s="21">
        <v>342</v>
      </c>
      <c r="K352" s="21">
        <v>-4.2578100000000001E-2</v>
      </c>
      <c r="L352">
        <f t="shared" si="20"/>
        <v>16.302500000000002</v>
      </c>
      <c r="M352">
        <f t="shared" si="21"/>
        <v>-0.68656837575000007</v>
      </c>
      <c r="N352" s="9"/>
      <c r="O352" s="21">
        <v>1.62216</v>
      </c>
      <c r="P352" s="21">
        <v>39.614699999999999</v>
      </c>
      <c r="Q352" s="21">
        <v>-2.5982700000000002E-3</v>
      </c>
      <c r="R352" s="21">
        <v>342</v>
      </c>
      <c r="S352" s="21">
        <v>1.6210899999999999</v>
      </c>
      <c r="T352">
        <f t="shared" si="22"/>
        <v>2.5982700000000003</v>
      </c>
      <c r="U352">
        <f t="shared" si="23"/>
        <v>4.2148096632000005</v>
      </c>
    </row>
    <row r="353" spans="6:21">
      <c r="F353" s="9"/>
      <c r="G353" s="21">
        <v>-4.7149700000000003E-2</v>
      </c>
      <c r="H353" s="21">
        <v>33.377099999999999</v>
      </c>
      <c r="I353" s="21">
        <v>-1.6308599999999999E-2</v>
      </c>
      <c r="J353" s="21">
        <v>343</v>
      </c>
      <c r="K353" s="21">
        <v>-4.7622699999999997E-2</v>
      </c>
      <c r="L353">
        <f t="shared" si="20"/>
        <v>16.308599999999998</v>
      </c>
      <c r="M353">
        <f t="shared" si="21"/>
        <v>-0.76894559742000002</v>
      </c>
      <c r="N353" s="9"/>
      <c r="O353" s="21">
        <v>1.6272</v>
      </c>
      <c r="P353" s="21">
        <v>39.6248</v>
      </c>
      <c r="Q353" s="21">
        <v>-2.2134400000000001E-3</v>
      </c>
      <c r="R353" s="21">
        <v>343</v>
      </c>
      <c r="S353" s="21">
        <v>1.6262799999999999</v>
      </c>
      <c r="T353">
        <f t="shared" si="22"/>
        <v>2.2134400000000003</v>
      </c>
      <c r="U353">
        <f t="shared" si="23"/>
        <v>3.6017095680000004</v>
      </c>
    </row>
    <row r="354" spans="6:21">
      <c r="F354" s="9"/>
      <c r="G354" s="21">
        <v>-5.2185099999999998E-2</v>
      </c>
      <c r="H354" s="21">
        <v>33.3872</v>
      </c>
      <c r="I354" s="21">
        <v>-1.6305500000000001E-2</v>
      </c>
      <c r="J354" s="21">
        <v>344</v>
      </c>
      <c r="K354" s="21">
        <v>-5.3009000000000001E-2</v>
      </c>
      <c r="L354">
        <f t="shared" si="20"/>
        <v>16.305500000000002</v>
      </c>
      <c r="M354">
        <f t="shared" si="21"/>
        <v>-0.85090414805000003</v>
      </c>
      <c r="N354" s="9"/>
      <c r="O354" s="21">
        <v>1.6322300000000001</v>
      </c>
      <c r="P354" s="21">
        <v>39.634799999999998</v>
      </c>
      <c r="Q354" s="21">
        <v>-1.8130500000000001E-3</v>
      </c>
      <c r="R354" s="21">
        <v>344</v>
      </c>
      <c r="S354" s="21">
        <v>1.63208</v>
      </c>
      <c r="T354">
        <f t="shared" si="22"/>
        <v>1.8130500000000001</v>
      </c>
      <c r="U354">
        <f t="shared" si="23"/>
        <v>2.9593146015</v>
      </c>
    </row>
    <row r="355" spans="6:21">
      <c r="F355" s="9"/>
      <c r="G355" s="21">
        <v>-5.7220500000000001E-2</v>
      </c>
      <c r="H355" s="21">
        <v>33.397300000000001</v>
      </c>
      <c r="I355" s="21">
        <v>-1.6314700000000001E-2</v>
      </c>
      <c r="J355" s="21">
        <v>345</v>
      </c>
      <c r="K355" s="21">
        <v>-5.7952900000000002E-2</v>
      </c>
      <c r="L355">
        <f t="shared" si="20"/>
        <v>16.314700000000002</v>
      </c>
      <c r="M355">
        <f t="shared" si="21"/>
        <v>-0.93353529135000013</v>
      </c>
      <c r="N355" s="9"/>
      <c r="O355" s="21">
        <v>1.63727</v>
      </c>
      <c r="P355" s="21">
        <v>39.6449</v>
      </c>
      <c r="Q355" s="21">
        <v>-1.3946500000000001E-3</v>
      </c>
      <c r="R355" s="21">
        <v>345</v>
      </c>
      <c r="S355" s="21">
        <v>1.63635</v>
      </c>
      <c r="T355">
        <f t="shared" si="22"/>
        <v>1.3946500000000002</v>
      </c>
      <c r="U355">
        <f t="shared" si="23"/>
        <v>2.2834186055000001</v>
      </c>
    </row>
    <row r="356" spans="6:21">
      <c r="F356" s="9"/>
      <c r="G356" s="21">
        <v>-6.2255900000000003E-2</v>
      </c>
      <c r="H356" s="21">
        <v>33.407299999999999</v>
      </c>
      <c r="I356" s="21">
        <v>-1.63208E-2</v>
      </c>
      <c r="J356" s="21">
        <v>346</v>
      </c>
      <c r="K356" s="21">
        <v>-6.28967E-2</v>
      </c>
      <c r="L356">
        <f t="shared" si="20"/>
        <v>16.320799999999998</v>
      </c>
      <c r="M356">
        <f t="shared" si="21"/>
        <v>-1.01606609272</v>
      </c>
      <c r="N356" s="9"/>
      <c r="O356" s="21">
        <v>1.6423000000000001</v>
      </c>
      <c r="P356" s="21">
        <v>39.655000000000001</v>
      </c>
      <c r="Q356" s="21">
        <v>-9.4757100000000003E-4</v>
      </c>
      <c r="R356" s="21">
        <v>346</v>
      </c>
      <c r="S356" s="21">
        <v>1.64093</v>
      </c>
      <c r="T356">
        <f t="shared" si="22"/>
        <v>0.94757100000000005</v>
      </c>
      <c r="U356">
        <f t="shared" si="23"/>
        <v>1.5561958533000002</v>
      </c>
    </row>
    <row r="357" spans="6:21">
      <c r="F357" s="9"/>
      <c r="G357" s="21">
        <v>-6.7291299999999998E-2</v>
      </c>
      <c r="H357" s="21">
        <v>33.417400000000001</v>
      </c>
      <c r="I357" s="21">
        <v>-1.6330000000000001E-2</v>
      </c>
      <c r="J357" s="21">
        <v>347</v>
      </c>
      <c r="K357" s="21">
        <v>-6.7932099999999995E-2</v>
      </c>
      <c r="L357">
        <f t="shared" si="20"/>
        <v>16.330000000000002</v>
      </c>
      <c r="M357">
        <f t="shared" si="21"/>
        <v>-1.0988669290000002</v>
      </c>
      <c r="N357" s="9"/>
      <c r="O357" s="21">
        <v>1.64734</v>
      </c>
      <c r="P357" s="21">
        <v>39.664999999999999</v>
      </c>
      <c r="Q357" s="21">
        <v>-5.0018299999999996E-4</v>
      </c>
      <c r="R357" s="21">
        <v>347</v>
      </c>
      <c r="S357" s="21">
        <v>1.64673</v>
      </c>
      <c r="T357">
        <f t="shared" si="22"/>
        <v>0.50018299999999993</v>
      </c>
      <c r="U357">
        <f t="shared" si="23"/>
        <v>0.82397146321999992</v>
      </c>
    </row>
    <row r="358" spans="6:21">
      <c r="F358" s="9"/>
      <c r="G358" s="21">
        <v>-7.2326699999999994E-2</v>
      </c>
      <c r="H358" s="21">
        <v>33.427500000000002</v>
      </c>
      <c r="I358" s="21">
        <v>-1.6339099999999999E-2</v>
      </c>
      <c r="J358" s="21">
        <v>348</v>
      </c>
      <c r="K358" s="21">
        <v>-7.3028599999999999E-2</v>
      </c>
      <c r="L358">
        <f t="shared" si="20"/>
        <v>16.339099999999998</v>
      </c>
      <c r="M358">
        <f t="shared" si="21"/>
        <v>-1.1817531839699997</v>
      </c>
      <c r="N358" s="9"/>
      <c r="O358" s="21">
        <v>1.6523699999999999</v>
      </c>
      <c r="P358" s="21">
        <v>39.6751</v>
      </c>
      <c r="Q358" s="24">
        <v>-1.7089799999999999E-6</v>
      </c>
      <c r="R358" s="21">
        <v>348</v>
      </c>
      <c r="S358" s="21">
        <v>1.65161</v>
      </c>
      <c r="T358">
        <f t="shared" si="22"/>
        <v>1.7089799999999999E-3</v>
      </c>
      <c r="U358">
        <f t="shared" si="23"/>
        <v>2.8238672825999997E-3</v>
      </c>
    </row>
    <row r="359" spans="6:21">
      <c r="F359" s="9"/>
      <c r="G359" s="21">
        <v>-7.7362100000000003E-2</v>
      </c>
      <c r="H359" s="21">
        <v>33.437600000000003</v>
      </c>
      <c r="I359" s="21">
        <v>-1.6342200000000001E-2</v>
      </c>
      <c r="J359" s="21">
        <v>349</v>
      </c>
      <c r="K359" s="21">
        <v>-7.80029E-2</v>
      </c>
      <c r="L359">
        <f t="shared" si="20"/>
        <v>16.342200000000002</v>
      </c>
      <c r="M359">
        <f t="shared" si="21"/>
        <v>-1.2642669106200002</v>
      </c>
      <c r="N359" s="9"/>
      <c r="O359" s="21">
        <v>1.65741</v>
      </c>
      <c r="P359" s="21">
        <v>39.685200000000002</v>
      </c>
      <c r="Q359" s="21">
        <v>5.1544199999999996E-4</v>
      </c>
      <c r="R359" s="21">
        <v>349</v>
      </c>
      <c r="S359" s="21">
        <v>1.65649</v>
      </c>
      <c r="T359">
        <f t="shared" si="22"/>
        <v>-0.51544199999999996</v>
      </c>
      <c r="U359">
        <f t="shared" si="23"/>
        <v>-0.85429872521999994</v>
      </c>
    </row>
    <row r="360" spans="6:21">
      <c r="F360" s="9"/>
      <c r="G360" s="21">
        <v>-8.2397499999999999E-2</v>
      </c>
      <c r="H360" s="21">
        <v>33.447600000000001</v>
      </c>
      <c r="I360" s="21">
        <v>-1.6351299999999999E-2</v>
      </c>
      <c r="J360" s="21">
        <v>350</v>
      </c>
      <c r="K360" s="21">
        <v>-8.2855200000000004E-2</v>
      </c>
      <c r="L360">
        <f t="shared" si="20"/>
        <v>16.351299999999998</v>
      </c>
      <c r="M360">
        <f t="shared" si="21"/>
        <v>-1.3473062417499999</v>
      </c>
      <c r="N360" s="9"/>
      <c r="O360" s="21">
        <v>1.66245</v>
      </c>
      <c r="P360" s="21">
        <v>39.695300000000003</v>
      </c>
      <c r="Q360" s="21">
        <v>1.0577399999999999E-3</v>
      </c>
      <c r="R360" s="21">
        <v>350</v>
      </c>
      <c r="S360" s="21">
        <v>1.66168</v>
      </c>
      <c r="T360">
        <f t="shared" si="22"/>
        <v>-1.0577399999999999</v>
      </c>
      <c r="U360">
        <f t="shared" si="23"/>
        <v>-1.7584398629999998</v>
      </c>
    </row>
    <row r="361" spans="6:21">
      <c r="F361" s="9"/>
      <c r="G361" s="21">
        <v>-8.7432899999999994E-2</v>
      </c>
      <c r="H361" s="21">
        <v>33.457700000000003</v>
      </c>
      <c r="I361" s="21">
        <v>-1.6357400000000001E-2</v>
      </c>
      <c r="J361" s="21">
        <v>351</v>
      </c>
      <c r="K361" s="21">
        <v>-8.8134799999999999E-2</v>
      </c>
      <c r="L361">
        <f t="shared" si="20"/>
        <v>16.357400000000002</v>
      </c>
      <c r="M361">
        <f t="shared" si="21"/>
        <v>-1.4301749184600001</v>
      </c>
      <c r="N361" s="9"/>
      <c r="O361" s="21">
        <v>1.6674800000000001</v>
      </c>
      <c r="P361" s="21">
        <v>39.705300000000001</v>
      </c>
      <c r="Q361" s="21">
        <v>1.6058299999999999E-3</v>
      </c>
      <c r="R361" s="21">
        <v>351</v>
      </c>
      <c r="S361" s="21">
        <v>1.6662600000000001</v>
      </c>
      <c r="T361">
        <f t="shared" si="22"/>
        <v>-1.6058299999999999</v>
      </c>
      <c r="U361">
        <f t="shared" si="23"/>
        <v>-2.6776894084</v>
      </c>
    </row>
    <row r="362" spans="6:21">
      <c r="F362" s="9"/>
      <c r="G362" s="21">
        <v>-9.2468300000000003E-2</v>
      </c>
      <c r="H362" s="21">
        <v>33.467799999999997</v>
      </c>
      <c r="I362" s="21">
        <v>-1.6354400000000002E-2</v>
      </c>
      <c r="J362" s="21">
        <v>352</v>
      </c>
      <c r="K362" s="21">
        <v>-9.31091E-2</v>
      </c>
      <c r="L362">
        <f t="shared" si="20"/>
        <v>16.354400000000002</v>
      </c>
      <c r="M362">
        <f t="shared" si="21"/>
        <v>-1.5122635655200003</v>
      </c>
      <c r="N362" s="9"/>
      <c r="O362" s="21">
        <v>1.67252</v>
      </c>
      <c r="P362" s="21">
        <v>39.715400000000002</v>
      </c>
      <c r="Q362" s="21">
        <v>2.1600299999999998E-3</v>
      </c>
      <c r="R362" s="21">
        <v>352</v>
      </c>
      <c r="S362" s="21">
        <v>1.6711400000000001</v>
      </c>
      <c r="T362">
        <f t="shared" si="22"/>
        <v>-2.1600299999999999</v>
      </c>
      <c r="U362">
        <f t="shared" si="23"/>
        <v>-3.6126933755999997</v>
      </c>
    </row>
    <row r="363" spans="6:21">
      <c r="F363" s="9"/>
      <c r="G363" s="21">
        <v>-9.7503699999999999E-2</v>
      </c>
      <c r="H363" s="21">
        <v>33.477800000000002</v>
      </c>
      <c r="I363" s="21">
        <v>-1.6351299999999999E-2</v>
      </c>
      <c r="J363" s="21">
        <v>353</v>
      </c>
      <c r="K363" s="21">
        <v>-9.8205600000000004E-2</v>
      </c>
      <c r="L363">
        <f t="shared" si="20"/>
        <v>16.351299999999998</v>
      </c>
      <c r="M363">
        <f t="shared" si="21"/>
        <v>-1.5943122498099997</v>
      </c>
      <c r="N363" s="9"/>
      <c r="O363" s="21">
        <v>1.6775500000000001</v>
      </c>
      <c r="P363" s="21">
        <v>39.725499999999997</v>
      </c>
      <c r="Q363" s="21">
        <v>2.7645899999999999E-3</v>
      </c>
      <c r="R363" s="21">
        <v>353</v>
      </c>
      <c r="S363" s="21">
        <v>1.6769400000000001</v>
      </c>
      <c r="T363">
        <f t="shared" si="22"/>
        <v>-2.7645900000000001</v>
      </c>
      <c r="U363">
        <f t="shared" si="23"/>
        <v>-4.6377379545000004</v>
      </c>
    </row>
    <row r="364" spans="6:21">
      <c r="F364" s="9"/>
      <c r="G364" s="21">
        <v>-0.10253900000000001</v>
      </c>
      <c r="H364" s="21">
        <v>33.487900000000003</v>
      </c>
      <c r="I364" s="21">
        <v>-1.6342200000000001E-2</v>
      </c>
      <c r="J364" s="21">
        <v>354</v>
      </c>
      <c r="K364" s="21">
        <v>-0.10317999999999999</v>
      </c>
      <c r="L364">
        <f t="shared" si="20"/>
        <v>16.342200000000002</v>
      </c>
      <c r="M364">
        <f t="shared" si="21"/>
        <v>-1.6757128458000004</v>
      </c>
      <c r="N364" s="9"/>
      <c r="O364" s="21">
        <v>1.68259</v>
      </c>
      <c r="P364" s="21">
        <v>39.735500000000002</v>
      </c>
      <c r="Q364" s="21">
        <v>3.4005699999999999E-3</v>
      </c>
      <c r="R364" s="21">
        <v>354</v>
      </c>
      <c r="S364" s="21">
        <v>1.6821299999999999</v>
      </c>
      <c r="T364">
        <f t="shared" si="22"/>
        <v>-3.4005700000000001</v>
      </c>
      <c r="U364">
        <f t="shared" si="23"/>
        <v>-5.7217650763000005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workbookViewId="0">
      <selection activeCell="H6" sqref="H6"/>
    </sheetView>
  </sheetViews>
  <sheetFormatPr defaultRowHeight="14.4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20230214T210000</v>
      </c>
      <c r="B3">
        <f ca="1">INDEX(INDIRECT(A3&amp;"!A11"):INDIRECT(A3&amp;"!A21"),MATCH(E3,INDIRECT(A3&amp;"!D11"):INDIRECT(A3&amp;"!D21"),0))</f>
        <v>1.7120353284200043</v>
      </c>
      <c r="C3">
        <f ca="1">INDEX(INDIRECT(A3&amp;"!B11"):INDIRECT(A3&amp;"!B21"),MATCH(E3,INDIRECT(A3&amp;"!D11"):INDIRECT(A3&amp;"!D21"),0))</f>
        <v>15.890499999999998</v>
      </c>
      <c r="D3">
        <f ca="1">INDEX(INDIRECT(A3&amp;"!C11"):INDIRECT(A3&amp;"!C21"),MATCH(E3,INDIRECT(A3&amp;"!D11"):INDIRECT(A3&amp;"!D21"),0))</f>
        <v>0.72728169427521516</v>
      </c>
      <c r="E3">
        <f t="shared" ref="E3" ca="1" si="0">MAX(INDIRECT(A3&amp; "!D11"),INDIRECT(A3 &amp; "!D13"),INDIRECT(A3 &amp; "!D15"),INDIRECT(A3 &amp; "!D17"),INDIRECT(A3 &amp; "!D19"),INDIRECT(A3 &amp; "!D21"))</f>
        <v>19.78576932</v>
      </c>
      <c r="G3">
        <f ca="1">INDEX(INDIRECT(A3&amp;"!A12"):INDIRECT(A3&amp;"!A22"),MATCH(J3,INDIRECT(A3&amp;"!D12"):INDIRECT(A3&amp;"!D22"),0))</f>
        <v>1.7126631661451495</v>
      </c>
      <c r="H3">
        <f ca="1">INDEX(INDIRECT(A3&amp;"!B12"):INDIRECT(A3&amp;"!B22"),MATCH(J3,INDIRECT(A3&amp;"!D12"):INDIRECT(A3&amp;"!D22"),0))</f>
        <v>15.835797565292179</v>
      </c>
      <c r="I3">
        <f ca="1">INDEX(INDIRECT(A3&amp;"!C12"):INDIRECT(A3&amp;"!C22"),MATCH(J3,INDIRECT(A3&amp;"!D12"):INDIRECT(A3&amp;"!D22"),0))</f>
        <v>0.71155826507334219</v>
      </c>
      <c r="J3">
        <f t="shared" ref="J3" ca="1" si="1">MAX(INDIRECT(A3&amp; "!D12"),INDIRECT(A3 &amp; "!D14"),INDIRECT(A3 &amp; "!D16"),INDIRECT(A3 &amp; "!D18"),INDIRECT(A3 &amp; "!D20"),,INDIRECT(A3 &amp; "!D22"))</f>
        <v>19.29844722</v>
      </c>
      <c r="L3">
        <f ca="1">INDEX(INDIRECT(A3&amp;"!E11"):INDIRECT(A3&amp;"!E21"),MATCH(E3,INDIRECT(A3&amp;"!D11"):INDIRECT(A3&amp;"!D21"),0))</f>
        <v>2.4629929325386479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1.6905640048849524</v>
      </c>
      <c r="C4">
        <f ca="1">INDEX(INDIRECT(A4&amp;"!B11"):INDIRECT(A4&amp;"!B21"),MATCH(E4,INDIRECT(A4&amp;"!D11"):INDIRECT(A4&amp;"!D21"),0))</f>
        <v>15.986747601044705</v>
      </c>
      <c r="D4">
        <f ca="1">INDEX(INDIRECT(A4&amp;"!C11"):INDIRECT(A4&amp;"!C21"),MATCH(E4,INDIRECT(A4&amp;"!D11"):INDIRECT(A4&amp;"!D21"),0))</f>
        <v>0.66764971135667861</v>
      </c>
      <c r="E4">
        <f t="shared" ref="E4" ca="1" si="2">MAX(INDIRECT(A4&amp; "!D11"),INDIRECT(A4 &amp; "!D13"),INDIRECT(A4 &amp; "!D15"),INDIRECT(A4 &amp; "!D17"),INDIRECT(A4 &amp; "!D19"),INDIRECT(A4 &amp; "!D21"))</f>
        <v>18.044315075</v>
      </c>
      <c r="G4">
        <f ca="1">INDEX(INDIRECT(A4&amp;"!A12"):INDIRECT(A4&amp;"!A22"),MATCH(J4,INDIRECT(A4&amp;"!D12"):INDIRECT(A4&amp;"!D22"),0))</f>
        <v>1.6777875818053951</v>
      </c>
      <c r="H4">
        <f ca="1">INDEX(INDIRECT(A4&amp;"!B12"):INDIRECT(A4&amp;"!B22"),MATCH(J4,INDIRECT(A4&amp;"!D12"):INDIRECT(A4&amp;"!D22"),0))</f>
        <v>16.048265998581503</v>
      </c>
      <c r="I4">
        <f ca="1">INDEX(INDIRECT(A4&amp;"!C12"):INDIRECT(A4&amp;"!C22"),MATCH(J4,INDIRECT(A4&amp;"!D12"):INDIRECT(A4&amp;"!D22"),0))</f>
        <v>0.64044401866709799</v>
      </c>
      <c r="J4">
        <f t="shared" ref="J4" ca="1" si="3">MAX(INDIRECT(A4&amp; "!D12"),INDIRECT(A4 &amp; "!D14"),INDIRECT(A4 &amp; "!D16"),INDIRECT(A4 &amp; "!D18"),INDIRECT(A4 &amp; "!D20"),,INDIRECT(A4 &amp; "!D22"))</f>
        <v>17.244327557999998</v>
      </c>
      <c r="L4">
        <f ca="1">INDEX(INDIRECT(A4&amp;"!E11"):INDIRECT(A4&amp;"!E21"),MATCH(E4,INDIRECT(A4&amp;"!D11"):INDIRECT(A4&amp;"!D21"),0))</f>
        <v>5.2489278260953691</v>
      </c>
    </row>
    <row r="5" spans="1:12">
      <c r="A5" t="str" cm="1">
        <f t="array" aca="1" ref="A5" ca="1">IFERROR(INDEX(MID(sheetnames,FIND("]",sheetnames)+1,255),ROWS($A$2:A5)),"")</f>
        <v>20230224T210000</v>
      </c>
      <c r="B5">
        <f ca="1">INDEX(INDIRECT(A5&amp;"!A11"):INDIRECT(A5&amp;"!A21"),MATCH(E5,INDIRECT(A5&amp;"!D11"):INDIRECT(A5&amp;"!D21"),0))</f>
        <v>1.5980616752215251</v>
      </c>
      <c r="C5">
        <f ca="1">INDEX(INDIRECT(A5&amp;"!B11"):INDIRECT(A5&amp;"!B21"),MATCH(E5,INDIRECT(A5&amp;"!D11"):INDIRECT(A5&amp;"!D21"),0))</f>
        <v>15.968106206768107</v>
      </c>
      <c r="D5">
        <f ca="1">INDEX(INDIRECT(A5&amp;"!C11"):INDIRECT(A5&amp;"!C21"),MATCH(E5,INDIRECT(A5&amp;"!D11"):INDIRECT(A5&amp;"!D21"),0))</f>
        <v>0.6279795612469673</v>
      </c>
      <c r="E5">
        <f t="shared" ref="E5" ca="1" si="4">MAX(INDIRECT(A5&amp; "!D11"),INDIRECT(A5 &amp; "!D13"),INDIRECT(A5 &amp; "!D15"),INDIRECT(A5 &amp; "!D17"),INDIRECT(A5 &amp; "!D19"),INDIRECT(A5 &amp; "!D21"))</f>
        <v>16.024794096000004</v>
      </c>
      <c r="G5">
        <f ca="1">INDEX(INDIRECT(A5&amp;"!A12"):INDIRECT(A5&amp;"!A22"),MATCH(J5,INDIRECT(A5&amp;"!D12"):INDIRECT(A5&amp;"!D22"),0))</f>
        <v>1.6733028464318755</v>
      </c>
      <c r="H5">
        <f ca="1">INDEX(INDIRECT(A5&amp;"!B12"):INDIRECT(A5&amp;"!B22"),MATCH(J5,INDIRECT(A5&amp;"!D12"):INDIRECT(A5&amp;"!D22"),0))</f>
        <v>15.897408550086325</v>
      </c>
      <c r="I5">
        <f ca="1">INDEX(INDIRECT(A5&amp;"!C12"):INDIRECT(A5&amp;"!C22"),MATCH(J5,INDIRECT(A5&amp;"!D12"):INDIRECT(A5&amp;"!D22"),0))</f>
        <v>0.6056736282807732</v>
      </c>
      <c r="J5">
        <f t="shared" ref="J5" ca="1" si="5">MAX(INDIRECT(A5&amp; "!D12"),INDIRECT(A5 &amp; "!D14"),INDIRECT(A5 &amp; "!D16"),INDIRECT(A5 &amp; "!D18"),INDIRECT(A5 &amp; "!D20"),,INDIRECT(A5 &amp; "!D22"))</f>
        <v>16.111632587999999</v>
      </c>
      <c r="L5">
        <f ca="1">INDEX(INDIRECT(A5&amp;"!E11"):INDIRECT(A5&amp;"!E21"),MATCH(E5,INDIRECT(A5&amp;"!D11"):INDIRECT(A5&amp;"!D21"),0))</f>
        <v>10.101006067866063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1.6618849506807778</v>
      </c>
      <c r="C6">
        <f ca="1">INDEX(INDIRECT(A6&amp;"!B11"):INDIRECT(A6&amp;"!B21"),MATCH(E6,INDIRECT(A6&amp;"!D11"):INDIRECT(A6&amp;"!D21"),0))</f>
        <v>16.245081520578832</v>
      </c>
      <c r="D6">
        <f ca="1">INDEX(INDIRECT(A6&amp;"!C11"):INDIRECT(A6&amp;"!C21"),MATCH(E6,INDIRECT(A6&amp;"!D11"):INDIRECT(A6&amp;"!D21"),0))</f>
        <v>0.65802250911769666</v>
      </c>
      <c r="E6">
        <f t="shared" ref="E6" ca="1" si="6">MAX(INDIRECT(A6&amp; "!D11"),INDIRECT(A6 &amp; "!D13"),INDIRECT(A6 &amp; "!D15"),INDIRECT(A6 &amp; "!D17"),INDIRECT(A6 &amp; "!D19"),INDIRECT(A6 &amp; "!D21"))</f>
        <v>17.764934067000002</v>
      </c>
      <c r="G6">
        <f ca="1">INDEX(INDIRECT(A6&amp;"!A12"):INDIRECT(A6&amp;"!A22"),MATCH(J6,INDIRECT(A6&amp;"!D12"):INDIRECT(A6&amp;"!D22"),0))</f>
        <v>1.6516261264750964</v>
      </c>
      <c r="H6">
        <f ca="1">INDEX(INDIRECT(A6&amp;"!B12"):INDIRECT(A6&amp;"!B22"),MATCH(J6,INDIRECT(A6&amp;"!D12"):INDIRECT(A6&amp;"!D22"),0))</f>
        <v>16.398722533054755</v>
      </c>
      <c r="I6">
        <f ca="1">INDEX(INDIRECT(A6&amp;"!C12"):INDIRECT(A6&amp;"!C22"),MATCH(J6,INDIRECT(A6&amp;"!D12"):INDIRECT(A6&amp;"!D22"),0))</f>
        <v>0.58864498658976339</v>
      </c>
      <c r="J6">
        <f t="shared" ref="J6" ca="1" si="7">MAX(INDIRECT(A6&amp; "!D12"),INDIRECT(A6 &amp; "!D14"),INDIRECT(A6 &amp; "!D16"),INDIRECT(A6 &amp; "!D18"),INDIRECT(A6 &amp; "!D20"),,INDIRECT(A6 &amp; "!D22"))</f>
        <v>15.943189619999998</v>
      </c>
      <c r="L6">
        <f ca="1">INDEX(INDIRECT(A6&amp;"!E11"):INDIRECT(A6&amp;"!E21"),MATCH(E6,INDIRECT(A6&amp;"!D11"):INDIRECT(A6&amp;"!D21"),0))</f>
        <v>10.254721127189894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20230214T210000</vt:lpstr>
      <vt:lpstr>20230221t210000</vt:lpstr>
      <vt:lpstr>20230224T210000</vt:lpstr>
      <vt:lpstr>20230302T090000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2023-03-02T02:59:48Z</dcterms:modified>
</cp:coreProperties>
</file>